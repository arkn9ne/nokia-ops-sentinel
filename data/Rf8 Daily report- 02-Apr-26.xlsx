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/>
  </bookViews>
  <sheets>
    <sheet name="Shop Order" sheetId="1" r:id="rId1"/>
    <sheet name="Need to confirm" sheetId="11" r:id="rId2"/>
    <sheet name="Sheet6" sheetId="12" r:id="rId3"/>
    <sheet name="Summary" sheetId="3" r:id="rId4"/>
    <sheet name="Sheet2" sheetId="5" state="hidden" r:id="rId5"/>
  </sheets>
  <definedNames>
    <definedName name="_xlnm._FilterDatabase" localSheetId="4" hidden="1">Sheet2!$A$1:$E$11</definedName>
    <definedName name="_xlnm._FilterDatabase" localSheetId="0" hidden="1">'Shop Order'!$A$1:$L$520</definedName>
  </definedNames>
  <calcPr calcId="125725"/>
  <pivotCaches>
    <pivotCache cacheId="16" r:id="rId6"/>
  </pivotCaches>
</workbook>
</file>

<file path=xl/calcChain.xml><?xml version="1.0" encoding="utf-8"?>
<calcChain xmlns="http://schemas.openxmlformats.org/spreadsheetml/2006/main">
  <c r="O19" i="3"/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2" l="1"/>
</calcChain>
</file>

<file path=xl/sharedStrings.xml><?xml version="1.0" encoding="utf-8"?>
<sst xmlns="http://schemas.openxmlformats.org/spreadsheetml/2006/main" count="3918" uniqueCount="633">
  <si>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</si>
  <si>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</si>
  <si>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</si>
  <si>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</si>
  <si>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</si>
  <si>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</si>
  <si>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</si>
  <si>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</si>
  <si>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</si>
  <si>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</si>
  <si>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</si>
  <si>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</si>
  <si>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</si>
  <si>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</si>
  <si>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</si>
  <si>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</si>
  <si>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</si>
  <si>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</si>
  <si>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</si>
  <si>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</si>
  <si>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</si>
  <si>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</si>
  <si>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</si>
  <si>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</si>
  <si>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</si>
  <si>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</si>
  <si>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</si>
  <si>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</si>
  <si>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</si>
  <si>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</si>
  <si>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</si>
  <si>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</si>
  <si>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</si>
  <si>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</si>
  <si>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</si>
  <si>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</si>
  <si>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</si>
  <si>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</si>
  <si>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</si>
  <si>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</si>
  <si>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</si>
  <si>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</si>
  <si>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</si>
  <si>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</si>
  <si>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</si>
  <si>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</si>
  <si>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</si>
  <si>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</si>
  <si>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</si>
  <si>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</si>
  <si>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</si>
  <si>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</si>
  <si>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</si>
  <si>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</si>
  <si>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</si>
  <si>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</si>
  <si>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</si>
  <si>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</si>
  <si>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</si>
  <si>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</si>
  <si>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</si>
  <si>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</si>
  <si>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</si>
  <si>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</si>
  <si>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</si>
  <si>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</si>
  <si>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</si>
  <si>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</si>
  <si>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</si>
  <si>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</si>
  <si>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</si>
  <si>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</si>
  <si>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</si>
  <si>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</si>
  <si>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</si>
  <si>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</si>
  <si>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</si>
  <si>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</si>
  <si>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</si>
  <si>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</si>
  <si>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</si>
  <si>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</si>
  <si>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</si>
  <si>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</si>
  <si>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</si>
  <si>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</si>
  <si>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</si>
  <si>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</si>
  <si>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</si>
  <si>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</si>
  <si>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</si>
  <si>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</si>
  <si>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</si>
  <si>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</si>
  <si>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</si>
  <si>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</si>
  <si>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</si>
  <si>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</si>
  <si>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</si>
  <si>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</si>
  <si>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</si>
  <si>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</si>
  <si>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</si>
  <si>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</si>
  <si>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</si>
  <si>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</si>
  <si>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</si>
  <si>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</si>
  <si>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</si>
  <si>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</si>
  <si>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</si>
  <si>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</si>
  <si>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</si>
  <si>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</si>
  <si>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</si>
  <si>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</si>
  <si>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</si>
  <si>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</si>
  <si>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</si>
  <si>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</si>
  <si>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</si>
  <si>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</si>
  <si>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</si>
  <si>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</si>
  <si>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</si>
  <si>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</si>
  <si>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</si>
  <si>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</si>
  <si>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</si>
  <si>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</si>
  <si>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</si>
  <si>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</si>
  <si>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</si>
  <si>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</si>
  <si>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</si>
  <si>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</si>
  <si>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</si>
  <si>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</si>
  <si>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</si>
  <si>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</si>
  <si>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</si>
  <si>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</si>
  <si>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</si>
  <si>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</si>
  <si>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</si>
  <si>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</si>
  <si>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</si>
  <si>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</si>
  <si>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</si>
  <si>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</si>
  <si>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</si>
  <si>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</si>
  <si>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</si>
  <si>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</si>
  <si>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</si>
  <si>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</si>
  <si>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</si>
  <si>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</si>
  <si>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</si>
  <si>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</si>
  <si>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</si>
  <si>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</si>
  <si>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</si>
  <si>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</si>
  <si>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</si>
  <si>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</si>
  <si>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</si>
  <si>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</si>
  <si>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</si>
  <si>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</si>
  <si>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</si>
  <si>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</si>
  <si>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</si>
  <si>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</si>
  <si>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</si>
  <si>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</si>
  <si>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</si>
  <si>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</si>
  <si>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</si>
  <si>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</si>
  <si>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</si>
  <si>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</si>
  <si>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</si>
  <si>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</si>
  <si>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</si>
  <si>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</si>
  <si>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</si>
  <si>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</si>
  <si>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</si>
  <si>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</si>
  <si>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</si>
  <si>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</si>
  <si>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</si>
  <si>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</si>
  <si>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</si>
  <si>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</si>
  <si>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</si>
  <si>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</si>
  <si>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</si>
  <si>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</si>
  <si>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</si>
  <si>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</si>
  <si>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</si>
  <si>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</si>
  <si>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</si>
  <si>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</si>
  <si>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</si>
  <si>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</si>
  <si>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</si>
  <si>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</si>
  <si>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</si>
  <si>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</si>
  <si>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</si>
  <si>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</si>
  <si>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</si>
  <si>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</si>
  <si>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</si>
  <si>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</si>
  <si>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</si>
  <si>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</si>
  <si>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</si>
  <si>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</si>
  <si>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</si>
  <si>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</si>
  <si>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</si>
  <si>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</si>
  <si>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</si>
  <si>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</si>
  <si>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</si>
  <si>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</si>
  <si>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</si>
  <si>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</si>
  <si>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</si>
  <si>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</si>
  <si>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</si>
  <si>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</si>
  <si>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</si>
  <si>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</si>
  <si>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</si>
  <si>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</si>
  <si>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</si>
  <si>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</si>
  <si>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</si>
  <si>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</si>
  <si>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</si>
  <si>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</si>
  <si>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</si>
  <si>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</si>
  <si>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</si>
  <si>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</si>
  <si>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</si>
  <si>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</si>
  <si>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</si>
  <si>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</si>
  <si>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</si>
  <si>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</si>
  <si>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</si>
  <si>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</si>
  <si>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</si>
  <si>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</si>
  <si>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</si>
  <si>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</si>
  <si>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</si>
  <si>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</si>
  <si>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</si>
  <si>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</si>
  <si>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</si>
  <si>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</si>
  <si>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</si>
  <si>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</si>
  <si>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</si>
  <si>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</si>
  <si>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</si>
  <si>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</si>
  <si>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</si>
  <si>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</si>
  <si>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</si>
  <si>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</si>
  <si>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</si>
  <si>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</si>
  <si>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</si>
  <si>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</si>
  <si>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</si>
  <si>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</si>
  <si>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</si>
  <si>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</si>
  <si>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</si>
  <si>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</si>
  <si>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</si>
  <si>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</si>
  <si>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</si>
  <si>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</si>
  <si>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</si>
  <si>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</si>
  <si>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</si>
  <si>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</si>
  <si>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</si>
  <si>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</si>
  <si>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</si>
  <si>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</si>
  <si>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</si>
  <si>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</si>
  <si>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</si>
  <si>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</si>
  <si>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</si>
  <si>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</si>
  <si>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</si>
  <si>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</si>
  <si>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</si>
  <si>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</si>
  <si>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</si>
  <si>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</si>
  <si>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</si>
  <si>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</si>
  <si>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</si>
  <si>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</si>
  <si>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</si>
  <si>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</si>
  <si>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</si>
  <si>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</si>
  <si>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</si>
  <si>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</si>
  <si>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</si>
  <si>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</si>
  <si>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</si>
  <si>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</si>
  <si>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</si>
  <si>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</si>
  <si>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</si>
  <si>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</si>
  <si>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</si>
  <si>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</si>
  <si>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</si>
  <si>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</si>
  <si>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</si>
  <si>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</si>
  <si>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</si>
  <si>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</si>
  <si>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</si>
  <si>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</si>
  <si>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</si>
  <si>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</si>
  <si>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</si>
  <si>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</si>
  <si>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</si>
  <si>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</si>
  <si>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</si>
  <si>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</si>
  <si>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</si>
  <si>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</si>
  <si>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</si>
  <si>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</si>
  <si>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</si>
  <si>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</si>
  <si>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</si>
  <si>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</si>
  <si>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</si>
  <si>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</si>
  <si>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</si>
  <si>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</si>
  <si>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</si>
  <si>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</si>
  <si>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</si>
  <si>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</si>
  <si>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</si>
  <si>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</si>
  <si>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</si>
  <si>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</si>
  <si>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</si>
  <si>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</si>
  <si>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</si>
  <si>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</si>
  <si>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</si>
  <si>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</si>
  <si>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</si>
  <si>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</si>
  <si>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</si>
  <si>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</si>
  <si>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</si>
  <si>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</si>
  <si>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</si>
  <si>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</si>
  <si>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</si>
  <si>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</si>
  <si>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</si>
  <si>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</si>
  <si>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</si>
  <si>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</si>
  <si>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</si>
  <si>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</si>
  <si>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</si>
  <si>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</si>
  <si>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</si>
  <si>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</si>
  <si>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</si>
  <si>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</si>
  <si>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</si>
  <si>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</si>
  <si>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>RRH Fixture</t>
  </si>
  <si>
    <t>2 Fixtures</t>
  </si>
  <si>
    <t>1 unit tester</t>
  </si>
  <si>
    <t>RTWP Tester</t>
  </si>
  <si>
    <t>Need to be hooked up powered on</t>
  </si>
  <si>
    <t>LBTS</t>
  </si>
  <si>
    <t>Need to be powered up</t>
  </si>
  <si>
    <t>3D chasis weight</t>
  </si>
  <si>
    <t>Right next to the TRX Tester rack</t>
  </si>
  <si>
    <t xml:space="preserve">Filter </t>
  </si>
  <si>
    <t xml:space="preserve">Electrical Plans required for the testers </t>
  </si>
  <si>
    <t>Layout Plan- Sebastian</t>
  </si>
  <si>
    <t>Need to be delivered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</si>
  <si>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</si>
  <si>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</si>
  <si>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</si>
  <si>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</si>
  <si>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</si>
  <si>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</si>
  <si>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</si>
  <si>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</si>
  <si>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</si>
  <si>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</si>
  <si>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</si>
  <si>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</si>
  <si>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</si>
  <si>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</si>
  <si>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</si>
  <si>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</si>
  <si>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</si>
  <si>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</si>
  <si>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</si>
  <si>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</si>
  <si>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</si>
  <si>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</si>
  <si>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</si>
  <si>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</si>
  <si>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</si>
  <si>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</si>
  <si>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</si>
  <si>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</si>
  <si>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</si>
  <si>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</si>
  <si>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</si>
  <si>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</si>
  <si>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</si>
  <si>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</si>
  <si>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</si>
  <si>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</si>
  <si>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</si>
  <si>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</si>
  <si>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</si>
  <si>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</si>
  <si>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</si>
  <si>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</si>
  <si>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</si>
  <si>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</si>
  <si>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das</t>
  </si>
  <si>
    <t>asdas</t>
  </si>
  <si>
    <t>QT17IA14.40</t>
  </si>
  <si>
    <t>QT17IA14.50</t>
  </si>
  <si>
    <t>QT17IA24.10</t>
  </si>
  <si>
    <t>Quote</t>
  </si>
  <si>
    <t>Test fixtures</t>
  </si>
  <si>
    <t>AOR2 AOI RWK S2</t>
  </si>
  <si>
    <t>AOR2 AOI Repair S2</t>
  </si>
  <si>
    <t>AOI2 AOI Inspect S2</t>
  </si>
  <si>
    <t>AOI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</si>
  <si>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</si>
  <si>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</si>
  <si>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</si>
  <si>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</si>
  <si>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</si>
  <si>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Failed PA's unit- as is- no dissably needed </t>
  </si>
  <si>
    <t xml:space="preserve">need Po adjustment </t>
  </si>
  <si>
    <t>Short 10 B25 PA's- Need PO adkist ment</t>
  </si>
  <si>
    <t>Shipping</t>
  </si>
  <si>
    <t>With RRH</t>
  </si>
  <si>
    <t>Failed</t>
  </si>
  <si>
    <t xml:space="preserve">PE53604, PE53707,PE53847 </t>
  </si>
  <si>
    <t>DPNL Mech Depanel</t>
  </si>
  <si>
    <t>PE53891 </t>
  </si>
  <si>
    <t>5DX1 SMT 5DX</t>
  </si>
  <si>
    <t>5DX</t>
  </si>
  <si>
    <t>ASY1 T/L Assembly</t>
  </si>
  <si>
    <t>Xfr to T/L Assembly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</si>
  <si>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</si>
  <si>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</si>
  <si>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</si>
  <si>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</si>
  <si>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</si>
  <si>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</si>
  <si>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</si>
  <si>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</si>
  <si>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</si>
  <si>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</si>
  <si>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</si>
  <si>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</si>
  <si>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</si>
  <si>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</si>
  <si>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</si>
  <si>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</si>
  <si>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</si>
  <si>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</si>
  <si>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</si>
  <si>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</si>
  <si>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</si>
  <si>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</si>
  <si>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</si>
  <si>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</si>
  <si>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</si>
  <si>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</si>
  <si>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</si>
  <si>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</si>
  <si>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</si>
  <si>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</si>
  <si>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</si>
  <si>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</si>
  <si>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</si>
  <si>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</si>
  <si>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</si>
  <si>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</si>
  <si>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</si>
  <si>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</si>
  <si>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</si>
  <si>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</si>
  <si>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</si>
  <si>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</si>
  <si>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</si>
  <si>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</si>
  <si>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</si>
  <si>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</si>
  <si>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</si>
  <si>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</si>
  <si>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</si>
  <si>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</si>
  <si>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</si>
  <si>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</si>
  <si>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</si>
  <si>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</si>
  <si>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</si>
  <si>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</si>
  <si>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</si>
  <si>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</si>
  <si>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</si>
  <si>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</si>
  <si>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</si>
  <si>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</si>
  <si>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</si>
  <si>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</si>
  <si>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</si>
  <si>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</si>
  <si>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</si>
  <si>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</si>
  <si>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</si>
  <si>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</si>
  <si>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</si>
  <si>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</si>
  <si>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</si>
  <si>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</si>
  <si>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</si>
  <si>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</si>
  <si>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</si>
  <si>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</si>
  <si>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</si>
  <si>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</si>
  <si>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</si>
  <si>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</si>
  <si>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</si>
  <si>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</si>
  <si>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</si>
  <si>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</si>
  <si>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</si>
  <si>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</si>
  <si>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</si>
  <si>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</si>
  <si>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</si>
  <si>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</si>
  <si>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</si>
  <si>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</si>
  <si>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</si>
  <si>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</si>
  <si>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</si>
  <si>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</si>
  <si>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</si>
  <si>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</si>
  <si>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</si>
  <si>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</si>
  <si>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</si>
  <si>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</si>
  <si>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</si>
  <si>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</si>
  <si>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</si>
  <si>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</si>
  <si>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</si>
  <si>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</si>
  <si>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</si>
  <si>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</si>
  <si>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</si>
  <si>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</si>
  <si>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</si>
  <si>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</si>
  <si>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</si>
  <si>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</si>
  <si>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</si>
  <si>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</si>
  <si>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</si>
  <si>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</si>
  <si>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</si>
  <si>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</si>
  <si>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</si>
  <si>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</si>
  <si>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</si>
  <si>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</si>
  <si>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</si>
  <si>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</si>
  <si>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</si>
  <si>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</si>
  <si>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SMT2 SMT Side 2</t>
  </si>
  <si>
    <t>Inspect SMT2</t>
  </si>
  <si>
    <t>SMR2 RWK SMT2</t>
  </si>
  <si>
    <t>RWK SMT2</t>
  </si>
  <si>
    <t xml:space="preserve">STI To be released </t>
  </si>
  <si>
    <t>QT17IA44.10</t>
  </si>
  <si>
    <t>AOR1 AOI RWK S1</t>
  </si>
  <si>
    <t>AOR1 AOI Repair S1</t>
  </si>
  <si>
    <t>Need to update status in 42 Q</t>
  </si>
  <si>
    <t>Need to update 3 up sheet</t>
  </si>
  <si>
    <t>Need to retest</t>
  </si>
  <si>
    <t>Tested and paassed</t>
  </si>
  <si>
    <t>Stencil or Manual ??</t>
  </si>
  <si>
    <t>Column1</t>
  </si>
  <si>
    <t>Retest with new limits</t>
  </si>
  <si>
    <t>3 up</t>
  </si>
  <si>
    <t>Final QC Signs off on this- Engineering mode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</si>
</sst>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  <xf numFmtId="22" fontId="0" fillId="0" borderId="0" xfId="0" applyNumberFormat="1"/>
    <xf numFmtId="14" fontId="0" fillId="0" borderId="0" xfId="0" applyNumberFormat="1"/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numFmt numFmtId="27" formatCode="m/d/yyyy\ h:mm"/>
    </dxf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14.353559722222" createdVersion="3" refreshedVersion="3" minRefreshableVersion="3" recordCount="519">
  <cacheSource type="worksheet">
    <worksheetSource ref="A1:L52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5">
        <s v="NOT-IN-PROCESS"/>
        <s v="Shipped to Customer"/>
        <s v="Xfr to Debug Test"/>
        <s v="Functional Test-1"/>
        <s v="Complete"/>
        <s v="AOI  Inspect"/>
        <s v="5DX"/>
        <s v="AOR2 AOI Repair S2"/>
        <s v="AOR1 AOI Repair S1"/>
        <s v="RWK SMT2"/>
        <s v="Assembly 1 - 1B"/>
        <s v="AOI"/>
        <s v="Inspect SMT2"/>
        <s v="Xfr to T/L Assembly"/>
        <s v="Rework-1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Finished (30)"/>
        <s v="Traveler Printed (15)"/>
        <s v="In Repair (2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4-02T07:56:42"/>
    </cacheField>
    <cacheField name="Work order" numFmtId="0">
      <sharedItems count="11">
        <s v="QT17IA14.00"/>
        <s v="QT17IA14.10"/>
        <s v="QT17IA14.20"/>
        <s v="QT17IA14.21"/>
        <s v="QT17IA14.30"/>
        <s v="QT17IA14.31"/>
        <s v="QT17IA14.50"/>
        <s v="QT17IA23.00"/>
        <s v="QT17IA24.00"/>
        <s v="QT17IA43.00"/>
        <s v="QT17IA44.00"/>
      </sharedItems>
    </cacheField>
    <cacheField name="Part number" numFmtId="0">
      <sharedItems count="8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</sharedItems>
    </cacheField>
    <cacheField name="Priority" numFmtId="0">
      <sharedItems containsSemiMixedTypes="0" containsString="0" containsNumber="1" containsInteger="1" minValue="1" maxValue="12" count="11">
        <n v="1"/>
        <n v="2"/>
        <n v="7"/>
        <n v="8"/>
        <n v="5"/>
        <n v="6"/>
        <n v="12"/>
        <n v="3"/>
        <n v="9"/>
        <n v="4"/>
        <n v="10"/>
      </sharedItems>
    </cacheField>
    <cacheField name="Comments" numFmtId="0">
      <sharedItems containsBlank="1"/>
    </cacheField>
    <cacheField name="das" numFmtId="0">
      <sharedItems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2"/>
    <s v="1"/>
    <x v="2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FUN1 Func Test"/>
    <x v="3"/>
    <s v="1"/>
    <x v="3"/>
    <d v="2026-02-24T08:08:40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FUN1 Func Test"/>
    <x v="3"/>
    <s v="1"/>
    <x v="3"/>
    <d v="2026-02-24T08:09:55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DBG1 Debug Test"/>
    <x v="2"/>
    <s v="1"/>
    <x v="2"/>
    <d v="2026-03-25T15:41:20"/>
    <x v="2"/>
    <x v="2"/>
    <x v="2"/>
    <m/>
    <m/>
    <m/>
  </r>
  <r>
    <s v="YK260900002"/>
    <s v="CMP1 Complete"/>
    <x v="4"/>
    <s v="1"/>
    <x v="4"/>
    <d v="2026-03-18T13:21:04"/>
    <x v="2"/>
    <x v="2"/>
    <x v="2"/>
    <m/>
    <m/>
    <m/>
  </r>
  <r>
    <s v="YK260900003"/>
    <s v="CMP1 Complete"/>
    <x v="4"/>
    <s v="1"/>
    <x v="4"/>
    <d v="2026-03-18T13:31:38"/>
    <x v="2"/>
    <x v="2"/>
    <x v="2"/>
    <m/>
    <m/>
    <m/>
  </r>
  <r>
    <s v="YK260900004"/>
    <s v="DBG1 Debug Test"/>
    <x v="2"/>
    <s v="1"/>
    <x v="2"/>
    <d v="2026-03-26T06:33:01"/>
    <x v="2"/>
    <x v="2"/>
    <x v="2"/>
    <m/>
    <m/>
    <m/>
  </r>
  <r>
    <s v="YK260900005"/>
    <s v="DBG1 Debug Test"/>
    <x v="2"/>
    <s v="1"/>
    <x v="2"/>
    <d v="2026-03-24T06:51:09"/>
    <x v="2"/>
    <x v="2"/>
    <x v="2"/>
    <m/>
    <m/>
    <m/>
  </r>
  <r>
    <s v="YK260900006"/>
    <s v="CMP1 Complete"/>
    <x v="4"/>
    <s v="1"/>
    <x v="4"/>
    <d v="2026-03-23T08:30:25"/>
    <x v="2"/>
    <x v="2"/>
    <x v="2"/>
    <m/>
    <m/>
    <m/>
  </r>
  <r>
    <s v="YK260900007"/>
    <s v="CMP1 Complete"/>
    <x v="4"/>
    <s v="1"/>
    <x v="4"/>
    <d v="2026-03-18T13:23:33"/>
    <x v="2"/>
    <x v="2"/>
    <x v="2"/>
    <m/>
    <m/>
    <m/>
  </r>
  <r>
    <s v="YK260900008"/>
    <s v="DBG1 Debug Test"/>
    <x v="2"/>
    <s v="1"/>
    <x v="2"/>
    <d v="2026-03-23T08:40:29"/>
    <x v="2"/>
    <x v="2"/>
    <x v="2"/>
    <m/>
    <m/>
    <m/>
  </r>
  <r>
    <s v="YK260900009"/>
    <s v="DBG1 Debug Test"/>
    <x v="2"/>
    <s v="1"/>
    <x v="2"/>
    <d v="2026-03-18T10:19:16"/>
    <x v="2"/>
    <x v="2"/>
    <x v="2"/>
    <m/>
    <m/>
    <m/>
  </r>
  <r>
    <s v="YK260900010"/>
    <s v="DBG1 Debug Test"/>
    <x v="2"/>
    <s v="1"/>
    <x v="2"/>
    <d v="2026-03-25T15:45:34"/>
    <x v="2"/>
    <x v="2"/>
    <x v="2"/>
    <m/>
    <m/>
    <m/>
  </r>
  <r>
    <s v="YK260900011"/>
    <s v="DBG1 Debug Test"/>
    <x v="2"/>
    <s v="1"/>
    <x v="2"/>
    <d v="2026-03-20T11:15:16"/>
    <x v="2"/>
    <x v="2"/>
    <x v="2"/>
    <m/>
    <m/>
    <m/>
  </r>
  <r>
    <s v="YK260900012"/>
    <s v="CMP1 Complete"/>
    <x v="4"/>
    <s v="1"/>
    <x v="4"/>
    <d v="2026-03-20T11:36:55"/>
    <x v="2"/>
    <x v="2"/>
    <x v="2"/>
    <m/>
    <m/>
    <m/>
  </r>
  <r>
    <s v="YK260900013"/>
    <s v="CMP1 Complete"/>
    <x v="4"/>
    <s v="1"/>
    <x v="4"/>
    <d v="2026-03-23T08:23:19"/>
    <x v="2"/>
    <x v="2"/>
    <x v="2"/>
    <m/>
    <m/>
    <m/>
  </r>
  <r>
    <s v="YK260900014"/>
    <s v="CMP1 Complete"/>
    <x v="4"/>
    <s v="1"/>
    <x v="4"/>
    <d v="2026-03-18T13:22:06"/>
    <x v="2"/>
    <x v="2"/>
    <x v="2"/>
    <m/>
    <m/>
    <m/>
  </r>
  <r>
    <s v="YK260900015"/>
    <s v="CMP1 Complete"/>
    <x v="4"/>
    <s v="1"/>
    <x v="4"/>
    <d v="2026-03-19T14:07:57"/>
    <x v="2"/>
    <x v="2"/>
    <x v="2"/>
    <m/>
    <m/>
    <m/>
  </r>
  <r>
    <s v="YK260900016"/>
    <s v="DBG1 Debug Test"/>
    <x v="2"/>
    <s v="1"/>
    <x v="2"/>
    <d v="2026-03-18T10:07:53"/>
    <x v="2"/>
    <x v="2"/>
    <x v="2"/>
    <m/>
    <m/>
    <m/>
  </r>
  <r>
    <s v="YK260900017"/>
    <s v="CMP1 Complete"/>
    <x v="4"/>
    <s v="1"/>
    <x v="4"/>
    <d v="2026-03-24T06:53:19"/>
    <x v="2"/>
    <x v="2"/>
    <x v="2"/>
    <m/>
    <m/>
    <m/>
  </r>
  <r>
    <s v="YK260900018"/>
    <s v="CMP1 Complete"/>
    <x v="4"/>
    <s v="1"/>
    <x v="4"/>
    <d v="2026-03-16T11:58:22"/>
    <x v="2"/>
    <x v="2"/>
    <x v="2"/>
    <m/>
    <m/>
    <m/>
  </r>
  <r>
    <s v="YK260900019"/>
    <s v="FUN1 Func Test"/>
    <x v="3"/>
    <s v="1"/>
    <x v="3"/>
    <d v="2026-03-23T11:40:19"/>
    <x v="2"/>
    <x v="2"/>
    <x v="2"/>
    <m/>
    <m/>
    <m/>
  </r>
  <r>
    <s v="YK260900020"/>
    <s v="FUN1 Func Test"/>
    <x v="3"/>
    <s v="1"/>
    <x v="3"/>
    <d v="2026-03-18T13:17:52"/>
    <x v="2"/>
    <x v="2"/>
    <x v="2"/>
    <m/>
    <m/>
    <m/>
  </r>
  <r>
    <s v="YK260900021"/>
    <s v="CMP1 Complete"/>
    <x v="4"/>
    <s v="1"/>
    <x v="4"/>
    <d v="2026-03-18T13:33:47"/>
    <x v="2"/>
    <x v="2"/>
    <x v="2"/>
    <m/>
    <m/>
    <m/>
  </r>
  <r>
    <s v="YK260900022"/>
    <s v="CMP1 Complete"/>
    <x v="4"/>
    <s v="1"/>
    <x v="4"/>
    <d v="2026-03-18T13:32:46"/>
    <x v="2"/>
    <x v="2"/>
    <x v="2"/>
    <m/>
    <m/>
    <m/>
  </r>
  <r>
    <s v="YK260900023"/>
    <s v="CMP1 Complete"/>
    <x v="4"/>
    <s v="1"/>
    <x v="4"/>
    <d v="2026-03-20T11:28:35"/>
    <x v="2"/>
    <x v="2"/>
    <x v="2"/>
    <m/>
    <m/>
    <m/>
  </r>
  <r>
    <s v="YK260900024"/>
    <s v="CMP1 Complete"/>
    <x v="4"/>
    <s v="1"/>
    <x v="4"/>
    <d v="2026-03-18T13:24:18"/>
    <x v="2"/>
    <x v="2"/>
    <x v="2"/>
    <m/>
    <m/>
    <m/>
  </r>
  <r>
    <s v="YK260900025"/>
    <s v="CMP1 Complete"/>
    <x v="4"/>
    <s v="1"/>
    <x v="4"/>
    <d v="2026-03-18T10:46:16"/>
    <x v="2"/>
    <x v="2"/>
    <x v="2"/>
    <m/>
    <m/>
    <m/>
  </r>
  <r>
    <s v="YK260900026"/>
    <s v="CMP1 Complete"/>
    <x v="4"/>
    <s v="1"/>
    <x v="4"/>
    <d v="2026-03-19T13:57:53"/>
    <x v="2"/>
    <x v="2"/>
    <x v="2"/>
    <m/>
    <m/>
    <m/>
  </r>
  <r>
    <s v="YK260900027"/>
    <s v="CMP1 Complete"/>
    <x v="4"/>
    <s v="1"/>
    <x v="4"/>
    <d v="2026-03-16T11:17:48"/>
    <x v="2"/>
    <x v="2"/>
    <x v="2"/>
    <m/>
    <m/>
    <m/>
  </r>
  <r>
    <s v="YK260900028"/>
    <s v="CMP1 Complete"/>
    <x v="4"/>
    <s v="1"/>
    <x v="4"/>
    <d v="2026-03-19T13:58:33"/>
    <x v="2"/>
    <x v="2"/>
    <x v="2"/>
    <m/>
    <m/>
    <m/>
  </r>
  <r>
    <s v="YK260900029"/>
    <s v="CMP1 Complete"/>
    <x v="4"/>
    <s v="1"/>
    <x v="4"/>
    <d v="2026-03-16T11:17:33"/>
    <x v="2"/>
    <x v="2"/>
    <x v="2"/>
    <m/>
    <m/>
    <m/>
  </r>
  <r>
    <s v="YK260900030"/>
    <s v="DBG1 Debug Test"/>
    <x v="2"/>
    <s v="1"/>
    <x v="2"/>
    <d v="2026-03-19T13:53:30"/>
    <x v="2"/>
    <x v="2"/>
    <x v="2"/>
    <m/>
    <m/>
    <m/>
  </r>
  <r>
    <s v="YK260900031"/>
    <s v="SHIP Shipping"/>
    <x v="1"/>
    <s v="1"/>
    <x v="1"/>
    <d v="2026-03-31T12:18:36"/>
    <x v="2"/>
    <x v="2"/>
    <x v="2"/>
    <m/>
    <m/>
    <m/>
  </r>
  <r>
    <s v="YK260900032"/>
    <s v="DBG1 Debug Test"/>
    <x v="2"/>
    <s v="1"/>
    <x v="2"/>
    <d v="2026-03-25T13:07:32"/>
    <x v="2"/>
    <x v="2"/>
    <x v="2"/>
    <m/>
    <m/>
    <m/>
  </r>
  <r>
    <s v="YK260900033"/>
    <s v="CMP1 Complete"/>
    <x v="4"/>
    <s v="1"/>
    <x v="4"/>
    <d v="2026-03-25T13:42:39"/>
    <x v="2"/>
    <x v="2"/>
    <x v="2"/>
    <m/>
    <m/>
    <m/>
  </r>
  <r>
    <s v="YK260900034"/>
    <s v="DBG1 Debug Test"/>
    <x v="2"/>
    <s v="1"/>
    <x v="2"/>
    <d v="2026-03-19T13:56:24"/>
    <x v="2"/>
    <x v="2"/>
    <x v="2"/>
    <m/>
    <m/>
    <m/>
  </r>
  <r>
    <s v="YK260900035"/>
    <s v="CMP1 Complete"/>
    <x v="4"/>
    <s v="1"/>
    <x v="4"/>
    <d v="2026-03-25T13:30:24"/>
    <x v="2"/>
    <x v="2"/>
    <x v="2"/>
    <m/>
    <m/>
    <m/>
  </r>
  <r>
    <s v="YK260900036"/>
    <s v="CMP1 Complete"/>
    <x v="4"/>
    <s v="1"/>
    <x v="4"/>
    <d v="2026-03-20T11:27:26"/>
    <x v="2"/>
    <x v="2"/>
    <x v="2"/>
    <m/>
    <m/>
    <m/>
  </r>
  <r>
    <s v="YK260900037"/>
    <s v="DBG1 Debug Test"/>
    <x v="2"/>
    <s v="1"/>
    <x v="2"/>
    <d v="2026-03-18T10:26:02"/>
    <x v="2"/>
    <x v="2"/>
    <x v="2"/>
    <m/>
    <m/>
    <m/>
  </r>
  <r>
    <s v="YK260900075"/>
    <s v="CMP1 Complete"/>
    <x v="4"/>
    <s v="1"/>
    <x v="4"/>
    <d v="2026-03-16T11:57:29"/>
    <x v="3"/>
    <x v="2"/>
    <x v="3"/>
    <m/>
    <m/>
    <m/>
  </r>
  <r>
    <s v="YK260900076"/>
    <s v="CMP1 Complete"/>
    <x v="4"/>
    <s v="1"/>
    <x v="4"/>
    <d v="2026-03-23T08:22:45"/>
    <x v="3"/>
    <x v="2"/>
    <x v="3"/>
    <m/>
    <m/>
    <m/>
  </r>
  <r>
    <s v="YK260900077"/>
    <s v="CMP1 Complete"/>
    <x v="4"/>
    <s v="1"/>
    <x v="4"/>
    <d v="2026-03-25T13:12:33"/>
    <x v="3"/>
    <x v="2"/>
    <x v="3"/>
    <m/>
    <m/>
    <m/>
  </r>
  <r>
    <s v="YK260900078"/>
    <s v="CMP1 Complete"/>
    <x v="4"/>
    <s v="1"/>
    <x v="4"/>
    <d v="2026-03-18T13:25:15"/>
    <x v="3"/>
    <x v="2"/>
    <x v="3"/>
    <m/>
    <m/>
    <m/>
  </r>
  <r>
    <s v="YK260900079"/>
    <s v="CMP1 Complete"/>
    <x v="4"/>
    <s v="1"/>
    <x v="4"/>
    <d v="2026-03-23T08:27:45"/>
    <x v="3"/>
    <x v="2"/>
    <x v="3"/>
    <m/>
    <m/>
    <m/>
  </r>
  <r>
    <s v="YK260900080"/>
    <s v="CMP1 Complete"/>
    <x v="4"/>
    <s v="1"/>
    <x v="4"/>
    <d v="2026-03-23T08:29:48"/>
    <x v="3"/>
    <x v="2"/>
    <x v="3"/>
    <m/>
    <m/>
    <m/>
  </r>
  <r>
    <s v="YK260900081"/>
    <s v="CMP1 Complete"/>
    <x v="4"/>
    <s v="1"/>
    <x v="4"/>
    <d v="2026-03-18T14:13:26"/>
    <x v="3"/>
    <x v="2"/>
    <x v="3"/>
    <m/>
    <m/>
    <m/>
  </r>
  <r>
    <s v="YK260900082"/>
    <s v="DBG1 Debug Test"/>
    <x v="2"/>
    <s v="1"/>
    <x v="2"/>
    <d v="2026-03-30T06:49:56"/>
    <x v="3"/>
    <x v="2"/>
    <x v="3"/>
    <m/>
    <m/>
    <m/>
  </r>
  <r>
    <s v="YK260900083"/>
    <s v="CMP1 Complete"/>
    <x v="4"/>
    <s v="1"/>
    <x v="4"/>
    <d v="2026-03-18T13:33:17"/>
    <x v="3"/>
    <x v="2"/>
    <x v="3"/>
    <m/>
    <m/>
    <m/>
  </r>
  <r>
    <s v="YK260900084"/>
    <s v="SHIP Shipping"/>
    <x v="1"/>
    <s v="1"/>
    <x v="1"/>
    <d v="2026-03-31T12:19:06"/>
    <x v="3"/>
    <x v="2"/>
    <x v="3"/>
    <m/>
    <m/>
    <m/>
  </r>
  <r>
    <s v="YK260900085"/>
    <s v="DBG1 Debug Test"/>
    <x v="2"/>
    <s v="1"/>
    <x v="2"/>
    <d v="2026-03-19T13:51:42"/>
    <x v="3"/>
    <x v="2"/>
    <x v="3"/>
    <m/>
    <m/>
    <m/>
  </r>
  <r>
    <s v="YK260900086"/>
    <s v="CMP1 Complete"/>
    <x v="4"/>
    <s v="1"/>
    <x v="4"/>
    <d v="2026-03-25T13:21:58"/>
    <x v="3"/>
    <x v="2"/>
    <x v="3"/>
    <m/>
    <m/>
    <m/>
  </r>
  <r>
    <s v="YK260900087"/>
    <s v="CMP1 Complete"/>
    <x v="4"/>
    <s v="1"/>
    <x v="4"/>
    <d v="2026-03-20T11:32:59"/>
    <x v="3"/>
    <x v="2"/>
    <x v="3"/>
    <m/>
    <m/>
    <m/>
  </r>
  <r>
    <s v="YK260900088"/>
    <s v="SHIP Shipping"/>
    <x v="1"/>
    <s v="1"/>
    <x v="1"/>
    <d v="2026-03-31T12:19:42"/>
    <x v="3"/>
    <x v="2"/>
    <x v="3"/>
    <m/>
    <m/>
    <m/>
  </r>
  <r>
    <s v="YK260900089"/>
    <s v="CMP1 Complete"/>
    <x v="4"/>
    <s v="1"/>
    <x v="4"/>
    <d v="2026-03-18T13:30:34"/>
    <x v="3"/>
    <x v="2"/>
    <x v="3"/>
    <m/>
    <m/>
    <m/>
  </r>
  <r>
    <s v="YK260900090"/>
    <s v="CMP1 Complete"/>
    <x v="4"/>
    <s v="1"/>
    <x v="4"/>
    <d v="2026-03-17T17:14:19"/>
    <x v="3"/>
    <x v="2"/>
    <x v="3"/>
    <m/>
    <m/>
    <m/>
  </r>
  <r>
    <s v="YK260900091"/>
    <s v="CMP1 Complete"/>
    <x v="4"/>
    <s v="1"/>
    <x v="4"/>
    <d v="2026-03-23T08:25:29"/>
    <x v="3"/>
    <x v="2"/>
    <x v="3"/>
    <m/>
    <m/>
    <m/>
  </r>
  <r>
    <s v="YK260900092"/>
    <s v="CMP1 Complete"/>
    <x v="4"/>
    <s v="1"/>
    <x v="4"/>
    <d v="2026-03-25T13:19:20"/>
    <x v="3"/>
    <x v="2"/>
    <x v="3"/>
    <m/>
    <m/>
    <m/>
  </r>
  <r>
    <s v="YK260900093"/>
    <s v="CMP1 Complete"/>
    <x v="4"/>
    <s v="1"/>
    <x v="4"/>
    <d v="2026-03-23T08:24:58"/>
    <x v="3"/>
    <x v="2"/>
    <x v="3"/>
    <m/>
    <m/>
    <m/>
  </r>
  <r>
    <s v="YK260900094"/>
    <s v="CMP1 Complete"/>
    <x v="4"/>
    <s v="1"/>
    <x v="4"/>
    <d v="2026-03-23T08:27:14"/>
    <x v="3"/>
    <x v="2"/>
    <x v="3"/>
    <m/>
    <m/>
    <m/>
  </r>
  <r>
    <s v="YK260900095"/>
    <s v="CMP1 Complete"/>
    <x v="4"/>
    <s v="1"/>
    <x v="4"/>
    <d v="2026-03-18T13:31:06"/>
    <x v="3"/>
    <x v="2"/>
    <x v="3"/>
    <m/>
    <m/>
    <m/>
  </r>
  <r>
    <s v="YK260900096"/>
    <s v="CMP1 Complete"/>
    <x v="4"/>
    <s v="1"/>
    <x v="4"/>
    <d v="2026-03-18T13:22:44"/>
    <x v="3"/>
    <x v="2"/>
    <x v="3"/>
    <m/>
    <m/>
    <m/>
  </r>
  <r>
    <s v="YK260900097"/>
    <s v="CMP1 Complete"/>
    <x v="4"/>
    <s v="1"/>
    <x v="4"/>
    <d v="2026-03-18T14:07:04"/>
    <x v="3"/>
    <x v="2"/>
    <x v="3"/>
    <m/>
    <m/>
    <m/>
  </r>
  <r>
    <s v="YK260900098"/>
    <s v="CMP1 Complete"/>
    <x v="4"/>
    <s v="1"/>
    <x v="4"/>
    <d v="2026-03-18T14:13:03"/>
    <x v="3"/>
    <x v="2"/>
    <x v="3"/>
    <m/>
    <m/>
    <m/>
  </r>
  <r>
    <s v="YK260900099"/>
    <s v="CMP1 Complete"/>
    <x v="4"/>
    <s v="1"/>
    <x v="4"/>
    <d v="2026-03-16T11:18:01"/>
    <x v="3"/>
    <x v="2"/>
    <x v="3"/>
    <m/>
    <m/>
    <m/>
  </r>
  <r>
    <s v="YK260900100"/>
    <s v="SHIP Shipping"/>
    <x v="1"/>
    <s v="1"/>
    <x v="1"/>
    <d v="2026-03-31T12:20:13"/>
    <x v="3"/>
    <x v="2"/>
    <x v="3"/>
    <m/>
    <m/>
    <m/>
  </r>
  <r>
    <s v="YK260900101"/>
    <s v="CMP1 Complete"/>
    <x v="4"/>
    <s v="1"/>
    <x v="4"/>
    <d v="2026-03-23T08:26:40"/>
    <x v="3"/>
    <x v="2"/>
    <x v="3"/>
    <m/>
    <m/>
    <m/>
  </r>
  <r>
    <s v="YK260900102"/>
    <s v="CMP1 Complete"/>
    <x v="4"/>
    <s v="1"/>
    <x v="4"/>
    <d v="2026-03-24T06:55:27"/>
    <x v="3"/>
    <x v="2"/>
    <x v="3"/>
    <m/>
    <m/>
    <m/>
  </r>
  <r>
    <s v="YK260900103"/>
    <s v="CMP1 Complete"/>
    <x v="4"/>
    <s v="1"/>
    <x v="4"/>
    <d v="2026-03-23T08:23:52"/>
    <x v="3"/>
    <x v="2"/>
    <x v="3"/>
    <m/>
    <m/>
    <m/>
  </r>
  <r>
    <s v="YK260900104"/>
    <s v="CMP1 Complete"/>
    <x v="4"/>
    <s v="1"/>
    <x v="4"/>
    <d v="2026-03-23T08:24:26"/>
    <x v="3"/>
    <x v="2"/>
    <x v="3"/>
    <m/>
    <m/>
    <m/>
  </r>
  <r>
    <s v="YK260900105"/>
    <s v="CMP1 Complete"/>
    <x v="4"/>
    <s v="1"/>
    <x v="4"/>
    <d v="2026-03-25T13:21:14"/>
    <x v="3"/>
    <x v="2"/>
    <x v="3"/>
    <m/>
    <m/>
    <m/>
  </r>
  <r>
    <s v="YK260900106"/>
    <s v="CMP1 Complete"/>
    <x v="4"/>
    <s v="1"/>
    <x v="4"/>
    <d v="2026-03-25T13:19:53"/>
    <x v="3"/>
    <x v="2"/>
    <x v="3"/>
    <m/>
    <m/>
    <m/>
  </r>
  <r>
    <s v="YK260900107"/>
    <s v="CMP1 Complete"/>
    <x v="4"/>
    <s v="1"/>
    <x v="4"/>
    <d v="2026-03-25T13:11:07"/>
    <x v="3"/>
    <x v="2"/>
    <x v="3"/>
    <m/>
    <m/>
    <m/>
  </r>
  <r>
    <s v="YK260900108"/>
    <s v="CMP1 Complete"/>
    <x v="4"/>
    <s v="1"/>
    <x v="4"/>
    <d v="2026-03-25T13:20:30"/>
    <x v="3"/>
    <x v="2"/>
    <x v="3"/>
    <m/>
    <m/>
    <m/>
  </r>
  <r>
    <s v="YK260900109"/>
    <s v="CMP1 Complete"/>
    <x v="4"/>
    <s v="1"/>
    <x v="4"/>
    <d v="2026-03-25T13:25:45"/>
    <x v="3"/>
    <x v="2"/>
    <x v="3"/>
    <m/>
    <m/>
    <m/>
  </r>
  <r>
    <s v="YK260900110"/>
    <s v="CMP1 Complete"/>
    <x v="4"/>
    <s v="1"/>
    <x v="4"/>
    <d v="2026-03-25T13:11:57"/>
    <x v="3"/>
    <x v="2"/>
    <x v="3"/>
    <m/>
    <m/>
    <m/>
  </r>
  <r>
    <s v="YK260900111"/>
    <s v="CMP1 Complete"/>
    <x v="4"/>
    <s v="1"/>
    <x v="4"/>
    <d v="2026-03-23T08:26:05"/>
    <x v="3"/>
    <x v="2"/>
    <x v="3"/>
    <m/>
    <m/>
    <m/>
  </r>
  <r>
    <s v="YK260900038"/>
    <s v="CMP1 Complete"/>
    <x v="4"/>
    <s v="1"/>
    <x v="4"/>
    <d v="2026-03-20T11:24:28"/>
    <x v="4"/>
    <x v="3"/>
    <x v="4"/>
    <m/>
    <m/>
    <m/>
  </r>
  <r>
    <s v="YK260900039"/>
    <s v="CMP1 Complete"/>
    <x v="4"/>
    <s v="1"/>
    <x v="4"/>
    <d v="2026-03-21T09:49:53"/>
    <x v="4"/>
    <x v="3"/>
    <x v="4"/>
    <m/>
    <m/>
    <m/>
  </r>
  <r>
    <s v="YK260900040"/>
    <s v="CMP1 Complete"/>
    <x v="4"/>
    <s v="1"/>
    <x v="4"/>
    <d v="2026-03-18T10:12:48"/>
    <x v="4"/>
    <x v="3"/>
    <x v="4"/>
    <m/>
    <m/>
    <m/>
  </r>
  <r>
    <s v="YK260900041"/>
    <s v="CMP1 Complete"/>
    <x v="4"/>
    <s v="1"/>
    <x v="4"/>
    <d v="2026-03-18T10:08:50"/>
    <x v="4"/>
    <x v="3"/>
    <x v="4"/>
    <m/>
    <m/>
    <m/>
  </r>
  <r>
    <s v="YK260900042"/>
    <s v="CMP1 Complete"/>
    <x v="4"/>
    <s v="1"/>
    <x v="4"/>
    <d v="2026-03-18T09:49:20"/>
    <x v="4"/>
    <x v="3"/>
    <x v="4"/>
    <m/>
    <m/>
    <m/>
  </r>
  <r>
    <s v="YK260900043"/>
    <s v="CMP1 Complete"/>
    <x v="4"/>
    <s v="1"/>
    <x v="4"/>
    <d v="2026-03-20T11:25:20"/>
    <x v="4"/>
    <x v="3"/>
    <x v="4"/>
    <m/>
    <m/>
    <m/>
  </r>
  <r>
    <s v="YK260900044"/>
    <s v="CMP1 Complete"/>
    <x v="4"/>
    <s v="1"/>
    <x v="4"/>
    <d v="2026-03-18T09:44:45"/>
    <x v="4"/>
    <x v="3"/>
    <x v="4"/>
    <m/>
    <m/>
    <m/>
  </r>
  <r>
    <s v="YK260900045"/>
    <s v="CMP1 Complete"/>
    <x v="4"/>
    <s v="1"/>
    <x v="4"/>
    <d v="2026-03-20T06:33:59"/>
    <x v="4"/>
    <x v="3"/>
    <x v="4"/>
    <m/>
    <m/>
    <m/>
  </r>
  <r>
    <s v="YK260900046"/>
    <s v="CMP1 Complete"/>
    <x v="4"/>
    <s v="1"/>
    <x v="4"/>
    <d v="2026-03-18T09:53:41"/>
    <x v="4"/>
    <x v="3"/>
    <x v="4"/>
    <m/>
    <m/>
    <m/>
  </r>
  <r>
    <s v="YK260900047"/>
    <s v="DBG1 Debug Test"/>
    <x v="2"/>
    <s v="1"/>
    <x v="2"/>
    <d v="2026-03-20T09:26:38"/>
    <x v="4"/>
    <x v="3"/>
    <x v="4"/>
    <m/>
    <m/>
    <m/>
  </r>
  <r>
    <s v="YK260900048"/>
    <s v="DBG1 Debug Test"/>
    <x v="2"/>
    <s v="1"/>
    <x v="2"/>
    <d v="2026-03-21T09:53:40"/>
    <x v="4"/>
    <x v="3"/>
    <x v="4"/>
    <m/>
    <m/>
    <m/>
  </r>
  <r>
    <s v="YK260900049"/>
    <s v="CMP1 Complete"/>
    <x v="4"/>
    <s v="1"/>
    <x v="4"/>
    <d v="2026-03-18T09:38:53"/>
    <x v="4"/>
    <x v="3"/>
    <x v="4"/>
    <m/>
    <m/>
    <m/>
  </r>
  <r>
    <s v="YK260900050"/>
    <s v="CMP1 Complete"/>
    <x v="4"/>
    <s v="1"/>
    <x v="4"/>
    <d v="2026-03-16T11:39:36"/>
    <x v="4"/>
    <x v="3"/>
    <x v="4"/>
    <m/>
    <m/>
    <m/>
  </r>
  <r>
    <s v="YK260900051"/>
    <s v="CMP1 Complete"/>
    <x v="4"/>
    <s v="1"/>
    <x v="4"/>
    <d v="2026-03-21T09:52:22"/>
    <x v="4"/>
    <x v="3"/>
    <x v="4"/>
    <m/>
    <m/>
    <m/>
  </r>
  <r>
    <s v="YK260900052"/>
    <s v="CMP1 Complete"/>
    <x v="4"/>
    <s v="1"/>
    <x v="4"/>
    <d v="2026-03-16T11:40:18"/>
    <x v="4"/>
    <x v="3"/>
    <x v="4"/>
    <m/>
    <m/>
    <m/>
  </r>
  <r>
    <s v="YK260900053"/>
    <s v="CMP1 Complete"/>
    <x v="4"/>
    <s v="1"/>
    <x v="4"/>
    <d v="2026-03-16T11:42:55"/>
    <x v="4"/>
    <x v="3"/>
    <x v="4"/>
    <m/>
    <m/>
    <m/>
  </r>
  <r>
    <s v="YK260900054"/>
    <s v="CMP1 Complete"/>
    <x v="4"/>
    <s v="1"/>
    <x v="4"/>
    <d v="2026-03-21T09:51:50"/>
    <x v="4"/>
    <x v="3"/>
    <x v="4"/>
    <m/>
    <m/>
    <m/>
  </r>
  <r>
    <s v="YK260900055"/>
    <s v="CMP1 Complete"/>
    <x v="4"/>
    <s v="1"/>
    <x v="4"/>
    <d v="2026-03-20T09:20:21"/>
    <x v="4"/>
    <x v="3"/>
    <x v="4"/>
    <m/>
    <m/>
    <m/>
  </r>
  <r>
    <s v="YK260900056"/>
    <s v="CMP1 Complete"/>
    <x v="4"/>
    <s v="1"/>
    <x v="4"/>
    <d v="2026-03-20T09:16:50"/>
    <x v="4"/>
    <x v="3"/>
    <x v="4"/>
    <m/>
    <m/>
    <m/>
  </r>
  <r>
    <s v="YK260900057"/>
    <s v="CMP1 Complete"/>
    <x v="4"/>
    <s v="1"/>
    <x v="4"/>
    <d v="2026-03-20T09:19:35"/>
    <x v="4"/>
    <x v="3"/>
    <x v="4"/>
    <m/>
    <m/>
    <m/>
  </r>
  <r>
    <s v="YK260900058"/>
    <s v="CMP1 Complete"/>
    <x v="4"/>
    <s v="1"/>
    <x v="4"/>
    <d v="2026-03-20T09:16:13"/>
    <x v="4"/>
    <x v="3"/>
    <x v="4"/>
    <m/>
    <m/>
    <m/>
  </r>
  <r>
    <s v="YK260900059"/>
    <s v="CMP1 Complete"/>
    <x v="4"/>
    <s v="1"/>
    <x v="4"/>
    <d v="2026-03-21T09:51:12"/>
    <x v="4"/>
    <x v="3"/>
    <x v="4"/>
    <m/>
    <m/>
    <m/>
  </r>
  <r>
    <s v="YK260900060"/>
    <s v="CMP1 Complete"/>
    <x v="4"/>
    <s v="1"/>
    <x v="4"/>
    <d v="2026-03-20T09:17:59"/>
    <x v="4"/>
    <x v="3"/>
    <x v="4"/>
    <m/>
    <m/>
    <m/>
  </r>
  <r>
    <s v="YK260900061"/>
    <s v="FUN1 Func Test"/>
    <x v="3"/>
    <s v="1"/>
    <x v="3"/>
    <d v="2026-04-01T06:36:31"/>
    <x v="4"/>
    <x v="3"/>
    <x v="4"/>
    <m/>
    <m/>
    <m/>
  </r>
  <r>
    <s v="YK260900062"/>
    <s v="CMP1 Complete"/>
    <x v="4"/>
    <s v="1"/>
    <x v="4"/>
    <d v="2026-03-16T11:41:02"/>
    <x v="4"/>
    <x v="3"/>
    <x v="4"/>
    <m/>
    <m/>
    <m/>
  </r>
  <r>
    <s v="YK260900063"/>
    <s v="CMP1 Complete"/>
    <x v="4"/>
    <s v="1"/>
    <x v="4"/>
    <d v="2026-03-16T11:38:39"/>
    <x v="4"/>
    <x v="3"/>
    <x v="4"/>
    <m/>
    <m/>
    <m/>
  </r>
  <r>
    <s v="YK260900064"/>
    <s v="CMP1 Complete"/>
    <x v="4"/>
    <s v="1"/>
    <x v="4"/>
    <d v="2026-03-21T09:50:23"/>
    <x v="4"/>
    <x v="3"/>
    <x v="4"/>
    <m/>
    <m/>
    <m/>
  </r>
  <r>
    <s v="YK260900065"/>
    <s v="CMP1 Complete"/>
    <x v="4"/>
    <s v="1"/>
    <x v="4"/>
    <d v="2026-03-20T11:23:22"/>
    <x v="4"/>
    <x v="3"/>
    <x v="4"/>
    <m/>
    <m/>
    <m/>
  </r>
  <r>
    <s v="YK260900066"/>
    <s v="CMP1 Complete"/>
    <x v="4"/>
    <s v="1"/>
    <x v="4"/>
    <d v="2026-03-20T09:19:00"/>
    <x v="4"/>
    <x v="3"/>
    <x v="4"/>
    <m/>
    <m/>
    <m/>
  </r>
  <r>
    <s v="YK260900067"/>
    <s v="CMP1 Complete"/>
    <x v="4"/>
    <s v="1"/>
    <x v="4"/>
    <d v="2026-03-16T11:41:42"/>
    <x v="4"/>
    <x v="3"/>
    <x v="4"/>
    <m/>
    <m/>
    <m/>
  </r>
  <r>
    <s v="YK260900068"/>
    <s v="CMP1 Complete"/>
    <x v="4"/>
    <s v="1"/>
    <x v="4"/>
    <d v="2026-03-20T09:32:48"/>
    <x v="4"/>
    <x v="3"/>
    <x v="4"/>
    <m/>
    <m/>
    <m/>
  </r>
  <r>
    <s v="YK260900069"/>
    <s v="CMP1 Complete"/>
    <x v="4"/>
    <s v="1"/>
    <x v="4"/>
    <d v="2026-03-20T09:17:27"/>
    <x v="4"/>
    <x v="3"/>
    <x v="4"/>
    <m/>
    <m/>
    <m/>
  </r>
  <r>
    <s v="YK260900070"/>
    <s v="CMP1 Complete"/>
    <x v="4"/>
    <s v="1"/>
    <x v="4"/>
    <d v="2026-03-18T10:04:06"/>
    <x v="4"/>
    <x v="3"/>
    <x v="4"/>
    <m/>
    <m/>
    <m/>
  </r>
  <r>
    <s v="YK260900071"/>
    <s v="CMP1 Complete"/>
    <x v="4"/>
    <s v="1"/>
    <x v="4"/>
    <d v="2026-03-31T12:00:25"/>
    <x v="4"/>
    <x v="3"/>
    <x v="4"/>
    <m/>
    <m/>
    <m/>
  </r>
  <r>
    <s v="YK260900072"/>
    <s v="CMP1 Complete"/>
    <x v="4"/>
    <s v="1"/>
    <x v="4"/>
    <d v="2026-03-18T09:58:28"/>
    <x v="4"/>
    <x v="3"/>
    <x v="4"/>
    <m/>
    <m/>
    <m/>
  </r>
  <r>
    <s v="YK260900073"/>
    <s v="CMP1 Complete"/>
    <x v="4"/>
    <s v="1"/>
    <x v="4"/>
    <d v="2026-03-20T06:34:53"/>
    <x v="4"/>
    <x v="3"/>
    <x v="4"/>
    <m/>
    <m/>
    <m/>
  </r>
  <r>
    <s v="YK260900074"/>
    <s v="CMP1 Complete"/>
    <x v="4"/>
    <s v="1"/>
    <x v="4"/>
    <d v="2026-03-16T10:13:32"/>
    <x v="4"/>
    <x v="3"/>
    <x v="4"/>
    <m/>
    <m/>
    <m/>
  </r>
  <r>
    <s v="YK261100763"/>
    <s v="FUN1 Func Test"/>
    <x v="3"/>
    <s v="1"/>
    <x v="3"/>
    <d v="2026-03-31T10:11:42"/>
    <x v="5"/>
    <x v="3"/>
    <x v="5"/>
    <m/>
    <m/>
    <m/>
  </r>
  <r>
    <s v="YK261100764"/>
    <s v="FUN1 Func Test"/>
    <x v="3"/>
    <s v="1"/>
    <x v="3"/>
    <d v="2026-03-31T11:49:46"/>
    <x v="5"/>
    <x v="3"/>
    <x v="5"/>
    <m/>
    <m/>
    <m/>
  </r>
  <r>
    <s v="YK261100765"/>
    <s v="CMP1 Complete"/>
    <x v="4"/>
    <s v="1"/>
    <x v="4"/>
    <d v="2026-03-24T14:08:12"/>
    <x v="5"/>
    <x v="3"/>
    <x v="5"/>
    <m/>
    <m/>
    <m/>
  </r>
  <r>
    <s v="YK261100766"/>
    <s v="CMP1 Complete"/>
    <x v="4"/>
    <s v="1"/>
    <x v="4"/>
    <d v="2026-03-25T09:48:18"/>
    <x v="5"/>
    <x v="3"/>
    <x v="5"/>
    <m/>
    <m/>
    <m/>
  </r>
  <r>
    <s v="YK261100767"/>
    <s v="CMP1 Complete"/>
    <x v="4"/>
    <s v="1"/>
    <x v="4"/>
    <d v="2026-03-26T13:31:34"/>
    <x v="5"/>
    <x v="3"/>
    <x v="5"/>
    <m/>
    <m/>
    <m/>
  </r>
  <r>
    <s v="YK261100768"/>
    <s v="CMP1 Complete"/>
    <x v="4"/>
    <s v="1"/>
    <x v="4"/>
    <d v="2026-03-24T14:08:55"/>
    <x v="5"/>
    <x v="3"/>
    <x v="5"/>
    <m/>
    <m/>
    <m/>
  </r>
  <r>
    <s v="YK261100769"/>
    <s v="CMP1 Complete"/>
    <x v="4"/>
    <s v="1"/>
    <x v="4"/>
    <d v="2026-03-26T13:13:51"/>
    <x v="5"/>
    <x v="3"/>
    <x v="5"/>
    <m/>
    <m/>
    <m/>
  </r>
  <r>
    <s v="YK261100770"/>
    <s v="CMP1 Complete"/>
    <x v="4"/>
    <s v="1"/>
    <x v="4"/>
    <d v="2026-03-24T14:09:19"/>
    <x v="5"/>
    <x v="3"/>
    <x v="5"/>
    <m/>
    <m/>
    <m/>
  </r>
  <r>
    <s v="YK261100771"/>
    <s v="CMP1 Complete"/>
    <x v="4"/>
    <s v="1"/>
    <x v="4"/>
    <d v="2026-03-26T13:20:20"/>
    <x v="5"/>
    <x v="3"/>
    <x v="5"/>
    <m/>
    <m/>
    <m/>
  </r>
  <r>
    <s v="YK261100772"/>
    <s v="DBG1 Debug Test"/>
    <x v="2"/>
    <s v="1"/>
    <x v="2"/>
    <d v="2026-03-26T12:22:34"/>
    <x v="5"/>
    <x v="3"/>
    <x v="5"/>
    <m/>
    <m/>
    <m/>
  </r>
  <r>
    <s v="YK261100773"/>
    <s v="DBG1 Debug Test"/>
    <x v="2"/>
    <s v="1"/>
    <x v="2"/>
    <d v="2026-03-26T13:07:06"/>
    <x v="5"/>
    <x v="3"/>
    <x v="5"/>
    <m/>
    <m/>
    <m/>
  </r>
  <r>
    <s v="YK261100774"/>
    <s v="CMP1 Complete"/>
    <x v="4"/>
    <s v="1"/>
    <x v="4"/>
    <d v="2026-03-26T13:29:22"/>
    <x v="5"/>
    <x v="3"/>
    <x v="5"/>
    <m/>
    <m/>
    <m/>
  </r>
  <r>
    <s v="YK261100775"/>
    <s v="CMP1 Complete"/>
    <x v="4"/>
    <s v="1"/>
    <x v="4"/>
    <d v="2026-03-26T13:12:00"/>
    <x v="5"/>
    <x v="3"/>
    <x v="5"/>
    <m/>
    <m/>
    <m/>
  </r>
  <r>
    <s v="YK261100776"/>
    <s v="CMP1 Complete"/>
    <x v="4"/>
    <s v="1"/>
    <x v="4"/>
    <d v="2026-03-24T14:08:34"/>
    <x v="5"/>
    <x v="3"/>
    <x v="5"/>
    <m/>
    <m/>
    <m/>
  </r>
  <r>
    <s v="YK261100777"/>
    <s v="CMP1 Complete"/>
    <x v="4"/>
    <s v="1"/>
    <x v="4"/>
    <d v="2026-03-25T09:30:31"/>
    <x v="5"/>
    <x v="3"/>
    <x v="5"/>
    <m/>
    <m/>
    <m/>
  </r>
  <r>
    <s v="YK261100778"/>
    <s v="CMP1 Complete"/>
    <x v="4"/>
    <s v="1"/>
    <x v="4"/>
    <d v="2026-03-26T13:15:46"/>
    <x v="5"/>
    <x v="3"/>
    <x v="5"/>
    <m/>
    <m/>
    <m/>
  </r>
  <r>
    <s v="YK261100779"/>
    <s v="SHIP Shipping"/>
    <x v="1"/>
    <s v="1"/>
    <x v="1"/>
    <d v="2026-03-31T12:17:13"/>
    <x v="5"/>
    <x v="3"/>
    <x v="5"/>
    <m/>
    <m/>
    <m/>
  </r>
  <r>
    <s v="YK261100780"/>
    <s v="CMP1 Complete"/>
    <x v="4"/>
    <s v="1"/>
    <x v="4"/>
    <d v="2026-03-25T09:34:39"/>
    <x v="5"/>
    <x v="3"/>
    <x v="5"/>
    <m/>
    <m/>
    <m/>
  </r>
  <r>
    <s v="YK261100781"/>
    <s v="CMP1 Complete"/>
    <x v="4"/>
    <s v="1"/>
    <x v="4"/>
    <d v="2026-03-26T13:10:14"/>
    <x v="5"/>
    <x v="3"/>
    <x v="5"/>
    <m/>
    <m/>
    <m/>
  </r>
  <r>
    <s v="YK261100782"/>
    <s v="CMP1 Complete"/>
    <x v="4"/>
    <s v="1"/>
    <x v="4"/>
    <d v="2026-03-25T09:35:56"/>
    <x v="5"/>
    <x v="3"/>
    <x v="5"/>
    <m/>
    <m/>
    <m/>
  </r>
  <r>
    <s v="YK261100783"/>
    <s v="SHIP Shipping"/>
    <x v="1"/>
    <s v="1"/>
    <x v="1"/>
    <d v="2026-03-31T12:16:38"/>
    <x v="5"/>
    <x v="3"/>
    <x v="5"/>
    <m/>
    <m/>
    <m/>
  </r>
  <r>
    <s v="YK261100784"/>
    <s v="CMP1 Complete"/>
    <x v="4"/>
    <s v="1"/>
    <x v="4"/>
    <d v="2026-03-26T13:30:36"/>
    <x v="5"/>
    <x v="3"/>
    <x v="5"/>
    <m/>
    <m/>
    <m/>
  </r>
  <r>
    <s v="YK261100785"/>
    <s v="CMP1 Complete"/>
    <x v="4"/>
    <s v="1"/>
    <x v="4"/>
    <d v="2026-03-26T13:32:51"/>
    <x v="5"/>
    <x v="3"/>
    <x v="5"/>
    <m/>
    <m/>
    <m/>
  </r>
  <r>
    <s v="YK261100786"/>
    <s v="CMP1 Complete"/>
    <x v="4"/>
    <s v="1"/>
    <x v="4"/>
    <d v="2026-03-25T09:29:41"/>
    <x v="5"/>
    <x v="3"/>
    <x v="5"/>
    <m/>
    <m/>
    <m/>
  </r>
  <r>
    <s v="YK261100787"/>
    <s v="CMP1 Complete"/>
    <x v="4"/>
    <s v="1"/>
    <x v="4"/>
    <d v="2026-03-25T09:34:10"/>
    <x v="5"/>
    <x v="3"/>
    <x v="5"/>
    <m/>
    <m/>
    <m/>
  </r>
  <r>
    <s v="YK261100788"/>
    <s v="DBG1 Debug Test"/>
    <x v="2"/>
    <s v="1"/>
    <x v="2"/>
    <d v="2026-03-25T09:50:30"/>
    <x v="5"/>
    <x v="3"/>
    <x v="5"/>
    <m/>
    <m/>
    <m/>
  </r>
  <r>
    <s v="YK261100789"/>
    <s v="CMP1 Complete"/>
    <x v="4"/>
    <s v="1"/>
    <x v="4"/>
    <d v="2026-03-26T13:34:02"/>
    <x v="5"/>
    <x v="3"/>
    <x v="5"/>
    <m/>
    <m/>
    <m/>
  </r>
  <r>
    <s v="YK261100790"/>
    <s v="CMP1 Complete"/>
    <x v="4"/>
    <s v="1"/>
    <x v="4"/>
    <d v="2026-03-25T09:31:03"/>
    <x v="5"/>
    <x v="3"/>
    <x v="5"/>
    <m/>
    <m/>
    <m/>
  </r>
  <r>
    <s v="YK261100791"/>
    <s v="CMP1 Complete"/>
    <x v="4"/>
    <s v="1"/>
    <x v="4"/>
    <d v="2026-03-25T09:30:01"/>
    <x v="5"/>
    <x v="3"/>
    <x v="5"/>
    <m/>
    <m/>
    <m/>
  </r>
  <r>
    <s v="YK261100792"/>
    <s v="DBG1 Debug Test"/>
    <x v="2"/>
    <s v="1"/>
    <x v="2"/>
    <d v="2026-03-25T09:38:45"/>
    <x v="5"/>
    <x v="3"/>
    <x v="5"/>
    <m/>
    <m/>
    <m/>
  </r>
  <r>
    <s v="YK261100793"/>
    <s v="SHIP Shipping"/>
    <x v="1"/>
    <s v="1"/>
    <x v="1"/>
    <d v="2026-03-31T12:16:00"/>
    <x v="5"/>
    <x v="3"/>
    <x v="5"/>
    <m/>
    <m/>
    <m/>
  </r>
  <r>
    <s v="YK261100794"/>
    <s v="CMP1 Complete"/>
    <x v="4"/>
    <s v="1"/>
    <x v="4"/>
    <d v="2026-03-24T14:09:42"/>
    <x v="5"/>
    <x v="3"/>
    <x v="5"/>
    <m/>
    <m/>
    <m/>
  </r>
  <r>
    <s v="YK261100795"/>
    <s v="CMP1 Complete"/>
    <x v="4"/>
    <s v="1"/>
    <x v="4"/>
    <d v="2026-03-25T09:35:11"/>
    <x v="5"/>
    <x v="3"/>
    <x v="5"/>
    <m/>
    <m/>
    <m/>
  </r>
  <r>
    <s v="YK261100796"/>
    <s v="SHIP Shipping"/>
    <x v="1"/>
    <s v="1"/>
    <x v="1"/>
    <d v="2026-03-31T12:17:41"/>
    <x v="5"/>
    <x v="3"/>
    <x v="5"/>
    <m/>
    <m/>
    <m/>
  </r>
  <r>
    <s v="YK261100797"/>
    <s v="DBG1 Debug Test"/>
    <x v="2"/>
    <s v="1"/>
    <x v="2"/>
    <d v="2026-03-25T09:43:30"/>
    <x v="5"/>
    <x v="3"/>
    <x v="5"/>
    <m/>
    <m/>
    <m/>
  </r>
  <r>
    <s v="YK261100798"/>
    <s v="DBG1 Debug Test"/>
    <x v="2"/>
    <s v="1"/>
    <x v="2"/>
    <d v="2026-03-25T09:41:32"/>
    <x v="5"/>
    <x v="3"/>
    <x v="5"/>
    <m/>
    <m/>
    <m/>
  </r>
  <r>
    <s v="YK261100799"/>
    <s v="CMP1 Complete"/>
    <x v="4"/>
    <s v="1"/>
    <x v="4"/>
    <d v="2026-03-26T13:26:02"/>
    <x v="5"/>
    <x v="3"/>
    <x v="5"/>
    <m/>
    <m/>
    <m/>
  </r>
  <r>
    <s v="YK261400001"/>
    <s v="AOI1 AOI Inspect S1"/>
    <x v="5"/>
    <s v="1"/>
    <x v="3"/>
    <d v="2026-04-02T07:56:42"/>
    <x v="6"/>
    <x v="3"/>
    <x v="6"/>
    <m/>
    <m/>
    <m/>
  </r>
  <r>
    <s v="YK261400002"/>
    <s v="NOT-IN-PROCESS"/>
    <x v="0"/>
    <s v="1"/>
    <x v="5"/>
    <d v="2026-03-31T08:34:13"/>
    <x v="6"/>
    <x v="3"/>
    <x v="6"/>
    <m/>
    <m/>
    <m/>
  </r>
  <r>
    <s v="YK261400003"/>
    <s v="NOT-IN-PROCESS"/>
    <x v="0"/>
    <s v="1"/>
    <x v="5"/>
    <d v="2026-03-31T08:34:13"/>
    <x v="6"/>
    <x v="3"/>
    <x v="6"/>
    <m/>
    <m/>
    <m/>
  </r>
  <r>
    <s v="YK261400004"/>
    <s v="NOT-IN-PROCESS"/>
    <x v="0"/>
    <s v="1"/>
    <x v="5"/>
    <d v="2026-03-31T08:34:13"/>
    <x v="6"/>
    <x v="3"/>
    <x v="6"/>
    <m/>
    <m/>
    <m/>
  </r>
  <r>
    <s v="YK261400005"/>
    <s v="NOT-IN-PROCESS"/>
    <x v="0"/>
    <s v="1"/>
    <x v="5"/>
    <d v="2026-03-31T08:34:13"/>
    <x v="6"/>
    <x v="3"/>
    <x v="6"/>
    <m/>
    <m/>
    <m/>
  </r>
  <r>
    <s v="YK261400006"/>
    <s v="NOT-IN-PROCESS"/>
    <x v="0"/>
    <s v="1"/>
    <x v="5"/>
    <d v="2026-03-31T08:34:13"/>
    <x v="6"/>
    <x v="3"/>
    <x v="6"/>
    <s v="Shipping"/>
    <m/>
    <m/>
  </r>
  <r>
    <s v="YK261400007"/>
    <s v="NOT-IN-PROCESS"/>
    <x v="0"/>
    <s v="1"/>
    <x v="5"/>
    <d v="2026-03-31T08:34:13"/>
    <x v="6"/>
    <x v="3"/>
    <x v="6"/>
    <m/>
    <m/>
    <m/>
  </r>
  <r>
    <s v="YK261400008"/>
    <s v="NOT-IN-PROCESS"/>
    <x v="0"/>
    <s v="1"/>
    <x v="5"/>
    <d v="2026-03-31T08:34:13"/>
    <x v="6"/>
    <x v="3"/>
    <x v="6"/>
    <m/>
    <m/>
    <m/>
  </r>
  <r>
    <s v="YK261400009"/>
    <s v="NOT-IN-PROCESS"/>
    <x v="0"/>
    <s v="1"/>
    <x v="5"/>
    <d v="2026-03-31T08:34:13"/>
    <x v="6"/>
    <x v="3"/>
    <x v="6"/>
    <s v="Shipping"/>
    <m/>
    <m/>
  </r>
  <r>
    <s v="YK261400010"/>
    <s v="NOT-IN-PROCESS"/>
    <x v="0"/>
    <s v="1"/>
    <x v="5"/>
    <d v="2026-03-31T08:34:13"/>
    <x v="6"/>
    <x v="3"/>
    <x v="6"/>
    <m/>
    <m/>
    <m/>
  </r>
  <r>
    <s v="YK261400011"/>
    <s v="NOT-IN-PROCESS"/>
    <x v="0"/>
    <s v="1"/>
    <x v="5"/>
    <d v="2026-03-31T08:34:13"/>
    <x v="6"/>
    <x v="3"/>
    <x v="6"/>
    <m/>
    <m/>
    <m/>
  </r>
  <r>
    <s v="YK261400012"/>
    <s v="NOT-IN-PROCESS"/>
    <x v="0"/>
    <s v="1"/>
    <x v="5"/>
    <d v="2026-03-31T08:34:13"/>
    <x v="6"/>
    <x v="3"/>
    <x v="6"/>
    <m/>
    <m/>
    <m/>
  </r>
  <r>
    <s v="YK261400013"/>
    <s v="NOT-IN-PROCESS"/>
    <x v="0"/>
    <s v="1"/>
    <x v="5"/>
    <d v="2026-03-31T08:34:13"/>
    <x v="6"/>
    <x v="3"/>
    <x v="6"/>
    <s v="Shipping"/>
    <m/>
    <m/>
  </r>
  <r>
    <s v="YK261400014"/>
    <s v="NOT-IN-PROCESS"/>
    <x v="0"/>
    <s v="1"/>
    <x v="5"/>
    <d v="2026-03-31T08:34:13"/>
    <x v="6"/>
    <x v="3"/>
    <x v="6"/>
    <m/>
    <m/>
    <m/>
  </r>
  <r>
    <s v="YK261400015"/>
    <s v="NOT-IN-PROCESS"/>
    <x v="0"/>
    <s v="1"/>
    <x v="5"/>
    <d v="2026-03-31T08:34:13"/>
    <x v="6"/>
    <x v="3"/>
    <x v="6"/>
    <s v="With RRH"/>
    <m/>
    <m/>
  </r>
  <r>
    <s v="YK261400016"/>
    <s v="NOT-IN-PROCESS"/>
    <x v="0"/>
    <s v="1"/>
    <x v="5"/>
    <d v="2026-03-31T08:34:13"/>
    <x v="6"/>
    <x v="3"/>
    <x v="6"/>
    <s v="Failed"/>
    <m/>
    <m/>
  </r>
  <r>
    <s v="YK261400017"/>
    <s v="NOT-IN-PROCESS"/>
    <x v="0"/>
    <s v="1"/>
    <x v="5"/>
    <d v="2026-03-31T08:34:13"/>
    <x v="6"/>
    <x v="3"/>
    <x v="6"/>
    <m/>
    <m/>
    <m/>
  </r>
  <r>
    <s v="YK261400018"/>
    <s v="NOT-IN-PROCESS"/>
    <x v="0"/>
    <s v="1"/>
    <x v="5"/>
    <d v="2026-03-31T08:34:13"/>
    <x v="6"/>
    <x v="3"/>
    <x v="6"/>
    <m/>
    <m/>
    <m/>
  </r>
  <r>
    <s v="YK261400019"/>
    <s v="NOT-IN-PROCESS"/>
    <x v="0"/>
    <s v="1"/>
    <x v="5"/>
    <d v="2026-03-31T08:34:13"/>
    <x v="6"/>
    <x v="3"/>
    <x v="6"/>
    <m/>
    <m/>
    <m/>
  </r>
  <r>
    <s v="YK261400020"/>
    <s v="NOT-IN-PROCESS"/>
    <x v="0"/>
    <s v="1"/>
    <x v="5"/>
    <d v="2026-03-31T08:34:13"/>
    <x v="6"/>
    <x v="3"/>
    <x v="6"/>
    <s v="Failed"/>
    <m/>
    <m/>
  </r>
  <r>
    <s v="YK261400021"/>
    <s v="NOT-IN-PROCESS"/>
    <x v="0"/>
    <s v="1"/>
    <x v="5"/>
    <d v="2026-03-31T08:34:13"/>
    <x v="6"/>
    <x v="3"/>
    <x v="6"/>
    <m/>
    <m/>
    <m/>
  </r>
  <r>
    <s v="YK261400022"/>
    <s v="NOT-IN-PROCESS"/>
    <x v="0"/>
    <s v="1"/>
    <x v="5"/>
    <d v="2026-03-31T08:34:13"/>
    <x v="6"/>
    <x v="3"/>
    <x v="6"/>
    <s v="With RRH"/>
    <m/>
    <m/>
  </r>
  <r>
    <s v="YK261400023"/>
    <s v="NOT-IN-PROCESS"/>
    <x v="0"/>
    <s v="1"/>
    <x v="5"/>
    <d v="2026-03-31T08:34:13"/>
    <x v="6"/>
    <x v="3"/>
    <x v="6"/>
    <s v="Failed"/>
    <m/>
    <m/>
  </r>
  <r>
    <s v="YK261400024"/>
    <s v="NOT-IN-PROCESS"/>
    <x v="0"/>
    <s v="1"/>
    <x v="5"/>
    <d v="2026-03-31T08:34:13"/>
    <x v="6"/>
    <x v="3"/>
    <x v="6"/>
    <s v="Failed"/>
    <m/>
    <m/>
  </r>
  <r>
    <s v="YK261400025"/>
    <s v="NOT-IN-PROCESS"/>
    <x v="0"/>
    <s v="1"/>
    <x v="5"/>
    <d v="2026-03-31T08:34:13"/>
    <x v="6"/>
    <x v="3"/>
    <x v="6"/>
    <m/>
    <m/>
    <m/>
  </r>
  <r>
    <s v="YK261400026"/>
    <s v="NOT-IN-PROCESS"/>
    <x v="0"/>
    <s v="1"/>
    <x v="5"/>
    <d v="2026-03-31T08:34:13"/>
    <x v="6"/>
    <x v="3"/>
    <x v="6"/>
    <m/>
    <m/>
    <m/>
  </r>
  <r>
    <s v="YK261400027"/>
    <s v="NOT-IN-PROCESS"/>
    <x v="0"/>
    <s v="1"/>
    <x v="5"/>
    <d v="2026-03-31T08:34:13"/>
    <x v="6"/>
    <x v="3"/>
    <x v="6"/>
    <m/>
    <m/>
    <m/>
  </r>
  <r>
    <s v="YK261400028"/>
    <s v="NOT-IN-PROCESS"/>
    <x v="0"/>
    <s v="1"/>
    <x v="5"/>
    <d v="2026-03-31T08:34:13"/>
    <x v="6"/>
    <x v="3"/>
    <x v="6"/>
    <m/>
    <m/>
    <m/>
  </r>
  <r>
    <s v="YK261400029"/>
    <s v="NOT-IN-PROCESS"/>
    <x v="0"/>
    <s v="1"/>
    <x v="5"/>
    <d v="2026-03-31T08:34:13"/>
    <x v="6"/>
    <x v="3"/>
    <x v="6"/>
    <m/>
    <m/>
    <m/>
  </r>
  <r>
    <s v="YK261400030"/>
    <s v="NOT-IN-PROCESS"/>
    <x v="0"/>
    <s v="1"/>
    <x v="5"/>
    <d v="2026-03-31T08:34:13"/>
    <x v="6"/>
    <x v="3"/>
    <x v="6"/>
    <m/>
    <m/>
    <m/>
  </r>
  <r>
    <s v="YK261400031"/>
    <s v="NOT-IN-PROCESS"/>
    <x v="0"/>
    <s v="1"/>
    <x v="5"/>
    <d v="2026-03-31T08:34:13"/>
    <x v="6"/>
    <x v="3"/>
    <x v="6"/>
    <m/>
    <m/>
    <m/>
  </r>
  <r>
    <s v="YK261400032"/>
    <s v="NOT-IN-PROCESS"/>
    <x v="0"/>
    <s v="1"/>
    <x v="5"/>
    <d v="2026-03-31T08:34:13"/>
    <x v="6"/>
    <x v="3"/>
    <x v="6"/>
    <m/>
    <m/>
    <m/>
  </r>
  <r>
    <s v="YK261400033"/>
    <s v="NOT-IN-PROCESS"/>
    <x v="0"/>
    <s v="1"/>
    <x v="5"/>
    <d v="2026-03-31T08:34:13"/>
    <x v="6"/>
    <x v="3"/>
    <x v="6"/>
    <m/>
    <m/>
    <m/>
  </r>
  <r>
    <s v="YK261400034"/>
    <s v="NOT-IN-PROCESS"/>
    <x v="0"/>
    <s v="1"/>
    <x v="5"/>
    <d v="2026-03-31T08:34:13"/>
    <x v="6"/>
    <x v="3"/>
    <x v="6"/>
    <m/>
    <m/>
    <m/>
  </r>
  <r>
    <s v="YK261400035"/>
    <s v="NOT-IN-PROCESS"/>
    <x v="0"/>
    <s v="1"/>
    <x v="5"/>
    <d v="2026-03-31T08:34:13"/>
    <x v="6"/>
    <x v="3"/>
    <x v="6"/>
    <m/>
    <m/>
    <m/>
  </r>
  <r>
    <s v="YK261400036"/>
    <s v="NOT-IN-PROCESS"/>
    <x v="0"/>
    <s v="1"/>
    <x v="5"/>
    <d v="2026-03-31T08:34:13"/>
    <x v="6"/>
    <x v="3"/>
    <x v="6"/>
    <m/>
    <m/>
    <m/>
  </r>
  <r>
    <s v="YK261400037"/>
    <s v="NOT-IN-PROCESS"/>
    <x v="0"/>
    <s v="1"/>
    <x v="5"/>
    <d v="2026-03-31T08:34:13"/>
    <x v="6"/>
    <x v="3"/>
    <x v="6"/>
    <m/>
    <m/>
    <m/>
  </r>
  <r>
    <s v="YK261400038"/>
    <s v="NOT-IN-PROCESS"/>
    <x v="0"/>
    <s v="1"/>
    <x v="5"/>
    <d v="2026-03-31T08:34:13"/>
    <x v="6"/>
    <x v="3"/>
    <x v="6"/>
    <m/>
    <m/>
    <m/>
  </r>
  <r>
    <s v="YK261400039"/>
    <s v="NOT-IN-PROCESS"/>
    <x v="0"/>
    <s v="1"/>
    <x v="5"/>
    <d v="2026-03-31T08:34:13"/>
    <x v="6"/>
    <x v="3"/>
    <x v="6"/>
    <m/>
    <m/>
    <m/>
  </r>
  <r>
    <s v="YK261400040"/>
    <s v="NOT-IN-PROCESS"/>
    <x v="0"/>
    <s v="1"/>
    <x v="5"/>
    <d v="2026-03-31T08:34:13"/>
    <x v="6"/>
    <x v="3"/>
    <x v="6"/>
    <m/>
    <m/>
    <m/>
  </r>
  <r>
    <s v="YK261400041"/>
    <s v="NOT-IN-PROCESS"/>
    <x v="0"/>
    <s v="1"/>
    <x v="5"/>
    <d v="2026-03-31T08:34:13"/>
    <x v="6"/>
    <x v="3"/>
    <x v="6"/>
    <m/>
    <m/>
    <m/>
  </r>
  <r>
    <s v="YK261400042"/>
    <s v="NOT-IN-PROCESS"/>
    <x v="0"/>
    <s v="1"/>
    <x v="5"/>
    <d v="2026-03-31T08:34:13"/>
    <x v="6"/>
    <x v="3"/>
    <x v="6"/>
    <m/>
    <m/>
    <m/>
  </r>
  <r>
    <s v="YK261400043"/>
    <s v="NOT-IN-PROCESS"/>
    <x v="0"/>
    <s v="1"/>
    <x v="5"/>
    <d v="2026-03-31T08:34:13"/>
    <x v="6"/>
    <x v="3"/>
    <x v="6"/>
    <m/>
    <m/>
    <m/>
  </r>
  <r>
    <s v="YK261400044"/>
    <s v="NOT-IN-PROCESS"/>
    <x v="0"/>
    <s v="1"/>
    <x v="5"/>
    <d v="2026-03-31T08:34:13"/>
    <x v="6"/>
    <x v="3"/>
    <x v="6"/>
    <m/>
    <m/>
    <m/>
  </r>
  <r>
    <s v="YK261400045"/>
    <s v="NOT-IN-PROCESS"/>
    <x v="0"/>
    <s v="1"/>
    <x v="5"/>
    <d v="2026-03-31T08:34:13"/>
    <x v="6"/>
    <x v="3"/>
    <x v="6"/>
    <m/>
    <m/>
    <m/>
  </r>
  <r>
    <s v="YK261400046"/>
    <s v="NOT-IN-PROCESS"/>
    <x v="0"/>
    <s v="1"/>
    <x v="5"/>
    <d v="2026-03-31T08:34:13"/>
    <x v="6"/>
    <x v="3"/>
    <x v="6"/>
    <m/>
    <m/>
    <m/>
  </r>
  <r>
    <s v="YK261400047"/>
    <s v="NOT-IN-PROCESS"/>
    <x v="0"/>
    <s v="1"/>
    <x v="5"/>
    <d v="2026-03-31T08:34:13"/>
    <x v="6"/>
    <x v="3"/>
    <x v="6"/>
    <m/>
    <m/>
    <m/>
  </r>
  <r>
    <s v="YK261400048"/>
    <s v="NOT-IN-PROCESS"/>
    <x v="0"/>
    <s v="1"/>
    <x v="5"/>
    <d v="2026-03-31T08:34:13"/>
    <x v="6"/>
    <x v="3"/>
    <x v="6"/>
    <m/>
    <m/>
    <m/>
  </r>
  <r>
    <s v="YK261400049"/>
    <s v="NOT-IN-PROCESS"/>
    <x v="0"/>
    <s v="1"/>
    <x v="5"/>
    <d v="2026-03-31T08:34:13"/>
    <x v="6"/>
    <x v="3"/>
    <x v="6"/>
    <m/>
    <m/>
    <m/>
  </r>
  <r>
    <s v="YK261400050"/>
    <s v="NOT-IN-PROCESS"/>
    <x v="0"/>
    <s v="1"/>
    <x v="5"/>
    <d v="2026-03-31T08:34:13"/>
    <x v="6"/>
    <x v="3"/>
    <x v="6"/>
    <m/>
    <m/>
    <m/>
  </r>
  <r>
    <s v="YK261400051"/>
    <s v="NOT-IN-PROCESS"/>
    <x v="0"/>
    <s v="1"/>
    <x v="5"/>
    <d v="2026-03-31T08:34:13"/>
    <x v="6"/>
    <x v="3"/>
    <x v="6"/>
    <m/>
    <m/>
    <m/>
  </r>
  <r>
    <s v="YK261400052"/>
    <s v="NOT-IN-PROCESS"/>
    <x v="0"/>
    <s v="1"/>
    <x v="5"/>
    <d v="2026-03-31T08:34:13"/>
    <x v="6"/>
    <x v="3"/>
    <x v="6"/>
    <m/>
    <m/>
    <m/>
  </r>
  <r>
    <s v="YK261400053"/>
    <s v="NOT-IN-PROCESS"/>
    <x v="0"/>
    <s v="1"/>
    <x v="5"/>
    <d v="2026-03-31T08:34:13"/>
    <x v="6"/>
    <x v="3"/>
    <x v="6"/>
    <m/>
    <m/>
    <m/>
  </r>
  <r>
    <s v="YK261400054"/>
    <s v="NOT-IN-PROCESS"/>
    <x v="0"/>
    <s v="1"/>
    <x v="5"/>
    <d v="2026-03-31T08:34:13"/>
    <x v="6"/>
    <x v="3"/>
    <x v="6"/>
    <m/>
    <m/>
    <m/>
  </r>
  <r>
    <s v="YK261400055"/>
    <s v="NOT-IN-PROCESS"/>
    <x v="0"/>
    <s v="1"/>
    <x v="5"/>
    <d v="2026-03-31T08:34:13"/>
    <x v="6"/>
    <x v="3"/>
    <x v="6"/>
    <m/>
    <m/>
    <m/>
  </r>
  <r>
    <s v="YK261400056"/>
    <s v="NOT-IN-PROCESS"/>
    <x v="0"/>
    <s v="1"/>
    <x v="5"/>
    <d v="2026-03-31T08:34:13"/>
    <x v="6"/>
    <x v="3"/>
    <x v="6"/>
    <m/>
    <m/>
    <m/>
  </r>
  <r>
    <s v="YK261400057"/>
    <s v="NOT-IN-PROCESS"/>
    <x v="0"/>
    <s v="1"/>
    <x v="5"/>
    <d v="2026-03-31T08:34:13"/>
    <x v="6"/>
    <x v="3"/>
    <x v="6"/>
    <m/>
    <m/>
    <m/>
  </r>
  <r>
    <s v="YK261400058"/>
    <s v="NOT-IN-PROCESS"/>
    <x v="0"/>
    <s v="1"/>
    <x v="5"/>
    <d v="2026-03-31T08:34:13"/>
    <x v="6"/>
    <x v="3"/>
    <x v="6"/>
    <m/>
    <m/>
    <m/>
  </r>
  <r>
    <s v="YK261400059"/>
    <s v="NOT-IN-PROCESS"/>
    <x v="0"/>
    <s v="1"/>
    <x v="5"/>
    <d v="2026-03-31T08:34:13"/>
    <x v="6"/>
    <x v="3"/>
    <x v="6"/>
    <m/>
    <m/>
    <m/>
  </r>
  <r>
    <s v="YK261400060"/>
    <s v="NOT-IN-PROCESS"/>
    <x v="0"/>
    <s v="1"/>
    <x v="5"/>
    <d v="2026-03-31T08:34:13"/>
    <x v="6"/>
    <x v="3"/>
    <x v="6"/>
    <m/>
    <m/>
    <m/>
  </r>
  <r>
    <s v="YK261400061"/>
    <s v="NOT-IN-PROCESS"/>
    <x v="0"/>
    <s v="1"/>
    <x v="5"/>
    <d v="2026-03-31T08:34:13"/>
    <x v="6"/>
    <x v="3"/>
    <x v="6"/>
    <m/>
    <m/>
    <m/>
  </r>
  <r>
    <s v="YK261400062"/>
    <s v="NOT-IN-PROCESS"/>
    <x v="0"/>
    <s v="1"/>
    <x v="5"/>
    <d v="2026-03-31T08:34:13"/>
    <x v="6"/>
    <x v="3"/>
    <x v="6"/>
    <m/>
    <m/>
    <m/>
  </r>
  <r>
    <s v="YK261400063"/>
    <s v="NOT-IN-PROCESS"/>
    <x v="0"/>
    <s v="1"/>
    <x v="5"/>
    <d v="2026-03-31T08:34:13"/>
    <x v="6"/>
    <x v="3"/>
    <x v="6"/>
    <m/>
    <m/>
    <m/>
  </r>
  <r>
    <s v="YK261400064"/>
    <s v="NOT-IN-PROCESS"/>
    <x v="0"/>
    <s v="1"/>
    <x v="5"/>
    <d v="2026-03-31T08:34:13"/>
    <x v="6"/>
    <x v="3"/>
    <x v="6"/>
    <m/>
    <m/>
    <m/>
  </r>
  <r>
    <s v="YK261400065"/>
    <s v="NOT-IN-PROCESS"/>
    <x v="0"/>
    <s v="1"/>
    <x v="5"/>
    <d v="2026-03-31T08:34:13"/>
    <x v="6"/>
    <x v="3"/>
    <x v="6"/>
    <m/>
    <m/>
    <m/>
  </r>
  <r>
    <s v="YK261400066"/>
    <s v="NOT-IN-PROCESS"/>
    <x v="0"/>
    <s v="1"/>
    <x v="5"/>
    <d v="2026-03-31T08:34:13"/>
    <x v="6"/>
    <x v="3"/>
    <x v="6"/>
    <m/>
    <m/>
    <m/>
  </r>
  <r>
    <s v="YK261400067"/>
    <s v="NOT-IN-PROCESS"/>
    <x v="0"/>
    <s v="1"/>
    <x v="5"/>
    <d v="2026-03-31T08:34:13"/>
    <x v="6"/>
    <x v="3"/>
    <x v="6"/>
    <m/>
    <m/>
    <m/>
  </r>
  <r>
    <s v="YK261400068"/>
    <s v="NOT-IN-PROCESS"/>
    <x v="0"/>
    <s v="1"/>
    <x v="5"/>
    <d v="2026-03-31T08:34:13"/>
    <x v="6"/>
    <x v="3"/>
    <x v="6"/>
    <s v="Failed PA's unit- as is- no dissably needed "/>
    <m/>
    <m/>
  </r>
  <r>
    <s v="YK261400069"/>
    <s v="NOT-IN-PROCESS"/>
    <x v="0"/>
    <s v="1"/>
    <x v="5"/>
    <d v="2026-03-31T08:34:13"/>
    <x v="6"/>
    <x v="3"/>
    <x v="6"/>
    <m/>
    <m/>
    <m/>
  </r>
  <r>
    <s v="YK261400070"/>
    <s v="NOT-IN-PROCESS"/>
    <x v="0"/>
    <s v="1"/>
    <x v="5"/>
    <d v="2026-03-31T08:34:13"/>
    <x v="6"/>
    <x v="3"/>
    <x v="6"/>
    <m/>
    <m/>
    <m/>
  </r>
  <r>
    <s v="YK261400071"/>
    <s v="NOT-IN-PROCESS"/>
    <x v="0"/>
    <s v="1"/>
    <x v="5"/>
    <d v="2026-03-31T08:34:13"/>
    <x v="6"/>
    <x v="3"/>
    <x v="6"/>
    <m/>
    <m/>
    <m/>
  </r>
  <r>
    <s v="YK261400072"/>
    <s v="NOT-IN-PROCESS"/>
    <x v="0"/>
    <s v="1"/>
    <x v="5"/>
    <d v="2026-03-31T08:34:13"/>
    <x v="6"/>
    <x v="3"/>
    <x v="6"/>
    <s v="Failed PA's unit- as is- no dissably needed "/>
    <s v="Short 10 B25 PA's- Need PO adkist ment"/>
    <m/>
  </r>
  <r>
    <s v="YK261400073"/>
    <s v="NOT-IN-PROCESS"/>
    <x v="0"/>
    <s v="1"/>
    <x v="5"/>
    <d v="2026-03-31T08:34:13"/>
    <x v="6"/>
    <x v="3"/>
    <x v="6"/>
    <s v="need Po adjustment "/>
    <m/>
    <m/>
  </r>
  <r>
    <s v="YK261400074"/>
    <s v="NOT-IN-PROCESS"/>
    <x v="0"/>
    <s v="1"/>
    <x v="5"/>
    <d v="2026-03-31T08:34:13"/>
    <x v="6"/>
    <x v="3"/>
    <x v="6"/>
    <s v="need Po adjustment "/>
    <m/>
    <m/>
  </r>
  <r>
    <s v="YK261400075"/>
    <s v="NOT-IN-PROCESS"/>
    <x v="0"/>
    <s v="1"/>
    <x v="5"/>
    <d v="2026-03-31T08:34:13"/>
    <x v="6"/>
    <x v="3"/>
    <x v="6"/>
    <m/>
    <m/>
    <m/>
  </r>
  <r>
    <s v="YK261400076"/>
    <s v="NOT-IN-PROCESS"/>
    <x v="0"/>
    <s v="1"/>
    <x v="5"/>
    <d v="2026-03-31T08:34:13"/>
    <x v="6"/>
    <x v="3"/>
    <x v="6"/>
    <m/>
    <m/>
    <m/>
  </r>
  <r>
    <s v="YK261400077"/>
    <s v="NOT-IN-PROCESS"/>
    <x v="0"/>
    <s v="1"/>
    <x v="5"/>
    <d v="2026-03-31T08:34:13"/>
    <x v="6"/>
    <x v="3"/>
    <x v="6"/>
    <m/>
    <m/>
    <m/>
  </r>
  <r>
    <s v="YK261400078"/>
    <s v="NOT-IN-PROCESS"/>
    <x v="0"/>
    <s v="1"/>
    <x v="5"/>
    <d v="2026-03-31T08:34:13"/>
    <x v="6"/>
    <x v="3"/>
    <x v="6"/>
    <m/>
    <m/>
    <m/>
  </r>
  <r>
    <s v="YK261400079"/>
    <s v="NOT-IN-PROCESS"/>
    <x v="0"/>
    <s v="1"/>
    <x v="5"/>
    <d v="2026-03-31T08:34:13"/>
    <x v="6"/>
    <x v="3"/>
    <x v="6"/>
    <m/>
    <m/>
    <m/>
  </r>
  <r>
    <s v="YK261400080"/>
    <s v="NOT-IN-PROCESS"/>
    <x v="0"/>
    <s v="1"/>
    <x v="5"/>
    <d v="2026-03-31T08:34:13"/>
    <x v="6"/>
    <x v="3"/>
    <x v="6"/>
    <m/>
    <m/>
    <m/>
  </r>
  <r>
    <s v="YK261400081"/>
    <s v="NOT-IN-PROCESS"/>
    <x v="0"/>
    <s v="1"/>
    <x v="5"/>
    <d v="2026-03-31T08:34:13"/>
    <x v="6"/>
    <x v="3"/>
    <x v="6"/>
    <m/>
    <m/>
    <m/>
  </r>
  <r>
    <s v="YK261400082"/>
    <s v="NOT-IN-PROCESS"/>
    <x v="0"/>
    <s v="1"/>
    <x v="5"/>
    <d v="2026-03-31T08:34:13"/>
    <x v="6"/>
    <x v="3"/>
    <x v="6"/>
    <m/>
    <m/>
    <m/>
  </r>
  <r>
    <s v="YK261400083"/>
    <s v="NOT-IN-PROCESS"/>
    <x v="0"/>
    <s v="1"/>
    <x v="5"/>
    <d v="2026-03-31T08:34:13"/>
    <x v="6"/>
    <x v="3"/>
    <x v="6"/>
    <m/>
    <m/>
    <m/>
  </r>
  <r>
    <s v="YK261400084"/>
    <s v="NOT-IN-PROCESS"/>
    <x v="0"/>
    <s v="1"/>
    <x v="5"/>
    <d v="2026-03-31T08:34:13"/>
    <x v="6"/>
    <x v="3"/>
    <x v="6"/>
    <m/>
    <m/>
    <m/>
  </r>
  <r>
    <s v="YK261400085"/>
    <s v="NOT-IN-PROCESS"/>
    <x v="0"/>
    <s v="1"/>
    <x v="5"/>
    <d v="2026-03-31T08:34:13"/>
    <x v="6"/>
    <x v="3"/>
    <x v="6"/>
    <m/>
    <m/>
    <m/>
  </r>
  <r>
    <s v="YK261400086"/>
    <s v="NOT-IN-PROCESS"/>
    <x v="0"/>
    <s v="1"/>
    <x v="5"/>
    <d v="2026-03-31T08:34:13"/>
    <x v="6"/>
    <x v="3"/>
    <x v="6"/>
    <m/>
    <m/>
    <m/>
  </r>
  <r>
    <s v="YK261400087"/>
    <s v="NOT-IN-PROCESS"/>
    <x v="0"/>
    <s v="1"/>
    <x v="5"/>
    <d v="2026-03-31T08:34:13"/>
    <x v="6"/>
    <x v="3"/>
    <x v="6"/>
    <m/>
    <m/>
    <m/>
  </r>
  <r>
    <s v="YK261400088"/>
    <s v="NOT-IN-PROCESS"/>
    <x v="0"/>
    <s v="1"/>
    <x v="5"/>
    <d v="2026-03-31T08:34:13"/>
    <x v="6"/>
    <x v="3"/>
    <x v="6"/>
    <m/>
    <m/>
    <m/>
  </r>
  <r>
    <s v="YK261400089"/>
    <s v="NOT-IN-PROCESS"/>
    <x v="0"/>
    <s v="1"/>
    <x v="5"/>
    <d v="2026-03-31T08:34:13"/>
    <x v="6"/>
    <x v="3"/>
    <x v="6"/>
    <m/>
    <m/>
    <m/>
  </r>
  <r>
    <s v="YK261400090"/>
    <s v="NOT-IN-PROCESS"/>
    <x v="0"/>
    <s v="1"/>
    <x v="5"/>
    <d v="2026-03-31T08:34:13"/>
    <x v="6"/>
    <x v="3"/>
    <x v="6"/>
    <m/>
    <m/>
    <m/>
  </r>
  <r>
    <s v="YK261400091"/>
    <s v="NOT-IN-PROCESS"/>
    <x v="0"/>
    <s v="1"/>
    <x v="5"/>
    <d v="2026-03-31T08:34:13"/>
    <x v="6"/>
    <x v="3"/>
    <x v="6"/>
    <m/>
    <m/>
    <m/>
  </r>
  <r>
    <s v="YK261400092"/>
    <s v="NOT-IN-PROCESS"/>
    <x v="0"/>
    <s v="1"/>
    <x v="5"/>
    <d v="2026-03-31T08:34:13"/>
    <x v="6"/>
    <x v="3"/>
    <x v="6"/>
    <m/>
    <m/>
    <m/>
  </r>
  <r>
    <s v="YK261400093"/>
    <s v="NOT-IN-PROCESS"/>
    <x v="0"/>
    <s v="1"/>
    <x v="5"/>
    <d v="2026-03-31T08:34:13"/>
    <x v="6"/>
    <x v="3"/>
    <x v="6"/>
    <m/>
    <m/>
    <m/>
  </r>
  <r>
    <s v="YK261400094"/>
    <s v="NOT-IN-PROCESS"/>
    <x v="0"/>
    <s v="1"/>
    <x v="5"/>
    <d v="2026-03-31T08:34:13"/>
    <x v="6"/>
    <x v="3"/>
    <x v="6"/>
    <m/>
    <m/>
    <m/>
  </r>
  <r>
    <s v="YK261400095"/>
    <s v="NOT-IN-PROCESS"/>
    <x v="0"/>
    <s v="1"/>
    <x v="5"/>
    <d v="2026-03-31T08:34:13"/>
    <x v="6"/>
    <x v="3"/>
    <x v="6"/>
    <m/>
    <m/>
    <m/>
  </r>
  <r>
    <s v="YK261400096"/>
    <s v="NOT-IN-PROCESS"/>
    <x v="0"/>
    <s v="1"/>
    <x v="5"/>
    <d v="2026-03-31T08:34:13"/>
    <x v="6"/>
    <x v="3"/>
    <x v="6"/>
    <m/>
    <m/>
    <m/>
  </r>
  <r>
    <s v="YK261400097"/>
    <s v="NOT-IN-PROCESS"/>
    <x v="0"/>
    <s v="1"/>
    <x v="5"/>
    <d v="2026-03-31T08:34:13"/>
    <x v="6"/>
    <x v="3"/>
    <x v="6"/>
    <m/>
    <m/>
    <m/>
  </r>
  <r>
    <s v="YK261400098"/>
    <s v="NOT-IN-PROCESS"/>
    <x v="0"/>
    <s v="1"/>
    <x v="5"/>
    <d v="2026-03-31T08:34:13"/>
    <x v="6"/>
    <x v="3"/>
    <x v="6"/>
    <m/>
    <m/>
    <m/>
  </r>
  <r>
    <s v="YK261400099"/>
    <s v="NOT-IN-PROCESS"/>
    <x v="0"/>
    <s v="1"/>
    <x v="5"/>
    <d v="2026-03-31T08:34:13"/>
    <x v="6"/>
    <x v="3"/>
    <x v="6"/>
    <m/>
    <m/>
    <m/>
  </r>
  <r>
    <s v="YK261400100"/>
    <s v="NOT-IN-PROCESS"/>
    <x v="0"/>
    <s v="1"/>
    <x v="5"/>
    <d v="2026-03-31T08:34:13"/>
    <x v="6"/>
    <x v="3"/>
    <x v="6"/>
    <m/>
    <m/>
    <m/>
  </r>
  <r>
    <s v="YK261400101"/>
    <s v="NOT-IN-PROCESS"/>
    <x v="0"/>
    <s v="1"/>
    <x v="5"/>
    <d v="2026-03-31T08:34:13"/>
    <x v="6"/>
    <x v="3"/>
    <x v="6"/>
    <m/>
    <m/>
    <m/>
  </r>
  <r>
    <s v="YK261400102"/>
    <s v="NOT-IN-PROCESS"/>
    <x v="0"/>
    <s v="1"/>
    <x v="5"/>
    <d v="2026-03-31T08:34:13"/>
    <x v="6"/>
    <x v="3"/>
    <x v="6"/>
    <m/>
    <m/>
    <m/>
  </r>
  <r>
    <s v="YK261400103"/>
    <s v="NOT-IN-PROCESS"/>
    <x v="0"/>
    <s v="1"/>
    <x v="5"/>
    <d v="2026-03-31T08:34:13"/>
    <x v="6"/>
    <x v="3"/>
    <x v="6"/>
    <m/>
    <m/>
    <m/>
  </r>
  <r>
    <s v="YK261400104"/>
    <s v="NOT-IN-PROCESS"/>
    <x v="0"/>
    <s v="1"/>
    <x v="5"/>
    <d v="2026-03-31T08:34:13"/>
    <x v="6"/>
    <x v="3"/>
    <x v="6"/>
    <m/>
    <m/>
    <m/>
  </r>
  <r>
    <s v="YK261400105"/>
    <s v="NOT-IN-PROCESS"/>
    <x v="0"/>
    <s v="1"/>
    <x v="5"/>
    <d v="2026-03-31T08:34:13"/>
    <x v="6"/>
    <x v="3"/>
    <x v="6"/>
    <m/>
    <m/>
    <m/>
  </r>
  <r>
    <s v="YK261400106"/>
    <s v="NOT-IN-PROCESS"/>
    <x v="0"/>
    <s v="1"/>
    <x v="5"/>
    <d v="2026-03-31T08:34:13"/>
    <x v="6"/>
    <x v="3"/>
    <x v="6"/>
    <m/>
    <m/>
    <m/>
  </r>
  <r>
    <s v="YK261400107"/>
    <s v="NOT-IN-PROCESS"/>
    <x v="0"/>
    <s v="1"/>
    <x v="5"/>
    <d v="2026-03-31T08:34:13"/>
    <x v="6"/>
    <x v="3"/>
    <x v="6"/>
    <m/>
    <m/>
    <m/>
  </r>
  <r>
    <s v="YK261400108"/>
    <s v="NOT-IN-PROCESS"/>
    <x v="0"/>
    <s v="1"/>
    <x v="5"/>
    <d v="2026-03-31T08:34:13"/>
    <x v="6"/>
    <x v="3"/>
    <x v="6"/>
    <m/>
    <m/>
    <m/>
  </r>
  <r>
    <s v="YK261400109"/>
    <s v="NOT-IN-PROCESS"/>
    <x v="0"/>
    <s v="1"/>
    <x v="5"/>
    <d v="2026-03-31T08:34:13"/>
    <x v="6"/>
    <x v="3"/>
    <x v="6"/>
    <m/>
    <m/>
    <m/>
  </r>
  <r>
    <s v="YK261400110"/>
    <s v="NOT-IN-PROCESS"/>
    <x v="0"/>
    <s v="1"/>
    <x v="5"/>
    <d v="2026-03-31T08:34:13"/>
    <x v="6"/>
    <x v="3"/>
    <x v="6"/>
    <m/>
    <m/>
    <m/>
  </r>
  <r>
    <s v="YK261400111"/>
    <s v="NOT-IN-PROCESS"/>
    <x v="0"/>
    <s v="1"/>
    <x v="5"/>
    <d v="2026-03-31T08:34:13"/>
    <x v="6"/>
    <x v="3"/>
    <x v="6"/>
    <m/>
    <m/>
    <m/>
  </r>
  <r>
    <s v="YK261400112"/>
    <s v="NOT-IN-PROCESS"/>
    <x v="0"/>
    <s v="1"/>
    <x v="5"/>
    <d v="2026-03-31T08:34:13"/>
    <x v="6"/>
    <x v="3"/>
    <x v="6"/>
    <m/>
    <m/>
    <m/>
  </r>
  <r>
    <s v="YK261400113"/>
    <s v="NOT-IN-PROCESS"/>
    <x v="0"/>
    <s v="1"/>
    <x v="5"/>
    <d v="2026-03-31T08:34:13"/>
    <x v="6"/>
    <x v="3"/>
    <x v="6"/>
    <m/>
    <m/>
    <m/>
  </r>
  <r>
    <s v="YK261400114"/>
    <s v="NOT-IN-PROCESS"/>
    <x v="0"/>
    <s v="1"/>
    <x v="5"/>
    <d v="2026-03-31T08:34:13"/>
    <x v="6"/>
    <x v="3"/>
    <x v="6"/>
    <m/>
    <m/>
    <m/>
  </r>
  <r>
    <s v="YK261400115"/>
    <s v="NOT-IN-PROCESS"/>
    <x v="0"/>
    <s v="1"/>
    <x v="5"/>
    <d v="2026-03-31T08:34:13"/>
    <x v="6"/>
    <x v="3"/>
    <x v="6"/>
    <m/>
    <m/>
    <m/>
  </r>
  <r>
    <s v="YK261400116"/>
    <s v="NOT-IN-PROCESS"/>
    <x v="0"/>
    <s v="1"/>
    <x v="5"/>
    <d v="2026-03-31T08:34:13"/>
    <x v="6"/>
    <x v="3"/>
    <x v="6"/>
    <m/>
    <m/>
    <m/>
  </r>
  <r>
    <s v="YK261400117"/>
    <s v="NOT-IN-PROCESS"/>
    <x v="0"/>
    <s v="1"/>
    <x v="5"/>
    <d v="2026-03-31T08:34:13"/>
    <x v="6"/>
    <x v="3"/>
    <x v="6"/>
    <m/>
    <m/>
    <m/>
  </r>
  <r>
    <s v="YK261400118"/>
    <s v="NOT-IN-PROCESS"/>
    <x v="0"/>
    <s v="1"/>
    <x v="5"/>
    <d v="2026-03-31T08:34:13"/>
    <x v="6"/>
    <x v="3"/>
    <x v="6"/>
    <m/>
    <m/>
    <m/>
  </r>
  <r>
    <s v="YK261400119"/>
    <s v="NOT-IN-PROCESS"/>
    <x v="0"/>
    <s v="1"/>
    <x v="5"/>
    <d v="2026-03-31T08:34:13"/>
    <x v="6"/>
    <x v="3"/>
    <x v="6"/>
    <m/>
    <m/>
    <m/>
  </r>
  <r>
    <s v="YK261400120"/>
    <s v="NOT-IN-PROCESS"/>
    <x v="0"/>
    <s v="1"/>
    <x v="5"/>
    <d v="2026-03-31T08:34:13"/>
    <x v="6"/>
    <x v="3"/>
    <x v="6"/>
    <m/>
    <m/>
    <m/>
  </r>
  <r>
    <s v="YK261400121"/>
    <s v="NOT-IN-PROCESS"/>
    <x v="0"/>
    <s v="1"/>
    <x v="5"/>
    <d v="2026-03-31T08:34:13"/>
    <x v="6"/>
    <x v="3"/>
    <x v="6"/>
    <m/>
    <m/>
    <m/>
  </r>
  <r>
    <s v="YK261400122"/>
    <s v="NOT-IN-PROCESS"/>
    <x v="0"/>
    <s v="1"/>
    <x v="5"/>
    <d v="2026-03-31T08:34:13"/>
    <x v="6"/>
    <x v="3"/>
    <x v="6"/>
    <m/>
    <m/>
    <m/>
  </r>
  <r>
    <s v="YK261400123"/>
    <s v="NOT-IN-PROCESS"/>
    <x v="0"/>
    <s v="1"/>
    <x v="5"/>
    <d v="2026-03-31T08:34:13"/>
    <x v="6"/>
    <x v="3"/>
    <x v="6"/>
    <m/>
    <m/>
    <m/>
  </r>
  <r>
    <s v="YK261400124"/>
    <s v="NOT-IN-PROCESS"/>
    <x v="0"/>
    <s v="1"/>
    <x v="5"/>
    <d v="2026-03-31T08:34:13"/>
    <x v="6"/>
    <x v="3"/>
    <x v="6"/>
    <m/>
    <m/>
    <m/>
  </r>
  <r>
    <s v="YK261400125"/>
    <s v="NOT-IN-PROCESS"/>
    <x v="0"/>
    <s v="1"/>
    <x v="5"/>
    <d v="2026-03-31T08:34:13"/>
    <x v="6"/>
    <x v="3"/>
    <x v="6"/>
    <m/>
    <m/>
    <m/>
  </r>
  <r>
    <s v="YK261400126"/>
    <s v="NOT-IN-PROCESS"/>
    <x v="0"/>
    <s v="1"/>
    <x v="5"/>
    <d v="2026-03-31T08:34:13"/>
    <x v="6"/>
    <x v="3"/>
    <x v="6"/>
    <m/>
    <m/>
    <m/>
  </r>
  <r>
    <s v="YK261400127"/>
    <s v="NOT-IN-PROCESS"/>
    <x v="0"/>
    <s v="1"/>
    <x v="5"/>
    <d v="2026-03-31T08:34:13"/>
    <x v="6"/>
    <x v="3"/>
    <x v="6"/>
    <m/>
    <m/>
    <m/>
  </r>
  <r>
    <s v="YK261400128"/>
    <s v="NOT-IN-PROCESS"/>
    <x v="0"/>
    <s v="1"/>
    <x v="5"/>
    <d v="2026-03-31T08:34:13"/>
    <x v="6"/>
    <x v="3"/>
    <x v="6"/>
    <m/>
    <m/>
    <m/>
  </r>
  <r>
    <s v="YK261400129"/>
    <s v="NOT-IN-PROCESS"/>
    <x v="0"/>
    <s v="1"/>
    <x v="5"/>
    <d v="2026-03-31T08:34:13"/>
    <x v="6"/>
    <x v="3"/>
    <x v="6"/>
    <m/>
    <m/>
    <m/>
  </r>
  <r>
    <s v="YK261400130"/>
    <s v="NOT-IN-PROCESS"/>
    <x v="0"/>
    <s v="1"/>
    <x v="5"/>
    <d v="2026-03-31T08:34:13"/>
    <x v="6"/>
    <x v="3"/>
    <x v="6"/>
    <m/>
    <m/>
    <m/>
  </r>
  <r>
    <s v="YK261400131"/>
    <s v="NOT-IN-PROCESS"/>
    <x v="0"/>
    <s v="1"/>
    <x v="5"/>
    <d v="2026-03-31T08:34:13"/>
    <x v="6"/>
    <x v="3"/>
    <x v="6"/>
    <m/>
    <m/>
    <m/>
  </r>
  <r>
    <s v="YK261400132"/>
    <s v="NOT-IN-PROCESS"/>
    <x v="0"/>
    <s v="1"/>
    <x v="5"/>
    <d v="2026-03-31T08:34:13"/>
    <x v="6"/>
    <x v="3"/>
    <x v="6"/>
    <m/>
    <m/>
    <m/>
  </r>
  <r>
    <s v="YK260400002"/>
    <s v="NOT-IN-PROCESS"/>
    <x v="0"/>
    <s v="1"/>
    <x v="0"/>
    <d v="2026-02-19T13:11:57"/>
    <x v="7"/>
    <x v="4"/>
    <x v="7"/>
    <m/>
    <m/>
    <m/>
  </r>
  <r>
    <s v="YK260400003"/>
    <s v="SHIP Shipping"/>
    <x v="1"/>
    <s v="1"/>
    <x v="1"/>
    <d v="2026-02-17T12:28:44"/>
    <x v="7"/>
    <x v="4"/>
    <x v="7"/>
    <m/>
    <m/>
    <m/>
  </r>
  <r>
    <s v="YK260400004"/>
    <s v="SHIP Shipping"/>
    <x v="1"/>
    <s v="1"/>
    <x v="1"/>
    <d v="2026-02-11T11:25:38"/>
    <x v="7"/>
    <x v="4"/>
    <x v="7"/>
    <m/>
    <m/>
    <m/>
  </r>
  <r>
    <s v="YK260400005"/>
    <s v="SHIP Shipping"/>
    <x v="1"/>
    <s v="1"/>
    <x v="1"/>
    <d v="2026-03-12T09:52:06"/>
    <x v="7"/>
    <x v="4"/>
    <x v="7"/>
    <m/>
    <m/>
    <m/>
  </r>
  <r>
    <s v="YK260400006"/>
    <s v="SHIP Shipping"/>
    <x v="1"/>
    <s v="1"/>
    <x v="1"/>
    <d v="2026-03-10T11:11:06"/>
    <x v="7"/>
    <x v="4"/>
    <x v="7"/>
    <m/>
    <m/>
    <m/>
  </r>
  <r>
    <s v="YK260400007"/>
    <s v="DBG1 Debug Test"/>
    <x v="2"/>
    <s v="1"/>
    <x v="2"/>
    <d v="2026-03-20T09:10:44"/>
    <x v="7"/>
    <x v="4"/>
    <x v="7"/>
    <m/>
    <m/>
    <m/>
  </r>
  <r>
    <s v="YK260400008"/>
    <s v="NOT-IN-PROCESS"/>
    <x v="0"/>
    <s v="1"/>
    <x v="0"/>
    <d v="2026-03-11T07:40:30"/>
    <x v="7"/>
    <x v="4"/>
    <x v="7"/>
    <m/>
    <m/>
    <m/>
  </r>
  <r>
    <s v="YK260400009"/>
    <s v="NOT-IN-PROCESS"/>
    <x v="0"/>
    <s v="1"/>
    <x v="0"/>
    <d v="2026-02-18T10:29:06"/>
    <x v="7"/>
    <x v="4"/>
    <x v="7"/>
    <m/>
    <m/>
    <m/>
  </r>
  <r>
    <s v="YK260400010"/>
    <s v="DBG1 Debug Test"/>
    <x v="2"/>
    <s v="1"/>
    <x v="2"/>
    <d v="2026-03-13T15:54:05"/>
    <x v="7"/>
    <x v="4"/>
    <x v="7"/>
    <m/>
    <m/>
    <m/>
  </r>
  <r>
    <s v="YK260400011"/>
    <s v="NOT-IN-PROCESS"/>
    <x v="0"/>
    <s v="1"/>
    <x v="0"/>
    <d v="2026-02-20T09:35:59"/>
    <x v="7"/>
    <x v="4"/>
    <x v="7"/>
    <m/>
    <m/>
    <m/>
  </r>
  <r>
    <s v="YK260400012"/>
    <s v="NOT-IN-PROCESS"/>
    <x v="0"/>
    <s v="1"/>
    <x v="0"/>
    <d v="2026-03-19T06:44:25"/>
    <x v="7"/>
    <x v="4"/>
    <x v="7"/>
    <m/>
    <m/>
    <m/>
  </r>
  <r>
    <s v="YK260400013"/>
    <s v="NOT-IN-PROCESS"/>
    <x v="0"/>
    <s v="1"/>
    <x v="0"/>
    <d v="2026-03-16T12:06:41"/>
    <x v="7"/>
    <x v="4"/>
    <x v="7"/>
    <m/>
    <m/>
    <m/>
  </r>
  <r>
    <s v="YK260400014"/>
    <s v="DBG1 Debug Test"/>
    <x v="2"/>
    <s v="1"/>
    <x v="2"/>
    <d v="2026-03-10T12:10:42"/>
    <x v="7"/>
    <x v="4"/>
    <x v="7"/>
    <m/>
    <m/>
    <m/>
  </r>
  <r>
    <s v="YK260400015"/>
    <s v="NOT-IN-PROCESS"/>
    <x v="0"/>
    <s v="1"/>
    <x v="0"/>
    <d v="2026-02-19T07:39:06"/>
    <x v="7"/>
    <x v="4"/>
    <x v="7"/>
    <m/>
    <m/>
    <m/>
  </r>
  <r>
    <s v="YK260400016"/>
    <s v="SHIP Shipping"/>
    <x v="1"/>
    <s v="1"/>
    <x v="1"/>
    <d v="2026-03-30T13:11:00"/>
    <x v="7"/>
    <x v="4"/>
    <x v="7"/>
    <m/>
    <m/>
    <m/>
  </r>
  <r>
    <s v="YK260400017"/>
    <s v="DBG1 Debug Test"/>
    <x v="2"/>
    <s v="1"/>
    <x v="2"/>
    <d v="2026-03-20T14:33:01"/>
    <x v="7"/>
    <x v="4"/>
    <x v="7"/>
    <m/>
    <m/>
    <m/>
  </r>
  <r>
    <s v="YK260400018"/>
    <s v="NOT-IN-PROCESS"/>
    <x v="0"/>
    <s v="1"/>
    <x v="0"/>
    <d v="2026-02-19T10:46:52"/>
    <x v="7"/>
    <x v="4"/>
    <x v="7"/>
    <m/>
    <m/>
    <m/>
  </r>
  <r>
    <s v="YK260400019"/>
    <s v="NOT-IN-PROCESS"/>
    <x v="0"/>
    <s v="1"/>
    <x v="0"/>
    <d v="2026-02-18T09:54:04"/>
    <x v="7"/>
    <x v="4"/>
    <x v="7"/>
    <m/>
    <m/>
    <m/>
  </r>
  <r>
    <s v="YK260400020"/>
    <s v="NOT-IN-PROCESS"/>
    <x v="0"/>
    <s v="1"/>
    <x v="0"/>
    <d v="2026-03-10T14:24:50"/>
    <x v="7"/>
    <x v="4"/>
    <x v="7"/>
    <m/>
    <m/>
    <m/>
  </r>
  <r>
    <s v="YK260400021"/>
    <s v="DBG1 Debug Test"/>
    <x v="2"/>
    <s v="1"/>
    <x v="2"/>
    <d v="2026-03-20T08:59:53"/>
    <x v="7"/>
    <x v="4"/>
    <x v="7"/>
    <m/>
    <m/>
    <m/>
  </r>
  <r>
    <s v="YK260400022"/>
    <s v="NOT-IN-PROCESS"/>
    <x v="0"/>
    <s v="1"/>
    <x v="0"/>
    <d v="2026-03-16T09:00:33"/>
    <x v="7"/>
    <x v="4"/>
    <x v="7"/>
    <m/>
    <m/>
    <m/>
  </r>
  <r>
    <s v="YK260400023"/>
    <s v="SHIP Shipping"/>
    <x v="1"/>
    <s v="1"/>
    <x v="1"/>
    <d v="2026-03-30T13:12:28"/>
    <x v="7"/>
    <x v="4"/>
    <x v="7"/>
    <m/>
    <m/>
    <m/>
  </r>
  <r>
    <s v="YK260400024"/>
    <s v="DBG1 Debug Test"/>
    <x v="2"/>
    <s v="1"/>
    <x v="2"/>
    <d v="2026-03-20T08:32:00"/>
    <x v="7"/>
    <x v="4"/>
    <x v="7"/>
    <m/>
    <m/>
    <m/>
  </r>
  <r>
    <s v="YK260400025"/>
    <s v="DBG1 Debug Test"/>
    <x v="2"/>
    <s v="1"/>
    <x v="2"/>
    <d v="2026-03-10T12:10:42"/>
    <x v="7"/>
    <x v="4"/>
    <x v="7"/>
    <m/>
    <m/>
    <m/>
  </r>
  <r>
    <s v="YK260400026"/>
    <s v="SHIP Shipping"/>
    <x v="1"/>
    <s v="1"/>
    <x v="1"/>
    <d v="2026-02-11T11:20:12"/>
    <x v="7"/>
    <x v="4"/>
    <x v="7"/>
    <m/>
    <m/>
    <m/>
  </r>
  <r>
    <s v="YK261100002"/>
    <s v="5DX1 SMT 5DX"/>
    <x v="6"/>
    <s v="1"/>
    <x v="3"/>
    <d v="2026-03-31T09:39:07"/>
    <x v="8"/>
    <x v="5"/>
    <x v="8"/>
    <m/>
    <m/>
    <m/>
  </r>
  <r>
    <s v="YK261100003"/>
    <s v="AOR2 AOI RWK S2"/>
    <x v="7"/>
    <s v="1"/>
    <x v="6"/>
    <d v="2026-03-31T10:29:48"/>
    <x v="8"/>
    <x v="5"/>
    <x v="8"/>
    <m/>
    <m/>
    <m/>
  </r>
  <r>
    <s v="YK261100004"/>
    <s v="AOR1 AOI RWK S1"/>
    <x v="8"/>
    <s v="1"/>
    <x v="6"/>
    <d v="2026-03-31T11:04:39"/>
    <x v="8"/>
    <x v="5"/>
    <x v="8"/>
    <m/>
    <m/>
    <m/>
  </r>
  <r>
    <s v="YK261100005"/>
    <s v="AOR2 AOI RWK S2"/>
    <x v="7"/>
    <s v="1"/>
    <x v="6"/>
    <d v="2026-03-31T11:19:55"/>
    <x v="8"/>
    <x v="5"/>
    <x v="8"/>
    <m/>
    <m/>
    <m/>
  </r>
  <r>
    <s v="YK261100006"/>
    <s v="5DX1 SMT 5DX"/>
    <x v="6"/>
    <s v="1"/>
    <x v="3"/>
    <d v="2026-03-31T13:24:58"/>
    <x v="8"/>
    <x v="5"/>
    <x v="8"/>
    <m/>
    <m/>
    <m/>
  </r>
  <r>
    <s v="YK261100007"/>
    <s v="AOR2 AOI RWK S2"/>
    <x v="7"/>
    <s v="1"/>
    <x v="6"/>
    <d v="2026-03-31T11:38:28"/>
    <x v="8"/>
    <x v="5"/>
    <x v="8"/>
    <m/>
    <m/>
    <m/>
  </r>
  <r>
    <s v="YK261100008"/>
    <s v="5DX1 SMT 5DX"/>
    <x v="6"/>
    <s v="1"/>
    <x v="3"/>
    <d v="2026-03-30T11:46:05"/>
    <x v="8"/>
    <x v="5"/>
    <x v="8"/>
    <m/>
    <m/>
    <m/>
  </r>
  <r>
    <s v="YK261100009"/>
    <s v="5DX1 SMT 5DX"/>
    <x v="6"/>
    <s v="1"/>
    <x v="3"/>
    <d v="2026-03-31T11:50:57"/>
    <x v="8"/>
    <x v="5"/>
    <x v="8"/>
    <m/>
    <m/>
    <m/>
  </r>
  <r>
    <s v="YK261100010"/>
    <s v="SMR2 RWK SMT2"/>
    <x v="9"/>
    <s v="1"/>
    <x v="6"/>
    <d v="2026-03-31T10:14:33"/>
    <x v="8"/>
    <x v="5"/>
    <x v="8"/>
    <m/>
    <m/>
    <m/>
  </r>
  <r>
    <s v="YK261100011"/>
    <s v="DPNL Mech Depanel"/>
    <x v="10"/>
    <s v="1"/>
    <x v="3"/>
    <d v="2026-03-30T09:53:11"/>
    <x v="8"/>
    <x v="5"/>
    <x v="8"/>
    <m/>
    <m/>
    <m/>
  </r>
  <r>
    <s v="YK261100012"/>
    <s v="AOR2 AOI RWK S2"/>
    <x v="7"/>
    <s v="1"/>
    <x v="6"/>
    <d v="2026-03-31T12:19:27"/>
    <x v="8"/>
    <x v="5"/>
    <x v="8"/>
    <m/>
    <m/>
    <m/>
  </r>
  <r>
    <s v="YK261100013"/>
    <s v="AOR2 AOI RWK S2"/>
    <x v="7"/>
    <s v="1"/>
    <x v="6"/>
    <d v="2026-03-31T06:59:52"/>
    <x v="8"/>
    <x v="5"/>
    <x v="8"/>
    <m/>
    <m/>
    <m/>
  </r>
  <r>
    <s v="YK261100014"/>
    <s v="SHIP Shipping"/>
    <x v="1"/>
    <s v="1"/>
    <x v="1"/>
    <d v="2026-03-27T14:15:59"/>
    <x v="8"/>
    <x v="5"/>
    <x v="8"/>
    <m/>
    <m/>
    <m/>
  </r>
  <r>
    <s v="YK261100015"/>
    <s v="FUN1 Func Test"/>
    <x v="3"/>
    <s v="1"/>
    <x v="3"/>
    <d v="2026-03-26T13:28:29"/>
    <x v="8"/>
    <x v="5"/>
    <x v="8"/>
    <m/>
    <m/>
    <m/>
  </r>
  <r>
    <s v="YK261100016"/>
    <s v="5DX1 SMT 5DX"/>
    <x v="6"/>
    <s v="1"/>
    <x v="3"/>
    <d v="2026-03-31T07:13:47"/>
    <x v="8"/>
    <x v="5"/>
    <x v="8"/>
    <m/>
    <m/>
    <m/>
  </r>
  <r>
    <s v="YK261100017"/>
    <s v="FUN1 Func Test"/>
    <x v="3"/>
    <s v="1"/>
    <x v="3"/>
    <d v="2026-03-30T09:44:55"/>
    <x v="8"/>
    <x v="5"/>
    <x v="8"/>
    <m/>
    <m/>
    <m/>
  </r>
  <r>
    <s v="YK261100018"/>
    <s v="AOI1 AOI Inspect S1"/>
    <x v="5"/>
    <s v="1"/>
    <x v="3"/>
    <d v="2026-03-30T11:20:23"/>
    <x v="8"/>
    <x v="5"/>
    <x v="8"/>
    <m/>
    <m/>
    <m/>
  </r>
  <r>
    <s v="YK261100019"/>
    <s v="5DX1 SMT 5DX"/>
    <x v="6"/>
    <s v="1"/>
    <x v="3"/>
    <d v="2026-03-30T08:59:42"/>
    <x v="8"/>
    <x v="5"/>
    <x v="8"/>
    <m/>
    <m/>
    <m/>
  </r>
  <r>
    <s v="YK261100020"/>
    <s v="5DX1 SMT 5DX"/>
    <x v="6"/>
    <s v="1"/>
    <x v="3"/>
    <d v="2026-03-30T13:47:06"/>
    <x v="8"/>
    <x v="5"/>
    <x v="8"/>
    <m/>
    <m/>
    <m/>
  </r>
  <r>
    <s v="YK261100021"/>
    <s v="AOI2 AOI Inspect S2"/>
    <x v="11"/>
    <s v="1"/>
    <x v="3"/>
    <d v="2026-03-31T13:44:45"/>
    <x v="8"/>
    <x v="5"/>
    <x v="8"/>
    <m/>
    <m/>
    <m/>
  </r>
  <r>
    <s v="YK261100022"/>
    <s v="5DX1 SMT 5DX"/>
    <x v="6"/>
    <s v="1"/>
    <x v="3"/>
    <d v="2026-03-30T11:29:03"/>
    <x v="8"/>
    <x v="5"/>
    <x v="8"/>
    <m/>
    <m/>
    <m/>
  </r>
  <r>
    <s v="YK261100023"/>
    <s v="AOR2 AOI RWK S2"/>
    <x v="7"/>
    <s v="1"/>
    <x v="6"/>
    <d v="2026-03-31T12:06:07"/>
    <x v="8"/>
    <x v="5"/>
    <x v="8"/>
    <m/>
    <m/>
    <m/>
  </r>
  <r>
    <s v="YK261100024"/>
    <s v="5DX1 SMT 5DX"/>
    <x v="6"/>
    <s v="1"/>
    <x v="3"/>
    <d v="2026-03-31T06:38:42"/>
    <x v="8"/>
    <x v="5"/>
    <x v="8"/>
    <m/>
    <m/>
    <m/>
  </r>
  <r>
    <s v="YK261100025"/>
    <s v="5DX1 SMT 5DX"/>
    <x v="6"/>
    <s v="1"/>
    <x v="3"/>
    <d v="2026-03-30T13:35:58"/>
    <x v="8"/>
    <x v="5"/>
    <x v="8"/>
    <m/>
    <m/>
    <m/>
  </r>
  <r>
    <s v="YK261100026"/>
    <s v="AOR2 AOI RWK S2"/>
    <x v="7"/>
    <s v="1"/>
    <x v="6"/>
    <d v="2026-03-31T13:35:10"/>
    <x v="8"/>
    <x v="5"/>
    <x v="8"/>
    <m/>
    <m/>
    <m/>
  </r>
  <r>
    <s v="YK261100027"/>
    <s v="AOI2 AOI Inspect S2"/>
    <x v="11"/>
    <s v="1"/>
    <x v="3"/>
    <d v="2026-03-24T14:32:26"/>
    <x v="8"/>
    <x v="5"/>
    <x v="8"/>
    <m/>
    <m/>
    <m/>
  </r>
  <r>
    <s v="YK261100028"/>
    <s v="5DX1 SMT 5DX"/>
    <x v="6"/>
    <s v="1"/>
    <x v="3"/>
    <d v="2026-03-30T14:05:49"/>
    <x v="8"/>
    <x v="5"/>
    <x v="8"/>
    <m/>
    <m/>
    <m/>
  </r>
  <r>
    <s v="YK261100029"/>
    <s v="SMT2 SMT Side 2"/>
    <x v="12"/>
    <s v="1"/>
    <x v="3"/>
    <d v="2026-04-01T06:17:21"/>
    <x v="8"/>
    <x v="5"/>
    <x v="8"/>
    <m/>
    <m/>
    <m/>
  </r>
  <r>
    <s v="YK261100030"/>
    <s v="AOI1 AOI Inspect S1"/>
    <x v="5"/>
    <s v="1"/>
    <x v="3"/>
    <d v="2026-03-24T13:52:17"/>
    <x v="8"/>
    <x v="5"/>
    <x v="8"/>
    <m/>
    <m/>
    <m/>
  </r>
  <r>
    <s v="YK260400027"/>
    <s v="SHIP Shipping"/>
    <x v="1"/>
    <s v="1"/>
    <x v="1"/>
    <d v="2026-03-04T12:05:48"/>
    <x v="9"/>
    <x v="6"/>
    <x v="9"/>
    <m/>
    <m/>
    <m/>
  </r>
  <r>
    <s v="YK260400028"/>
    <s v="SHIP Shipping"/>
    <x v="1"/>
    <s v="1"/>
    <x v="1"/>
    <d v="2026-03-03T13:36:27"/>
    <x v="9"/>
    <x v="6"/>
    <x v="9"/>
    <m/>
    <m/>
    <m/>
  </r>
  <r>
    <s v="YK260400029"/>
    <s v="SHIP Shipping"/>
    <x v="1"/>
    <s v="1"/>
    <x v="1"/>
    <d v="2026-03-17T06:28:36"/>
    <x v="9"/>
    <x v="6"/>
    <x v="9"/>
    <m/>
    <m/>
    <m/>
  </r>
  <r>
    <s v="YK260400030"/>
    <s v="SHIP Shipping"/>
    <x v="1"/>
    <s v="1"/>
    <x v="1"/>
    <d v="2026-03-17T09:58:38"/>
    <x v="9"/>
    <x v="6"/>
    <x v="9"/>
    <m/>
    <m/>
    <m/>
  </r>
  <r>
    <s v="YK260400031"/>
    <s v="SHIP Shipping"/>
    <x v="1"/>
    <s v="1"/>
    <x v="1"/>
    <d v="2026-03-04T07:41:22"/>
    <x v="9"/>
    <x v="6"/>
    <x v="9"/>
    <m/>
    <m/>
    <m/>
  </r>
  <r>
    <s v="YK260400032"/>
    <s v="CMP1 Complete"/>
    <x v="4"/>
    <s v="1"/>
    <x v="4"/>
    <d v="2026-03-23T07:46:45"/>
    <x v="9"/>
    <x v="6"/>
    <x v="9"/>
    <m/>
    <m/>
    <m/>
  </r>
  <r>
    <s v="YK260400033"/>
    <s v="SHIP Shipping"/>
    <x v="1"/>
    <s v="1"/>
    <x v="1"/>
    <d v="2026-03-04T12:04:47"/>
    <x v="9"/>
    <x v="6"/>
    <x v="9"/>
    <m/>
    <m/>
    <m/>
  </r>
  <r>
    <s v="YK260400034"/>
    <s v="SHIP Shipping"/>
    <x v="1"/>
    <s v="1"/>
    <x v="1"/>
    <d v="2026-02-27T12:26:48"/>
    <x v="9"/>
    <x v="6"/>
    <x v="9"/>
    <m/>
    <m/>
    <m/>
  </r>
  <r>
    <s v="YK260400035"/>
    <s v="CMP1 Complete"/>
    <x v="4"/>
    <s v="1"/>
    <x v="4"/>
    <d v="2026-03-23T07:47:30"/>
    <x v="9"/>
    <x v="6"/>
    <x v="9"/>
    <m/>
    <m/>
    <m/>
  </r>
  <r>
    <s v="YK260400036"/>
    <s v="SHIP Shipping"/>
    <x v="1"/>
    <s v="1"/>
    <x v="1"/>
    <d v="2026-02-27T12:29:21"/>
    <x v="9"/>
    <x v="6"/>
    <x v="9"/>
    <m/>
    <m/>
    <m/>
  </r>
  <r>
    <s v="YK260400037"/>
    <s v="SHIP Shipping"/>
    <x v="1"/>
    <s v="1"/>
    <x v="1"/>
    <d v="2026-03-04T12:07:09"/>
    <x v="9"/>
    <x v="6"/>
    <x v="9"/>
    <m/>
    <m/>
    <m/>
  </r>
  <r>
    <s v="YK260400038"/>
    <s v="SHIP Shipping"/>
    <x v="1"/>
    <s v="1"/>
    <x v="1"/>
    <d v="2026-02-27T13:15:11"/>
    <x v="9"/>
    <x v="6"/>
    <x v="9"/>
    <m/>
    <m/>
    <m/>
  </r>
  <r>
    <s v="YK260400039"/>
    <s v="SHIP Shipping"/>
    <x v="1"/>
    <s v="1"/>
    <x v="1"/>
    <d v="2026-02-27T12:30:55"/>
    <x v="9"/>
    <x v="6"/>
    <x v="9"/>
    <m/>
    <m/>
    <m/>
  </r>
  <r>
    <s v="YK260400040"/>
    <s v="ASY2 T/L Assembly"/>
    <x v="10"/>
    <s v="1"/>
    <x v="7"/>
    <d v="2026-02-20T06:14:52"/>
    <x v="9"/>
    <x v="6"/>
    <x v="9"/>
    <m/>
    <m/>
    <m/>
  </r>
  <r>
    <s v="YK260400041"/>
    <s v="SHIP Shipping"/>
    <x v="1"/>
    <s v="1"/>
    <x v="1"/>
    <d v="2026-03-17T07:26:14"/>
    <x v="9"/>
    <x v="6"/>
    <x v="9"/>
    <m/>
    <m/>
    <m/>
  </r>
  <r>
    <s v="YK260400042"/>
    <s v="CMP1 Complete"/>
    <x v="4"/>
    <s v="1"/>
    <x v="4"/>
    <d v="2026-03-19T12:12:03"/>
    <x v="9"/>
    <x v="6"/>
    <x v="9"/>
    <m/>
    <m/>
    <m/>
  </r>
  <r>
    <s v="YK260400043"/>
    <s v="SHIP Shipping"/>
    <x v="1"/>
    <s v="1"/>
    <x v="1"/>
    <d v="2026-03-16T08:50:34"/>
    <x v="9"/>
    <x v="6"/>
    <x v="9"/>
    <m/>
    <m/>
    <m/>
  </r>
  <r>
    <s v="YK260400044"/>
    <s v="SHIP Shipping"/>
    <x v="1"/>
    <s v="1"/>
    <x v="1"/>
    <d v="2026-03-30T13:22:54"/>
    <x v="9"/>
    <x v="6"/>
    <x v="9"/>
    <m/>
    <m/>
    <m/>
  </r>
  <r>
    <s v="YK260400045"/>
    <s v="SHIP Shipping"/>
    <x v="1"/>
    <s v="1"/>
    <x v="1"/>
    <d v="2026-03-30T13:24:58"/>
    <x v="9"/>
    <x v="6"/>
    <x v="9"/>
    <m/>
    <m/>
    <m/>
  </r>
  <r>
    <s v="YK260400046"/>
    <s v="SHIP Shipping"/>
    <x v="1"/>
    <s v="1"/>
    <x v="1"/>
    <d v="2026-03-30T13:26:52"/>
    <x v="9"/>
    <x v="6"/>
    <x v="9"/>
    <m/>
    <m/>
    <m/>
  </r>
  <r>
    <s v="YK261200019"/>
    <s v="ASY1 T/L Assembly"/>
    <x v="13"/>
    <s v="1"/>
    <x v="7"/>
    <d v="2026-03-27T10:48:49"/>
    <x v="10"/>
    <x v="7"/>
    <x v="10"/>
    <m/>
    <m/>
    <m/>
  </r>
  <r>
    <s v="YK261200020"/>
    <s v="NOT-IN-PROCESS"/>
    <x v="0"/>
    <s v="1"/>
    <x v="5"/>
    <d v="2026-03-17T13:11:01"/>
    <x v="10"/>
    <x v="7"/>
    <x v="10"/>
    <m/>
    <m/>
    <m/>
  </r>
  <r>
    <s v="YK261200021"/>
    <s v="NOT-IN-PROCESS"/>
    <x v="0"/>
    <s v="1"/>
    <x v="5"/>
    <d v="2026-03-17T13:11:01"/>
    <x v="10"/>
    <x v="7"/>
    <x v="10"/>
    <m/>
    <m/>
    <m/>
  </r>
  <r>
    <s v="YK261200022"/>
    <s v="NOT-IN-PROCESS"/>
    <x v="0"/>
    <s v="1"/>
    <x v="5"/>
    <d v="2026-03-17T13:11:01"/>
    <x v="10"/>
    <x v="7"/>
    <x v="10"/>
    <m/>
    <m/>
    <m/>
  </r>
  <r>
    <s v="YK261200023"/>
    <s v="NOT-IN-PROCESS"/>
    <x v="0"/>
    <s v="1"/>
    <x v="5"/>
    <d v="2026-03-17T13:11:01"/>
    <x v="10"/>
    <x v="7"/>
    <x v="10"/>
    <m/>
    <m/>
    <m/>
  </r>
  <r>
    <s v="YK261200024"/>
    <s v="NOT-IN-PROCESS"/>
    <x v="0"/>
    <s v="1"/>
    <x v="5"/>
    <d v="2026-03-17T13:11:01"/>
    <x v="10"/>
    <x v="7"/>
    <x v="10"/>
    <m/>
    <m/>
    <m/>
  </r>
  <r>
    <s v="YK261200025"/>
    <s v="NOT-IN-PROCESS"/>
    <x v="0"/>
    <s v="1"/>
    <x v="5"/>
    <d v="2026-03-17T13:11:01"/>
    <x v="10"/>
    <x v="7"/>
    <x v="10"/>
    <m/>
    <m/>
    <m/>
  </r>
  <r>
    <s v="YK261200026"/>
    <s v="NOT-IN-PROCESS"/>
    <x v="0"/>
    <s v="1"/>
    <x v="5"/>
    <d v="2026-03-17T13:11:01"/>
    <x v="10"/>
    <x v="7"/>
    <x v="10"/>
    <m/>
    <m/>
    <m/>
  </r>
  <r>
    <s v="YK261200027"/>
    <s v="NOT-IN-PROCESS"/>
    <x v="0"/>
    <s v="1"/>
    <x v="5"/>
    <d v="2026-03-17T13:11:01"/>
    <x v="10"/>
    <x v="7"/>
    <x v="10"/>
    <m/>
    <m/>
    <m/>
  </r>
  <r>
    <s v="YK261200028"/>
    <s v="NOT-IN-PROCESS"/>
    <x v="0"/>
    <s v="1"/>
    <x v="5"/>
    <d v="2026-03-17T13:11:01"/>
    <x v="10"/>
    <x v="7"/>
    <x v="10"/>
    <m/>
    <m/>
    <m/>
  </r>
  <r>
    <s v="YK261200029"/>
    <s v="NOT-IN-PROCESS"/>
    <x v="0"/>
    <s v="1"/>
    <x v="5"/>
    <d v="2026-03-17T13:11:01"/>
    <x v="10"/>
    <x v="7"/>
    <x v="10"/>
    <m/>
    <m/>
    <m/>
  </r>
  <r>
    <s v="YK261200030"/>
    <s v="NOT-IN-PROCESS"/>
    <x v="0"/>
    <s v="1"/>
    <x v="5"/>
    <d v="2026-03-17T13:11:01"/>
    <x v="10"/>
    <x v="7"/>
    <x v="10"/>
    <m/>
    <m/>
    <m/>
  </r>
  <r>
    <s v="YK261200031"/>
    <s v="NOT-IN-PROCESS"/>
    <x v="0"/>
    <s v="1"/>
    <x v="5"/>
    <d v="2026-03-17T13:11:01"/>
    <x v="10"/>
    <x v="7"/>
    <x v="10"/>
    <m/>
    <m/>
    <m/>
  </r>
  <r>
    <s v="YK261200032"/>
    <s v="NOT-IN-PROCESS"/>
    <x v="0"/>
    <s v="1"/>
    <x v="5"/>
    <d v="2026-03-17T13:11:01"/>
    <x v="10"/>
    <x v="7"/>
    <x v="10"/>
    <m/>
    <m/>
    <m/>
  </r>
  <r>
    <s v="YK261200033"/>
    <s v="NOT-IN-PROCESS"/>
    <x v="0"/>
    <s v="1"/>
    <x v="5"/>
    <d v="2026-03-17T13:11:01"/>
    <x v="10"/>
    <x v="7"/>
    <x v="1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42" firstHeaderRow="1" firstDataRow="1" firstDataCol="5"/>
  <pivotFields count="12">
    <pivotField showAll="0"/>
    <pivotField showAll="0"/>
    <pivotField axis="axisRow" outline="0" showAll="0" defaultSubtotal="0">
      <items count="15">
        <item x="4"/>
        <item x="3"/>
        <item x="0"/>
        <item m="1" x="14"/>
        <item x="1"/>
        <item x="10"/>
        <item x="5"/>
        <item x="2"/>
        <item x="12"/>
        <item x="6"/>
        <item x="7"/>
        <item x="11"/>
        <item x="13"/>
        <item x="9"/>
        <item x="8"/>
      </items>
    </pivotField>
    <pivotField dataField="1" showAll="0"/>
    <pivotField axis="axisRow" showAll="0" sortType="ascending">
      <items count="9">
        <item x="4"/>
        <item x="6"/>
        <item x="2"/>
        <item x="3"/>
        <item x="7"/>
        <item x="1"/>
        <item x="5"/>
        <item x="0"/>
        <item t="default"/>
      </items>
    </pivotField>
    <pivotField showAll="0"/>
    <pivotField axis="axisRow" outline="0" showAll="0" sortType="ascending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outline="0" showAll="0" defaultSubtotal="0">
      <items count="8">
        <item x="4"/>
        <item x="0"/>
        <item x="1"/>
        <item x="6"/>
        <item x="2"/>
        <item x="3"/>
        <item x="5"/>
        <item x="7"/>
      </items>
    </pivotField>
    <pivotField axis="axisRow" outline="0" showAll="0" defaultSubtotal="0">
      <items count="11">
        <item x="0"/>
        <item x="1"/>
        <item x="7"/>
        <item x="9"/>
        <item x="4"/>
        <item x="5"/>
        <item x="2"/>
        <item x="3"/>
        <item x="8"/>
        <item x="10"/>
        <item x="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41">
    <i>
      <x/>
      <x/>
      <x v="1"/>
      <x v="2"/>
      <x v="7"/>
    </i>
    <i r="3">
      <x v="4"/>
      <x v="5"/>
    </i>
    <i r="3">
      <x v="7"/>
      <x v="2"/>
    </i>
    <i>
      <x v="1"/>
      <x v="1"/>
      <x v="2"/>
      <x v="1"/>
      <x v="3"/>
    </i>
    <i r="3">
      <x v="2"/>
      <x v="7"/>
    </i>
    <i r="3">
      <x v="4"/>
      <x v="5"/>
    </i>
    <i>
      <x v="2"/>
      <x v="7"/>
      <x/>
      <x v="2"/>
      <x v="7"/>
    </i>
    <i r="3">
      <x v="4"/>
      <x v="5"/>
    </i>
    <i r="3">
      <x v="7"/>
      <x v="2"/>
    </i>
    <i>
      <x v="3"/>
      <x v="9"/>
      <x v="3"/>
      <x/>
      <x/>
    </i>
    <i r="3">
      <x v="4"/>
      <x v="5"/>
    </i>
    <i r="3">
      <x v="5"/>
      <x v="4"/>
    </i>
    <i>
      <x v="4"/>
      <x v="4"/>
      <x v="5"/>
      <x/>
      <x/>
    </i>
    <i r="3">
      <x v="1"/>
      <x v="3"/>
    </i>
    <i r="3">
      <x v="7"/>
      <x v="2"/>
    </i>
    <i>
      <x v="5"/>
      <x v="5"/>
      <x v="5"/>
      <x/>
      <x/>
    </i>
    <i r="3">
      <x v="1"/>
      <x v="3"/>
    </i>
    <i r="3">
      <x v="4"/>
      <x v="5"/>
    </i>
    <i r="3">
      <x v="7"/>
      <x v="2"/>
    </i>
    <i>
      <x v="6"/>
      <x v="2"/>
      <x v="4"/>
      <x/>
      <x/>
    </i>
    <i r="3">
      <x v="1"/>
      <x v="3"/>
    </i>
    <i r="3">
      <x v="4"/>
      <x v="5"/>
    </i>
    <i r="3">
      <x v="7"/>
      <x v="2"/>
    </i>
    <i>
      <x v="7"/>
      <x v="3"/>
      <x v="4"/>
      <x/>
      <x/>
    </i>
    <i r="3">
      <x v="4"/>
      <x v="5"/>
    </i>
    <i r="3">
      <x v="7"/>
      <x v="2"/>
    </i>
    <i>
      <x v="8"/>
      <x v="8"/>
      <x v="6"/>
      <x v="1"/>
      <x v="3"/>
    </i>
    <i r="3">
      <x v="4"/>
      <x v="5"/>
    </i>
    <i r="3">
      <x v="5"/>
      <x v="3"/>
    </i>
    <i r="3">
      <x v="6"/>
      <x v="3"/>
    </i>
    <i r="3">
      <x v="8"/>
      <x v="3"/>
    </i>
    <i r="3">
      <x v="9"/>
      <x v="3"/>
    </i>
    <i r="3">
      <x v="10"/>
      <x v="1"/>
    </i>
    <i r="3">
      <x v="11"/>
      <x v="3"/>
    </i>
    <i r="3">
      <x v="13"/>
      <x v="1"/>
    </i>
    <i r="3">
      <x v="14"/>
      <x v="1"/>
    </i>
    <i>
      <x v="9"/>
      <x v="10"/>
      <x v="7"/>
      <x v="2"/>
      <x v="6"/>
    </i>
    <i r="3">
      <x v="12"/>
      <x v="4"/>
    </i>
    <i>
      <x v="10"/>
      <x v="6"/>
      <x v="5"/>
      <x v="2"/>
      <x v="6"/>
    </i>
    <i r="3">
      <x v="6"/>
      <x v="3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7">
      <pivotArea collapsedLevelsAreSubtotals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6">
      <pivotArea collapsedLevelsAreSubtotals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5">
      <pivotArea dataOnly="0" labelOnly="1" fieldPosition="0">
        <references count="3">
          <reference field="2" count="2">
            <x v="4"/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4" name="Table4" displayName="Table4" ref="A1:M7" totalsRowShown="0">
  <autoFilter ref="A1:M7">
    <filterColumn colId="12"/>
  </autoFilter>
  <tableColumns count="13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Priority"/>
    <tableColumn id="10" name="Comments"/>
    <tableColumn id="11" name="das"/>
    <tableColumn id="12" name="asdas"/>
    <tableColumn id="13" name="Column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das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520"/>
  <sheetViews>
    <sheetView tabSelected="1" workbookViewId="0">
      <pane ySplit="1" topLeftCell="A2" activePane="bottomLeft" state="frozen"/>
      <selection pane="bottomLeft" activeCell="G300" sqref="G300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36.28515625" bestFit="1" customWidth="1"/>
    <col min="11" max="32" width="23.42578125" customWidth="1"/>
  </cols>
  <sheetData>
    <row r="1" spans="1:1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219</v>
      </c>
      <c r="H1" s="22" t="s">
        <v>220</v>
      </c>
      <c r="I1" s="1" t="s">
        <v>390</v>
      </c>
      <c r="J1" s="1" t="s">
        <v>391</v>
      </c>
      <c r="K1" s="1" t="s">
        <v>455</v>
      </c>
      <c r="L1" s="1" t="s">
        <v>456</v>
      </c>
    </row>
    <row r="2" spans="1:12" hidden="1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217</v>
      </c>
      <c r="H2" t="s">
        <v>221</v>
      </c>
      <c r="I2" s="4">
        <f>VLOOKUP(G2,Sheet2!A:D,4,0)</f>
        <v>1</v>
      </c>
    </row>
    <row r="3" spans="1:12" hidden="1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217</v>
      </c>
      <c r="H3" t="s">
        <v>221</v>
      </c>
      <c r="I3" s="4">
        <f>VLOOKUP(G3,Sheet2!A:D,4,0)</f>
        <v>1</v>
      </c>
    </row>
    <row r="4" spans="1:12" hidden="1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217</v>
      </c>
      <c r="H4" t="s">
        <v>221</v>
      </c>
      <c r="I4" s="4">
        <f>VLOOKUP(G4,Sheet2!A:D,4,0)</f>
        <v>1</v>
      </c>
    </row>
    <row r="5" spans="1:12" hidden="1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217</v>
      </c>
      <c r="H5" t="s">
        <v>221</v>
      </c>
      <c r="I5" s="4">
        <f>VLOOKUP(G5,Sheet2!A:D,4,0)</f>
        <v>1</v>
      </c>
    </row>
    <row r="6" spans="1:12" hidden="1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217</v>
      </c>
      <c r="H6" t="s">
        <v>221</v>
      </c>
      <c r="I6" s="4">
        <f>VLOOKUP(G6,Sheet2!A:D,4,0)</f>
        <v>1</v>
      </c>
    </row>
    <row r="7" spans="1:12" hidden="1">
      <c r="A7" s="5" t="s">
        <v>17</v>
      </c>
      <c r="B7" s="3" t="s">
        <v>169</v>
      </c>
      <c r="C7" s="3" t="s">
        <v>170</v>
      </c>
      <c r="D7" s="5" t="s">
        <v>8</v>
      </c>
      <c r="E7" s="3" t="s">
        <v>171</v>
      </c>
      <c r="F7" s="7">
        <v>46112.310543981483</v>
      </c>
      <c r="G7" t="s">
        <v>217</v>
      </c>
      <c r="H7" t="s">
        <v>221</v>
      </c>
      <c r="I7" s="4">
        <f>VLOOKUP(G7,Sheet2!A:D,4,0)</f>
        <v>1</v>
      </c>
    </row>
    <row r="8" spans="1:12" hidden="1">
      <c r="A8" s="4" t="s">
        <v>19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217</v>
      </c>
      <c r="H8" t="s">
        <v>221</v>
      </c>
      <c r="I8" s="4">
        <f>VLOOKUP(G8,Sheet2!A:D,4,0)</f>
        <v>1</v>
      </c>
    </row>
    <row r="9" spans="1:12" hidden="1">
      <c r="A9" s="5" t="s">
        <v>20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217</v>
      </c>
      <c r="H9" t="s">
        <v>221</v>
      </c>
      <c r="I9" s="4">
        <f>VLOOKUP(G9,Sheet2!A:D,4,0)</f>
        <v>1</v>
      </c>
    </row>
    <row r="10" spans="1:12" hidden="1">
      <c r="A10" s="4" t="s">
        <v>21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217</v>
      </c>
      <c r="H10" t="s">
        <v>221</v>
      </c>
      <c r="I10" s="4">
        <f>VLOOKUP(G10,Sheet2!A:D,4,0)</f>
        <v>1</v>
      </c>
    </row>
    <row r="11" spans="1:12" hidden="1">
      <c r="A11" s="5" t="s">
        <v>22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217</v>
      </c>
      <c r="H11" t="s">
        <v>221</v>
      </c>
      <c r="I11" s="4">
        <f>VLOOKUP(G11,Sheet2!A:D,4,0)</f>
        <v>1</v>
      </c>
    </row>
    <row r="12" spans="1:12" hidden="1">
      <c r="A12" s="4" t="s">
        <v>23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217</v>
      </c>
      <c r="H12" t="s">
        <v>221</v>
      </c>
      <c r="I12" s="4">
        <f>VLOOKUP(G12,Sheet2!A:D,4,0)</f>
        <v>1</v>
      </c>
    </row>
    <row r="13" spans="1:12" hidden="1">
      <c r="A13" s="5" t="s">
        <v>24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217</v>
      </c>
      <c r="H13" t="s">
        <v>221</v>
      </c>
      <c r="I13" s="4">
        <f>VLOOKUP(G13,Sheet2!A:D,4,0)</f>
        <v>1</v>
      </c>
    </row>
    <row r="14" spans="1:12" hidden="1">
      <c r="A14" s="4" t="s">
        <v>25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217</v>
      </c>
      <c r="H14" t="s">
        <v>221</v>
      </c>
      <c r="I14" s="4">
        <f>VLOOKUP(G14,Sheet2!A:D,4,0)</f>
        <v>1</v>
      </c>
    </row>
    <row r="15" spans="1:12" hidden="1">
      <c r="A15" s="5" t="s">
        <v>26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217</v>
      </c>
      <c r="H15" t="s">
        <v>221</v>
      </c>
      <c r="I15" s="4">
        <f>VLOOKUP(G15,Sheet2!A:D,4,0)</f>
        <v>1</v>
      </c>
    </row>
    <row r="16" spans="1:12" hidden="1">
      <c r="A16" s="4" t="s">
        <v>27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46094.600578703707</v>
      </c>
      <c r="G16" t="s">
        <v>217</v>
      </c>
      <c r="H16" t="s">
        <v>221</v>
      </c>
      <c r="I16" s="4">
        <f>VLOOKUP(G16,Sheet2!A:D,4,0)</f>
        <v>1</v>
      </c>
    </row>
    <row r="17" spans="1:9" hidden="1">
      <c r="A17" s="5" t="s">
        <v>28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217</v>
      </c>
      <c r="H17" t="s">
        <v>221</v>
      </c>
      <c r="I17" s="4">
        <f>VLOOKUP(G17,Sheet2!A:D,4,0)</f>
        <v>1</v>
      </c>
    </row>
    <row r="18" spans="1:9" hidden="1">
      <c r="A18" s="4" t="s">
        <v>29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217</v>
      </c>
      <c r="H18" t="s">
        <v>221</v>
      </c>
      <c r="I18" s="4">
        <f>VLOOKUP(G18,Sheet2!A:D,4,0)</f>
        <v>1</v>
      </c>
    </row>
    <row r="19" spans="1:9" hidden="1">
      <c r="A19" s="5" t="s">
        <v>30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217</v>
      </c>
      <c r="H19" t="s">
        <v>221</v>
      </c>
      <c r="I19" s="4">
        <f>VLOOKUP(G19,Sheet2!A:D,4,0)</f>
        <v>1</v>
      </c>
    </row>
    <row r="20" spans="1:9" hidden="1">
      <c r="A20" s="4" t="s">
        <v>31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217</v>
      </c>
      <c r="H20" t="s">
        <v>221</v>
      </c>
      <c r="I20" s="4">
        <f>VLOOKUP(G20,Sheet2!A:D,4,0)</f>
        <v>1</v>
      </c>
    </row>
    <row r="21" spans="1:9" hidden="1">
      <c r="A21" s="5" t="s">
        <v>32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217</v>
      </c>
      <c r="H21" t="s">
        <v>221</v>
      </c>
      <c r="I21" s="4">
        <f>VLOOKUP(G21,Sheet2!A:D,4,0)</f>
        <v>1</v>
      </c>
    </row>
    <row r="22" spans="1:9" hidden="1">
      <c r="A22" s="4" t="s">
        <v>33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217</v>
      </c>
      <c r="H22" t="s">
        <v>221</v>
      </c>
      <c r="I22" s="4">
        <f>VLOOKUP(G22,Sheet2!A:D,4,0)</f>
        <v>1</v>
      </c>
    </row>
    <row r="23" spans="1:9" hidden="1">
      <c r="A23" s="5" t="s">
        <v>34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217</v>
      </c>
      <c r="H23" t="s">
        <v>221</v>
      </c>
      <c r="I23" s="4">
        <f>VLOOKUP(G23,Sheet2!A:D,4,0)</f>
        <v>1</v>
      </c>
    </row>
    <row r="24" spans="1:9" hidden="1">
      <c r="A24" s="4" t="s">
        <v>35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217</v>
      </c>
      <c r="H24" t="s">
        <v>221</v>
      </c>
      <c r="I24" s="4">
        <f>VLOOKUP(G24,Sheet2!A:D,4,0)</f>
        <v>1</v>
      </c>
    </row>
    <row r="25" spans="1:9" hidden="1">
      <c r="A25" s="5" t="s">
        <v>36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217</v>
      </c>
      <c r="H25" t="s">
        <v>221</v>
      </c>
      <c r="I25" s="4">
        <f>VLOOKUP(G25,Sheet2!A:D,4,0)</f>
        <v>1</v>
      </c>
    </row>
    <row r="26" spans="1:9" hidden="1">
      <c r="A26" s="4" t="s">
        <v>37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217</v>
      </c>
      <c r="H26" t="s">
        <v>221</v>
      </c>
      <c r="I26" s="4">
        <f>VLOOKUP(G26,Sheet2!A:D,4,0)</f>
        <v>1</v>
      </c>
    </row>
    <row r="27" spans="1:9" hidden="1">
      <c r="A27" s="5" t="s">
        <v>38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217</v>
      </c>
      <c r="H27" t="s">
        <v>221</v>
      </c>
      <c r="I27" s="4">
        <f>VLOOKUP(G27,Sheet2!A:D,4,0)</f>
        <v>1</v>
      </c>
    </row>
    <row r="28" spans="1:9" hidden="1">
      <c r="A28" s="4" t="s">
        <v>39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217</v>
      </c>
      <c r="H28" t="s">
        <v>221</v>
      </c>
      <c r="I28" s="4">
        <f>VLOOKUP(G28,Sheet2!A:D,4,0)</f>
        <v>1</v>
      </c>
    </row>
    <row r="29" spans="1:9" hidden="1">
      <c r="A29" s="5" t="s">
        <v>40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217</v>
      </c>
      <c r="H29" t="s">
        <v>221</v>
      </c>
      <c r="I29" s="4">
        <f>VLOOKUP(G29,Sheet2!A:D,4,0)</f>
        <v>1</v>
      </c>
    </row>
    <row r="30" spans="1:9" hidden="1">
      <c r="A30" s="4" t="s">
        <v>41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217</v>
      </c>
      <c r="H30" t="s">
        <v>221</v>
      </c>
      <c r="I30" s="4">
        <f>VLOOKUP(G30,Sheet2!A:D,4,0)</f>
        <v>1</v>
      </c>
    </row>
    <row r="31" spans="1:9" hidden="1">
      <c r="A31" s="5" t="s">
        <v>42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217</v>
      </c>
      <c r="H31" t="s">
        <v>221</v>
      </c>
      <c r="I31" s="4">
        <f>VLOOKUP(G31,Sheet2!A:D,4,0)</f>
        <v>1</v>
      </c>
    </row>
    <row r="32" spans="1:9" hidden="1">
      <c r="A32" s="4" t="s">
        <v>43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217</v>
      </c>
      <c r="H32" t="s">
        <v>221</v>
      </c>
      <c r="I32" s="4">
        <f>VLOOKUP(G32,Sheet2!A:D,4,0)</f>
        <v>1</v>
      </c>
    </row>
    <row r="33" spans="1:9" hidden="1">
      <c r="A33" s="5" t="s">
        <v>44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217</v>
      </c>
      <c r="H33" t="s">
        <v>221</v>
      </c>
      <c r="I33" s="4">
        <f>VLOOKUP(G33,Sheet2!A:D,4,0)</f>
        <v>1</v>
      </c>
    </row>
    <row r="34" spans="1:9" hidden="1">
      <c r="A34" s="4" t="s">
        <v>45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46092.49490740741</v>
      </c>
      <c r="G34" t="s">
        <v>217</v>
      </c>
      <c r="H34" t="s">
        <v>221</v>
      </c>
      <c r="I34" s="4">
        <f>VLOOKUP(G34,Sheet2!A:D,4,0)</f>
        <v>1</v>
      </c>
    </row>
    <row r="35" spans="1:9" hidden="1">
      <c r="A35" s="5" t="s">
        <v>46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217</v>
      </c>
      <c r="H35" t="s">
        <v>221</v>
      </c>
      <c r="I35" s="4">
        <f>VLOOKUP(G35,Sheet2!A:D,4,0)</f>
        <v>1</v>
      </c>
    </row>
    <row r="36" spans="1:9" hidden="1">
      <c r="A36" s="4" t="s">
        <v>47</v>
      </c>
      <c r="B36" s="2" t="s">
        <v>169</v>
      </c>
      <c r="C36" s="2" t="s">
        <v>170</v>
      </c>
      <c r="D36" s="4" t="s">
        <v>8</v>
      </c>
      <c r="E36" s="2" t="s">
        <v>171</v>
      </c>
      <c r="F36" s="6">
        <v>46112.306134259263</v>
      </c>
      <c r="G36" t="s">
        <v>217</v>
      </c>
      <c r="H36" t="s">
        <v>221</v>
      </c>
      <c r="I36" s="4">
        <f>VLOOKUP(G36,Sheet2!A:D,4,0)</f>
        <v>1</v>
      </c>
    </row>
    <row r="37" spans="1:9" hidden="1">
      <c r="A37" s="5" t="s">
        <v>48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217</v>
      </c>
      <c r="H37" t="s">
        <v>221</v>
      </c>
      <c r="I37" s="4">
        <f>VLOOKUP(G37,Sheet2!A:D,4,0)</f>
        <v>1</v>
      </c>
    </row>
    <row r="38" spans="1:9" hidden="1">
      <c r="A38" s="4" t="s">
        <v>49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217</v>
      </c>
      <c r="H38" t="s">
        <v>221</v>
      </c>
      <c r="I38" s="4">
        <f>VLOOKUP(G38,Sheet2!A:D,4,0)</f>
        <v>1</v>
      </c>
    </row>
    <row r="39" spans="1:9" hidden="1">
      <c r="A39" s="5" t="s">
        <v>50</v>
      </c>
      <c r="B39" s="3" t="s">
        <v>348</v>
      </c>
      <c r="C39" s="3" t="s">
        <v>349</v>
      </c>
      <c r="D39" s="5" t="s">
        <v>8</v>
      </c>
      <c r="E39" s="3" t="s">
        <v>350</v>
      </c>
      <c r="F39" s="7">
        <v>46091.499374999999</v>
      </c>
      <c r="G39" t="s">
        <v>217</v>
      </c>
      <c r="H39" t="s">
        <v>221</v>
      </c>
      <c r="I39" s="4">
        <f>VLOOKUP(G39,Sheet2!A:D,4,0)</f>
        <v>1</v>
      </c>
    </row>
    <row r="40" spans="1:9" hidden="1">
      <c r="A40" s="4" t="s">
        <v>51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217</v>
      </c>
      <c r="H40" t="s">
        <v>221</v>
      </c>
      <c r="I40" s="4">
        <f>VLOOKUP(G40,Sheet2!A:D,4,0)</f>
        <v>1</v>
      </c>
    </row>
    <row r="41" spans="1:9" hidden="1">
      <c r="A41" s="5" t="s">
        <v>52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217</v>
      </c>
      <c r="H41" t="s">
        <v>221</v>
      </c>
      <c r="I41" s="4">
        <f>VLOOKUP(G41,Sheet2!A:D,4,0)</f>
        <v>1</v>
      </c>
    </row>
    <row r="42" spans="1:9" hidden="1">
      <c r="A42" s="4" t="s">
        <v>53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217</v>
      </c>
      <c r="H42" t="s">
        <v>221</v>
      </c>
      <c r="I42" s="4">
        <f>VLOOKUP(G42,Sheet2!A:D,4,0)</f>
        <v>1</v>
      </c>
    </row>
    <row r="43" spans="1:9" hidden="1">
      <c r="A43" s="5" t="s">
        <v>54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217</v>
      </c>
      <c r="H43" t="s">
        <v>221</v>
      </c>
      <c r="I43" s="4">
        <f>VLOOKUP(G43,Sheet2!A:D,4,0)</f>
        <v>1</v>
      </c>
    </row>
    <row r="44" spans="1:9" hidden="1">
      <c r="A44" s="4" t="s">
        <v>55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217</v>
      </c>
      <c r="H44" t="s">
        <v>221</v>
      </c>
      <c r="I44" s="4">
        <f>VLOOKUP(G44,Sheet2!A:D,4,0)</f>
        <v>1</v>
      </c>
    </row>
    <row r="45" spans="1:9" hidden="1">
      <c r="A45" s="5" t="s">
        <v>56</v>
      </c>
      <c r="B45" s="3" t="s">
        <v>7</v>
      </c>
      <c r="C45" s="3" t="s">
        <v>7</v>
      </c>
      <c r="D45" s="5" t="s">
        <v>8</v>
      </c>
      <c r="E45" s="3" t="s">
        <v>9</v>
      </c>
      <c r="F45" s="7">
        <v>46092.495347222219</v>
      </c>
      <c r="G45" t="s">
        <v>217</v>
      </c>
      <c r="H45" t="s">
        <v>221</v>
      </c>
      <c r="I45" s="4">
        <f>VLOOKUP(G45,Sheet2!A:D,4,0)</f>
        <v>1</v>
      </c>
    </row>
    <row r="46" spans="1:9" hidden="1">
      <c r="A46" s="4" t="s">
        <v>60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217</v>
      </c>
      <c r="H46" t="s">
        <v>221</v>
      </c>
      <c r="I46" s="4">
        <f>VLOOKUP(G46,Sheet2!A:D,4,0)</f>
        <v>1</v>
      </c>
    </row>
    <row r="47" spans="1:9" hidden="1">
      <c r="A47" s="5" t="s">
        <v>61</v>
      </c>
      <c r="B47" s="3" t="s">
        <v>169</v>
      </c>
      <c r="C47" s="3" t="s">
        <v>170</v>
      </c>
      <c r="D47" s="5" t="s">
        <v>8</v>
      </c>
      <c r="E47" s="3" t="s">
        <v>171</v>
      </c>
      <c r="F47" s="7">
        <v>46112.313055555554</v>
      </c>
      <c r="G47" t="s">
        <v>217</v>
      </c>
      <c r="H47" t="s">
        <v>221</v>
      </c>
      <c r="I47" s="4">
        <f>VLOOKUP(G47,Sheet2!A:D,4,0)</f>
        <v>1</v>
      </c>
    </row>
    <row r="48" spans="1:9" hidden="1">
      <c r="A48" s="4" t="s">
        <v>62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217</v>
      </c>
      <c r="H48" t="s">
        <v>221</v>
      </c>
      <c r="I48" s="4">
        <f>VLOOKUP(G48,Sheet2!A:D,4,0)</f>
        <v>1</v>
      </c>
    </row>
    <row r="49" spans="1:9" hidden="1">
      <c r="A49" s="5" t="s">
        <v>63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217</v>
      </c>
      <c r="H49" t="s">
        <v>221</v>
      </c>
      <c r="I49" s="4">
        <f>VLOOKUP(G49,Sheet2!A:D,4,0)</f>
        <v>1</v>
      </c>
    </row>
    <row r="50" spans="1:9" hidden="1">
      <c r="A50" s="4" t="s">
        <v>64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217</v>
      </c>
      <c r="H50" t="s">
        <v>221</v>
      </c>
      <c r="I50" s="4">
        <f>VLOOKUP(G50,Sheet2!A:D,4,0)</f>
        <v>1</v>
      </c>
    </row>
    <row r="51" spans="1:9" hidden="1">
      <c r="A51" s="5" t="s">
        <v>65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217</v>
      </c>
      <c r="H51" t="s">
        <v>221</v>
      </c>
      <c r="I51" s="4">
        <f>VLOOKUP(G51,Sheet2!A:D,4,0)</f>
        <v>1</v>
      </c>
    </row>
    <row r="52" spans="1:9" hidden="1">
      <c r="A52" s="4" t="s">
        <v>66</v>
      </c>
      <c r="B52" s="2" t="s">
        <v>7</v>
      </c>
      <c r="C52" s="2" t="s">
        <v>7</v>
      </c>
      <c r="D52" s="4" t="s">
        <v>8</v>
      </c>
      <c r="E52" s="2" t="s">
        <v>9</v>
      </c>
      <c r="F52" s="6">
        <v>46094.610601851855</v>
      </c>
      <c r="G52" t="s">
        <v>217</v>
      </c>
      <c r="H52" t="s">
        <v>221</v>
      </c>
      <c r="I52" s="4">
        <f>VLOOKUP(G52,Sheet2!A:D,4,0)</f>
        <v>1</v>
      </c>
    </row>
    <row r="53" spans="1:9" hidden="1">
      <c r="A53" s="5" t="s">
        <v>67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217</v>
      </c>
      <c r="H53" t="s">
        <v>221</v>
      </c>
      <c r="I53" s="4">
        <f>VLOOKUP(G53,Sheet2!A:D,4,0)</f>
        <v>1</v>
      </c>
    </row>
    <row r="54" spans="1:9" hidden="1">
      <c r="A54" s="4" t="s">
        <v>68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217</v>
      </c>
      <c r="H54" t="s">
        <v>221</v>
      </c>
      <c r="I54" s="4">
        <f>VLOOKUP(G54,Sheet2!A:D,4,0)</f>
        <v>1</v>
      </c>
    </row>
    <row r="55" spans="1:9" hidden="1">
      <c r="A55" s="5" t="s">
        <v>69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46099.566932870373</v>
      </c>
      <c r="G55" t="s">
        <v>217</v>
      </c>
      <c r="H55" t="s">
        <v>221</v>
      </c>
      <c r="I55" s="4">
        <f>VLOOKUP(G55,Sheet2!A:D,4,0)</f>
        <v>1</v>
      </c>
    </row>
    <row r="56" spans="1:9" hidden="1">
      <c r="A56" s="4" t="s">
        <v>70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217</v>
      </c>
      <c r="H56" t="s">
        <v>221</v>
      </c>
      <c r="I56" s="4">
        <f>VLOOKUP(G56,Sheet2!A:D,4,0)</f>
        <v>1</v>
      </c>
    </row>
    <row r="57" spans="1:9" hidden="1">
      <c r="A57" s="5" t="s">
        <v>71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217</v>
      </c>
      <c r="H57" t="s">
        <v>221</v>
      </c>
      <c r="I57" s="4">
        <f>VLOOKUP(G57,Sheet2!A:D,4,0)</f>
        <v>1</v>
      </c>
    </row>
    <row r="58" spans="1:9" hidden="1">
      <c r="A58" s="4" t="s">
        <v>72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217</v>
      </c>
      <c r="H58" t="s">
        <v>221</v>
      </c>
      <c r="I58" s="4">
        <f>VLOOKUP(G58,Sheet2!A:D,4,0)</f>
        <v>1</v>
      </c>
    </row>
    <row r="59" spans="1:9" hidden="1">
      <c r="A59" s="5" t="s">
        <v>73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217</v>
      </c>
      <c r="H59" t="s">
        <v>221</v>
      </c>
      <c r="I59" s="4">
        <f>VLOOKUP(G59,Sheet2!A:D,4,0)</f>
        <v>1</v>
      </c>
    </row>
    <row r="60" spans="1:9" hidden="1">
      <c r="A60" s="4" t="s">
        <v>74</v>
      </c>
      <c r="B60" s="2" t="s">
        <v>169</v>
      </c>
      <c r="C60" s="2" t="s">
        <v>170</v>
      </c>
      <c r="D60" s="4" t="s">
        <v>8</v>
      </c>
      <c r="E60" s="2" t="s">
        <v>171</v>
      </c>
      <c r="F60" s="6">
        <v>46112.303993055553</v>
      </c>
      <c r="G60" t="s">
        <v>217</v>
      </c>
      <c r="H60" t="s">
        <v>221</v>
      </c>
      <c r="I60" s="4">
        <f>VLOOKUP(G60,Sheet2!A:D,4,0)</f>
        <v>1</v>
      </c>
    </row>
    <row r="61" spans="1:9" hidden="1">
      <c r="A61" s="5" t="s">
        <v>75</v>
      </c>
      <c r="B61" s="3" t="s">
        <v>7</v>
      </c>
      <c r="C61" s="3" t="s">
        <v>7</v>
      </c>
      <c r="D61" s="5" t="s">
        <v>8</v>
      </c>
      <c r="E61" s="3" t="s">
        <v>9</v>
      </c>
      <c r="F61" s="7">
        <v>46097.330682870372</v>
      </c>
      <c r="G61" t="s">
        <v>217</v>
      </c>
      <c r="H61" t="s">
        <v>221</v>
      </c>
      <c r="I61" s="4">
        <f>VLOOKUP(G61,Sheet2!A:D,4,0)</f>
        <v>1</v>
      </c>
    </row>
    <row r="62" spans="1:9" hidden="1">
      <c r="A62" s="4" t="s">
        <v>76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217</v>
      </c>
      <c r="H62" t="s">
        <v>221</v>
      </c>
      <c r="I62" s="4">
        <f>VLOOKUP(G62,Sheet2!A:D,4,0)</f>
        <v>1</v>
      </c>
    </row>
    <row r="63" spans="1:9" hidden="1">
      <c r="A63" s="5" t="s">
        <v>77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217</v>
      </c>
      <c r="H63" t="s">
        <v>221</v>
      </c>
      <c r="I63" s="4">
        <f>VLOOKUP(G63,Sheet2!A:D,4,0)</f>
        <v>1</v>
      </c>
    </row>
    <row r="64" spans="1:9" hidden="1">
      <c r="A64" s="4" t="s">
        <v>78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217</v>
      </c>
      <c r="H64" t="s">
        <v>221</v>
      </c>
      <c r="I64" s="4">
        <f>VLOOKUP(G64,Sheet2!A:D,4,0)</f>
        <v>1</v>
      </c>
    </row>
    <row r="65" spans="1:9" hidden="1">
      <c r="A65" s="5" t="s">
        <v>79</v>
      </c>
      <c r="B65" s="3" t="s">
        <v>169</v>
      </c>
      <c r="C65" s="3" t="s">
        <v>170</v>
      </c>
      <c r="D65" s="5" t="s">
        <v>8</v>
      </c>
      <c r="E65" s="3" t="s">
        <v>171</v>
      </c>
      <c r="F65" s="7">
        <v>46112.30023148148</v>
      </c>
      <c r="G65" t="s">
        <v>217</v>
      </c>
      <c r="H65" t="s">
        <v>221</v>
      </c>
      <c r="I65" s="4">
        <f>VLOOKUP(G65,Sheet2!A:D,4,0)</f>
        <v>1</v>
      </c>
    </row>
    <row r="66" spans="1:9" hidden="1">
      <c r="A66" s="4" t="s">
        <v>80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217</v>
      </c>
      <c r="H66" t="s">
        <v>221</v>
      </c>
      <c r="I66" s="4">
        <f>VLOOKUP(G66,Sheet2!A:D,4,0)</f>
        <v>1</v>
      </c>
    </row>
    <row r="67" spans="1:9" hidden="1">
      <c r="A67" s="5" t="s">
        <v>81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217</v>
      </c>
      <c r="H67" t="s">
        <v>221</v>
      </c>
      <c r="I67" s="4">
        <f>VLOOKUP(G67,Sheet2!A:D,4,0)</f>
        <v>1</v>
      </c>
    </row>
    <row r="68" spans="1:9" hidden="1">
      <c r="A68" s="4" t="s">
        <v>82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217</v>
      </c>
      <c r="H68" t="s">
        <v>221</v>
      </c>
      <c r="I68" s="4">
        <f>VLOOKUP(G68,Sheet2!A:D,4,0)</f>
        <v>1</v>
      </c>
    </row>
    <row r="69" spans="1:9" hidden="1">
      <c r="A69" s="5" t="s">
        <v>83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217</v>
      </c>
      <c r="H69" t="s">
        <v>221</v>
      </c>
      <c r="I69" s="4">
        <f>VLOOKUP(G69,Sheet2!A:D,4,0)</f>
        <v>1</v>
      </c>
    </row>
    <row r="70" spans="1:9" hidden="1">
      <c r="A70" s="4" t="s">
        <v>84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217</v>
      </c>
      <c r="H70" t="s">
        <v>221</v>
      </c>
      <c r="I70" s="4">
        <f>VLOOKUP(G70,Sheet2!A:D,4,0)</f>
        <v>1</v>
      </c>
    </row>
    <row r="71" spans="1:9" hidden="1">
      <c r="A71" s="5" t="s">
        <v>85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217</v>
      </c>
      <c r="H71" t="s">
        <v>221</v>
      </c>
      <c r="I71" s="4">
        <f>VLOOKUP(G71,Sheet2!A:D,4,0)</f>
        <v>1</v>
      </c>
    </row>
    <row r="72" spans="1:9" hidden="1">
      <c r="A72" s="4" t="s">
        <v>86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216</v>
      </c>
      <c r="H72" t="s">
        <v>222</v>
      </c>
      <c r="I72" s="4">
        <f>VLOOKUP(G72,Sheet2!A:D,4,0)</f>
        <v>2</v>
      </c>
    </row>
    <row r="73" spans="1:9" hidden="1">
      <c r="A73" s="5" t="s">
        <v>87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216</v>
      </c>
      <c r="H73" t="s">
        <v>222</v>
      </c>
      <c r="I73" s="4">
        <f>VLOOKUP(G73,Sheet2!A:D,4,0)</f>
        <v>2</v>
      </c>
    </row>
    <row r="74" spans="1:9" hidden="1">
      <c r="A74" s="4" t="s">
        <v>88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216</v>
      </c>
      <c r="H74" t="s">
        <v>222</v>
      </c>
      <c r="I74" s="4">
        <f>VLOOKUP(G74,Sheet2!A:D,4,0)</f>
        <v>2</v>
      </c>
    </row>
    <row r="75" spans="1:9" hidden="1">
      <c r="A75" s="5" t="s">
        <v>89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216</v>
      </c>
      <c r="H75" t="s">
        <v>222</v>
      </c>
      <c r="I75" s="4">
        <f>VLOOKUP(G75,Sheet2!A:D,4,0)</f>
        <v>2</v>
      </c>
    </row>
    <row r="76" spans="1:9" hidden="1">
      <c r="A76" s="4" t="s">
        <v>90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216</v>
      </c>
      <c r="H76" t="s">
        <v>222</v>
      </c>
      <c r="I76" s="4">
        <f>VLOOKUP(G76,Sheet2!A:D,4,0)</f>
        <v>2</v>
      </c>
    </row>
    <row r="77" spans="1:9" hidden="1">
      <c r="A77" s="5" t="s">
        <v>91</v>
      </c>
      <c r="B77" s="3" t="s">
        <v>169</v>
      </c>
      <c r="C77" s="3" t="s">
        <v>170</v>
      </c>
      <c r="D77" s="5" t="s">
        <v>8</v>
      </c>
      <c r="E77" s="3" t="s">
        <v>171</v>
      </c>
      <c r="F77" s="7">
        <v>46111.594108796293</v>
      </c>
      <c r="G77" t="s">
        <v>216</v>
      </c>
      <c r="H77" t="s">
        <v>222</v>
      </c>
      <c r="I77" s="4">
        <f>VLOOKUP(G77,Sheet2!A:D,4,0)</f>
        <v>2</v>
      </c>
    </row>
    <row r="78" spans="1:9" hidden="1">
      <c r="A78" s="4" t="s">
        <v>92</v>
      </c>
      <c r="B78" s="2" t="s">
        <v>169</v>
      </c>
      <c r="C78" s="2" t="s">
        <v>170</v>
      </c>
      <c r="D78" s="4" t="s">
        <v>8</v>
      </c>
      <c r="E78" s="2" t="s">
        <v>171</v>
      </c>
      <c r="F78" s="6">
        <v>46111.517731481479</v>
      </c>
      <c r="G78" t="s">
        <v>216</v>
      </c>
      <c r="H78" t="s">
        <v>222</v>
      </c>
      <c r="I78" s="4">
        <f>VLOOKUP(G78,Sheet2!A:D,4,0)</f>
        <v>2</v>
      </c>
    </row>
    <row r="79" spans="1:9" hidden="1">
      <c r="A79" s="5" t="s">
        <v>93</v>
      </c>
      <c r="B79" s="3" t="s">
        <v>169</v>
      </c>
      <c r="C79" s="3" t="s">
        <v>170</v>
      </c>
      <c r="D79" s="5" t="s">
        <v>8</v>
      </c>
      <c r="E79" s="3" t="s">
        <v>171</v>
      </c>
      <c r="F79" s="7">
        <v>46111.600219907406</v>
      </c>
      <c r="G79" t="s">
        <v>216</v>
      </c>
      <c r="H79" t="s">
        <v>222</v>
      </c>
      <c r="I79" s="4">
        <f>VLOOKUP(G79,Sheet2!A:D,4,0)</f>
        <v>2</v>
      </c>
    </row>
    <row r="80" spans="1:9" hidden="1">
      <c r="A80" s="4" t="s">
        <v>94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216</v>
      </c>
      <c r="H80" t="s">
        <v>222</v>
      </c>
      <c r="I80" s="4">
        <f>VLOOKUP(G80,Sheet2!A:D,4,0)</f>
        <v>2</v>
      </c>
    </row>
    <row r="81" spans="1:9" hidden="1">
      <c r="A81" s="5" t="s">
        <v>95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216</v>
      </c>
      <c r="H81" t="s">
        <v>222</v>
      </c>
      <c r="I81" s="4">
        <f>VLOOKUP(G81,Sheet2!A:D,4,0)</f>
        <v>2</v>
      </c>
    </row>
    <row r="82" spans="1:9" hidden="1">
      <c r="A82" s="4" t="s">
        <v>96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216</v>
      </c>
      <c r="H82" t="s">
        <v>222</v>
      </c>
      <c r="I82" s="4">
        <f>VLOOKUP(G82,Sheet2!A:D,4,0)</f>
        <v>2</v>
      </c>
    </row>
    <row r="83" spans="1:9" hidden="1">
      <c r="A83" s="5" t="s">
        <v>97</v>
      </c>
      <c r="B83" s="3" t="s">
        <v>169</v>
      </c>
      <c r="C83" s="3" t="s">
        <v>170</v>
      </c>
      <c r="D83" s="5" t="s">
        <v>8</v>
      </c>
      <c r="E83" s="3" t="s">
        <v>171</v>
      </c>
      <c r="F83" s="7">
        <v>46111.584664351853</v>
      </c>
      <c r="G83" t="s">
        <v>216</v>
      </c>
      <c r="H83" t="s">
        <v>222</v>
      </c>
      <c r="I83" s="4">
        <f>VLOOKUP(G83,Sheet2!A:D,4,0)</f>
        <v>2</v>
      </c>
    </row>
    <row r="84" spans="1:9" hidden="1">
      <c r="A84" s="4" t="s">
        <v>98</v>
      </c>
      <c r="B84" s="2" t="s">
        <v>169</v>
      </c>
      <c r="C84" s="2" t="s">
        <v>170</v>
      </c>
      <c r="D84" s="4" t="s">
        <v>8</v>
      </c>
      <c r="E84" s="2" t="s">
        <v>171</v>
      </c>
      <c r="F84" s="6">
        <v>46111.515844907408</v>
      </c>
      <c r="G84" t="s">
        <v>216</v>
      </c>
      <c r="H84" t="s">
        <v>222</v>
      </c>
      <c r="I84" s="4">
        <f>VLOOKUP(G84,Sheet2!A:D,4,0)</f>
        <v>2</v>
      </c>
    </row>
    <row r="85" spans="1:9" hidden="1">
      <c r="A85" s="5" t="s">
        <v>99</v>
      </c>
      <c r="B85" s="3" t="s">
        <v>169</v>
      </c>
      <c r="C85" s="3" t="s">
        <v>170</v>
      </c>
      <c r="D85" s="5" t="s">
        <v>8</v>
      </c>
      <c r="E85" s="3" t="s">
        <v>171</v>
      </c>
      <c r="F85" s="7">
        <v>46112.292581018519</v>
      </c>
      <c r="G85" t="s">
        <v>216</v>
      </c>
      <c r="H85" t="s">
        <v>222</v>
      </c>
      <c r="I85" s="4">
        <f>VLOOKUP(G85,Sheet2!A:D,4,0)</f>
        <v>2</v>
      </c>
    </row>
    <row r="86" spans="1:9" hidden="1">
      <c r="A86" s="4" t="s">
        <v>100</v>
      </c>
      <c r="B86" s="2" t="s">
        <v>7</v>
      </c>
      <c r="C86" s="2" t="s">
        <v>7</v>
      </c>
      <c r="D86" s="4" t="s">
        <v>8</v>
      </c>
      <c r="E86" s="2" t="s">
        <v>9</v>
      </c>
      <c r="F86" s="6">
        <v>46092.495717592596</v>
      </c>
      <c r="G86" t="s">
        <v>216</v>
      </c>
      <c r="H86" t="s">
        <v>222</v>
      </c>
      <c r="I86" s="4">
        <f>VLOOKUP(G86,Sheet2!A:D,4,0)</f>
        <v>2</v>
      </c>
    </row>
    <row r="87" spans="1:9" hidden="1">
      <c r="A87" s="5" t="s">
        <v>101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216</v>
      </c>
      <c r="H87" t="s">
        <v>222</v>
      </c>
      <c r="I87" s="4">
        <f>VLOOKUP(G87,Sheet2!A:D,4,0)</f>
        <v>2</v>
      </c>
    </row>
    <row r="88" spans="1:9" hidden="1">
      <c r="A88" s="4" t="s">
        <v>102</v>
      </c>
      <c r="B88" s="2" t="s">
        <v>7</v>
      </c>
      <c r="C88" s="2" t="s">
        <v>7</v>
      </c>
      <c r="D88" s="4" t="s">
        <v>8</v>
      </c>
      <c r="E88" s="2" t="s">
        <v>9</v>
      </c>
      <c r="F88" s="6">
        <v>46092.49559027778</v>
      </c>
      <c r="G88" t="s">
        <v>216</v>
      </c>
      <c r="H88" t="s">
        <v>222</v>
      </c>
      <c r="I88" s="4">
        <f>VLOOKUP(G88,Sheet2!A:D,4,0)</f>
        <v>2</v>
      </c>
    </row>
    <row r="89" spans="1:9" hidden="1">
      <c r="A89" s="5" t="s">
        <v>103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216</v>
      </c>
      <c r="H89" t="s">
        <v>222</v>
      </c>
      <c r="I89" s="4">
        <f>VLOOKUP(G89,Sheet2!A:D,4,0)</f>
        <v>2</v>
      </c>
    </row>
    <row r="90" spans="1:9" hidden="1">
      <c r="A90" s="4" t="s">
        <v>104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216</v>
      </c>
      <c r="H90" t="s">
        <v>222</v>
      </c>
      <c r="I90" s="4">
        <f>VLOOKUP(G90,Sheet2!A:D,4,0)</f>
        <v>2</v>
      </c>
    </row>
    <row r="91" spans="1:9" hidden="1">
      <c r="A91" s="5" t="s">
        <v>105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216</v>
      </c>
      <c r="H91" t="s">
        <v>222</v>
      </c>
      <c r="I91" s="4">
        <f>VLOOKUP(G91,Sheet2!A:D,4,0)</f>
        <v>2</v>
      </c>
    </row>
    <row r="92" spans="1:9" hidden="1">
      <c r="A92" s="4" t="s">
        <v>106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216</v>
      </c>
      <c r="H92" t="s">
        <v>222</v>
      </c>
      <c r="I92" s="4">
        <f>VLOOKUP(G92,Sheet2!A:D,4,0)</f>
        <v>2</v>
      </c>
    </row>
    <row r="93" spans="1:9" hidden="1">
      <c r="A93" s="5" t="s">
        <v>107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216</v>
      </c>
      <c r="H93" t="s">
        <v>222</v>
      </c>
      <c r="I93" s="4">
        <f>VLOOKUP(G93,Sheet2!A:D,4,0)</f>
        <v>2</v>
      </c>
    </row>
    <row r="94" spans="1:9" hidden="1">
      <c r="A94" s="4" t="s">
        <v>108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216</v>
      </c>
      <c r="H94" t="s">
        <v>222</v>
      </c>
      <c r="I94" s="4">
        <f>VLOOKUP(G94,Sheet2!A:D,4,0)</f>
        <v>2</v>
      </c>
    </row>
    <row r="95" spans="1:9" hidden="1">
      <c r="A95" s="5" t="s">
        <v>109</v>
      </c>
      <c r="B95" s="3" t="s">
        <v>169</v>
      </c>
      <c r="C95" s="3" t="s">
        <v>170</v>
      </c>
      <c r="D95" s="5" t="s">
        <v>8</v>
      </c>
      <c r="E95" s="3" t="s">
        <v>171</v>
      </c>
      <c r="F95" s="7">
        <v>46111.516655092593</v>
      </c>
      <c r="G95" t="s">
        <v>216</v>
      </c>
      <c r="H95" t="s">
        <v>222</v>
      </c>
      <c r="I95" s="4">
        <f>VLOOKUP(G95,Sheet2!A:D,4,0)</f>
        <v>2</v>
      </c>
    </row>
    <row r="96" spans="1:9" hidden="1">
      <c r="A96" s="4" t="s">
        <v>110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216</v>
      </c>
      <c r="H96" t="s">
        <v>222</v>
      </c>
      <c r="I96" s="4">
        <f>VLOOKUP(G96,Sheet2!A:D,4,0)</f>
        <v>2</v>
      </c>
    </row>
    <row r="97" spans="1:9" hidden="1">
      <c r="A97" s="5" t="s">
        <v>111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216</v>
      </c>
      <c r="H97" t="s">
        <v>222</v>
      </c>
      <c r="I97" s="4">
        <f>VLOOKUP(G97,Sheet2!A:D,4,0)</f>
        <v>2</v>
      </c>
    </row>
    <row r="98" spans="1:9" hidden="1">
      <c r="A98" s="4" t="s">
        <v>112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216</v>
      </c>
      <c r="H98" t="s">
        <v>222</v>
      </c>
      <c r="I98" s="4">
        <f>VLOOKUP(G98,Sheet2!A:D,4,0)</f>
        <v>2</v>
      </c>
    </row>
    <row r="99" spans="1:9" hidden="1">
      <c r="A99" s="5" t="s">
        <v>113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216</v>
      </c>
      <c r="H99" t="s">
        <v>222</v>
      </c>
      <c r="I99" s="4">
        <f>VLOOKUP(G99,Sheet2!A:D,4,0)</f>
        <v>2</v>
      </c>
    </row>
    <row r="100" spans="1:9" hidden="1">
      <c r="A100" s="4" t="s">
        <v>114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216</v>
      </c>
      <c r="H100" t="s">
        <v>222</v>
      </c>
      <c r="I100" s="4">
        <f>VLOOKUP(G100,Sheet2!A:D,4,0)</f>
        <v>2</v>
      </c>
    </row>
    <row r="101" spans="1:9" hidden="1">
      <c r="A101" s="5" t="s">
        <v>115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216</v>
      </c>
      <c r="H101" t="s">
        <v>222</v>
      </c>
      <c r="I101" s="4">
        <f>VLOOKUP(G101,Sheet2!A:D,4,0)</f>
        <v>2</v>
      </c>
    </row>
    <row r="102" spans="1:9" hidden="1">
      <c r="A102" s="4" t="s">
        <v>116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216</v>
      </c>
      <c r="H102" t="s">
        <v>222</v>
      </c>
      <c r="I102" s="4">
        <f>VLOOKUP(G102,Sheet2!A:D,4,0)</f>
        <v>2</v>
      </c>
    </row>
    <row r="103" spans="1:9" hidden="1">
      <c r="A103" s="5" t="s">
        <v>117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216</v>
      </c>
      <c r="H103" t="s">
        <v>222</v>
      </c>
      <c r="I103" s="4">
        <f>VLOOKUP(G103,Sheet2!A:D,4,0)</f>
        <v>2</v>
      </c>
    </row>
    <row r="104" spans="1:9" hidden="1">
      <c r="A104" s="4" t="s">
        <v>118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216</v>
      </c>
      <c r="H104" t="s">
        <v>222</v>
      </c>
      <c r="I104" s="4">
        <f>VLOOKUP(G104,Sheet2!A:D,4,0)</f>
        <v>2</v>
      </c>
    </row>
    <row r="105" spans="1:9" hidden="1">
      <c r="A105" s="5" t="s">
        <v>119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216</v>
      </c>
      <c r="H105" t="s">
        <v>222</v>
      </c>
      <c r="I105" s="4">
        <f>VLOOKUP(G105,Sheet2!A:D,4,0)</f>
        <v>2</v>
      </c>
    </row>
    <row r="106" spans="1:9" hidden="1">
      <c r="A106" s="4" t="s">
        <v>120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216</v>
      </c>
      <c r="H106" t="s">
        <v>222</v>
      </c>
      <c r="I106" s="4">
        <f>VLOOKUP(G106,Sheet2!A:D,4,0)</f>
        <v>2</v>
      </c>
    </row>
    <row r="107" spans="1:9" hidden="1">
      <c r="A107" s="5" t="s">
        <v>121</v>
      </c>
      <c r="B107" s="3" t="s">
        <v>57</v>
      </c>
      <c r="C107" s="3" t="s">
        <v>58</v>
      </c>
      <c r="D107" s="5" t="s">
        <v>8</v>
      </c>
      <c r="E107" s="3" t="s">
        <v>59</v>
      </c>
      <c r="F107" s="7">
        <v>46077.33935185185</v>
      </c>
      <c r="G107" t="s">
        <v>216</v>
      </c>
      <c r="H107" t="s">
        <v>222</v>
      </c>
      <c r="I107" s="4">
        <f>VLOOKUP(G107,Sheet2!A:D,4,0)</f>
        <v>2</v>
      </c>
    </row>
    <row r="108" spans="1:9" hidden="1">
      <c r="A108" s="4" t="s">
        <v>122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216</v>
      </c>
      <c r="H108" t="s">
        <v>222</v>
      </c>
      <c r="I108" s="4">
        <f>VLOOKUP(G108,Sheet2!A:D,4,0)</f>
        <v>2</v>
      </c>
    </row>
    <row r="109" spans="1:9" hidden="1">
      <c r="A109" s="5" t="s">
        <v>123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216</v>
      </c>
      <c r="H109" t="s">
        <v>222</v>
      </c>
      <c r="I109" s="4">
        <f>VLOOKUP(G109,Sheet2!A:D,4,0)</f>
        <v>2</v>
      </c>
    </row>
    <row r="110" spans="1:9" hidden="1">
      <c r="A110" s="4" t="s">
        <v>124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216</v>
      </c>
      <c r="H110" t="s">
        <v>222</v>
      </c>
      <c r="I110" s="4">
        <f>VLOOKUP(G110,Sheet2!A:D,4,0)</f>
        <v>2</v>
      </c>
    </row>
    <row r="111" spans="1:9" hidden="1">
      <c r="A111" s="5" t="s">
        <v>125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216</v>
      </c>
      <c r="H111" t="s">
        <v>222</v>
      </c>
      <c r="I111" s="4">
        <f>VLOOKUP(G111,Sheet2!A:D,4,0)</f>
        <v>2</v>
      </c>
    </row>
    <row r="112" spans="1:9" hidden="1">
      <c r="A112" s="4" t="s">
        <v>126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216</v>
      </c>
      <c r="H112" t="s">
        <v>222</v>
      </c>
      <c r="I112" s="4">
        <f>VLOOKUP(G112,Sheet2!A:D,4,0)</f>
        <v>2</v>
      </c>
    </row>
    <row r="113" spans="1:9" hidden="1">
      <c r="A113" s="5" t="s">
        <v>127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216</v>
      </c>
      <c r="H113" t="s">
        <v>222</v>
      </c>
      <c r="I113" s="4">
        <f>VLOOKUP(G113,Sheet2!A:D,4,0)</f>
        <v>2</v>
      </c>
    </row>
    <row r="114" spans="1:9" hidden="1">
      <c r="A114" s="4" t="s">
        <v>128</v>
      </c>
      <c r="B114" s="2" t="s">
        <v>57</v>
      </c>
      <c r="C114" s="2" t="s">
        <v>58</v>
      </c>
      <c r="D114" s="4" t="s">
        <v>8</v>
      </c>
      <c r="E114" s="2" t="s">
        <v>59</v>
      </c>
      <c r="F114" s="6">
        <v>46077.340219907404</v>
      </c>
      <c r="G114" t="s">
        <v>216</v>
      </c>
      <c r="H114" t="s">
        <v>222</v>
      </c>
      <c r="I114" s="4">
        <f>VLOOKUP(G114,Sheet2!A:D,4,0)</f>
        <v>2</v>
      </c>
    </row>
    <row r="115" spans="1:9" hidden="1">
      <c r="A115" s="5" t="s">
        <v>129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216</v>
      </c>
      <c r="H115" t="s">
        <v>222</v>
      </c>
      <c r="I115" s="4">
        <f>VLOOKUP(G115,Sheet2!A:D,4,0)</f>
        <v>2</v>
      </c>
    </row>
    <row r="116" spans="1:9" hidden="1">
      <c r="A116" s="4" t="s">
        <v>130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216</v>
      </c>
      <c r="H116" t="s">
        <v>222</v>
      </c>
      <c r="I116" s="4">
        <f>VLOOKUP(G116,Sheet2!A:D,4,0)</f>
        <v>2</v>
      </c>
    </row>
    <row r="117" spans="1:9" hidden="1">
      <c r="A117" s="5" t="s">
        <v>131</v>
      </c>
      <c r="B117" s="3" t="s">
        <v>7</v>
      </c>
      <c r="C117" s="3" t="s">
        <v>7</v>
      </c>
      <c r="D117" s="5" t="s">
        <v>8</v>
      </c>
      <c r="E117" s="3" t="s">
        <v>9</v>
      </c>
      <c r="F117" s="7">
        <v>46092.495925925927</v>
      </c>
      <c r="G117" t="s">
        <v>216</v>
      </c>
      <c r="H117" t="s">
        <v>222</v>
      </c>
      <c r="I117" s="4">
        <f>VLOOKUP(G117,Sheet2!A:D,4,0)</f>
        <v>2</v>
      </c>
    </row>
    <row r="118" spans="1:9" hidden="1">
      <c r="A118" s="4" t="s">
        <v>132</v>
      </c>
      <c r="B118" s="2" t="s">
        <v>169</v>
      </c>
      <c r="C118" s="2" t="s">
        <v>170</v>
      </c>
      <c r="D118" s="4" t="s">
        <v>8</v>
      </c>
      <c r="E118" s="2" t="s">
        <v>171</v>
      </c>
      <c r="F118" s="6">
        <v>46112.286597222221</v>
      </c>
      <c r="G118" t="s">
        <v>216</v>
      </c>
      <c r="H118" t="s">
        <v>222</v>
      </c>
      <c r="I118" s="4">
        <f>VLOOKUP(G118,Sheet2!A:D,4,0)</f>
        <v>2</v>
      </c>
    </row>
    <row r="119" spans="1:9" hidden="1">
      <c r="A119" s="5" t="s">
        <v>133</v>
      </c>
      <c r="B119" s="3" t="s">
        <v>7</v>
      </c>
      <c r="C119" s="3" t="s">
        <v>7</v>
      </c>
      <c r="D119" s="5" t="s">
        <v>8</v>
      </c>
      <c r="E119" s="3" t="s">
        <v>9</v>
      </c>
      <c r="F119" s="7">
        <v>46094.599942129629</v>
      </c>
      <c r="G119" t="s">
        <v>216</v>
      </c>
      <c r="H119" t="s">
        <v>222</v>
      </c>
      <c r="I119" s="4">
        <f>VLOOKUP(G119,Sheet2!A:D,4,0)</f>
        <v>2</v>
      </c>
    </row>
    <row r="120" spans="1:9" hidden="1">
      <c r="A120" s="4" t="s">
        <v>134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216</v>
      </c>
      <c r="H120" t="s">
        <v>222</v>
      </c>
      <c r="I120" s="4">
        <f>VLOOKUP(G120,Sheet2!A:D,4,0)</f>
        <v>2</v>
      </c>
    </row>
    <row r="121" spans="1:9" hidden="1">
      <c r="A121" s="5" t="s">
        <v>135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216</v>
      </c>
      <c r="H121" t="s">
        <v>222</v>
      </c>
      <c r="I121" s="4">
        <f>VLOOKUP(G121,Sheet2!A:D,4,0)</f>
        <v>2</v>
      </c>
    </row>
    <row r="122" spans="1:9" hidden="1">
      <c r="A122" s="4" t="s">
        <v>136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216</v>
      </c>
      <c r="H122" t="s">
        <v>222</v>
      </c>
      <c r="I122" s="4">
        <f>VLOOKUP(G122,Sheet2!A:D,4,0)</f>
        <v>2</v>
      </c>
    </row>
    <row r="123" spans="1:9" hidden="1">
      <c r="A123" s="5" t="s">
        <v>137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216</v>
      </c>
      <c r="H123" t="s">
        <v>222</v>
      </c>
      <c r="I123" s="4">
        <f>VLOOKUP(G123,Sheet2!A:D,4,0)</f>
        <v>2</v>
      </c>
    </row>
    <row r="124" spans="1:9" hidden="1">
      <c r="A124" s="4" t="s">
        <v>138</v>
      </c>
      <c r="B124" s="2" t="s">
        <v>169</v>
      </c>
      <c r="C124" s="2" t="s">
        <v>170</v>
      </c>
      <c r="D124" s="4" t="s">
        <v>8</v>
      </c>
      <c r="E124" s="2" t="s">
        <v>171</v>
      </c>
      <c r="F124" s="6">
        <v>46111.597812499997</v>
      </c>
      <c r="G124" t="s">
        <v>216</v>
      </c>
      <c r="H124" t="s">
        <v>222</v>
      </c>
      <c r="I124" s="4">
        <f>VLOOKUP(G124,Sheet2!A:D,4,0)</f>
        <v>2</v>
      </c>
    </row>
    <row r="125" spans="1:9" hidden="1">
      <c r="A125" s="5" t="s">
        <v>139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216</v>
      </c>
      <c r="H125" t="s">
        <v>222</v>
      </c>
      <c r="I125" s="4">
        <f>VLOOKUP(G125,Sheet2!A:D,4,0)</f>
        <v>2</v>
      </c>
    </row>
    <row r="126" spans="1:9" hidden="1">
      <c r="A126" s="4" t="s">
        <v>140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216</v>
      </c>
      <c r="H126" t="s">
        <v>222</v>
      </c>
      <c r="I126" s="4">
        <f>VLOOKUP(G126,Sheet2!A:D,4,0)</f>
        <v>2</v>
      </c>
    </row>
    <row r="127" spans="1:9" hidden="1">
      <c r="A127" s="5" t="s">
        <v>141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216</v>
      </c>
      <c r="H127" t="s">
        <v>222</v>
      </c>
      <c r="I127" s="4">
        <f>VLOOKUP(G127,Sheet2!A:D,4,0)</f>
        <v>2</v>
      </c>
    </row>
    <row r="128" spans="1:9" hidden="1">
      <c r="A128" s="4" t="s">
        <v>142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216</v>
      </c>
      <c r="H128" t="s">
        <v>222</v>
      </c>
      <c r="I128" s="4">
        <f>VLOOKUP(G128,Sheet2!A:D,4,0)</f>
        <v>2</v>
      </c>
    </row>
    <row r="129" spans="1:9" hidden="1">
      <c r="A129" s="5" t="s">
        <v>143</v>
      </c>
      <c r="B129" s="3" t="s">
        <v>7</v>
      </c>
      <c r="C129" s="3" t="s">
        <v>7</v>
      </c>
      <c r="D129" s="5" t="s">
        <v>8</v>
      </c>
      <c r="E129" s="3" t="s">
        <v>9</v>
      </c>
      <c r="F129" s="7">
        <v>46092.495462962965</v>
      </c>
      <c r="G129" t="s">
        <v>216</v>
      </c>
      <c r="H129" t="s">
        <v>222</v>
      </c>
      <c r="I129" s="4">
        <f>VLOOKUP(G129,Sheet2!A:D,4,0)</f>
        <v>2</v>
      </c>
    </row>
    <row r="130" spans="1:9" hidden="1">
      <c r="A130" s="4" t="s">
        <v>144</v>
      </c>
      <c r="B130" s="2" t="s">
        <v>169</v>
      </c>
      <c r="C130" s="2" t="s">
        <v>170</v>
      </c>
      <c r="D130" s="4" t="s">
        <v>8</v>
      </c>
      <c r="E130" s="2" t="s">
        <v>171</v>
      </c>
      <c r="F130" s="6">
        <v>46111.602418981478</v>
      </c>
      <c r="G130" t="s">
        <v>216</v>
      </c>
      <c r="H130" t="s">
        <v>222</v>
      </c>
      <c r="I130" s="4">
        <f>VLOOKUP(G130,Sheet2!A:D,4,0)</f>
        <v>2</v>
      </c>
    </row>
    <row r="131" spans="1:9" hidden="1">
      <c r="A131" s="5" t="s">
        <v>145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216</v>
      </c>
      <c r="H131" t="s">
        <v>222</v>
      </c>
      <c r="I131" s="4">
        <f>VLOOKUP(G131,Sheet2!A:D,4,0)</f>
        <v>2</v>
      </c>
    </row>
    <row r="132" spans="1:9" hidden="1">
      <c r="A132" s="4" t="s">
        <v>146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216</v>
      </c>
      <c r="H132" t="s">
        <v>222</v>
      </c>
      <c r="I132" s="4">
        <f>VLOOKUP(G132,Sheet2!A:D,4,0)</f>
        <v>2</v>
      </c>
    </row>
    <row r="133" spans="1:9" hidden="1">
      <c r="A133" s="5" t="s">
        <v>147</v>
      </c>
      <c r="B133" s="3" t="s">
        <v>7</v>
      </c>
      <c r="C133" s="3" t="s">
        <v>7</v>
      </c>
      <c r="D133" s="5" t="s">
        <v>8</v>
      </c>
      <c r="E133" s="3" t="s">
        <v>9</v>
      </c>
      <c r="F133" s="7">
        <v>46098.519803240742</v>
      </c>
      <c r="G133" t="s">
        <v>216</v>
      </c>
      <c r="H133" t="s">
        <v>222</v>
      </c>
      <c r="I133" s="4">
        <f>VLOOKUP(G133,Sheet2!A:D,4,0)</f>
        <v>2</v>
      </c>
    </row>
    <row r="134" spans="1:9" hidden="1">
      <c r="A134" s="4" t="s">
        <v>148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216</v>
      </c>
      <c r="H134" t="s">
        <v>222</v>
      </c>
      <c r="I134" s="4">
        <f>VLOOKUP(G134,Sheet2!A:D,4,0)</f>
        <v>2</v>
      </c>
    </row>
    <row r="135" spans="1:9" hidden="1">
      <c r="A135" s="5" t="s">
        <v>149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216</v>
      </c>
      <c r="H135" t="s">
        <v>222</v>
      </c>
      <c r="I135" s="4">
        <f>VLOOKUP(G135,Sheet2!A:D,4,0)</f>
        <v>2</v>
      </c>
    </row>
    <row r="136" spans="1:9" hidden="1">
      <c r="A136" s="4" t="s">
        <v>150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216</v>
      </c>
      <c r="H136" t="s">
        <v>222</v>
      </c>
      <c r="I136" s="4">
        <f>VLOOKUP(G136,Sheet2!A:D,4,0)</f>
        <v>2</v>
      </c>
    </row>
    <row r="137" spans="1:9" hidden="1">
      <c r="A137" s="5" t="s">
        <v>151</v>
      </c>
      <c r="B137" s="3" t="s">
        <v>169</v>
      </c>
      <c r="C137" s="3" t="s">
        <v>170</v>
      </c>
      <c r="D137" s="5" t="s">
        <v>8</v>
      </c>
      <c r="E137" s="3" t="s">
        <v>171</v>
      </c>
      <c r="F137" s="7">
        <v>46111.517152777778</v>
      </c>
      <c r="G137" t="s">
        <v>216</v>
      </c>
      <c r="H137" t="s">
        <v>222</v>
      </c>
      <c r="I137" s="4">
        <f>VLOOKUP(G137,Sheet2!A:D,4,0)</f>
        <v>2</v>
      </c>
    </row>
    <row r="138" spans="1:9" hidden="1">
      <c r="A138" s="4" t="s">
        <v>152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46094.600347222222</v>
      </c>
      <c r="G138" t="s">
        <v>216</v>
      </c>
      <c r="H138" t="s">
        <v>222</v>
      </c>
      <c r="I138" s="4">
        <f>VLOOKUP(G138,Sheet2!A:D,4,0)</f>
        <v>2</v>
      </c>
    </row>
    <row r="139" spans="1:9" hidden="1">
      <c r="A139" s="5" t="s">
        <v>153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216</v>
      </c>
      <c r="H139" t="s">
        <v>222</v>
      </c>
      <c r="I139" s="4">
        <f>VLOOKUP(G139,Sheet2!A:D,4,0)</f>
        <v>2</v>
      </c>
    </row>
    <row r="140" spans="1:9" hidden="1">
      <c r="A140" s="4" t="s">
        <v>154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216</v>
      </c>
      <c r="H140" t="s">
        <v>222</v>
      </c>
      <c r="I140" s="4">
        <f>VLOOKUP(G140,Sheet2!A:D,4,0)</f>
        <v>2</v>
      </c>
    </row>
    <row r="141" spans="1:9" hidden="1">
      <c r="A141" s="5" t="s">
        <v>155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216</v>
      </c>
      <c r="H141" t="s">
        <v>222</v>
      </c>
      <c r="I141" s="4">
        <f>VLOOKUP(G141,Sheet2!A:D,4,0)</f>
        <v>2</v>
      </c>
    </row>
    <row r="142" spans="1:9" hidden="1">
      <c r="A142" s="4" t="s">
        <v>156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216</v>
      </c>
      <c r="H142" t="s">
        <v>222</v>
      </c>
      <c r="I142" s="4">
        <f>VLOOKUP(G142,Sheet2!A:D,4,0)</f>
        <v>2</v>
      </c>
    </row>
    <row r="143" spans="1:9" hidden="1">
      <c r="A143" s="5" t="s">
        <v>157</v>
      </c>
      <c r="B143" s="3" t="s">
        <v>7</v>
      </c>
      <c r="C143" s="3" t="s">
        <v>7</v>
      </c>
      <c r="D143" s="5" t="s">
        <v>8</v>
      </c>
      <c r="E143" s="3" t="s">
        <v>9</v>
      </c>
      <c r="F143" s="7">
        <v>46097.357476851852</v>
      </c>
      <c r="G143" t="s">
        <v>216</v>
      </c>
      <c r="H143" t="s">
        <v>222</v>
      </c>
      <c r="I143" s="4">
        <f>VLOOKUP(G143,Sheet2!A:D,4,0)</f>
        <v>2</v>
      </c>
    </row>
    <row r="144" spans="1:9" hidden="1">
      <c r="A144" s="4" t="s">
        <v>158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216</v>
      </c>
      <c r="H144" t="s">
        <v>222</v>
      </c>
      <c r="I144" s="4">
        <f>VLOOKUP(G144,Sheet2!A:D,4,0)</f>
        <v>2</v>
      </c>
    </row>
    <row r="145" spans="1:13" hidden="1">
      <c r="A145" s="5" t="s">
        <v>159</v>
      </c>
      <c r="B145" s="3" t="s">
        <v>169</v>
      </c>
      <c r="C145" s="3" t="s">
        <v>170</v>
      </c>
      <c r="D145" s="5" t="s">
        <v>8</v>
      </c>
      <c r="E145" s="3" t="s">
        <v>171</v>
      </c>
      <c r="F145" s="7">
        <v>46112.289826388886</v>
      </c>
      <c r="G145" t="s">
        <v>216</v>
      </c>
      <c r="H145" t="s">
        <v>222</v>
      </c>
      <c r="I145" s="4">
        <f>VLOOKUP(G145,Sheet2!A:D,4,0)</f>
        <v>2</v>
      </c>
    </row>
    <row r="146" spans="1:13" hidden="1">
      <c r="A146" s="4" t="s">
        <v>160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216</v>
      </c>
      <c r="H146" t="s">
        <v>222</v>
      </c>
      <c r="I146" s="4">
        <f>VLOOKUP(G146,Sheet2!A:D,4,0)</f>
        <v>2</v>
      </c>
    </row>
    <row r="147" spans="1:13" hidden="1">
      <c r="A147" s="5" t="s">
        <v>161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216</v>
      </c>
      <c r="H147" t="s">
        <v>222</v>
      </c>
      <c r="I147" s="4">
        <f>VLOOKUP(G147,Sheet2!A:D,4,0)</f>
        <v>2</v>
      </c>
    </row>
    <row r="148" spans="1:13" hidden="1">
      <c r="A148" s="4" t="s">
        <v>162</v>
      </c>
      <c r="B148" s="2" t="s">
        <v>169</v>
      </c>
      <c r="C148" s="2" t="s">
        <v>170</v>
      </c>
      <c r="D148" s="4" t="s">
        <v>8</v>
      </c>
      <c r="E148" s="2" t="s">
        <v>171</v>
      </c>
      <c r="F148" s="6">
        <v>46111.578657407408</v>
      </c>
      <c r="G148" t="s">
        <v>216</v>
      </c>
      <c r="H148" t="s">
        <v>222</v>
      </c>
      <c r="I148" s="4">
        <f>VLOOKUP(G148,Sheet2!A:D,4,0)</f>
        <v>2</v>
      </c>
    </row>
    <row r="149" spans="1:13" hidden="1">
      <c r="A149" s="5" t="s">
        <v>163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216</v>
      </c>
      <c r="H149" t="s">
        <v>222</v>
      </c>
      <c r="I149" s="4">
        <f>VLOOKUP(G149,Sheet2!A:D,4,0)</f>
        <v>2</v>
      </c>
    </row>
    <row r="150" spans="1:13" hidden="1">
      <c r="A150" s="4" t="s">
        <v>164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216</v>
      </c>
      <c r="H150" t="s">
        <v>222</v>
      </c>
      <c r="I150" s="4">
        <f>VLOOKUP(G150,Sheet2!A:D,4,0)</f>
        <v>2</v>
      </c>
    </row>
    <row r="151" spans="1:13" hidden="1">
      <c r="A151" s="5" t="s">
        <v>165</v>
      </c>
      <c r="B151" s="3" t="s">
        <v>169</v>
      </c>
      <c r="C151" s="3" t="s">
        <v>170</v>
      </c>
      <c r="D151" s="5" t="s">
        <v>8</v>
      </c>
      <c r="E151" s="3" t="s">
        <v>171</v>
      </c>
      <c r="F151" s="7">
        <v>46111.588159722225</v>
      </c>
      <c r="G151" t="s">
        <v>216</v>
      </c>
      <c r="H151" t="s">
        <v>222</v>
      </c>
      <c r="I151" s="4">
        <f>VLOOKUP(G151,Sheet2!A:D,4,0)</f>
        <v>2</v>
      </c>
    </row>
    <row r="152" spans="1:13" hidden="1">
      <c r="A152" s="4" t="s">
        <v>231</v>
      </c>
      <c r="B152" s="2" t="s">
        <v>348</v>
      </c>
      <c r="C152" s="2" t="s">
        <v>349</v>
      </c>
      <c r="D152" s="4" t="s">
        <v>8</v>
      </c>
      <c r="E152" s="2" t="s">
        <v>350</v>
      </c>
      <c r="F152" s="6">
        <v>46106.653703703705</v>
      </c>
      <c r="G152" t="s">
        <v>232</v>
      </c>
      <c r="H152" t="s">
        <v>233</v>
      </c>
      <c r="I152" s="4">
        <f>VLOOKUP(G152,Sheet2!A:D,4,0)</f>
        <v>7</v>
      </c>
    </row>
    <row r="153" spans="1:13" hidden="1">
      <c r="A153" s="5" t="s">
        <v>234</v>
      </c>
      <c r="B153" s="3" t="s">
        <v>12</v>
      </c>
      <c r="C153" s="3" t="s">
        <v>13</v>
      </c>
      <c r="D153" s="5" t="s">
        <v>8</v>
      </c>
      <c r="E153" s="3" t="s">
        <v>14</v>
      </c>
      <c r="F153" s="7">
        <v>46099.556296296294</v>
      </c>
      <c r="G153" t="s">
        <v>232</v>
      </c>
      <c r="H153" t="s">
        <v>233</v>
      </c>
      <c r="I153" s="4">
        <f>VLOOKUP(G153,Sheet2!A:D,4,0)</f>
        <v>7</v>
      </c>
    </row>
    <row r="154" spans="1:13" hidden="1">
      <c r="A154" s="4" t="s">
        <v>235</v>
      </c>
      <c r="B154" s="2" t="s">
        <v>12</v>
      </c>
      <c r="C154" s="2" t="s">
        <v>13</v>
      </c>
      <c r="D154" s="4" t="s">
        <v>8</v>
      </c>
      <c r="E154" s="2" t="s">
        <v>14</v>
      </c>
      <c r="F154" s="6">
        <v>46099.563634259262</v>
      </c>
      <c r="G154" t="s">
        <v>232</v>
      </c>
      <c r="H154" t="s">
        <v>233</v>
      </c>
      <c r="I154" s="4">
        <f>VLOOKUP(G154,Sheet2!A:D,4,0)</f>
        <v>7</v>
      </c>
      <c r="M154" s="12"/>
    </row>
    <row r="155" spans="1:13" hidden="1">
      <c r="A155" s="5" t="s">
        <v>236</v>
      </c>
      <c r="B155" s="3" t="s">
        <v>348</v>
      </c>
      <c r="C155" s="3" t="s">
        <v>349</v>
      </c>
      <c r="D155" s="5" t="s">
        <v>8</v>
      </c>
      <c r="E155" s="3" t="s">
        <v>350</v>
      </c>
      <c r="F155" s="7">
        <v>46107.272928240738</v>
      </c>
      <c r="G155" t="s">
        <v>232</v>
      </c>
      <c r="H155" t="s">
        <v>233</v>
      </c>
      <c r="I155" s="4">
        <f>VLOOKUP(G155,Sheet2!A:D,4,0)</f>
        <v>7</v>
      </c>
    </row>
    <row r="156" spans="1:13" hidden="1">
      <c r="A156" s="4" t="s">
        <v>237</v>
      </c>
      <c r="B156" s="2" t="s">
        <v>348</v>
      </c>
      <c r="C156" s="2" t="s">
        <v>349</v>
      </c>
      <c r="D156" s="4" t="s">
        <v>8</v>
      </c>
      <c r="E156" s="2" t="s">
        <v>350</v>
      </c>
      <c r="F156" s="6">
        <v>46105.285520833335</v>
      </c>
      <c r="G156" t="s">
        <v>232</v>
      </c>
      <c r="H156" t="s">
        <v>233</v>
      </c>
      <c r="I156" s="4">
        <f>VLOOKUP(G156,Sheet2!A:D,4,0)</f>
        <v>7</v>
      </c>
    </row>
    <row r="157" spans="1:13" hidden="1">
      <c r="A157" s="5" t="s">
        <v>238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46104.354456018518</v>
      </c>
      <c r="G157" t="s">
        <v>232</v>
      </c>
      <c r="H157" t="s">
        <v>233</v>
      </c>
      <c r="I157" s="4">
        <f>VLOOKUP(G157,Sheet2!A:D,4,0)</f>
        <v>7</v>
      </c>
    </row>
    <row r="158" spans="1:13" hidden="1">
      <c r="A158" s="4" t="s">
        <v>239</v>
      </c>
      <c r="B158" s="2" t="s">
        <v>12</v>
      </c>
      <c r="C158" s="2" t="s">
        <v>13</v>
      </c>
      <c r="D158" s="4" t="s">
        <v>8</v>
      </c>
      <c r="E158" s="2" t="s">
        <v>14</v>
      </c>
      <c r="F158" s="6">
        <v>46099.558020833334</v>
      </c>
      <c r="G158" t="s">
        <v>232</v>
      </c>
      <c r="H158" t="s">
        <v>233</v>
      </c>
      <c r="I158" s="4">
        <f>VLOOKUP(G158,Sheet2!A:D,4,0)</f>
        <v>7</v>
      </c>
    </row>
    <row r="159" spans="1:13" hidden="1">
      <c r="A159" s="5" t="s">
        <v>240</v>
      </c>
      <c r="B159" s="3" t="s">
        <v>348</v>
      </c>
      <c r="C159" s="3" t="s">
        <v>349</v>
      </c>
      <c r="D159" s="5" t="s">
        <v>8</v>
      </c>
      <c r="E159" s="3" t="s">
        <v>350</v>
      </c>
      <c r="F159" s="7">
        <v>46104.361446759256</v>
      </c>
      <c r="G159" t="s">
        <v>232</v>
      </c>
      <c r="H159" t="s">
        <v>233</v>
      </c>
      <c r="I159" s="4">
        <f>VLOOKUP(G159,Sheet2!A:D,4,0)</f>
        <v>7</v>
      </c>
    </row>
    <row r="160" spans="1:13" hidden="1">
      <c r="A160" s="4" t="s">
        <v>241</v>
      </c>
      <c r="B160" s="2" t="s">
        <v>348</v>
      </c>
      <c r="C160" s="2" t="s">
        <v>349</v>
      </c>
      <c r="D160" s="4" t="s">
        <v>8</v>
      </c>
      <c r="E160" s="2" t="s">
        <v>350</v>
      </c>
      <c r="F160" s="6">
        <v>46099.430046296293</v>
      </c>
      <c r="G160" t="s">
        <v>232</v>
      </c>
      <c r="H160" t="s">
        <v>233</v>
      </c>
      <c r="I160" s="4">
        <f>VLOOKUP(G160,Sheet2!A:D,4,0)</f>
        <v>7</v>
      </c>
    </row>
    <row r="161" spans="1:9" hidden="1">
      <c r="A161" s="5" t="s">
        <v>242</v>
      </c>
      <c r="B161" s="3" t="s">
        <v>348</v>
      </c>
      <c r="C161" s="3" t="s">
        <v>349</v>
      </c>
      <c r="D161" s="5" t="s">
        <v>8</v>
      </c>
      <c r="E161" s="3" t="s">
        <v>350</v>
      </c>
      <c r="F161" s="7">
        <v>46106.656643518516</v>
      </c>
      <c r="G161" t="s">
        <v>232</v>
      </c>
      <c r="H161" t="s">
        <v>233</v>
      </c>
      <c r="I161" s="4">
        <f>VLOOKUP(G161,Sheet2!A:D,4,0)</f>
        <v>7</v>
      </c>
    </row>
    <row r="162" spans="1:9" hidden="1">
      <c r="A162" s="4" t="s">
        <v>243</v>
      </c>
      <c r="B162" s="2" t="s">
        <v>348</v>
      </c>
      <c r="C162" s="2" t="s">
        <v>349</v>
      </c>
      <c r="D162" s="4" t="s">
        <v>8</v>
      </c>
      <c r="E162" s="2" t="s">
        <v>350</v>
      </c>
      <c r="F162" s="6">
        <v>46101.468935185185</v>
      </c>
      <c r="G162" t="s">
        <v>232</v>
      </c>
      <c r="H162" t="s">
        <v>233</v>
      </c>
      <c r="I162" s="4">
        <f>VLOOKUP(G162,Sheet2!A:D,4,0)</f>
        <v>7</v>
      </c>
    </row>
    <row r="163" spans="1:9" hidden="1">
      <c r="A163" s="5" t="s">
        <v>244</v>
      </c>
      <c r="B163" s="3" t="s">
        <v>12</v>
      </c>
      <c r="C163" s="3" t="s">
        <v>13</v>
      </c>
      <c r="D163" s="5" t="s">
        <v>8</v>
      </c>
      <c r="E163" s="3" t="s">
        <v>14</v>
      </c>
      <c r="F163" s="7">
        <v>46101.483969907407</v>
      </c>
      <c r="G163" t="s">
        <v>232</v>
      </c>
      <c r="H163" t="s">
        <v>233</v>
      </c>
      <c r="I163" s="4">
        <f>VLOOKUP(G163,Sheet2!A:D,4,0)</f>
        <v>7</v>
      </c>
    </row>
    <row r="164" spans="1:9" hidden="1">
      <c r="A164" s="4" t="s">
        <v>245</v>
      </c>
      <c r="B164" s="2" t="s">
        <v>12</v>
      </c>
      <c r="C164" s="2" t="s">
        <v>13</v>
      </c>
      <c r="D164" s="4" t="s">
        <v>8</v>
      </c>
      <c r="E164" s="2" t="s">
        <v>14</v>
      </c>
      <c r="F164" s="6">
        <v>46104.34952546296</v>
      </c>
      <c r="G164" t="s">
        <v>232</v>
      </c>
      <c r="H164" t="s">
        <v>233</v>
      </c>
      <c r="I164" s="4">
        <f>VLOOKUP(G164,Sheet2!A:D,4,0)</f>
        <v>7</v>
      </c>
    </row>
    <row r="165" spans="1:9" hidden="1">
      <c r="A165" s="5" t="s">
        <v>246</v>
      </c>
      <c r="B165" s="3" t="s">
        <v>12</v>
      </c>
      <c r="C165" s="3" t="s">
        <v>13</v>
      </c>
      <c r="D165" s="5" t="s">
        <v>8</v>
      </c>
      <c r="E165" s="3" t="s">
        <v>14</v>
      </c>
      <c r="F165" s="7">
        <v>46099.557013888887</v>
      </c>
      <c r="G165" t="s">
        <v>232</v>
      </c>
      <c r="H165" t="s">
        <v>233</v>
      </c>
      <c r="I165" s="4">
        <f>VLOOKUP(G165,Sheet2!A:D,4,0)</f>
        <v>7</v>
      </c>
    </row>
    <row r="166" spans="1:9" hidden="1">
      <c r="A166" s="4" t="s">
        <v>247</v>
      </c>
      <c r="B166" s="2" t="s">
        <v>12</v>
      </c>
      <c r="C166" s="2" t="s">
        <v>13</v>
      </c>
      <c r="D166" s="4" t="s">
        <v>8</v>
      </c>
      <c r="E166" s="2" t="s">
        <v>14</v>
      </c>
      <c r="F166" s="6">
        <v>46100.588854166665</v>
      </c>
      <c r="G166" t="s">
        <v>232</v>
      </c>
      <c r="H166" t="s">
        <v>233</v>
      </c>
      <c r="I166" s="4">
        <f>VLOOKUP(G166,Sheet2!A:D,4,0)</f>
        <v>7</v>
      </c>
    </row>
    <row r="167" spans="1:9" hidden="1">
      <c r="A167" s="5" t="s">
        <v>248</v>
      </c>
      <c r="B167" s="3" t="s">
        <v>348</v>
      </c>
      <c r="C167" s="3" t="s">
        <v>349</v>
      </c>
      <c r="D167" s="5" t="s">
        <v>8</v>
      </c>
      <c r="E167" s="3" t="s">
        <v>350</v>
      </c>
      <c r="F167" s="7">
        <v>46099.4221412037</v>
      </c>
      <c r="G167" t="s">
        <v>232</v>
      </c>
      <c r="H167" t="s">
        <v>233</v>
      </c>
      <c r="I167" s="4">
        <f>VLOOKUP(G167,Sheet2!A:D,4,0)</f>
        <v>7</v>
      </c>
    </row>
    <row r="168" spans="1:9" hidden="1">
      <c r="A168" s="4" t="s">
        <v>249</v>
      </c>
      <c r="B168" s="2" t="s">
        <v>12</v>
      </c>
      <c r="C168" s="2" t="s">
        <v>13</v>
      </c>
      <c r="D168" s="4" t="s">
        <v>8</v>
      </c>
      <c r="E168" s="2" t="s">
        <v>14</v>
      </c>
      <c r="F168" s="6">
        <v>46105.28702546296</v>
      </c>
      <c r="G168" t="s">
        <v>232</v>
      </c>
      <c r="H168" t="s">
        <v>233</v>
      </c>
      <c r="I168" s="4">
        <f>VLOOKUP(G168,Sheet2!A:D,4,0)</f>
        <v>7</v>
      </c>
    </row>
    <row r="169" spans="1:9" hidden="1">
      <c r="A169" s="5" t="s">
        <v>250</v>
      </c>
      <c r="B169" s="3" t="s">
        <v>12</v>
      </c>
      <c r="C169" s="3" t="s">
        <v>13</v>
      </c>
      <c r="D169" s="5" t="s">
        <v>8</v>
      </c>
      <c r="E169" s="3" t="s">
        <v>14</v>
      </c>
      <c r="F169" s="7">
        <v>46097.498865740738</v>
      </c>
      <c r="G169" t="s">
        <v>232</v>
      </c>
      <c r="H169" t="s">
        <v>233</v>
      </c>
      <c r="I169" s="4">
        <f>VLOOKUP(G169,Sheet2!A:D,4,0)</f>
        <v>7</v>
      </c>
    </row>
    <row r="170" spans="1:9" hidden="1">
      <c r="A170" s="4" t="s">
        <v>251</v>
      </c>
      <c r="B170" s="2" t="s">
        <v>57</v>
      </c>
      <c r="C170" s="2" t="s">
        <v>58</v>
      </c>
      <c r="D170" s="4" t="s">
        <v>8</v>
      </c>
      <c r="E170" s="2" t="s">
        <v>59</v>
      </c>
      <c r="F170" s="6">
        <v>46104.486331018517</v>
      </c>
      <c r="G170" t="s">
        <v>232</v>
      </c>
      <c r="H170" t="s">
        <v>233</v>
      </c>
      <c r="I170" s="4">
        <f>VLOOKUP(G170,Sheet2!A:D,4,0)</f>
        <v>7</v>
      </c>
    </row>
    <row r="171" spans="1:9" hidden="1">
      <c r="A171" s="5" t="s">
        <v>252</v>
      </c>
      <c r="B171" s="3" t="s">
        <v>57</v>
      </c>
      <c r="C171" s="3" t="s">
        <v>58</v>
      </c>
      <c r="D171" s="5" t="s">
        <v>8</v>
      </c>
      <c r="E171" s="3" t="s">
        <v>59</v>
      </c>
      <c r="F171" s="7">
        <v>46099.554074074076</v>
      </c>
      <c r="G171" t="s">
        <v>232</v>
      </c>
      <c r="H171" t="s">
        <v>233</v>
      </c>
      <c r="I171" s="4">
        <f>VLOOKUP(G171,Sheet2!A:D,4,0)</f>
        <v>7</v>
      </c>
    </row>
    <row r="172" spans="1:9" hidden="1">
      <c r="A172" s="4" t="s">
        <v>253</v>
      </c>
      <c r="B172" s="2" t="s">
        <v>12</v>
      </c>
      <c r="C172" s="2" t="s">
        <v>13</v>
      </c>
      <c r="D172" s="4" t="s">
        <v>8</v>
      </c>
      <c r="E172" s="2" t="s">
        <v>14</v>
      </c>
      <c r="F172" s="6">
        <v>46099.565127314818</v>
      </c>
      <c r="G172" t="s">
        <v>232</v>
      </c>
      <c r="H172" t="s">
        <v>233</v>
      </c>
      <c r="I172" s="4">
        <f>VLOOKUP(G172,Sheet2!A:D,4,0)</f>
        <v>7</v>
      </c>
    </row>
    <row r="173" spans="1:9" hidden="1">
      <c r="A173" s="5" t="s">
        <v>254</v>
      </c>
      <c r="B173" s="3" t="s">
        <v>12</v>
      </c>
      <c r="C173" s="3" t="s">
        <v>13</v>
      </c>
      <c r="D173" s="5" t="s">
        <v>8</v>
      </c>
      <c r="E173" s="3" t="s">
        <v>14</v>
      </c>
      <c r="F173" s="7">
        <v>46099.564421296294</v>
      </c>
      <c r="G173" t="s">
        <v>232</v>
      </c>
      <c r="H173" t="s">
        <v>233</v>
      </c>
      <c r="I173" s="4">
        <f>VLOOKUP(G173,Sheet2!A:D,4,0)</f>
        <v>7</v>
      </c>
    </row>
    <row r="174" spans="1:9" hidden="1">
      <c r="A174" s="4" t="s">
        <v>255</v>
      </c>
      <c r="B174" s="2" t="s">
        <v>12</v>
      </c>
      <c r="C174" s="2" t="s">
        <v>13</v>
      </c>
      <c r="D174" s="4" t="s">
        <v>8</v>
      </c>
      <c r="E174" s="2" t="s">
        <v>14</v>
      </c>
      <c r="F174" s="6">
        <v>46101.478182870371</v>
      </c>
      <c r="G174" t="s">
        <v>232</v>
      </c>
      <c r="H174" t="s">
        <v>233</v>
      </c>
      <c r="I174" s="4">
        <f>VLOOKUP(G174,Sheet2!A:D,4,0)</f>
        <v>7</v>
      </c>
    </row>
    <row r="175" spans="1:9" hidden="1">
      <c r="A175" s="5" t="s">
        <v>256</v>
      </c>
      <c r="B175" s="3" t="s">
        <v>12</v>
      </c>
      <c r="C175" s="3" t="s">
        <v>13</v>
      </c>
      <c r="D175" s="5" t="s">
        <v>8</v>
      </c>
      <c r="E175" s="3" t="s">
        <v>14</v>
      </c>
      <c r="F175" s="7">
        <v>46099.558541666665</v>
      </c>
      <c r="G175" t="s">
        <v>232</v>
      </c>
      <c r="H175" t="s">
        <v>233</v>
      </c>
      <c r="I175" s="4">
        <f>VLOOKUP(G175,Sheet2!A:D,4,0)</f>
        <v>7</v>
      </c>
    </row>
    <row r="176" spans="1:9" hidden="1">
      <c r="A176" s="4" t="s">
        <v>257</v>
      </c>
      <c r="B176" s="2" t="s">
        <v>12</v>
      </c>
      <c r="C176" s="2" t="s">
        <v>13</v>
      </c>
      <c r="D176" s="4" t="s">
        <v>8</v>
      </c>
      <c r="E176" s="2" t="s">
        <v>14</v>
      </c>
      <c r="F176" s="6">
        <v>46099.448796296296</v>
      </c>
      <c r="G176" t="s">
        <v>232</v>
      </c>
      <c r="H176" t="s">
        <v>233</v>
      </c>
      <c r="I176" s="4">
        <f>VLOOKUP(G176,Sheet2!A:D,4,0)</f>
        <v>7</v>
      </c>
    </row>
    <row r="177" spans="1:9" hidden="1">
      <c r="A177" s="5" t="s">
        <v>258</v>
      </c>
      <c r="B177" s="3" t="s">
        <v>12</v>
      </c>
      <c r="C177" s="3" t="s">
        <v>13</v>
      </c>
      <c r="D177" s="5" t="s">
        <v>8</v>
      </c>
      <c r="E177" s="3" t="s">
        <v>14</v>
      </c>
      <c r="F177" s="7">
        <v>46100.581863425927</v>
      </c>
      <c r="G177" t="s">
        <v>232</v>
      </c>
      <c r="H177" t="s">
        <v>233</v>
      </c>
      <c r="I177" s="4">
        <f>VLOOKUP(G177,Sheet2!A:D,4,0)</f>
        <v>7</v>
      </c>
    </row>
    <row r="178" spans="1:9" hidden="1">
      <c r="A178" s="4" t="s">
        <v>259</v>
      </c>
      <c r="B178" s="2" t="s">
        <v>12</v>
      </c>
      <c r="C178" s="2" t="s">
        <v>13</v>
      </c>
      <c r="D178" s="4" t="s">
        <v>8</v>
      </c>
      <c r="E178" s="2" t="s">
        <v>14</v>
      </c>
      <c r="F178" s="6">
        <v>46097.470694444448</v>
      </c>
      <c r="G178" t="s">
        <v>232</v>
      </c>
      <c r="H178" t="s">
        <v>233</v>
      </c>
      <c r="I178" s="4">
        <f>VLOOKUP(G178,Sheet2!A:D,4,0)</f>
        <v>7</v>
      </c>
    </row>
    <row r="179" spans="1:9" hidden="1">
      <c r="A179" s="5" t="s">
        <v>260</v>
      </c>
      <c r="B179" s="3" t="s">
        <v>12</v>
      </c>
      <c r="C179" s="3" t="s">
        <v>13</v>
      </c>
      <c r="D179" s="5" t="s">
        <v>8</v>
      </c>
      <c r="E179" s="3" t="s">
        <v>14</v>
      </c>
      <c r="F179" s="7">
        <v>46100.582326388889</v>
      </c>
      <c r="G179" t="s">
        <v>232</v>
      </c>
      <c r="H179" t="s">
        <v>233</v>
      </c>
      <c r="I179" s="4">
        <f>VLOOKUP(G179,Sheet2!A:D,4,0)</f>
        <v>7</v>
      </c>
    </row>
    <row r="180" spans="1:9" hidden="1">
      <c r="A180" s="4" t="s">
        <v>261</v>
      </c>
      <c r="B180" s="2" t="s">
        <v>12</v>
      </c>
      <c r="C180" s="2" t="s">
        <v>13</v>
      </c>
      <c r="D180" s="4" t="s">
        <v>8</v>
      </c>
      <c r="E180" s="2" t="s">
        <v>14</v>
      </c>
      <c r="F180" s="6">
        <v>46097.470520833333</v>
      </c>
      <c r="G180" t="s">
        <v>232</v>
      </c>
      <c r="H180" t="s">
        <v>233</v>
      </c>
      <c r="I180" s="4">
        <f>VLOOKUP(G180,Sheet2!A:D,4,0)</f>
        <v>7</v>
      </c>
    </row>
    <row r="181" spans="1:9" hidden="1">
      <c r="A181" s="5" t="s">
        <v>262</v>
      </c>
      <c r="B181" s="3" t="s">
        <v>348</v>
      </c>
      <c r="C181" s="3" t="s">
        <v>349</v>
      </c>
      <c r="D181" s="5" t="s">
        <v>8</v>
      </c>
      <c r="E181" s="3" t="s">
        <v>350</v>
      </c>
      <c r="F181" s="7">
        <v>46100.578819444447</v>
      </c>
      <c r="G181" t="s">
        <v>232</v>
      </c>
      <c r="H181" t="s">
        <v>233</v>
      </c>
      <c r="I181" s="4">
        <f>VLOOKUP(G181,Sheet2!A:D,4,0)</f>
        <v>7</v>
      </c>
    </row>
    <row r="182" spans="1:9" hidden="1">
      <c r="A182" s="4" t="s">
        <v>263</v>
      </c>
      <c r="B182" s="2" t="s">
        <v>169</v>
      </c>
      <c r="C182" s="2" t="s">
        <v>170</v>
      </c>
      <c r="D182" s="4" t="s">
        <v>8</v>
      </c>
      <c r="E182" s="2" t="s">
        <v>171</v>
      </c>
      <c r="F182" s="6">
        <v>46112.512916666667</v>
      </c>
      <c r="G182" t="s">
        <v>232</v>
      </c>
      <c r="H182" t="s">
        <v>233</v>
      </c>
      <c r="I182" s="4">
        <f>VLOOKUP(G182,Sheet2!A:D,4,0)</f>
        <v>7</v>
      </c>
    </row>
    <row r="183" spans="1:9" hidden="1">
      <c r="A183" s="5" t="s">
        <v>264</v>
      </c>
      <c r="B183" s="3" t="s">
        <v>348</v>
      </c>
      <c r="C183" s="3" t="s">
        <v>349</v>
      </c>
      <c r="D183" s="5" t="s">
        <v>8</v>
      </c>
      <c r="E183" s="3" t="s">
        <v>350</v>
      </c>
      <c r="F183" s="7">
        <v>46106.546898148146</v>
      </c>
      <c r="G183" t="s">
        <v>232</v>
      </c>
      <c r="H183" t="s">
        <v>233</v>
      </c>
      <c r="I183" s="4">
        <f>VLOOKUP(G183,Sheet2!A:D,4,0)</f>
        <v>7</v>
      </c>
    </row>
    <row r="184" spans="1:9" hidden="1">
      <c r="A184" s="4" t="s">
        <v>265</v>
      </c>
      <c r="B184" s="2" t="s">
        <v>12</v>
      </c>
      <c r="C184" s="2" t="s">
        <v>13</v>
      </c>
      <c r="D184" s="4" t="s">
        <v>8</v>
      </c>
      <c r="E184" s="2" t="s">
        <v>14</v>
      </c>
      <c r="F184" s="6">
        <v>46106.571284722224</v>
      </c>
      <c r="G184" t="s">
        <v>232</v>
      </c>
      <c r="H184" t="s">
        <v>233</v>
      </c>
      <c r="I184" s="4">
        <f>VLOOKUP(G184,Sheet2!A:D,4,0)</f>
        <v>7</v>
      </c>
    </row>
    <row r="185" spans="1:9" hidden="1">
      <c r="A185" s="5" t="s">
        <v>266</v>
      </c>
      <c r="B185" s="3" t="s">
        <v>348</v>
      </c>
      <c r="C185" s="3" t="s">
        <v>349</v>
      </c>
      <c r="D185" s="5" t="s">
        <v>8</v>
      </c>
      <c r="E185" s="3" t="s">
        <v>350</v>
      </c>
      <c r="F185" s="7">
        <v>46100.580833333333</v>
      </c>
      <c r="G185" t="s">
        <v>232</v>
      </c>
      <c r="H185" t="s">
        <v>233</v>
      </c>
      <c r="I185" s="4">
        <f>VLOOKUP(G185,Sheet2!A:D,4,0)</f>
        <v>7</v>
      </c>
    </row>
    <row r="186" spans="1:9" hidden="1">
      <c r="A186" s="4" t="s">
        <v>267</v>
      </c>
      <c r="B186" s="2" t="s">
        <v>12</v>
      </c>
      <c r="C186" s="2" t="s">
        <v>13</v>
      </c>
      <c r="D186" s="4" t="s">
        <v>8</v>
      </c>
      <c r="E186" s="2" t="s">
        <v>14</v>
      </c>
      <c r="F186" s="6">
        <v>46106.562777777777</v>
      </c>
      <c r="G186" t="s">
        <v>232</v>
      </c>
      <c r="H186" t="s">
        <v>233</v>
      </c>
      <c r="I186" s="4">
        <f>VLOOKUP(G186,Sheet2!A:D,4,0)</f>
        <v>7</v>
      </c>
    </row>
    <row r="187" spans="1:9" hidden="1">
      <c r="A187" s="5" t="s">
        <v>268</v>
      </c>
      <c r="B187" s="3" t="s">
        <v>12</v>
      </c>
      <c r="C187" s="3" t="s">
        <v>13</v>
      </c>
      <c r="D187" s="5" t="s">
        <v>8</v>
      </c>
      <c r="E187" s="3" t="s">
        <v>14</v>
      </c>
      <c r="F187" s="7">
        <v>46101.477384259262</v>
      </c>
      <c r="G187" t="s">
        <v>232</v>
      </c>
      <c r="H187" t="s">
        <v>233</v>
      </c>
      <c r="I187" s="4">
        <f>VLOOKUP(G187,Sheet2!A:D,4,0)</f>
        <v>7</v>
      </c>
    </row>
    <row r="188" spans="1:9" hidden="1">
      <c r="A188" s="4" t="s">
        <v>269</v>
      </c>
      <c r="B188" s="2" t="s">
        <v>348</v>
      </c>
      <c r="C188" s="2" t="s">
        <v>349</v>
      </c>
      <c r="D188" s="4" t="s">
        <v>8</v>
      </c>
      <c r="E188" s="2" t="s">
        <v>350</v>
      </c>
      <c r="F188" s="6">
        <v>46099.434745370374</v>
      </c>
      <c r="G188" t="s">
        <v>232</v>
      </c>
      <c r="H188" t="s">
        <v>233</v>
      </c>
      <c r="I188" s="4">
        <f>VLOOKUP(G188,Sheet2!A:D,4,0)</f>
        <v>7</v>
      </c>
    </row>
    <row r="189" spans="1:9" hidden="1">
      <c r="A189" s="4" t="s">
        <v>270</v>
      </c>
      <c r="B189" s="2" t="s">
        <v>12</v>
      </c>
      <c r="C189" s="2" t="s">
        <v>13</v>
      </c>
      <c r="D189" s="4" t="s">
        <v>8</v>
      </c>
      <c r="E189" s="2" t="s">
        <v>14</v>
      </c>
      <c r="F189" s="6">
        <v>46097.498252314814</v>
      </c>
      <c r="G189" t="s">
        <v>271</v>
      </c>
      <c r="H189" t="s">
        <v>233</v>
      </c>
      <c r="I189" s="4">
        <f>VLOOKUP(G189,Sheet2!A:D,4,0)</f>
        <v>8</v>
      </c>
    </row>
    <row r="190" spans="1:9" hidden="1">
      <c r="A190" s="5" t="s">
        <v>272</v>
      </c>
      <c r="B190" s="3" t="s">
        <v>12</v>
      </c>
      <c r="C190" s="3" t="s">
        <v>13</v>
      </c>
      <c r="D190" s="5" t="s">
        <v>8</v>
      </c>
      <c r="E190" s="3" t="s">
        <v>14</v>
      </c>
      <c r="F190" s="7">
        <v>46104.349131944444</v>
      </c>
      <c r="G190" t="s">
        <v>271</v>
      </c>
      <c r="H190" t="s">
        <v>233</v>
      </c>
      <c r="I190" s="4">
        <f>VLOOKUP(G190,Sheet2!A:D,4,0)</f>
        <v>8</v>
      </c>
    </row>
    <row r="191" spans="1:9" hidden="1">
      <c r="A191" s="4" t="s">
        <v>273</v>
      </c>
      <c r="B191" s="2" t="s">
        <v>12</v>
      </c>
      <c r="C191" s="2" t="s">
        <v>13</v>
      </c>
      <c r="D191" s="4" t="s">
        <v>8</v>
      </c>
      <c r="E191" s="2" t="s">
        <v>14</v>
      </c>
      <c r="F191" s="6">
        <v>46106.550381944442</v>
      </c>
      <c r="G191" t="s">
        <v>271</v>
      </c>
      <c r="H191" t="s">
        <v>233</v>
      </c>
      <c r="I191" s="4">
        <f>VLOOKUP(G191,Sheet2!A:D,4,0)</f>
        <v>8</v>
      </c>
    </row>
    <row r="192" spans="1:9" hidden="1">
      <c r="A192" s="5" t="s">
        <v>274</v>
      </c>
      <c r="B192" s="3" t="s">
        <v>12</v>
      </c>
      <c r="C192" s="3" t="s">
        <v>13</v>
      </c>
      <c r="D192" s="5" t="s">
        <v>8</v>
      </c>
      <c r="E192" s="3" t="s">
        <v>14</v>
      </c>
      <c r="F192" s="7">
        <v>46099.559201388889</v>
      </c>
      <c r="G192" t="s">
        <v>271</v>
      </c>
      <c r="H192" t="s">
        <v>233</v>
      </c>
      <c r="I192" s="4">
        <f>VLOOKUP(G192,Sheet2!A:D,4,0)</f>
        <v>8</v>
      </c>
    </row>
    <row r="193" spans="1:9" hidden="1">
      <c r="A193" s="4" t="s">
        <v>275</v>
      </c>
      <c r="B193" s="2" t="s">
        <v>12</v>
      </c>
      <c r="C193" s="2" t="s">
        <v>13</v>
      </c>
      <c r="D193" s="4" t="s">
        <v>8</v>
      </c>
      <c r="E193" s="2" t="s">
        <v>14</v>
      </c>
      <c r="F193" s="6">
        <v>46104.35260416667</v>
      </c>
      <c r="G193" t="s">
        <v>271</v>
      </c>
      <c r="H193" t="s">
        <v>233</v>
      </c>
      <c r="I193" s="4">
        <f>VLOOKUP(G193,Sheet2!A:D,4,0)</f>
        <v>8</v>
      </c>
    </row>
    <row r="194" spans="1:9" hidden="1">
      <c r="A194" s="5" t="s">
        <v>276</v>
      </c>
      <c r="B194" s="3" t="s">
        <v>12</v>
      </c>
      <c r="C194" s="3" t="s">
        <v>13</v>
      </c>
      <c r="D194" s="5" t="s">
        <v>8</v>
      </c>
      <c r="E194" s="3" t="s">
        <v>14</v>
      </c>
      <c r="F194" s="7">
        <v>46104.354027777779</v>
      </c>
      <c r="G194" t="s">
        <v>271</v>
      </c>
      <c r="H194" t="s">
        <v>233</v>
      </c>
      <c r="I194" s="4">
        <f>VLOOKUP(G194,Sheet2!A:D,4,0)</f>
        <v>8</v>
      </c>
    </row>
    <row r="195" spans="1:9" hidden="1">
      <c r="A195" s="4" t="s">
        <v>277</v>
      </c>
      <c r="B195" s="2" t="s">
        <v>12</v>
      </c>
      <c r="C195" s="2" t="s">
        <v>13</v>
      </c>
      <c r="D195" s="4" t="s">
        <v>8</v>
      </c>
      <c r="E195" s="2" t="s">
        <v>14</v>
      </c>
      <c r="F195" s="6">
        <v>46099.592662037037</v>
      </c>
      <c r="G195" t="s">
        <v>271</v>
      </c>
      <c r="H195" t="s">
        <v>233</v>
      </c>
      <c r="I195" s="4">
        <f>VLOOKUP(G195,Sheet2!A:D,4,0)</f>
        <v>8</v>
      </c>
    </row>
    <row r="196" spans="1:9" hidden="1">
      <c r="A196" s="5" t="s">
        <v>278</v>
      </c>
      <c r="B196" s="3" t="s">
        <v>348</v>
      </c>
      <c r="C196" s="3" t="s">
        <v>349</v>
      </c>
      <c r="D196" s="5" t="s">
        <v>8</v>
      </c>
      <c r="E196" s="3" t="s">
        <v>350</v>
      </c>
      <c r="F196" s="7">
        <v>46111.284675925926</v>
      </c>
      <c r="G196" t="s">
        <v>271</v>
      </c>
      <c r="H196" t="s">
        <v>233</v>
      </c>
      <c r="I196" s="4">
        <f>VLOOKUP(G196,Sheet2!A:D,4,0)</f>
        <v>8</v>
      </c>
    </row>
    <row r="197" spans="1:9" hidden="1">
      <c r="A197" s="4" t="s">
        <v>279</v>
      </c>
      <c r="B197" s="2" t="s">
        <v>12</v>
      </c>
      <c r="C197" s="2" t="s">
        <v>13</v>
      </c>
      <c r="D197" s="4" t="s">
        <v>8</v>
      </c>
      <c r="E197" s="2" t="s">
        <v>14</v>
      </c>
      <c r="F197" s="6">
        <v>46099.564780092594</v>
      </c>
      <c r="G197" t="s">
        <v>271</v>
      </c>
      <c r="H197" t="s">
        <v>233</v>
      </c>
      <c r="I197" s="4">
        <f>VLOOKUP(G197,Sheet2!A:D,4,0)</f>
        <v>8</v>
      </c>
    </row>
    <row r="198" spans="1:9" hidden="1">
      <c r="A198" s="5" t="s">
        <v>280</v>
      </c>
      <c r="B198" s="3" t="s">
        <v>169</v>
      </c>
      <c r="C198" s="3" t="s">
        <v>170</v>
      </c>
      <c r="D198" s="5" t="s">
        <v>8</v>
      </c>
      <c r="E198" s="3" t="s">
        <v>171</v>
      </c>
      <c r="F198" s="7">
        <v>46112.51326388889</v>
      </c>
      <c r="G198" t="s">
        <v>271</v>
      </c>
      <c r="H198" t="s">
        <v>233</v>
      </c>
      <c r="I198" s="4">
        <f>VLOOKUP(G198,Sheet2!A:D,4,0)</f>
        <v>8</v>
      </c>
    </row>
    <row r="199" spans="1:9" hidden="1">
      <c r="A199" s="4" t="s">
        <v>281</v>
      </c>
      <c r="B199" s="2" t="s">
        <v>348</v>
      </c>
      <c r="C199" s="2" t="s">
        <v>349</v>
      </c>
      <c r="D199" s="4" t="s">
        <v>8</v>
      </c>
      <c r="E199" s="2" t="s">
        <v>350</v>
      </c>
      <c r="F199" s="6">
        <v>46100.577569444446</v>
      </c>
      <c r="G199" t="s">
        <v>271</v>
      </c>
      <c r="H199" t="s">
        <v>233</v>
      </c>
      <c r="I199" s="4">
        <f>VLOOKUP(G199,Sheet2!A:D,4,0)</f>
        <v>8</v>
      </c>
    </row>
    <row r="200" spans="1:9" hidden="1">
      <c r="A200" s="5" t="s">
        <v>282</v>
      </c>
      <c r="B200" s="3" t="s">
        <v>12</v>
      </c>
      <c r="C200" s="3" t="s">
        <v>13</v>
      </c>
      <c r="D200" s="5" t="s">
        <v>8</v>
      </c>
      <c r="E200" s="3" t="s">
        <v>14</v>
      </c>
      <c r="F200" s="7">
        <v>46106.556921296295</v>
      </c>
      <c r="G200" t="s">
        <v>271</v>
      </c>
      <c r="H200" t="s">
        <v>233</v>
      </c>
      <c r="I200" s="4">
        <f>VLOOKUP(G200,Sheet2!A:D,4,0)</f>
        <v>8</v>
      </c>
    </row>
    <row r="201" spans="1:9" hidden="1">
      <c r="A201" s="4" t="s">
        <v>283</v>
      </c>
      <c r="B201" s="2" t="s">
        <v>12</v>
      </c>
      <c r="C201" s="2" t="s">
        <v>13</v>
      </c>
      <c r="D201" s="4" t="s">
        <v>8</v>
      </c>
      <c r="E201" s="2" t="s">
        <v>14</v>
      </c>
      <c r="F201" s="6">
        <v>46101.481238425928</v>
      </c>
      <c r="G201" t="s">
        <v>271</v>
      </c>
      <c r="H201" t="s">
        <v>233</v>
      </c>
      <c r="I201" s="4">
        <f>VLOOKUP(G201,Sheet2!A:D,4,0)</f>
        <v>8</v>
      </c>
    </row>
    <row r="202" spans="1:9" hidden="1">
      <c r="A202" s="5" t="s">
        <v>284</v>
      </c>
      <c r="B202" s="3" t="s">
        <v>169</v>
      </c>
      <c r="C202" s="3" t="s">
        <v>170</v>
      </c>
      <c r="D202" s="5" t="s">
        <v>8</v>
      </c>
      <c r="E202" s="3" t="s">
        <v>171</v>
      </c>
      <c r="F202" s="7">
        <v>46112.513680555552</v>
      </c>
      <c r="G202" t="s">
        <v>271</v>
      </c>
      <c r="H202" t="s">
        <v>233</v>
      </c>
      <c r="I202" s="4">
        <f>VLOOKUP(G202,Sheet2!A:D,4,0)</f>
        <v>8</v>
      </c>
    </row>
    <row r="203" spans="1:9" hidden="1">
      <c r="A203" s="4" t="s">
        <v>285</v>
      </c>
      <c r="B203" s="2" t="s">
        <v>12</v>
      </c>
      <c r="C203" s="2" t="s">
        <v>13</v>
      </c>
      <c r="D203" s="4" t="s">
        <v>8</v>
      </c>
      <c r="E203" s="2" t="s">
        <v>14</v>
      </c>
      <c r="F203" s="6">
        <v>46099.562893518516</v>
      </c>
      <c r="G203" t="s">
        <v>271</v>
      </c>
      <c r="H203" t="s">
        <v>233</v>
      </c>
      <c r="I203" s="4">
        <f>VLOOKUP(G203,Sheet2!A:D,4,0)</f>
        <v>8</v>
      </c>
    </row>
    <row r="204" spans="1:9" hidden="1">
      <c r="A204" s="5" t="s">
        <v>286</v>
      </c>
      <c r="B204" s="3" t="s">
        <v>12</v>
      </c>
      <c r="C204" s="3" t="s">
        <v>13</v>
      </c>
      <c r="D204" s="5" t="s">
        <v>8</v>
      </c>
      <c r="E204" s="3" t="s">
        <v>14</v>
      </c>
      <c r="F204" s="7">
        <v>46098.718275462961</v>
      </c>
      <c r="G204" t="s">
        <v>271</v>
      </c>
      <c r="H204" t="s">
        <v>233</v>
      </c>
      <c r="I204" s="4">
        <f>VLOOKUP(G204,Sheet2!A:D,4,0)</f>
        <v>8</v>
      </c>
    </row>
    <row r="205" spans="1:9" hidden="1">
      <c r="A205" s="4" t="s">
        <v>287</v>
      </c>
      <c r="B205" s="2" t="s">
        <v>12</v>
      </c>
      <c r="C205" s="2" t="s">
        <v>13</v>
      </c>
      <c r="D205" s="4" t="s">
        <v>8</v>
      </c>
      <c r="E205" s="2" t="s">
        <v>14</v>
      </c>
      <c r="F205" s="6">
        <v>46104.351030092592</v>
      </c>
      <c r="G205" t="s">
        <v>271</v>
      </c>
      <c r="H205" t="s">
        <v>233</v>
      </c>
      <c r="I205" s="4">
        <f>VLOOKUP(G205,Sheet2!A:D,4,0)</f>
        <v>8</v>
      </c>
    </row>
    <row r="206" spans="1:9" hidden="1">
      <c r="A206" s="5" t="s">
        <v>288</v>
      </c>
      <c r="B206" s="3" t="s">
        <v>12</v>
      </c>
      <c r="C206" s="3" t="s">
        <v>13</v>
      </c>
      <c r="D206" s="5" t="s">
        <v>8</v>
      </c>
      <c r="E206" s="3" t="s">
        <v>14</v>
      </c>
      <c r="F206" s="7">
        <v>46106.555092592593</v>
      </c>
      <c r="G206" t="s">
        <v>271</v>
      </c>
      <c r="H206" t="s">
        <v>233</v>
      </c>
      <c r="I206" s="4">
        <f>VLOOKUP(G206,Sheet2!A:D,4,0)</f>
        <v>8</v>
      </c>
    </row>
    <row r="207" spans="1:9" hidden="1">
      <c r="A207" s="4" t="s">
        <v>289</v>
      </c>
      <c r="B207" s="2" t="s">
        <v>12</v>
      </c>
      <c r="C207" s="2" t="s">
        <v>13</v>
      </c>
      <c r="D207" s="4" t="s">
        <v>8</v>
      </c>
      <c r="E207" s="2" t="s">
        <v>14</v>
      </c>
      <c r="F207" s="6">
        <v>46104.350671296299</v>
      </c>
      <c r="G207" t="s">
        <v>271</v>
      </c>
      <c r="H207" t="s">
        <v>233</v>
      </c>
      <c r="I207" s="4">
        <f>VLOOKUP(G207,Sheet2!A:D,4,0)</f>
        <v>8</v>
      </c>
    </row>
    <row r="208" spans="1:9" hidden="1">
      <c r="A208" s="5" t="s">
        <v>290</v>
      </c>
      <c r="B208" s="3" t="s">
        <v>12</v>
      </c>
      <c r="C208" s="3" t="s">
        <v>13</v>
      </c>
      <c r="D208" s="5" t="s">
        <v>8</v>
      </c>
      <c r="E208" s="3" t="s">
        <v>14</v>
      </c>
      <c r="F208" s="7">
        <v>46104.35224537037</v>
      </c>
      <c r="G208" t="s">
        <v>271</v>
      </c>
      <c r="H208" t="s">
        <v>233</v>
      </c>
      <c r="I208" s="4">
        <f>VLOOKUP(G208,Sheet2!A:D,4,0)</f>
        <v>8</v>
      </c>
    </row>
    <row r="209" spans="1:9" hidden="1">
      <c r="A209" s="4" t="s">
        <v>291</v>
      </c>
      <c r="B209" s="2" t="s">
        <v>12</v>
      </c>
      <c r="C209" s="2" t="s">
        <v>13</v>
      </c>
      <c r="D209" s="4" t="s">
        <v>8</v>
      </c>
      <c r="E209" s="2" t="s">
        <v>14</v>
      </c>
      <c r="F209" s="6">
        <v>46099.563263888886</v>
      </c>
      <c r="G209" t="s">
        <v>271</v>
      </c>
      <c r="H209" t="s">
        <v>233</v>
      </c>
      <c r="I209" s="4">
        <f>VLOOKUP(G209,Sheet2!A:D,4,0)</f>
        <v>8</v>
      </c>
    </row>
    <row r="210" spans="1:9" hidden="1">
      <c r="A210" s="5" t="s">
        <v>292</v>
      </c>
      <c r="B210" s="3" t="s">
        <v>12</v>
      </c>
      <c r="C210" s="3" t="s">
        <v>13</v>
      </c>
      <c r="D210" s="5" t="s">
        <v>8</v>
      </c>
      <c r="E210" s="3" t="s">
        <v>14</v>
      </c>
      <c r="F210" s="7">
        <v>46099.557453703703</v>
      </c>
      <c r="G210" t="s">
        <v>271</v>
      </c>
      <c r="H210" t="s">
        <v>233</v>
      </c>
      <c r="I210" s="4">
        <f>VLOOKUP(G210,Sheet2!A:D,4,0)</f>
        <v>8</v>
      </c>
    </row>
    <row r="211" spans="1:9" hidden="1">
      <c r="A211" s="4" t="s">
        <v>293</v>
      </c>
      <c r="B211" s="2" t="s">
        <v>12</v>
      </c>
      <c r="C211" s="2" t="s">
        <v>13</v>
      </c>
      <c r="D211" s="4" t="s">
        <v>8</v>
      </c>
      <c r="E211" s="2" t="s">
        <v>14</v>
      </c>
      <c r="F211" s="6">
        <v>46099.588240740741</v>
      </c>
      <c r="G211" t="s">
        <v>271</v>
      </c>
      <c r="H211" t="s">
        <v>233</v>
      </c>
      <c r="I211" s="4">
        <f>VLOOKUP(G211,Sheet2!A:D,4,0)</f>
        <v>8</v>
      </c>
    </row>
    <row r="212" spans="1:9" hidden="1">
      <c r="A212" s="5" t="s">
        <v>294</v>
      </c>
      <c r="B212" s="3" t="s">
        <v>12</v>
      </c>
      <c r="C212" s="3" t="s">
        <v>13</v>
      </c>
      <c r="D212" s="5" t="s">
        <v>8</v>
      </c>
      <c r="E212" s="3" t="s">
        <v>14</v>
      </c>
      <c r="F212" s="7">
        <v>46099.592395833337</v>
      </c>
      <c r="G212" t="s">
        <v>271</v>
      </c>
      <c r="H212" t="s">
        <v>233</v>
      </c>
      <c r="I212" s="4">
        <f>VLOOKUP(G212,Sheet2!A:D,4,0)</f>
        <v>8</v>
      </c>
    </row>
    <row r="213" spans="1:9" hidden="1">
      <c r="A213" s="4" t="s">
        <v>295</v>
      </c>
      <c r="B213" s="2" t="s">
        <v>12</v>
      </c>
      <c r="C213" s="2" t="s">
        <v>13</v>
      </c>
      <c r="D213" s="4" t="s">
        <v>8</v>
      </c>
      <c r="E213" s="2" t="s">
        <v>14</v>
      </c>
      <c r="F213" s="6">
        <v>46097.47084490741</v>
      </c>
      <c r="G213" t="s">
        <v>271</v>
      </c>
      <c r="H213" t="s">
        <v>233</v>
      </c>
      <c r="I213" s="4">
        <f>VLOOKUP(G213,Sheet2!A:D,4,0)</f>
        <v>8</v>
      </c>
    </row>
    <row r="214" spans="1:9" hidden="1">
      <c r="A214" s="5" t="s">
        <v>296</v>
      </c>
      <c r="B214" s="3" t="s">
        <v>169</v>
      </c>
      <c r="C214" s="3" t="s">
        <v>170</v>
      </c>
      <c r="D214" s="5" t="s">
        <v>8</v>
      </c>
      <c r="E214" s="3" t="s">
        <v>171</v>
      </c>
      <c r="F214" s="7">
        <v>46112.514039351852</v>
      </c>
      <c r="G214" t="s">
        <v>271</v>
      </c>
      <c r="H214" t="s">
        <v>233</v>
      </c>
      <c r="I214" s="4">
        <f>VLOOKUP(G214,Sheet2!A:D,4,0)</f>
        <v>8</v>
      </c>
    </row>
    <row r="215" spans="1:9" hidden="1">
      <c r="A215" s="4" t="s">
        <v>297</v>
      </c>
      <c r="B215" s="2" t="s">
        <v>12</v>
      </c>
      <c r="C215" s="2" t="s">
        <v>13</v>
      </c>
      <c r="D215" s="4" t="s">
        <v>8</v>
      </c>
      <c r="E215" s="2" t="s">
        <v>14</v>
      </c>
      <c r="F215" s="6">
        <v>46104.351851851854</v>
      </c>
      <c r="G215" t="s">
        <v>271</v>
      </c>
      <c r="H215" t="s">
        <v>233</v>
      </c>
      <c r="I215" s="4">
        <f>VLOOKUP(G215,Sheet2!A:D,4,0)</f>
        <v>8</v>
      </c>
    </row>
    <row r="216" spans="1:9" hidden="1">
      <c r="A216" s="5" t="s">
        <v>298</v>
      </c>
      <c r="B216" s="3" t="s">
        <v>12</v>
      </c>
      <c r="C216" s="3" t="s">
        <v>13</v>
      </c>
      <c r="D216" s="5" t="s">
        <v>8</v>
      </c>
      <c r="E216" s="3" t="s">
        <v>14</v>
      </c>
      <c r="F216" s="7">
        <v>46105.288506944446</v>
      </c>
      <c r="G216" t="s">
        <v>271</v>
      </c>
      <c r="H216" t="s">
        <v>233</v>
      </c>
      <c r="I216" s="4">
        <f>VLOOKUP(G216,Sheet2!A:D,4,0)</f>
        <v>8</v>
      </c>
    </row>
    <row r="217" spans="1:9" hidden="1">
      <c r="A217" s="4" t="s">
        <v>299</v>
      </c>
      <c r="B217" s="2" t="s">
        <v>12</v>
      </c>
      <c r="C217" s="2" t="s">
        <v>13</v>
      </c>
      <c r="D217" s="4" t="s">
        <v>8</v>
      </c>
      <c r="E217" s="2" t="s">
        <v>14</v>
      </c>
      <c r="F217" s="6">
        <v>46104.349907407406</v>
      </c>
      <c r="G217" t="s">
        <v>271</v>
      </c>
      <c r="H217" t="s">
        <v>233</v>
      </c>
      <c r="I217" s="4">
        <f>VLOOKUP(G217,Sheet2!A:D,4,0)</f>
        <v>8</v>
      </c>
    </row>
    <row r="218" spans="1:9" hidden="1">
      <c r="A218" s="5" t="s">
        <v>300</v>
      </c>
      <c r="B218" s="3" t="s">
        <v>12</v>
      </c>
      <c r="C218" s="3" t="s">
        <v>13</v>
      </c>
      <c r="D218" s="5" t="s">
        <v>8</v>
      </c>
      <c r="E218" s="3" t="s">
        <v>14</v>
      </c>
      <c r="F218" s="7">
        <v>46104.350300925929</v>
      </c>
      <c r="G218" t="s">
        <v>271</v>
      </c>
      <c r="H218" t="s">
        <v>233</v>
      </c>
      <c r="I218" s="4">
        <f>VLOOKUP(G218,Sheet2!A:D,4,0)</f>
        <v>8</v>
      </c>
    </row>
    <row r="219" spans="1:9" hidden="1">
      <c r="A219" s="4" t="s">
        <v>301</v>
      </c>
      <c r="B219" s="2" t="s">
        <v>12</v>
      </c>
      <c r="C219" s="2" t="s">
        <v>13</v>
      </c>
      <c r="D219" s="4" t="s">
        <v>8</v>
      </c>
      <c r="E219" s="2" t="s">
        <v>14</v>
      </c>
      <c r="F219" s="6">
        <v>46106.55641203704</v>
      </c>
      <c r="G219" t="s">
        <v>271</v>
      </c>
      <c r="H219" t="s">
        <v>233</v>
      </c>
      <c r="I219" s="4">
        <f>VLOOKUP(G219,Sheet2!A:D,4,0)</f>
        <v>8</v>
      </c>
    </row>
    <row r="220" spans="1:9" hidden="1">
      <c r="A220" s="5" t="s">
        <v>302</v>
      </c>
      <c r="B220" s="3" t="s">
        <v>12</v>
      </c>
      <c r="C220" s="3" t="s">
        <v>13</v>
      </c>
      <c r="D220" s="5" t="s">
        <v>8</v>
      </c>
      <c r="E220" s="3" t="s">
        <v>14</v>
      </c>
      <c r="F220" s="7">
        <v>46106.555474537039</v>
      </c>
      <c r="G220" t="s">
        <v>271</v>
      </c>
      <c r="H220" t="s">
        <v>233</v>
      </c>
      <c r="I220" s="4">
        <f>VLOOKUP(G220,Sheet2!A:D,4,0)</f>
        <v>8</v>
      </c>
    </row>
    <row r="221" spans="1:9" hidden="1">
      <c r="A221" s="4" t="s">
        <v>303</v>
      </c>
      <c r="B221" s="2" t="s">
        <v>12</v>
      </c>
      <c r="C221" s="2" t="s">
        <v>13</v>
      </c>
      <c r="D221" s="4" t="s">
        <v>8</v>
      </c>
      <c r="E221" s="2" t="s">
        <v>14</v>
      </c>
      <c r="F221" s="6">
        <v>46106.549386574072</v>
      </c>
      <c r="G221" t="s">
        <v>271</v>
      </c>
      <c r="H221" t="s">
        <v>233</v>
      </c>
      <c r="I221" s="4">
        <f>VLOOKUP(G221,Sheet2!A:D,4,0)</f>
        <v>8</v>
      </c>
    </row>
    <row r="222" spans="1:9" hidden="1">
      <c r="A222" s="5" t="s">
        <v>304</v>
      </c>
      <c r="B222" s="3" t="s">
        <v>12</v>
      </c>
      <c r="C222" s="3" t="s">
        <v>13</v>
      </c>
      <c r="D222" s="5" t="s">
        <v>8</v>
      </c>
      <c r="E222" s="3" t="s">
        <v>14</v>
      </c>
      <c r="F222" s="7">
        <v>46106.555902777778</v>
      </c>
      <c r="G222" t="s">
        <v>271</v>
      </c>
      <c r="H222" t="s">
        <v>233</v>
      </c>
      <c r="I222" s="4">
        <f>VLOOKUP(G222,Sheet2!A:D,4,0)</f>
        <v>8</v>
      </c>
    </row>
    <row r="223" spans="1:9" hidden="1">
      <c r="A223" s="4" t="s">
        <v>305</v>
      </c>
      <c r="B223" s="2" t="s">
        <v>12</v>
      </c>
      <c r="C223" s="2" t="s">
        <v>13</v>
      </c>
      <c r="D223" s="4" t="s">
        <v>8</v>
      </c>
      <c r="E223" s="2" t="s">
        <v>14</v>
      </c>
      <c r="F223" s="6">
        <v>46106.559548611112</v>
      </c>
      <c r="G223" t="s">
        <v>271</v>
      </c>
      <c r="H223" t="s">
        <v>233</v>
      </c>
      <c r="I223" s="4">
        <f>VLOOKUP(G223,Sheet2!A:D,4,0)</f>
        <v>8</v>
      </c>
    </row>
    <row r="224" spans="1:9" hidden="1">
      <c r="A224" s="5" t="s">
        <v>306</v>
      </c>
      <c r="B224" s="3" t="s">
        <v>12</v>
      </c>
      <c r="C224" s="3" t="s">
        <v>13</v>
      </c>
      <c r="D224" s="5" t="s">
        <v>8</v>
      </c>
      <c r="E224" s="3" t="s">
        <v>14</v>
      </c>
      <c r="F224" s="7">
        <v>46106.54996527778</v>
      </c>
      <c r="G224" t="s">
        <v>271</v>
      </c>
      <c r="H224" t="s">
        <v>233</v>
      </c>
      <c r="I224" s="4">
        <f>VLOOKUP(G224,Sheet2!A:D,4,0)</f>
        <v>8</v>
      </c>
    </row>
    <row r="225" spans="1:9" hidden="1">
      <c r="A225" s="4" t="s">
        <v>307</v>
      </c>
      <c r="B225" s="2" t="s">
        <v>12</v>
      </c>
      <c r="C225" s="2" t="s">
        <v>13</v>
      </c>
      <c r="D225" s="4" t="s">
        <v>8</v>
      </c>
      <c r="E225" s="2" t="s">
        <v>14</v>
      </c>
      <c r="F225" s="6">
        <v>46104.351446759261</v>
      </c>
      <c r="G225" t="s">
        <v>271</v>
      </c>
      <c r="H225" t="s">
        <v>233</v>
      </c>
      <c r="I225" s="4">
        <f>VLOOKUP(G225,Sheet2!A:D,4,0)</f>
        <v>8</v>
      </c>
    </row>
    <row r="226" spans="1:9" hidden="1">
      <c r="A226" s="4" t="s">
        <v>308</v>
      </c>
      <c r="B226" s="2" t="s">
        <v>12</v>
      </c>
      <c r="C226" s="2" t="s">
        <v>13</v>
      </c>
      <c r="D226" s="4" t="s">
        <v>8</v>
      </c>
      <c r="E226" s="2" t="s">
        <v>14</v>
      </c>
      <c r="F226" s="6">
        <v>46101.475324074076</v>
      </c>
      <c r="G226" t="s">
        <v>309</v>
      </c>
      <c r="H226" t="s">
        <v>310</v>
      </c>
      <c r="I226" s="4">
        <f>VLOOKUP(G226,Sheet2!A:D,4,0)</f>
        <v>5</v>
      </c>
    </row>
    <row r="227" spans="1:9" hidden="1">
      <c r="A227" s="5" t="s">
        <v>311</v>
      </c>
      <c r="B227" s="3" t="s">
        <v>12</v>
      </c>
      <c r="C227" s="3" t="s">
        <v>13</v>
      </c>
      <c r="D227" s="5" t="s">
        <v>8</v>
      </c>
      <c r="E227" s="3" t="s">
        <v>14</v>
      </c>
      <c r="F227" s="7">
        <v>46102.409641203703</v>
      </c>
      <c r="G227" t="s">
        <v>309</v>
      </c>
      <c r="H227" t="s">
        <v>310</v>
      </c>
      <c r="I227" s="4">
        <f>VLOOKUP(G227,Sheet2!A:D,4,0)</f>
        <v>5</v>
      </c>
    </row>
    <row r="228" spans="1:9" hidden="1">
      <c r="A228" s="4" t="s">
        <v>312</v>
      </c>
      <c r="B228" s="2" t="s">
        <v>12</v>
      </c>
      <c r="C228" s="2" t="s">
        <v>13</v>
      </c>
      <c r="D228" s="4" t="s">
        <v>8</v>
      </c>
      <c r="E228" s="2" t="s">
        <v>14</v>
      </c>
      <c r="F228" s="6">
        <v>46099.425555555557</v>
      </c>
      <c r="G228" t="s">
        <v>309</v>
      </c>
      <c r="H228" t="s">
        <v>310</v>
      </c>
      <c r="I228" s="4">
        <f>VLOOKUP(G228,Sheet2!A:D,4,0)</f>
        <v>5</v>
      </c>
    </row>
    <row r="229" spans="1:9" hidden="1">
      <c r="A229" s="5" t="s">
        <v>313</v>
      </c>
      <c r="B229" s="3" t="s">
        <v>12</v>
      </c>
      <c r="C229" s="3" t="s">
        <v>13</v>
      </c>
      <c r="D229" s="5" t="s">
        <v>8</v>
      </c>
      <c r="E229" s="3" t="s">
        <v>14</v>
      </c>
      <c r="F229" s="7">
        <v>46099.422800925924</v>
      </c>
      <c r="G229" t="s">
        <v>309</v>
      </c>
      <c r="H229" t="s">
        <v>310</v>
      </c>
      <c r="I229" s="4">
        <f>VLOOKUP(G229,Sheet2!A:D,4,0)</f>
        <v>5</v>
      </c>
    </row>
    <row r="230" spans="1:9" hidden="1">
      <c r="A230" s="4" t="s">
        <v>314</v>
      </c>
      <c r="B230" s="2" t="s">
        <v>12</v>
      </c>
      <c r="C230" s="2" t="s">
        <v>13</v>
      </c>
      <c r="D230" s="4" t="s">
        <v>8</v>
      </c>
      <c r="E230" s="2" t="s">
        <v>14</v>
      </c>
      <c r="F230" s="6">
        <v>46099.409259259257</v>
      </c>
      <c r="G230" t="s">
        <v>309</v>
      </c>
      <c r="H230" t="s">
        <v>310</v>
      </c>
      <c r="I230" s="4">
        <f>VLOOKUP(G230,Sheet2!A:D,4,0)</f>
        <v>5</v>
      </c>
    </row>
    <row r="231" spans="1:9" hidden="1">
      <c r="A231" s="5" t="s">
        <v>315</v>
      </c>
      <c r="B231" s="3" t="s">
        <v>12</v>
      </c>
      <c r="C231" s="3" t="s">
        <v>13</v>
      </c>
      <c r="D231" s="5" t="s">
        <v>8</v>
      </c>
      <c r="E231" s="3" t="s">
        <v>14</v>
      </c>
      <c r="F231" s="7">
        <v>46101.475925925923</v>
      </c>
      <c r="G231" t="s">
        <v>309</v>
      </c>
      <c r="H231" t="s">
        <v>310</v>
      </c>
      <c r="I231" s="4">
        <f>VLOOKUP(G231,Sheet2!A:D,4,0)</f>
        <v>5</v>
      </c>
    </row>
    <row r="232" spans="1:9" hidden="1">
      <c r="A232" s="4" t="s">
        <v>316</v>
      </c>
      <c r="B232" s="2" t="s">
        <v>12</v>
      </c>
      <c r="C232" s="2" t="s">
        <v>13</v>
      </c>
      <c r="D232" s="4" t="s">
        <v>8</v>
      </c>
      <c r="E232" s="2" t="s">
        <v>14</v>
      </c>
      <c r="F232" s="6">
        <v>46099.406076388892</v>
      </c>
      <c r="G232" t="s">
        <v>309</v>
      </c>
      <c r="H232" t="s">
        <v>310</v>
      </c>
      <c r="I232" s="4">
        <f>VLOOKUP(G232,Sheet2!A:D,4,0)</f>
        <v>5</v>
      </c>
    </row>
    <row r="233" spans="1:9" hidden="1">
      <c r="A233" s="5" t="s">
        <v>317</v>
      </c>
      <c r="B233" s="3" t="s">
        <v>12</v>
      </c>
      <c r="C233" s="3" t="s">
        <v>13</v>
      </c>
      <c r="D233" s="5" t="s">
        <v>8</v>
      </c>
      <c r="E233" s="3" t="s">
        <v>14</v>
      </c>
      <c r="F233" s="7">
        <v>46101.273599537039</v>
      </c>
      <c r="G233" t="s">
        <v>309</v>
      </c>
      <c r="H233" t="s">
        <v>310</v>
      </c>
      <c r="I233" s="4">
        <f>VLOOKUP(G233,Sheet2!A:D,4,0)</f>
        <v>5</v>
      </c>
    </row>
    <row r="234" spans="1:9" hidden="1">
      <c r="A234" s="4" t="s">
        <v>318</v>
      </c>
      <c r="B234" s="2" t="s">
        <v>12</v>
      </c>
      <c r="C234" s="2" t="s">
        <v>13</v>
      </c>
      <c r="D234" s="4" t="s">
        <v>8</v>
      </c>
      <c r="E234" s="2" t="s">
        <v>14</v>
      </c>
      <c r="F234" s="6">
        <v>46099.412280092591</v>
      </c>
      <c r="G234" t="s">
        <v>309</v>
      </c>
      <c r="H234" t="s">
        <v>310</v>
      </c>
      <c r="I234" s="4">
        <f>VLOOKUP(G234,Sheet2!A:D,4,0)</f>
        <v>5</v>
      </c>
    </row>
    <row r="235" spans="1:9" hidden="1">
      <c r="A235" s="5" t="s">
        <v>319</v>
      </c>
      <c r="B235" s="3" t="s">
        <v>348</v>
      </c>
      <c r="C235" s="3" t="s">
        <v>349</v>
      </c>
      <c r="D235" s="5" t="s">
        <v>8</v>
      </c>
      <c r="E235" s="3" t="s">
        <v>350</v>
      </c>
      <c r="F235" s="7">
        <v>46101.393495370372</v>
      </c>
      <c r="G235" t="s">
        <v>309</v>
      </c>
      <c r="H235" t="s">
        <v>310</v>
      </c>
      <c r="I235" s="4">
        <f>VLOOKUP(G235,Sheet2!A:D,4,0)</f>
        <v>5</v>
      </c>
    </row>
    <row r="236" spans="1:9" hidden="1">
      <c r="A236" s="4" t="s">
        <v>320</v>
      </c>
      <c r="B236" s="2" t="s">
        <v>348</v>
      </c>
      <c r="C236" s="2" t="s">
        <v>349</v>
      </c>
      <c r="D236" s="4" t="s">
        <v>8</v>
      </c>
      <c r="E236" s="2" t="s">
        <v>350</v>
      </c>
      <c r="F236" s="6">
        <v>46102.412268518521</v>
      </c>
      <c r="G236" t="s">
        <v>309</v>
      </c>
      <c r="H236" t="s">
        <v>310</v>
      </c>
      <c r="I236" s="4">
        <f>VLOOKUP(G236,Sheet2!A:D,4,0)</f>
        <v>5</v>
      </c>
    </row>
    <row r="237" spans="1:9" hidden="1">
      <c r="A237" s="5" t="s">
        <v>321</v>
      </c>
      <c r="B237" s="3" t="s">
        <v>12</v>
      </c>
      <c r="C237" s="3" t="s">
        <v>13</v>
      </c>
      <c r="D237" s="5" t="s">
        <v>8</v>
      </c>
      <c r="E237" s="3" t="s">
        <v>14</v>
      </c>
      <c r="F237" s="7">
        <v>46099.402002314811</v>
      </c>
      <c r="G237" t="s">
        <v>309</v>
      </c>
      <c r="H237" t="s">
        <v>310</v>
      </c>
      <c r="I237" s="4">
        <f>VLOOKUP(G237,Sheet2!A:D,4,0)</f>
        <v>5</v>
      </c>
    </row>
    <row r="238" spans="1:9" hidden="1">
      <c r="A238" s="4" t="s">
        <v>322</v>
      </c>
      <c r="B238" s="2" t="s">
        <v>12</v>
      </c>
      <c r="C238" s="2" t="s">
        <v>13</v>
      </c>
      <c r="D238" s="4" t="s">
        <v>8</v>
      </c>
      <c r="E238" s="2" t="s">
        <v>14</v>
      </c>
      <c r="F238" s="6">
        <v>46097.485833333332</v>
      </c>
      <c r="G238" t="s">
        <v>309</v>
      </c>
      <c r="H238" t="s">
        <v>310</v>
      </c>
      <c r="I238" s="4">
        <f>VLOOKUP(G238,Sheet2!A:D,4,0)</f>
        <v>5</v>
      </c>
    </row>
    <row r="239" spans="1:9" hidden="1">
      <c r="A239" s="5" t="s">
        <v>323</v>
      </c>
      <c r="B239" s="3" t="s">
        <v>12</v>
      </c>
      <c r="C239" s="3" t="s">
        <v>13</v>
      </c>
      <c r="D239" s="5" t="s">
        <v>8</v>
      </c>
      <c r="E239" s="3" t="s">
        <v>14</v>
      </c>
      <c r="F239" s="7">
        <v>46102.411365740743</v>
      </c>
      <c r="G239" t="s">
        <v>309</v>
      </c>
      <c r="H239" t="s">
        <v>310</v>
      </c>
      <c r="I239" s="4">
        <f>VLOOKUP(G239,Sheet2!A:D,4,0)</f>
        <v>5</v>
      </c>
    </row>
    <row r="240" spans="1:9" hidden="1">
      <c r="A240" s="4" t="s">
        <v>324</v>
      </c>
      <c r="B240" s="2" t="s">
        <v>12</v>
      </c>
      <c r="C240" s="2" t="s">
        <v>13</v>
      </c>
      <c r="D240" s="4" t="s">
        <v>8</v>
      </c>
      <c r="E240" s="2" t="s">
        <v>14</v>
      </c>
      <c r="F240" s="6">
        <v>46097.486319444448</v>
      </c>
      <c r="G240" t="s">
        <v>309</v>
      </c>
      <c r="H240" t="s">
        <v>310</v>
      </c>
      <c r="I240" s="4">
        <f>VLOOKUP(G240,Sheet2!A:D,4,0)</f>
        <v>5</v>
      </c>
    </row>
    <row r="241" spans="1:9" hidden="1">
      <c r="A241" s="5" t="s">
        <v>325</v>
      </c>
      <c r="B241" s="3" t="s">
        <v>12</v>
      </c>
      <c r="C241" s="3" t="s">
        <v>13</v>
      </c>
      <c r="D241" s="5" t="s">
        <v>8</v>
      </c>
      <c r="E241" s="3" t="s">
        <v>14</v>
      </c>
      <c r="F241" s="7">
        <v>46097.488136574073</v>
      </c>
      <c r="G241" t="s">
        <v>309</v>
      </c>
      <c r="H241" t="s">
        <v>310</v>
      </c>
      <c r="I241" s="4">
        <f>VLOOKUP(G241,Sheet2!A:D,4,0)</f>
        <v>5</v>
      </c>
    </row>
    <row r="242" spans="1:9" hidden="1">
      <c r="A242" s="4" t="s">
        <v>326</v>
      </c>
      <c r="B242" s="2" t="s">
        <v>12</v>
      </c>
      <c r="C242" s="2" t="s">
        <v>13</v>
      </c>
      <c r="D242" s="4" t="s">
        <v>8</v>
      </c>
      <c r="E242" s="2" t="s">
        <v>14</v>
      </c>
      <c r="F242" s="6">
        <v>46102.410995370374</v>
      </c>
      <c r="G242" t="s">
        <v>309</v>
      </c>
      <c r="H242" t="s">
        <v>310</v>
      </c>
      <c r="I242" s="4">
        <f>VLOOKUP(G242,Sheet2!A:D,4,0)</f>
        <v>5</v>
      </c>
    </row>
    <row r="243" spans="1:9" hidden="1">
      <c r="A243" s="5" t="s">
        <v>327</v>
      </c>
      <c r="B243" s="3" t="s">
        <v>12</v>
      </c>
      <c r="C243" s="3" t="s">
        <v>13</v>
      </c>
      <c r="D243" s="5" t="s">
        <v>8</v>
      </c>
      <c r="E243" s="3" t="s">
        <v>14</v>
      </c>
      <c r="F243" s="7">
        <v>46101.389131944445</v>
      </c>
      <c r="G243" t="s">
        <v>309</v>
      </c>
      <c r="H243" t="s">
        <v>310</v>
      </c>
      <c r="I243" s="4">
        <f>VLOOKUP(G243,Sheet2!A:D,4,0)</f>
        <v>5</v>
      </c>
    </row>
    <row r="244" spans="1:9" hidden="1">
      <c r="A244" s="4" t="s">
        <v>328</v>
      </c>
      <c r="B244" s="2" t="s">
        <v>12</v>
      </c>
      <c r="C244" s="2" t="s">
        <v>13</v>
      </c>
      <c r="D244" s="4" t="s">
        <v>8</v>
      </c>
      <c r="E244" s="2" t="s">
        <v>14</v>
      </c>
      <c r="F244" s="6">
        <v>46101.386689814812</v>
      </c>
      <c r="G244" t="s">
        <v>309</v>
      </c>
      <c r="H244" t="s">
        <v>310</v>
      </c>
      <c r="I244" s="4">
        <f>VLOOKUP(G244,Sheet2!A:D,4,0)</f>
        <v>5</v>
      </c>
    </row>
    <row r="245" spans="1:9" hidden="1">
      <c r="A245" s="5" t="s">
        <v>329</v>
      </c>
      <c r="B245" s="3" t="s">
        <v>12</v>
      </c>
      <c r="C245" s="3" t="s">
        <v>13</v>
      </c>
      <c r="D245" s="5" t="s">
        <v>8</v>
      </c>
      <c r="E245" s="3" t="s">
        <v>14</v>
      </c>
      <c r="F245" s="7">
        <v>46101.388599537036</v>
      </c>
      <c r="G245" t="s">
        <v>309</v>
      </c>
      <c r="H245" t="s">
        <v>310</v>
      </c>
      <c r="I245" s="4">
        <f>VLOOKUP(G245,Sheet2!A:D,4,0)</f>
        <v>5</v>
      </c>
    </row>
    <row r="246" spans="1:9" hidden="1">
      <c r="A246" s="4" t="s">
        <v>330</v>
      </c>
      <c r="B246" s="2" t="s">
        <v>12</v>
      </c>
      <c r="C246" s="2" t="s">
        <v>13</v>
      </c>
      <c r="D246" s="4" t="s">
        <v>8</v>
      </c>
      <c r="E246" s="2" t="s">
        <v>14</v>
      </c>
      <c r="F246" s="6">
        <v>46101.386261574073</v>
      </c>
      <c r="G246" t="s">
        <v>309</v>
      </c>
      <c r="H246" t="s">
        <v>310</v>
      </c>
      <c r="I246" s="4">
        <f>VLOOKUP(G246,Sheet2!A:D,4,0)</f>
        <v>5</v>
      </c>
    </row>
    <row r="247" spans="1:9" hidden="1">
      <c r="A247" s="5" t="s">
        <v>331</v>
      </c>
      <c r="B247" s="3" t="s">
        <v>12</v>
      </c>
      <c r="C247" s="3" t="s">
        <v>13</v>
      </c>
      <c r="D247" s="5" t="s">
        <v>8</v>
      </c>
      <c r="E247" s="3" t="s">
        <v>14</v>
      </c>
      <c r="F247" s="7">
        <v>46102.410555555558</v>
      </c>
      <c r="G247" t="s">
        <v>309</v>
      </c>
      <c r="H247" t="s">
        <v>310</v>
      </c>
      <c r="I247" s="4">
        <f>VLOOKUP(G247,Sheet2!A:D,4,0)</f>
        <v>5</v>
      </c>
    </row>
    <row r="248" spans="1:9" hidden="1">
      <c r="A248" s="4" t="s">
        <v>332</v>
      </c>
      <c r="B248" s="2" t="s">
        <v>12</v>
      </c>
      <c r="C248" s="2" t="s">
        <v>13</v>
      </c>
      <c r="D248" s="4" t="s">
        <v>8</v>
      </c>
      <c r="E248" s="2" t="s">
        <v>14</v>
      </c>
      <c r="F248" s="6">
        <v>46101.387488425928</v>
      </c>
      <c r="G248" t="s">
        <v>309</v>
      </c>
      <c r="H248" t="s">
        <v>310</v>
      </c>
      <c r="I248" s="4">
        <f>VLOOKUP(G248,Sheet2!A:D,4,0)</f>
        <v>5</v>
      </c>
    </row>
    <row r="249" spans="1:9" hidden="1">
      <c r="A249" s="5" t="s">
        <v>333</v>
      </c>
      <c r="B249" s="3" t="s">
        <v>57</v>
      </c>
      <c r="C249" s="3" t="s">
        <v>58</v>
      </c>
      <c r="D249" s="5" t="s">
        <v>8</v>
      </c>
      <c r="E249" s="3" t="s">
        <v>59</v>
      </c>
      <c r="F249" s="7">
        <v>46113.275358796294</v>
      </c>
      <c r="G249" t="s">
        <v>309</v>
      </c>
      <c r="H249" t="s">
        <v>310</v>
      </c>
      <c r="I249" s="4">
        <f>VLOOKUP(G249,Sheet2!A:D,4,0)</f>
        <v>5</v>
      </c>
    </row>
    <row r="250" spans="1:9" hidden="1">
      <c r="A250" s="4" t="s">
        <v>334</v>
      </c>
      <c r="B250" s="2" t="s">
        <v>12</v>
      </c>
      <c r="C250" s="2" t="s">
        <v>13</v>
      </c>
      <c r="D250" s="4" t="s">
        <v>8</v>
      </c>
      <c r="E250" s="2" t="s">
        <v>14</v>
      </c>
      <c r="F250" s="6">
        <v>46097.486828703702</v>
      </c>
      <c r="G250" t="s">
        <v>309</v>
      </c>
      <c r="H250" t="s">
        <v>310</v>
      </c>
      <c r="I250" s="4">
        <f>VLOOKUP(G250,Sheet2!A:D,4,0)</f>
        <v>5</v>
      </c>
    </row>
    <row r="251" spans="1:9" hidden="1">
      <c r="A251" s="5" t="s">
        <v>335</v>
      </c>
      <c r="B251" s="3" t="s">
        <v>12</v>
      </c>
      <c r="C251" s="3" t="s">
        <v>13</v>
      </c>
      <c r="D251" s="5" t="s">
        <v>8</v>
      </c>
      <c r="E251" s="3" t="s">
        <v>14</v>
      </c>
      <c r="F251" s="7">
        <v>46097.485173611109</v>
      </c>
      <c r="G251" t="s">
        <v>309</v>
      </c>
      <c r="H251" t="s">
        <v>310</v>
      </c>
      <c r="I251" s="4">
        <f>VLOOKUP(G251,Sheet2!A:D,4,0)</f>
        <v>5</v>
      </c>
    </row>
    <row r="252" spans="1:9" hidden="1">
      <c r="A252" s="4" t="s">
        <v>336</v>
      </c>
      <c r="B252" s="2" t="s">
        <v>12</v>
      </c>
      <c r="C252" s="2" t="s">
        <v>13</v>
      </c>
      <c r="D252" s="4" t="s">
        <v>8</v>
      </c>
      <c r="E252" s="2" t="s">
        <v>14</v>
      </c>
      <c r="F252" s="6">
        <v>46102.409988425927</v>
      </c>
      <c r="G252" t="s">
        <v>309</v>
      </c>
      <c r="H252" t="s">
        <v>310</v>
      </c>
      <c r="I252" s="4">
        <f>VLOOKUP(G252,Sheet2!A:D,4,0)</f>
        <v>5</v>
      </c>
    </row>
    <row r="253" spans="1:9" hidden="1">
      <c r="A253" s="5" t="s">
        <v>337</v>
      </c>
      <c r="B253" s="3" t="s">
        <v>12</v>
      </c>
      <c r="C253" s="3" t="s">
        <v>13</v>
      </c>
      <c r="D253" s="5" t="s">
        <v>8</v>
      </c>
      <c r="E253" s="3" t="s">
        <v>14</v>
      </c>
      <c r="F253" s="7">
        <v>46101.474560185183</v>
      </c>
      <c r="G253" t="s">
        <v>309</v>
      </c>
      <c r="H253" t="s">
        <v>310</v>
      </c>
      <c r="I253" s="4">
        <f>VLOOKUP(G253,Sheet2!A:D,4,0)</f>
        <v>5</v>
      </c>
    </row>
    <row r="254" spans="1:9" hidden="1">
      <c r="A254" s="4" t="s">
        <v>338</v>
      </c>
      <c r="B254" s="2" t="s">
        <v>12</v>
      </c>
      <c r="C254" s="2" t="s">
        <v>13</v>
      </c>
      <c r="D254" s="4" t="s">
        <v>8</v>
      </c>
      <c r="E254" s="2" t="s">
        <v>14</v>
      </c>
      <c r="F254" s="6">
        <v>46101.388194444444</v>
      </c>
      <c r="G254" t="s">
        <v>309</v>
      </c>
      <c r="H254" t="s">
        <v>310</v>
      </c>
      <c r="I254" s="4">
        <f>VLOOKUP(G254,Sheet2!A:D,4,0)</f>
        <v>5</v>
      </c>
    </row>
    <row r="255" spans="1:9" hidden="1">
      <c r="A255" s="5" t="s">
        <v>339</v>
      </c>
      <c r="B255" s="3" t="s">
        <v>12</v>
      </c>
      <c r="C255" s="3" t="s">
        <v>13</v>
      </c>
      <c r="D255" s="5" t="s">
        <v>8</v>
      </c>
      <c r="E255" s="3" t="s">
        <v>14</v>
      </c>
      <c r="F255" s="7">
        <v>46097.487291666665</v>
      </c>
      <c r="G255" t="s">
        <v>309</v>
      </c>
      <c r="H255" t="s">
        <v>310</v>
      </c>
      <c r="I255" s="4">
        <f>VLOOKUP(G255,Sheet2!A:D,4,0)</f>
        <v>5</v>
      </c>
    </row>
    <row r="256" spans="1:9" hidden="1">
      <c r="A256" s="4" t="s">
        <v>340</v>
      </c>
      <c r="B256" s="2" t="s">
        <v>12</v>
      </c>
      <c r="C256" s="2" t="s">
        <v>13</v>
      </c>
      <c r="D256" s="4" t="s">
        <v>8</v>
      </c>
      <c r="E256" s="2" t="s">
        <v>14</v>
      </c>
      <c r="F256" s="6">
        <v>46101.397777777776</v>
      </c>
      <c r="G256" t="s">
        <v>309</v>
      </c>
      <c r="H256" t="s">
        <v>310</v>
      </c>
      <c r="I256" s="4">
        <f>VLOOKUP(G256,Sheet2!A:D,4,0)</f>
        <v>5</v>
      </c>
    </row>
    <row r="257" spans="1:9" hidden="1">
      <c r="A257" s="5" t="s">
        <v>341</v>
      </c>
      <c r="B257" s="3" t="s">
        <v>12</v>
      </c>
      <c r="C257" s="3" t="s">
        <v>13</v>
      </c>
      <c r="D257" s="5" t="s">
        <v>8</v>
      </c>
      <c r="E257" s="3" t="s">
        <v>14</v>
      </c>
      <c r="F257" s="7">
        <v>46101.387118055558</v>
      </c>
      <c r="G257" t="s">
        <v>309</v>
      </c>
      <c r="H257" t="s">
        <v>310</v>
      </c>
      <c r="I257" s="4">
        <f>VLOOKUP(G257,Sheet2!A:D,4,0)</f>
        <v>5</v>
      </c>
    </row>
    <row r="258" spans="1:9" hidden="1">
      <c r="A258" s="4" t="s">
        <v>342</v>
      </c>
      <c r="B258" s="2" t="s">
        <v>12</v>
      </c>
      <c r="C258" s="2" t="s">
        <v>13</v>
      </c>
      <c r="D258" s="4" t="s">
        <v>8</v>
      </c>
      <c r="E258" s="2" t="s">
        <v>14</v>
      </c>
      <c r="F258" s="6">
        <v>46099.41951388889</v>
      </c>
      <c r="G258" t="s">
        <v>309</v>
      </c>
      <c r="H258" t="s">
        <v>310</v>
      </c>
      <c r="I258" s="4">
        <f>VLOOKUP(G258,Sheet2!A:D,4,0)</f>
        <v>5</v>
      </c>
    </row>
    <row r="259" spans="1:9" hidden="1">
      <c r="A259" s="5" t="s">
        <v>343</v>
      </c>
      <c r="B259" s="3" t="s">
        <v>12</v>
      </c>
      <c r="C259" s="3" t="s">
        <v>13</v>
      </c>
      <c r="D259" s="5" t="s">
        <v>8</v>
      </c>
      <c r="E259" s="3" t="s">
        <v>14</v>
      </c>
      <c r="F259" s="7">
        <v>46112.500289351854</v>
      </c>
      <c r="G259" t="s">
        <v>309</v>
      </c>
      <c r="H259" t="s">
        <v>310</v>
      </c>
      <c r="I259" s="4">
        <f>VLOOKUP(G259,Sheet2!A:D,4,0)</f>
        <v>5</v>
      </c>
    </row>
    <row r="260" spans="1:9" hidden="1">
      <c r="A260" s="4" t="s">
        <v>344</v>
      </c>
      <c r="B260" s="2" t="s">
        <v>12</v>
      </c>
      <c r="C260" s="2" t="s">
        <v>13</v>
      </c>
      <c r="D260" s="4" t="s">
        <v>8</v>
      </c>
      <c r="E260" s="2" t="s">
        <v>14</v>
      </c>
      <c r="F260" s="6">
        <v>46099.415601851855</v>
      </c>
      <c r="G260" t="s">
        <v>309</v>
      </c>
      <c r="H260" t="s">
        <v>310</v>
      </c>
      <c r="I260" s="4">
        <f>VLOOKUP(G260,Sheet2!A:D,4,0)</f>
        <v>5</v>
      </c>
    </row>
    <row r="261" spans="1:9" hidden="1">
      <c r="A261" s="5" t="s">
        <v>345</v>
      </c>
      <c r="B261" s="3" t="s">
        <v>12</v>
      </c>
      <c r="C261" s="3" t="s">
        <v>13</v>
      </c>
      <c r="D261" s="5" t="s">
        <v>8</v>
      </c>
      <c r="E261" s="3" t="s">
        <v>14</v>
      </c>
      <c r="F261" s="7">
        <v>46101.274224537039</v>
      </c>
      <c r="G261" t="s">
        <v>309</v>
      </c>
      <c r="H261" t="s">
        <v>310</v>
      </c>
      <c r="I261" s="4">
        <f>VLOOKUP(G261,Sheet2!A:D,4,0)</f>
        <v>5</v>
      </c>
    </row>
    <row r="262" spans="1:9" hidden="1">
      <c r="A262" s="4" t="s">
        <v>346</v>
      </c>
      <c r="B262" s="2" t="s">
        <v>12</v>
      </c>
      <c r="C262" s="2" t="s">
        <v>13</v>
      </c>
      <c r="D262" s="4" t="s">
        <v>8</v>
      </c>
      <c r="E262" s="2" t="s">
        <v>14</v>
      </c>
      <c r="F262" s="6">
        <v>46097.426064814812</v>
      </c>
      <c r="G262" t="s">
        <v>309</v>
      </c>
      <c r="H262" t="s">
        <v>310</v>
      </c>
      <c r="I262" s="4">
        <f>VLOOKUP(G262,Sheet2!A:D,4,0)</f>
        <v>5</v>
      </c>
    </row>
    <row r="263" spans="1:9" hidden="1">
      <c r="A263" s="4" t="s">
        <v>351</v>
      </c>
      <c r="B263" s="2" t="s">
        <v>57</v>
      </c>
      <c r="C263" s="2" t="s">
        <v>58</v>
      </c>
      <c r="D263" s="4" t="s">
        <v>8</v>
      </c>
      <c r="E263" s="2" t="s">
        <v>59</v>
      </c>
      <c r="F263" s="6">
        <v>46112.424791666665</v>
      </c>
      <c r="G263" t="s">
        <v>347</v>
      </c>
      <c r="H263" t="s">
        <v>310</v>
      </c>
      <c r="I263" s="4">
        <f>VLOOKUP(G263,Sheet2!A:D,4,0)</f>
        <v>6</v>
      </c>
    </row>
    <row r="264" spans="1:9" hidden="1">
      <c r="A264" s="5" t="s">
        <v>352</v>
      </c>
      <c r="B264" s="3" t="s">
        <v>57</v>
      </c>
      <c r="C264" s="3" t="s">
        <v>58</v>
      </c>
      <c r="D264" s="5" t="s">
        <v>8</v>
      </c>
      <c r="E264" s="3" t="s">
        <v>59</v>
      </c>
      <c r="F264" s="7">
        <v>46112.492893518516</v>
      </c>
      <c r="G264" t="s">
        <v>347</v>
      </c>
      <c r="H264" t="s">
        <v>310</v>
      </c>
      <c r="I264" s="4">
        <f>VLOOKUP(G264,Sheet2!A:D,4,0)</f>
        <v>6</v>
      </c>
    </row>
    <row r="265" spans="1:9" hidden="1">
      <c r="A265" s="4" t="s">
        <v>353</v>
      </c>
      <c r="B265" s="2" t="s">
        <v>12</v>
      </c>
      <c r="C265" s="2" t="s">
        <v>13</v>
      </c>
      <c r="D265" s="4" t="s">
        <v>8</v>
      </c>
      <c r="E265" s="2" t="s">
        <v>14</v>
      </c>
      <c r="F265" s="6">
        <v>46105.58902777778</v>
      </c>
      <c r="G265" t="s">
        <v>347</v>
      </c>
      <c r="H265" t="s">
        <v>310</v>
      </c>
      <c r="I265" s="4">
        <f>VLOOKUP(G265,Sheet2!A:D,4,0)</f>
        <v>6</v>
      </c>
    </row>
    <row r="266" spans="1:9" hidden="1">
      <c r="A266" s="5" t="s">
        <v>356</v>
      </c>
      <c r="B266" s="3" t="s">
        <v>12</v>
      </c>
      <c r="C266" s="3" t="s">
        <v>13</v>
      </c>
      <c r="D266" s="5" t="s">
        <v>8</v>
      </c>
      <c r="E266" s="3" t="s">
        <v>14</v>
      </c>
      <c r="F266" s="7">
        <v>46106.408541666664</v>
      </c>
      <c r="G266" t="s">
        <v>347</v>
      </c>
      <c r="H266" t="s">
        <v>310</v>
      </c>
      <c r="I266" s="4">
        <f>VLOOKUP(G266,Sheet2!A:D,4,0)</f>
        <v>6</v>
      </c>
    </row>
    <row r="267" spans="1:9" hidden="1">
      <c r="A267" s="4" t="s">
        <v>357</v>
      </c>
      <c r="B267" s="2" t="s">
        <v>12</v>
      </c>
      <c r="C267" s="2" t="s">
        <v>13</v>
      </c>
      <c r="D267" s="4" t="s">
        <v>8</v>
      </c>
      <c r="E267" s="2" t="s">
        <v>14</v>
      </c>
      <c r="F267" s="6">
        <v>46107.563587962963</v>
      </c>
      <c r="G267" t="s">
        <v>347</v>
      </c>
      <c r="H267" t="s">
        <v>310</v>
      </c>
      <c r="I267" s="4">
        <f>VLOOKUP(G267,Sheet2!A:D,4,0)</f>
        <v>6</v>
      </c>
    </row>
    <row r="268" spans="1:9" hidden="1">
      <c r="A268" s="5" t="s">
        <v>358</v>
      </c>
      <c r="B268" s="3" t="s">
        <v>12</v>
      </c>
      <c r="C268" s="3" t="s">
        <v>13</v>
      </c>
      <c r="D268" s="5" t="s">
        <v>8</v>
      </c>
      <c r="E268" s="3" t="s">
        <v>14</v>
      </c>
      <c r="F268" s="7">
        <v>46105.589525462965</v>
      </c>
      <c r="G268" t="s">
        <v>347</v>
      </c>
      <c r="H268" t="s">
        <v>310</v>
      </c>
      <c r="I268" s="4">
        <f>VLOOKUP(G268,Sheet2!A:D,4,0)</f>
        <v>6</v>
      </c>
    </row>
    <row r="269" spans="1:9" hidden="1">
      <c r="A269" s="4" t="s">
        <v>359</v>
      </c>
      <c r="B269" s="2" t="s">
        <v>12</v>
      </c>
      <c r="C269" s="2" t="s">
        <v>13</v>
      </c>
      <c r="D269" s="4" t="s">
        <v>8</v>
      </c>
      <c r="E269" s="2" t="s">
        <v>14</v>
      </c>
      <c r="F269" s="6">
        <v>46107.55128472222</v>
      </c>
      <c r="G269" t="s">
        <v>347</v>
      </c>
      <c r="H269" t="s">
        <v>310</v>
      </c>
      <c r="I269" s="4">
        <f>VLOOKUP(G269,Sheet2!A:D,4,0)</f>
        <v>6</v>
      </c>
    </row>
    <row r="270" spans="1:9" hidden="1">
      <c r="A270" s="5" t="s">
        <v>360</v>
      </c>
      <c r="B270" s="3" t="s">
        <v>12</v>
      </c>
      <c r="C270" s="3" t="s">
        <v>13</v>
      </c>
      <c r="D270" s="5" t="s">
        <v>8</v>
      </c>
      <c r="E270" s="3" t="s">
        <v>14</v>
      </c>
      <c r="F270" s="7">
        <v>46105.589803240742</v>
      </c>
      <c r="G270" t="s">
        <v>347</v>
      </c>
      <c r="H270" t="s">
        <v>310</v>
      </c>
      <c r="I270" s="4">
        <f>VLOOKUP(G270,Sheet2!A:D,4,0)</f>
        <v>6</v>
      </c>
    </row>
    <row r="271" spans="1:9" hidden="1">
      <c r="A271" s="4" t="s">
        <v>361</v>
      </c>
      <c r="B271" s="2" t="s">
        <v>12</v>
      </c>
      <c r="C271" s="2" t="s">
        <v>13</v>
      </c>
      <c r="D271" s="4" t="s">
        <v>8</v>
      </c>
      <c r="E271" s="2" t="s">
        <v>14</v>
      </c>
      <c r="F271" s="6">
        <v>46107.555787037039</v>
      </c>
      <c r="G271" t="s">
        <v>347</v>
      </c>
      <c r="H271" t="s">
        <v>310</v>
      </c>
      <c r="I271" s="4">
        <f>VLOOKUP(G271,Sheet2!A:D,4,0)</f>
        <v>6</v>
      </c>
    </row>
    <row r="272" spans="1:9" hidden="1">
      <c r="A272" s="5" t="s">
        <v>362</v>
      </c>
      <c r="B272" s="3" t="s">
        <v>348</v>
      </c>
      <c r="C272" s="3" t="s">
        <v>349</v>
      </c>
      <c r="D272" s="5" t="s">
        <v>8</v>
      </c>
      <c r="E272" s="3" t="s">
        <v>350</v>
      </c>
      <c r="F272" s="7">
        <v>46107.5156712963</v>
      </c>
      <c r="G272" t="s">
        <v>347</v>
      </c>
      <c r="H272" t="s">
        <v>310</v>
      </c>
      <c r="I272" s="4">
        <f>VLOOKUP(G272,Sheet2!A:D,4,0)</f>
        <v>6</v>
      </c>
    </row>
    <row r="273" spans="1:9" hidden="1">
      <c r="A273" s="4" t="s">
        <v>363</v>
      </c>
      <c r="B273" s="2" t="s">
        <v>348</v>
      </c>
      <c r="C273" s="2" t="s">
        <v>349</v>
      </c>
      <c r="D273" s="4" t="s">
        <v>8</v>
      </c>
      <c r="E273" s="2" t="s">
        <v>350</v>
      </c>
      <c r="F273" s="6">
        <v>46107.546597222223</v>
      </c>
      <c r="G273" t="s">
        <v>347</v>
      </c>
      <c r="H273" t="s">
        <v>310</v>
      </c>
      <c r="I273" s="4">
        <f>VLOOKUP(G273,Sheet2!A:D,4,0)</f>
        <v>6</v>
      </c>
    </row>
    <row r="274" spans="1:9" hidden="1">
      <c r="A274" s="5" t="s">
        <v>364</v>
      </c>
      <c r="B274" s="3" t="s">
        <v>12</v>
      </c>
      <c r="C274" s="3" t="s">
        <v>13</v>
      </c>
      <c r="D274" s="5" t="s">
        <v>8</v>
      </c>
      <c r="E274" s="3" t="s">
        <v>14</v>
      </c>
      <c r="F274" s="7">
        <v>46107.562060185184</v>
      </c>
      <c r="G274" t="s">
        <v>347</v>
      </c>
      <c r="H274" t="s">
        <v>310</v>
      </c>
      <c r="I274" s="4">
        <f>VLOOKUP(G274,Sheet2!A:D,4,0)</f>
        <v>6</v>
      </c>
    </row>
    <row r="275" spans="1:9" hidden="1">
      <c r="A275" s="4" t="s">
        <v>365</v>
      </c>
      <c r="B275" s="2" t="s">
        <v>12</v>
      </c>
      <c r="C275" s="2" t="s">
        <v>13</v>
      </c>
      <c r="D275" s="4" t="s">
        <v>8</v>
      </c>
      <c r="E275" s="2" t="s">
        <v>14</v>
      </c>
      <c r="F275" s="6">
        <v>46107.55</v>
      </c>
      <c r="G275" t="s">
        <v>347</v>
      </c>
      <c r="H275" t="s">
        <v>310</v>
      </c>
      <c r="I275" s="4">
        <f>VLOOKUP(G275,Sheet2!A:D,4,0)</f>
        <v>6</v>
      </c>
    </row>
    <row r="276" spans="1:9" hidden="1">
      <c r="A276" s="5" t="s">
        <v>366</v>
      </c>
      <c r="B276" s="3" t="s">
        <v>12</v>
      </c>
      <c r="C276" s="3" t="s">
        <v>13</v>
      </c>
      <c r="D276" s="5" t="s">
        <v>8</v>
      </c>
      <c r="E276" s="3" t="s">
        <v>14</v>
      </c>
      <c r="F276" s="7">
        <v>46105.589282407411</v>
      </c>
      <c r="G276" t="s">
        <v>347</v>
      </c>
      <c r="H276" t="s">
        <v>310</v>
      </c>
      <c r="I276" s="4">
        <f>VLOOKUP(G276,Sheet2!A:D,4,0)</f>
        <v>6</v>
      </c>
    </row>
    <row r="277" spans="1:9" hidden="1">
      <c r="A277" s="4" t="s">
        <v>367</v>
      </c>
      <c r="B277" s="2" t="s">
        <v>12</v>
      </c>
      <c r="C277" s="2" t="s">
        <v>13</v>
      </c>
      <c r="D277" s="4" t="s">
        <v>8</v>
      </c>
      <c r="E277" s="2" t="s">
        <v>14</v>
      </c>
      <c r="F277" s="6">
        <v>46106.396192129629</v>
      </c>
      <c r="G277" t="s">
        <v>347</v>
      </c>
      <c r="H277" t="s">
        <v>310</v>
      </c>
      <c r="I277" s="4">
        <f>VLOOKUP(G277,Sheet2!A:D,4,0)</f>
        <v>6</v>
      </c>
    </row>
    <row r="278" spans="1:9" hidden="1">
      <c r="A278" s="5" t="s">
        <v>368</v>
      </c>
      <c r="B278" s="3" t="s">
        <v>12</v>
      </c>
      <c r="C278" s="3" t="s">
        <v>13</v>
      </c>
      <c r="D278" s="5" t="s">
        <v>8</v>
      </c>
      <c r="E278" s="3" t="s">
        <v>14</v>
      </c>
      <c r="F278" s="7">
        <v>46107.552615740744</v>
      </c>
      <c r="G278" t="s">
        <v>347</v>
      </c>
      <c r="H278" t="s">
        <v>310</v>
      </c>
      <c r="I278" s="4">
        <f>VLOOKUP(G278,Sheet2!A:D,4,0)</f>
        <v>6</v>
      </c>
    </row>
    <row r="279" spans="1:9" hidden="1">
      <c r="A279" s="4" t="s">
        <v>369</v>
      </c>
      <c r="B279" s="2" t="s">
        <v>169</v>
      </c>
      <c r="C279" s="2" t="s">
        <v>170</v>
      </c>
      <c r="D279" s="4" t="s">
        <v>8</v>
      </c>
      <c r="E279" s="2" t="s">
        <v>171</v>
      </c>
      <c r="F279" s="6">
        <v>46112.511956018519</v>
      </c>
      <c r="G279" t="s">
        <v>347</v>
      </c>
      <c r="H279" t="s">
        <v>310</v>
      </c>
      <c r="I279" s="4">
        <f>VLOOKUP(G279,Sheet2!A:D,4,0)</f>
        <v>6</v>
      </c>
    </row>
    <row r="280" spans="1:9" hidden="1">
      <c r="A280" s="5" t="s">
        <v>370</v>
      </c>
      <c r="B280" s="3" t="s">
        <v>12</v>
      </c>
      <c r="C280" s="3" t="s">
        <v>13</v>
      </c>
      <c r="D280" s="5" t="s">
        <v>8</v>
      </c>
      <c r="E280" s="3" t="s">
        <v>14</v>
      </c>
      <c r="F280" s="7">
        <v>46106.399062500001</v>
      </c>
      <c r="G280" t="s">
        <v>347</v>
      </c>
      <c r="H280" t="s">
        <v>310</v>
      </c>
      <c r="I280" s="4">
        <f>VLOOKUP(G280,Sheet2!A:D,4,0)</f>
        <v>6</v>
      </c>
    </row>
    <row r="281" spans="1:9" hidden="1">
      <c r="A281" s="4" t="s">
        <v>371</v>
      </c>
      <c r="B281" s="2" t="s">
        <v>12</v>
      </c>
      <c r="C281" s="2" t="s">
        <v>13</v>
      </c>
      <c r="D281" s="4" t="s">
        <v>8</v>
      </c>
      <c r="E281" s="2" t="s">
        <v>14</v>
      </c>
      <c r="F281" s="6">
        <v>46107.548773148148</v>
      </c>
      <c r="G281" t="s">
        <v>347</v>
      </c>
      <c r="H281" t="s">
        <v>310</v>
      </c>
      <c r="I281" s="4">
        <f>VLOOKUP(G281,Sheet2!A:D,4,0)</f>
        <v>6</v>
      </c>
    </row>
    <row r="282" spans="1:9" hidden="1">
      <c r="A282" s="5" t="s">
        <v>372</v>
      </c>
      <c r="B282" s="3" t="s">
        <v>12</v>
      </c>
      <c r="C282" s="3" t="s">
        <v>13</v>
      </c>
      <c r="D282" s="5" t="s">
        <v>8</v>
      </c>
      <c r="E282" s="3" t="s">
        <v>14</v>
      </c>
      <c r="F282" s="7">
        <v>46106.399953703702</v>
      </c>
      <c r="G282" t="s">
        <v>347</v>
      </c>
      <c r="H282" t="s">
        <v>310</v>
      </c>
      <c r="I282" s="4">
        <f>VLOOKUP(G282,Sheet2!A:D,4,0)</f>
        <v>6</v>
      </c>
    </row>
    <row r="283" spans="1:9" hidden="1">
      <c r="A283" s="4" t="s">
        <v>373</v>
      </c>
      <c r="B283" s="2" t="s">
        <v>169</v>
      </c>
      <c r="C283" s="2" t="s">
        <v>170</v>
      </c>
      <c r="D283" s="4" t="s">
        <v>8</v>
      </c>
      <c r="E283" s="2" t="s">
        <v>171</v>
      </c>
      <c r="F283" s="6">
        <v>46112.511550925927</v>
      </c>
      <c r="G283" t="s">
        <v>347</v>
      </c>
      <c r="H283" t="s">
        <v>310</v>
      </c>
      <c r="I283" s="4">
        <f>VLOOKUP(G283,Sheet2!A:D,4,0)</f>
        <v>6</v>
      </c>
    </row>
    <row r="284" spans="1:9" hidden="1">
      <c r="A284" s="5" t="s">
        <v>374</v>
      </c>
      <c r="B284" s="3" t="s">
        <v>12</v>
      </c>
      <c r="C284" s="3" t="s">
        <v>13</v>
      </c>
      <c r="D284" s="5" t="s">
        <v>8</v>
      </c>
      <c r="E284" s="3" t="s">
        <v>14</v>
      </c>
      <c r="F284" s="7">
        <v>46107.562916666669</v>
      </c>
      <c r="G284" t="s">
        <v>347</v>
      </c>
      <c r="H284" t="s">
        <v>310</v>
      </c>
      <c r="I284" s="4">
        <f>VLOOKUP(G284,Sheet2!A:D,4,0)</f>
        <v>6</v>
      </c>
    </row>
    <row r="285" spans="1:9" hidden="1">
      <c r="A285" s="4" t="s">
        <v>375</v>
      </c>
      <c r="B285" s="2" t="s">
        <v>12</v>
      </c>
      <c r="C285" s="2" t="s">
        <v>13</v>
      </c>
      <c r="D285" s="4" t="s">
        <v>8</v>
      </c>
      <c r="E285" s="2" t="s">
        <v>14</v>
      </c>
      <c r="F285" s="6">
        <v>46107.564479166664</v>
      </c>
      <c r="G285" t="s">
        <v>347</v>
      </c>
      <c r="H285" t="s">
        <v>310</v>
      </c>
      <c r="I285" s="4">
        <f>VLOOKUP(G285,Sheet2!A:D,4,0)</f>
        <v>6</v>
      </c>
    </row>
    <row r="286" spans="1:9" hidden="1">
      <c r="A286" s="5" t="s">
        <v>376</v>
      </c>
      <c r="B286" s="3" t="s">
        <v>12</v>
      </c>
      <c r="C286" s="3" t="s">
        <v>13</v>
      </c>
      <c r="D286" s="5" t="s">
        <v>8</v>
      </c>
      <c r="E286" s="3" t="s">
        <v>14</v>
      </c>
      <c r="F286" s="7">
        <v>46106.395613425928</v>
      </c>
      <c r="G286" t="s">
        <v>347</v>
      </c>
      <c r="H286" t="s">
        <v>310</v>
      </c>
      <c r="I286" s="4">
        <f>VLOOKUP(G286,Sheet2!A:D,4,0)</f>
        <v>6</v>
      </c>
    </row>
    <row r="287" spans="1:9" hidden="1">
      <c r="A287" s="4" t="s">
        <v>377</v>
      </c>
      <c r="B287" s="2" t="s">
        <v>12</v>
      </c>
      <c r="C287" s="2" t="s">
        <v>13</v>
      </c>
      <c r="D287" s="4" t="s">
        <v>8</v>
      </c>
      <c r="E287" s="2" t="s">
        <v>14</v>
      </c>
      <c r="F287" s="6">
        <v>46106.398726851854</v>
      </c>
      <c r="G287" t="s">
        <v>347</v>
      </c>
      <c r="H287" t="s">
        <v>310</v>
      </c>
      <c r="I287" s="4">
        <f>VLOOKUP(G287,Sheet2!A:D,4,0)</f>
        <v>6</v>
      </c>
    </row>
    <row r="288" spans="1:9" hidden="1">
      <c r="A288" s="5" t="s">
        <v>378</v>
      </c>
      <c r="B288" s="3" t="s">
        <v>348</v>
      </c>
      <c r="C288" s="3" t="s">
        <v>349</v>
      </c>
      <c r="D288" s="5" t="s">
        <v>8</v>
      </c>
      <c r="E288" s="3" t="s">
        <v>350</v>
      </c>
      <c r="F288" s="7">
        <v>46106.410069444442</v>
      </c>
      <c r="G288" t="s">
        <v>347</v>
      </c>
      <c r="H288" t="s">
        <v>310</v>
      </c>
      <c r="I288" s="4">
        <f>VLOOKUP(G288,Sheet2!A:D,4,0)</f>
        <v>6</v>
      </c>
    </row>
    <row r="289" spans="1:9" hidden="1">
      <c r="A289" s="4" t="s">
        <v>379</v>
      </c>
      <c r="B289" s="2" t="s">
        <v>12</v>
      </c>
      <c r="C289" s="2" t="s">
        <v>13</v>
      </c>
      <c r="D289" s="4" t="s">
        <v>8</v>
      </c>
      <c r="E289" s="2" t="s">
        <v>14</v>
      </c>
      <c r="F289" s="6">
        <v>46107.565300925926</v>
      </c>
      <c r="G289" t="s">
        <v>347</v>
      </c>
      <c r="H289" t="s">
        <v>310</v>
      </c>
      <c r="I289" s="4">
        <f>VLOOKUP(G289,Sheet2!A:D,4,0)</f>
        <v>6</v>
      </c>
    </row>
    <row r="290" spans="1:9" hidden="1">
      <c r="A290" s="5" t="s">
        <v>380</v>
      </c>
      <c r="B290" s="3" t="s">
        <v>12</v>
      </c>
      <c r="C290" s="3" t="s">
        <v>13</v>
      </c>
      <c r="D290" s="5" t="s">
        <v>8</v>
      </c>
      <c r="E290" s="3" t="s">
        <v>14</v>
      </c>
      <c r="F290" s="7">
        <v>46106.396562499998</v>
      </c>
      <c r="G290" t="s">
        <v>347</v>
      </c>
      <c r="H290" t="s">
        <v>310</v>
      </c>
      <c r="I290" s="4">
        <f>VLOOKUP(G290,Sheet2!A:D,4,0)</f>
        <v>6</v>
      </c>
    </row>
    <row r="291" spans="1:9" hidden="1">
      <c r="A291" s="4" t="s">
        <v>381</v>
      </c>
      <c r="B291" s="2" t="s">
        <v>12</v>
      </c>
      <c r="C291" s="2" t="s">
        <v>13</v>
      </c>
      <c r="D291" s="4" t="s">
        <v>8</v>
      </c>
      <c r="E291" s="2" t="s">
        <v>14</v>
      </c>
      <c r="F291" s="6">
        <v>46106.395844907405</v>
      </c>
      <c r="G291" t="s">
        <v>347</v>
      </c>
      <c r="H291" t="s">
        <v>310</v>
      </c>
      <c r="I291" s="4">
        <f>VLOOKUP(G291,Sheet2!A:D,4,0)</f>
        <v>6</v>
      </c>
    </row>
    <row r="292" spans="1:9" hidden="1">
      <c r="A292" s="5" t="s">
        <v>382</v>
      </c>
      <c r="B292" s="3" t="s">
        <v>348</v>
      </c>
      <c r="C292" s="3" t="s">
        <v>349</v>
      </c>
      <c r="D292" s="5" t="s">
        <v>8</v>
      </c>
      <c r="E292" s="3" t="s">
        <v>350</v>
      </c>
      <c r="F292" s="7">
        <v>46106.401909722219</v>
      </c>
      <c r="G292" t="s">
        <v>347</v>
      </c>
      <c r="H292" t="s">
        <v>310</v>
      </c>
      <c r="I292" s="4">
        <f>VLOOKUP(G292,Sheet2!A:D,4,0)</f>
        <v>6</v>
      </c>
    </row>
    <row r="293" spans="1:9" hidden="1">
      <c r="A293" s="4" t="s">
        <v>383</v>
      </c>
      <c r="B293" s="2" t="s">
        <v>169</v>
      </c>
      <c r="C293" s="2" t="s">
        <v>170</v>
      </c>
      <c r="D293" s="4" t="s">
        <v>8</v>
      </c>
      <c r="E293" s="2" t="s">
        <v>171</v>
      </c>
      <c r="F293" s="6">
        <v>46112.511111111111</v>
      </c>
      <c r="G293" t="s">
        <v>347</v>
      </c>
      <c r="H293" t="s">
        <v>310</v>
      </c>
      <c r="I293" s="4">
        <f>VLOOKUP(G293,Sheet2!A:D,4,0)</f>
        <v>6</v>
      </c>
    </row>
    <row r="294" spans="1:9" hidden="1">
      <c r="A294" s="5" t="s">
        <v>384</v>
      </c>
      <c r="B294" s="3" t="s">
        <v>12</v>
      </c>
      <c r="C294" s="3" t="s">
        <v>13</v>
      </c>
      <c r="D294" s="5" t="s">
        <v>8</v>
      </c>
      <c r="E294" s="3" t="s">
        <v>14</v>
      </c>
      <c r="F294" s="7">
        <v>46105.590069444443</v>
      </c>
      <c r="G294" t="s">
        <v>347</v>
      </c>
      <c r="H294" t="s">
        <v>310</v>
      </c>
      <c r="I294" s="4">
        <f>VLOOKUP(G294,Sheet2!A:D,4,0)</f>
        <v>6</v>
      </c>
    </row>
    <row r="295" spans="1:9" hidden="1">
      <c r="A295" s="4" t="s">
        <v>385</v>
      </c>
      <c r="B295" s="2" t="s">
        <v>12</v>
      </c>
      <c r="C295" s="2" t="s">
        <v>13</v>
      </c>
      <c r="D295" s="4" t="s">
        <v>8</v>
      </c>
      <c r="E295" s="2" t="s">
        <v>14</v>
      </c>
      <c r="F295" s="6">
        <v>46106.39943287037</v>
      </c>
      <c r="G295" t="s">
        <v>347</v>
      </c>
      <c r="H295" t="s">
        <v>310</v>
      </c>
      <c r="I295" s="4">
        <f>VLOOKUP(G295,Sheet2!A:D,4,0)</f>
        <v>6</v>
      </c>
    </row>
    <row r="296" spans="1:9" hidden="1">
      <c r="A296" s="5" t="s">
        <v>386</v>
      </c>
      <c r="B296" s="3" t="s">
        <v>169</v>
      </c>
      <c r="C296" s="3" t="s">
        <v>170</v>
      </c>
      <c r="D296" s="5" t="s">
        <v>8</v>
      </c>
      <c r="E296" s="3" t="s">
        <v>171</v>
      </c>
      <c r="F296" s="7">
        <v>46112.512280092589</v>
      </c>
      <c r="G296" t="s">
        <v>347</v>
      </c>
      <c r="H296" t="s">
        <v>310</v>
      </c>
      <c r="I296" s="4">
        <f>VLOOKUP(G296,Sheet2!A:D,4,0)</f>
        <v>6</v>
      </c>
    </row>
    <row r="297" spans="1:9" hidden="1">
      <c r="A297" s="4" t="s">
        <v>387</v>
      </c>
      <c r="B297" s="2" t="s">
        <v>348</v>
      </c>
      <c r="C297" s="2" t="s">
        <v>349</v>
      </c>
      <c r="D297" s="4" t="s">
        <v>8</v>
      </c>
      <c r="E297" s="2" t="s">
        <v>350</v>
      </c>
      <c r="F297" s="6">
        <v>46106.40520833333</v>
      </c>
      <c r="G297" t="s">
        <v>347</v>
      </c>
      <c r="H297" t="s">
        <v>310</v>
      </c>
      <c r="I297" s="4">
        <f>VLOOKUP(G297,Sheet2!A:D,4,0)</f>
        <v>6</v>
      </c>
    </row>
    <row r="298" spans="1:9" hidden="1">
      <c r="A298" s="5" t="s">
        <v>388</v>
      </c>
      <c r="B298" s="3" t="s">
        <v>348</v>
      </c>
      <c r="C298" s="3" t="s">
        <v>349</v>
      </c>
      <c r="D298" s="5" t="s">
        <v>8</v>
      </c>
      <c r="E298" s="3" t="s">
        <v>350</v>
      </c>
      <c r="F298" s="7">
        <v>46106.40384259259</v>
      </c>
      <c r="G298" t="s">
        <v>347</v>
      </c>
      <c r="H298" t="s">
        <v>310</v>
      </c>
      <c r="I298" s="4">
        <f>VLOOKUP(G298,Sheet2!A:D,4,0)</f>
        <v>6</v>
      </c>
    </row>
    <row r="299" spans="1:9" hidden="1">
      <c r="A299" s="4" t="s">
        <v>389</v>
      </c>
      <c r="B299" s="2" t="s">
        <v>12</v>
      </c>
      <c r="C299" s="2" t="s">
        <v>13</v>
      </c>
      <c r="D299" s="4" t="s">
        <v>8</v>
      </c>
      <c r="E299" s="2" t="s">
        <v>14</v>
      </c>
      <c r="F299" s="6">
        <v>46107.559745370374</v>
      </c>
      <c r="G299" t="s">
        <v>347</v>
      </c>
      <c r="H299" t="s">
        <v>310</v>
      </c>
      <c r="I299" s="4">
        <f>VLOOKUP(G299,Sheet2!A:D,4,0)</f>
        <v>6</v>
      </c>
    </row>
    <row r="300" spans="1:9">
      <c r="A300" s="4" t="s">
        <v>484</v>
      </c>
      <c r="B300" s="2" t="s">
        <v>354</v>
      </c>
      <c r="C300" s="2" t="s">
        <v>355</v>
      </c>
      <c r="D300" s="4" t="s">
        <v>8</v>
      </c>
      <c r="E300" s="2" t="s">
        <v>59</v>
      </c>
      <c r="F300" s="6">
        <v>46114.331041666665</v>
      </c>
      <c r="G300" t="s">
        <v>458</v>
      </c>
      <c r="H300" t="s">
        <v>310</v>
      </c>
      <c r="I300" s="4">
        <f>VLOOKUP(G300,Sheet2!A:D,4,0)</f>
        <v>12</v>
      </c>
    </row>
    <row r="301" spans="1:9">
      <c r="A301" s="5" t="s">
        <v>485</v>
      </c>
      <c r="B301" s="3" t="s">
        <v>7</v>
      </c>
      <c r="C301" s="3" t="s">
        <v>7</v>
      </c>
      <c r="D301" s="5" t="s">
        <v>8</v>
      </c>
      <c r="E301" s="3" t="s">
        <v>199</v>
      </c>
      <c r="F301" s="7">
        <v>46112.357094907406</v>
      </c>
      <c r="G301" t="s">
        <v>458</v>
      </c>
      <c r="H301" t="s">
        <v>310</v>
      </c>
      <c r="I301" s="4">
        <f>VLOOKUP(G301,Sheet2!A:D,4,0)</f>
        <v>12</v>
      </c>
    </row>
    <row r="302" spans="1:9">
      <c r="A302" s="4" t="s">
        <v>486</v>
      </c>
      <c r="B302" s="2" t="s">
        <v>7</v>
      </c>
      <c r="C302" s="2" t="s">
        <v>7</v>
      </c>
      <c r="D302" s="4" t="s">
        <v>8</v>
      </c>
      <c r="E302" s="2" t="s">
        <v>199</v>
      </c>
      <c r="F302" s="6">
        <v>46112.357094907406</v>
      </c>
      <c r="G302" t="s">
        <v>458</v>
      </c>
      <c r="H302" t="s">
        <v>310</v>
      </c>
      <c r="I302" s="4">
        <f>VLOOKUP(G302,Sheet2!A:D,4,0)</f>
        <v>12</v>
      </c>
    </row>
    <row r="303" spans="1:9">
      <c r="A303" s="5" t="s">
        <v>487</v>
      </c>
      <c r="B303" s="3" t="s">
        <v>7</v>
      </c>
      <c r="C303" s="3" t="s">
        <v>7</v>
      </c>
      <c r="D303" s="5" t="s">
        <v>8</v>
      </c>
      <c r="E303" s="3" t="s">
        <v>199</v>
      </c>
      <c r="F303" s="7">
        <v>46112.357094907406</v>
      </c>
      <c r="G303" t="s">
        <v>458</v>
      </c>
      <c r="H303" t="s">
        <v>310</v>
      </c>
      <c r="I303" s="4">
        <f>VLOOKUP(G303,Sheet2!A:D,4,0)</f>
        <v>12</v>
      </c>
    </row>
    <row r="304" spans="1:9">
      <c r="A304" s="4" t="s">
        <v>488</v>
      </c>
      <c r="B304" s="2" t="s">
        <v>7</v>
      </c>
      <c r="C304" s="2" t="s">
        <v>7</v>
      </c>
      <c r="D304" s="4" t="s">
        <v>8</v>
      </c>
      <c r="E304" s="2" t="s">
        <v>199</v>
      </c>
      <c r="F304" s="6">
        <v>46112.357094907406</v>
      </c>
      <c r="G304" t="s">
        <v>458</v>
      </c>
      <c r="H304" t="s">
        <v>310</v>
      </c>
      <c r="I304" s="4">
        <f>VLOOKUP(G304,Sheet2!A:D,4,0)</f>
        <v>12</v>
      </c>
    </row>
    <row r="305" spans="1:10">
      <c r="A305" s="5" t="s">
        <v>489</v>
      </c>
      <c r="B305" s="3" t="s">
        <v>7</v>
      </c>
      <c r="C305" s="3" t="s">
        <v>7</v>
      </c>
      <c r="D305" s="5" t="s">
        <v>8</v>
      </c>
      <c r="E305" s="3" t="s">
        <v>199</v>
      </c>
      <c r="F305" s="7">
        <v>46112.357094907406</v>
      </c>
      <c r="G305" t="s">
        <v>458</v>
      </c>
      <c r="H305" t="s">
        <v>310</v>
      </c>
      <c r="I305" s="4">
        <f>VLOOKUP(G305,Sheet2!A:D,4,0)</f>
        <v>12</v>
      </c>
      <c r="J305" t="s">
        <v>474</v>
      </c>
    </row>
    <row r="306" spans="1:10">
      <c r="A306" s="4" t="s">
        <v>490</v>
      </c>
      <c r="B306" s="2" t="s">
        <v>7</v>
      </c>
      <c r="C306" s="2" t="s">
        <v>7</v>
      </c>
      <c r="D306" s="4" t="s">
        <v>8</v>
      </c>
      <c r="E306" s="2" t="s">
        <v>199</v>
      </c>
      <c r="F306" s="6">
        <v>46112.357094907406</v>
      </c>
      <c r="G306" t="s">
        <v>458</v>
      </c>
      <c r="H306" t="s">
        <v>310</v>
      </c>
      <c r="I306" s="4">
        <f>VLOOKUP(G306,Sheet2!A:D,4,0)</f>
        <v>12</v>
      </c>
    </row>
    <row r="307" spans="1:10">
      <c r="A307" s="5" t="s">
        <v>491</v>
      </c>
      <c r="B307" s="3" t="s">
        <v>7</v>
      </c>
      <c r="C307" s="3" t="s">
        <v>7</v>
      </c>
      <c r="D307" s="5" t="s">
        <v>8</v>
      </c>
      <c r="E307" s="3" t="s">
        <v>199</v>
      </c>
      <c r="F307" s="7">
        <v>46112.357094907406</v>
      </c>
      <c r="G307" t="s">
        <v>458</v>
      </c>
      <c r="H307" t="s">
        <v>310</v>
      </c>
      <c r="I307" s="4">
        <f>VLOOKUP(G307,Sheet2!A:D,4,0)</f>
        <v>12</v>
      </c>
    </row>
    <row r="308" spans="1:10">
      <c r="A308" s="4" t="s">
        <v>492</v>
      </c>
      <c r="B308" s="2" t="s">
        <v>7</v>
      </c>
      <c r="C308" s="2" t="s">
        <v>7</v>
      </c>
      <c r="D308" s="4" t="s">
        <v>8</v>
      </c>
      <c r="E308" s="2" t="s">
        <v>199</v>
      </c>
      <c r="F308" s="6">
        <v>46112.357094907406</v>
      </c>
      <c r="G308" t="s">
        <v>458</v>
      </c>
      <c r="H308" t="s">
        <v>310</v>
      </c>
      <c r="I308" s="4">
        <f>VLOOKUP(G308,Sheet2!A:D,4,0)</f>
        <v>12</v>
      </c>
      <c r="J308" t="s">
        <v>474</v>
      </c>
    </row>
    <row r="309" spans="1:10">
      <c r="A309" s="5" t="s">
        <v>493</v>
      </c>
      <c r="B309" s="3" t="s">
        <v>7</v>
      </c>
      <c r="C309" s="3" t="s">
        <v>7</v>
      </c>
      <c r="D309" s="5" t="s">
        <v>8</v>
      </c>
      <c r="E309" s="3" t="s">
        <v>199</v>
      </c>
      <c r="F309" s="7">
        <v>46112.357094907406</v>
      </c>
      <c r="G309" t="s">
        <v>458</v>
      </c>
      <c r="H309" t="s">
        <v>310</v>
      </c>
      <c r="I309" s="4">
        <f>VLOOKUP(G309,Sheet2!A:D,4,0)</f>
        <v>12</v>
      </c>
    </row>
    <row r="310" spans="1:10">
      <c r="A310" s="4" t="s">
        <v>494</v>
      </c>
      <c r="B310" s="2" t="s">
        <v>7</v>
      </c>
      <c r="C310" s="2" t="s">
        <v>7</v>
      </c>
      <c r="D310" s="4" t="s">
        <v>8</v>
      </c>
      <c r="E310" s="2" t="s">
        <v>199</v>
      </c>
      <c r="F310" s="6">
        <v>46112.357094907406</v>
      </c>
      <c r="G310" t="s">
        <v>458</v>
      </c>
      <c r="H310" t="s">
        <v>310</v>
      </c>
      <c r="I310" s="4">
        <f>VLOOKUP(G310,Sheet2!A:D,4,0)</f>
        <v>12</v>
      </c>
    </row>
    <row r="311" spans="1:10">
      <c r="A311" s="5" t="s">
        <v>495</v>
      </c>
      <c r="B311" s="3" t="s">
        <v>7</v>
      </c>
      <c r="C311" s="3" t="s">
        <v>7</v>
      </c>
      <c r="D311" s="5" t="s">
        <v>8</v>
      </c>
      <c r="E311" s="3" t="s">
        <v>199</v>
      </c>
      <c r="F311" s="7">
        <v>46112.357094907406</v>
      </c>
      <c r="G311" t="s">
        <v>458</v>
      </c>
      <c r="H311" t="s">
        <v>310</v>
      </c>
      <c r="I311" s="4">
        <f>VLOOKUP(G311,Sheet2!A:D,4,0)</f>
        <v>12</v>
      </c>
    </row>
    <row r="312" spans="1:10">
      <c r="A312" s="4" t="s">
        <v>496</v>
      </c>
      <c r="B312" s="2" t="s">
        <v>7</v>
      </c>
      <c r="C312" s="2" t="s">
        <v>7</v>
      </c>
      <c r="D312" s="4" t="s">
        <v>8</v>
      </c>
      <c r="E312" s="2" t="s">
        <v>199</v>
      </c>
      <c r="F312" s="6">
        <v>46112.357094907406</v>
      </c>
      <c r="G312" t="s">
        <v>458</v>
      </c>
      <c r="H312" t="s">
        <v>310</v>
      </c>
      <c r="I312" s="4">
        <f>VLOOKUP(G312,Sheet2!A:D,4,0)</f>
        <v>12</v>
      </c>
      <c r="J312" t="s">
        <v>474</v>
      </c>
    </row>
    <row r="313" spans="1:10">
      <c r="A313" s="5" t="s">
        <v>497</v>
      </c>
      <c r="B313" s="3" t="s">
        <v>7</v>
      </c>
      <c r="C313" s="3" t="s">
        <v>7</v>
      </c>
      <c r="D313" s="5" t="s">
        <v>8</v>
      </c>
      <c r="E313" s="3" t="s">
        <v>199</v>
      </c>
      <c r="F313" s="7">
        <v>46112.357094907406</v>
      </c>
      <c r="G313" t="s">
        <v>458</v>
      </c>
      <c r="H313" t="s">
        <v>310</v>
      </c>
      <c r="I313" s="4">
        <f>VLOOKUP(G313,Sheet2!A:D,4,0)</f>
        <v>12</v>
      </c>
    </row>
    <row r="314" spans="1:10">
      <c r="A314" s="4" t="s">
        <v>498</v>
      </c>
      <c r="B314" s="2" t="s">
        <v>7</v>
      </c>
      <c r="C314" s="2" t="s">
        <v>7</v>
      </c>
      <c r="D314" s="4" t="s">
        <v>8</v>
      </c>
      <c r="E314" s="2" t="s">
        <v>199</v>
      </c>
      <c r="F314" s="6">
        <v>46112.357094907406</v>
      </c>
      <c r="G314" t="s">
        <v>458</v>
      </c>
      <c r="H314" t="s">
        <v>310</v>
      </c>
      <c r="I314" s="4">
        <f>VLOOKUP(G314,Sheet2!A:D,4,0)</f>
        <v>12</v>
      </c>
      <c r="J314" t="s">
        <v>475</v>
      </c>
    </row>
    <row r="315" spans="1:10">
      <c r="A315" s="5" t="s">
        <v>499</v>
      </c>
      <c r="B315" s="3" t="s">
        <v>7</v>
      </c>
      <c r="C315" s="3" t="s">
        <v>7</v>
      </c>
      <c r="D315" s="5" t="s">
        <v>8</v>
      </c>
      <c r="E315" s="3" t="s">
        <v>199</v>
      </c>
      <c r="F315" s="7">
        <v>46112.357094907406</v>
      </c>
      <c r="G315" t="s">
        <v>458</v>
      </c>
      <c r="H315" t="s">
        <v>310</v>
      </c>
      <c r="I315" s="4">
        <f>VLOOKUP(G315,Sheet2!A:D,4,0)</f>
        <v>12</v>
      </c>
      <c r="J315" t="s">
        <v>476</v>
      </c>
    </row>
    <row r="316" spans="1:10">
      <c r="A316" s="4" t="s">
        <v>500</v>
      </c>
      <c r="B316" s="2" t="s">
        <v>7</v>
      </c>
      <c r="C316" s="2" t="s">
        <v>7</v>
      </c>
      <c r="D316" s="4" t="s">
        <v>8</v>
      </c>
      <c r="E316" s="2" t="s">
        <v>199</v>
      </c>
      <c r="F316" s="6">
        <v>46112.357094907406</v>
      </c>
      <c r="G316" t="s">
        <v>458</v>
      </c>
      <c r="H316" t="s">
        <v>310</v>
      </c>
      <c r="I316" s="4">
        <f>VLOOKUP(G316,Sheet2!A:D,4,0)</f>
        <v>12</v>
      </c>
    </row>
    <row r="317" spans="1:10">
      <c r="A317" s="5" t="s">
        <v>501</v>
      </c>
      <c r="B317" s="3" t="s">
        <v>7</v>
      </c>
      <c r="C317" s="3" t="s">
        <v>7</v>
      </c>
      <c r="D317" s="5" t="s">
        <v>8</v>
      </c>
      <c r="E317" s="3" t="s">
        <v>199</v>
      </c>
      <c r="F317" s="7">
        <v>46112.357094907406</v>
      </c>
      <c r="G317" t="s">
        <v>458</v>
      </c>
      <c r="H317" t="s">
        <v>310</v>
      </c>
      <c r="I317" s="4">
        <f>VLOOKUP(G317,Sheet2!A:D,4,0)</f>
        <v>12</v>
      </c>
    </row>
    <row r="318" spans="1:10">
      <c r="A318" s="4" t="s">
        <v>502</v>
      </c>
      <c r="B318" s="2" t="s">
        <v>7</v>
      </c>
      <c r="C318" s="2" t="s">
        <v>7</v>
      </c>
      <c r="D318" s="4" t="s">
        <v>8</v>
      </c>
      <c r="E318" s="2" t="s">
        <v>199</v>
      </c>
      <c r="F318" s="6">
        <v>46112.357094907406</v>
      </c>
      <c r="G318" t="s">
        <v>458</v>
      </c>
      <c r="H318" t="s">
        <v>310</v>
      </c>
      <c r="I318" s="4">
        <f>VLOOKUP(G318,Sheet2!A:D,4,0)</f>
        <v>12</v>
      </c>
    </row>
    <row r="319" spans="1:10">
      <c r="A319" s="5" t="s">
        <v>503</v>
      </c>
      <c r="B319" s="3" t="s">
        <v>7</v>
      </c>
      <c r="C319" s="3" t="s">
        <v>7</v>
      </c>
      <c r="D319" s="5" t="s">
        <v>8</v>
      </c>
      <c r="E319" s="3" t="s">
        <v>199</v>
      </c>
      <c r="F319" s="7">
        <v>46112.357094907406</v>
      </c>
      <c r="G319" t="s">
        <v>458</v>
      </c>
      <c r="H319" t="s">
        <v>310</v>
      </c>
      <c r="I319" s="4">
        <f>VLOOKUP(G319,Sheet2!A:D,4,0)</f>
        <v>12</v>
      </c>
      <c r="J319" t="s">
        <v>476</v>
      </c>
    </row>
    <row r="320" spans="1:10">
      <c r="A320" s="4" t="s">
        <v>504</v>
      </c>
      <c r="B320" s="2" t="s">
        <v>7</v>
      </c>
      <c r="C320" s="2" t="s">
        <v>7</v>
      </c>
      <c r="D320" s="4" t="s">
        <v>8</v>
      </c>
      <c r="E320" s="2" t="s">
        <v>199</v>
      </c>
      <c r="F320" s="6">
        <v>46112.357094907406</v>
      </c>
      <c r="G320" t="s">
        <v>458</v>
      </c>
      <c r="H320" t="s">
        <v>310</v>
      </c>
      <c r="I320" s="4">
        <f>VLOOKUP(G320,Sheet2!A:D,4,0)</f>
        <v>12</v>
      </c>
    </row>
    <row r="321" spans="1:10">
      <c r="A321" s="5" t="s">
        <v>505</v>
      </c>
      <c r="B321" s="3" t="s">
        <v>7</v>
      </c>
      <c r="C321" s="3" t="s">
        <v>7</v>
      </c>
      <c r="D321" s="5" t="s">
        <v>8</v>
      </c>
      <c r="E321" s="3" t="s">
        <v>199</v>
      </c>
      <c r="F321" s="7">
        <v>46112.357094907406</v>
      </c>
      <c r="G321" t="s">
        <v>458</v>
      </c>
      <c r="H321" t="s">
        <v>310</v>
      </c>
      <c r="I321" s="4">
        <f>VLOOKUP(G321,Sheet2!A:D,4,0)</f>
        <v>12</v>
      </c>
      <c r="J321" t="s">
        <v>475</v>
      </c>
    </row>
    <row r="322" spans="1:10">
      <c r="A322" s="4" t="s">
        <v>506</v>
      </c>
      <c r="B322" s="2" t="s">
        <v>7</v>
      </c>
      <c r="C322" s="2" t="s">
        <v>7</v>
      </c>
      <c r="D322" s="4" t="s">
        <v>8</v>
      </c>
      <c r="E322" s="2" t="s">
        <v>199</v>
      </c>
      <c r="F322" s="6">
        <v>46112.357094907406</v>
      </c>
      <c r="G322" t="s">
        <v>458</v>
      </c>
      <c r="H322" t="s">
        <v>310</v>
      </c>
      <c r="I322" s="4">
        <f>VLOOKUP(G322,Sheet2!A:D,4,0)</f>
        <v>12</v>
      </c>
      <c r="J322" t="s">
        <v>476</v>
      </c>
    </row>
    <row r="323" spans="1:10">
      <c r="A323" s="5" t="s">
        <v>507</v>
      </c>
      <c r="B323" s="3" t="s">
        <v>7</v>
      </c>
      <c r="C323" s="3" t="s">
        <v>7</v>
      </c>
      <c r="D323" s="5" t="s">
        <v>8</v>
      </c>
      <c r="E323" s="3" t="s">
        <v>199</v>
      </c>
      <c r="F323" s="7">
        <v>46112.357094907406</v>
      </c>
      <c r="G323" t="s">
        <v>458</v>
      </c>
      <c r="H323" t="s">
        <v>310</v>
      </c>
      <c r="I323" s="4">
        <f>VLOOKUP(G323,Sheet2!A:D,4,0)</f>
        <v>12</v>
      </c>
      <c r="J323" t="s">
        <v>476</v>
      </c>
    </row>
    <row r="324" spans="1:10">
      <c r="A324" s="4" t="s">
        <v>508</v>
      </c>
      <c r="B324" s="2" t="s">
        <v>7</v>
      </c>
      <c r="C324" s="2" t="s">
        <v>7</v>
      </c>
      <c r="D324" s="4" t="s">
        <v>8</v>
      </c>
      <c r="E324" s="2" t="s">
        <v>199</v>
      </c>
      <c r="F324" s="6">
        <v>46112.357094907406</v>
      </c>
      <c r="G324" t="s">
        <v>458</v>
      </c>
      <c r="H324" t="s">
        <v>310</v>
      </c>
      <c r="I324" s="4">
        <f>VLOOKUP(G324,Sheet2!A:D,4,0)</f>
        <v>12</v>
      </c>
    </row>
    <row r="325" spans="1:10">
      <c r="A325" s="5" t="s">
        <v>509</v>
      </c>
      <c r="B325" s="3" t="s">
        <v>7</v>
      </c>
      <c r="C325" s="3" t="s">
        <v>7</v>
      </c>
      <c r="D325" s="5" t="s">
        <v>8</v>
      </c>
      <c r="E325" s="3" t="s">
        <v>199</v>
      </c>
      <c r="F325" s="7">
        <v>46112.357094907406</v>
      </c>
      <c r="G325" t="s">
        <v>458</v>
      </c>
      <c r="H325" t="s">
        <v>310</v>
      </c>
      <c r="I325" s="4">
        <f>VLOOKUP(G325,Sheet2!A:D,4,0)</f>
        <v>12</v>
      </c>
    </row>
    <row r="326" spans="1:10">
      <c r="A326" s="4" t="s">
        <v>510</v>
      </c>
      <c r="B326" s="2" t="s">
        <v>7</v>
      </c>
      <c r="C326" s="2" t="s">
        <v>7</v>
      </c>
      <c r="D326" s="4" t="s">
        <v>8</v>
      </c>
      <c r="E326" s="2" t="s">
        <v>199</v>
      </c>
      <c r="F326" s="6">
        <v>46112.357094907406</v>
      </c>
      <c r="G326" t="s">
        <v>458</v>
      </c>
      <c r="H326" t="s">
        <v>310</v>
      </c>
      <c r="I326" s="4">
        <f>VLOOKUP(G326,Sheet2!A:D,4,0)</f>
        <v>12</v>
      </c>
    </row>
    <row r="327" spans="1:10">
      <c r="A327" s="5" t="s">
        <v>511</v>
      </c>
      <c r="B327" s="3" t="s">
        <v>7</v>
      </c>
      <c r="C327" s="3" t="s">
        <v>7</v>
      </c>
      <c r="D327" s="5" t="s">
        <v>8</v>
      </c>
      <c r="E327" s="3" t="s">
        <v>199</v>
      </c>
      <c r="F327" s="7">
        <v>46112.357094907406</v>
      </c>
      <c r="G327" t="s">
        <v>458</v>
      </c>
      <c r="H327" t="s">
        <v>310</v>
      </c>
      <c r="I327" s="4">
        <f>VLOOKUP(G327,Sheet2!A:D,4,0)</f>
        <v>12</v>
      </c>
    </row>
    <row r="328" spans="1:10">
      <c r="A328" s="4" t="s">
        <v>512</v>
      </c>
      <c r="B328" s="2" t="s">
        <v>7</v>
      </c>
      <c r="C328" s="2" t="s">
        <v>7</v>
      </c>
      <c r="D328" s="4" t="s">
        <v>8</v>
      </c>
      <c r="E328" s="2" t="s">
        <v>199</v>
      </c>
      <c r="F328" s="6">
        <v>46112.357094907406</v>
      </c>
      <c r="G328" t="s">
        <v>458</v>
      </c>
      <c r="H328" t="s">
        <v>310</v>
      </c>
      <c r="I328" s="4">
        <f>VLOOKUP(G328,Sheet2!A:D,4,0)</f>
        <v>12</v>
      </c>
    </row>
    <row r="329" spans="1:10">
      <c r="A329" s="5" t="s">
        <v>513</v>
      </c>
      <c r="B329" s="3" t="s">
        <v>7</v>
      </c>
      <c r="C329" s="3" t="s">
        <v>7</v>
      </c>
      <c r="D329" s="5" t="s">
        <v>8</v>
      </c>
      <c r="E329" s="3" t="s">
        <v>199</v>
      </c>
      <c r="F329" s="7">
        <v>46112.357094907406</v>
      </c>
      <c r="G329" t="s">
        <v>458</v>
      </c>
      <c r="H329" t="s">
        <v>310</v>
      </c>
      <c r="I329" s="4">
        <f>VLOOKUP(G329,Sheet2!A:D,4,0)</f>
        <v>12</v>
      </c>
    </row>
    <row r="330" spans="1:10">
      <c r="A330" s="4" t="s">
        <v>514</v>
      </c>
      <c r="B330" s="2" t="s">
        <v>7</v>
      </c>
      <c r="C330" s="2" t="s">
        <v>7</v>
      </c>
      <c r="D330" s="4" t="s">
        <v>8</v>
      </c>
      <c r="E330" s="2" t="s">
        <v>199</v>
      </c>
      <c r="F330" s="6">
        <v>46112.357094907406</v>
      </c>
      <c r="G330" t="s">
        <v>458</v>
      </c>
      <c r="H330" t="s">
        <v>310</v>
      </c>
      <c r="I330" s="4">
        <f>VLOOKUP(G330,Sheet2!A:D,4,0)</f>
        <v>12</v>
      </c>
    </row>
    <row r="331" spans="1:10">
      <c r="A331" s="5" t="s">
        <v>515</v>
      </c>
      <c r="B331" s="3" t="s">
        <v>7</v>
      </c>
      <c r="C331" s="3" t="s">
        <v>7</v>
      </c>
      <c r="D331" s="5" t="s">
        <v>8</v>
      </c>
      <c r="E331" s="3" t="s">
        <v>199</v>
      </c>
      <c r="F331" s="7">
        <v>46112.357094907406</v>
      </c>
      <c r="G331" t="s">
        <v>458</v>
      </c>
      <c r="H331" t="s">
        <v>310</v>
      </c>
      <c r="I331" s="4">
        <f>VLOOKUP(G331,Sheet2!A:D,4,0)</f>
        <v>12</v>
      </c>
    </row>
    <row r="332" spans="1:10">
      <c r="A332" s="4" t="s">
        <v>516</v>
      </c>
      <c r="B332" s="2" t="s">
        <v>7</v>
      </c>
      <c r="C332" s="2" t="s">
        <v>7</v>
      </c>
      <c r="D332" s="4" t="s">
        <v>8</v>
      </c>
      <c r="E332" s="2" t="s">
        <v>199</v>
      </c>
      <c r="F332" s="6">
        <v>46112.357094907406</v>
      </c>
      <c r="G332" t="s">
        <v>458</v>
      </c>
      <c r="H332" t="s">
        <v>310</v>
      </c>
      <c r="I332" s="4">
        <f>VLOOKUP(G332,Sheet2!A:D,4,0)</f>
        <v>12</v>
      </c>
    </row>
    <row r="333" spans="1:10">
      <c r="A333" s="5" t="s">
        <v>517</v>
      </c>
      <c r="B333" s="3" t="s">
        <v>7</v>
      </c>
      <c r="C333" s="3" t="s">
        <v>7</v>
      </c>
      <c r="D333" s="5" t="s">
        <v>8</v>
      </c>
      <c r="E333" s="3" t="s">
        <v>199</v>
      </c>
      <c r="F333" s="7">
        <v>46112.357094907406</v>
      </c>
      <c r="G333" t="s">
        <v>458</v>
      </c>
      <c r="H333" t="s">
        <v>310</v>
      </c>
      <c r="I333" s="4">
        <f>VLOOKUP(G333,Sheet2!A:D,4,0)</f>
        <v>12</v>
      </c>
    </row>
    <row r="334" spans="1:10">
      <c r="A334" s="4" t="s">
        <v>518</v>
      </c>
      <c r="B334" s="2" t="s">
        <v>7</v>
      </c>
      <c r="C334" s="2" t="s">
        <v>7</v>
      </c>
      <c r="D334" s="4" t="s">
        <v>8</v>
      </c>
      <c r="E334" s="2" t="s">
        <v>199</v>
      </c>
      <c r="F334" s="6">
        <v>46112.357094907406</v>
      </c>
      <c r="G334" t="s">
        <v>458</v>
      </c>
      <c r="H334" t="s">
        <v>310</v>
      </c>
      <c r="I334" s="4">
        <f>VLOOKUP(G334,Sheet2!A:D,4,0)</f>
        <v>12</v>
      </c>
    </row>
    <row r="335" spans="1:10">
      <c r="A335" s="5" t="s">
        <v>519</v>
      </c>
      <c r="B335" s="3" t="s">
        <v>7</v>
      </c>
      <c r="C335" s="3" t="s">
        <v>7</v>
      </c>
      <c r="D335" s="5" t="s">
        <v>8</v>
      </c>
      <c r="E335" s="3" t="s">
        <v>199</v>
      </c>
      <c r="F335" s="7">
        <v>46112.357094907406</v>
      </c>
      <c r="G335" t="s">
        <v>458</v>
      </c>
      <c r="H335" t="s">
        <v>310</v>
      </c>
      <c r="I335" s="4">
        <f>VLOOKUP(G335,Sheet2!A:D,4,0)</f>
        <v>12</v>
      </c>
    </row>
    <row r="336" spans="1:10">
      <c r="A336" s="4" t="s">
        <v>520</v>
      </c>
      <c r="B336" s="2" t="s">
        <v>7</v>
      </c>
      <c r="C336" s="2" t="s">
        <v>7</v>
      </c>
      <c r="D336" s="4" t="s">
        <v>8</v>
      </c>
      <c r="E336" s="2" t="s">
        <v>199</v>
      </c>
      <c r="F336" s="6">
        <v>46112.357094907406</v>
      </c>
      <c r="G336" t="s">
        <v>458</v>
      </c>
      <c r="H336" t="s">
        <v>310</v>
      </c>
      <c r="I336" s="4">
        <f>VLOOKUP(G336,Sheet2!A:D,4,0)</f>
        <v>12</v>
      </c>
    </row>
    <row r="337" spans="1:9">
      <c r="A337" s="5" t="s">
        <v>521</v>
      </c>
      <c r="B337" s="3" t="s">
        <v>7</v>
      </c>
      <c r="C337" s="3" t="s">
        <v>7</v>
      </c>
      <c r="D337" s="5" t="s">
        <v>8</v>
      </c>
      <c r="E337" s="3" t="s">
        <v>199</v>
      </c>
      <c r="F337" s="7">
        <v>46112.357094907406</v>
      </c>
      <c r="G337" t="s">
        <v>458</v>
      </c>
      <c r="H337" t="s">
        <v>310</v>
      </c>
      <c r="I337" s="4">
        <f>VLOOKUP(G337,Sheet2!A:D,4,0)</f>
        <v>12</v>
      </c>
    </row>
    <row r="338" spans="1:9">
      <c r="A338" s="4" t="s">
        <v>522</v>
      </c>
      <c r="B338" s="2" t="s">
        <v>7</v>
      </c>
      <c r="C338" s="2" t="s">
        <v>7</v>
      </c>
      <c r="D338" s="4" t="s">
        <v>8</v>
      </c>
      <c r="E338" s="2" t="s">
        <v>199</v>
      </c>
      <c r="F338" s="6">
        <v>46112.357094907406</v>
      </c>
      <c r="G338" t="s">
        <v>458</v>
      </c>
      <c r="H338" t="s">
        <v>310</v>
      </c>
      <c r="I338" s="4">
        <f>VLOOKUP(G338,Sheet2!A:D,4,0)</f>
        <v>12</v>
      </c>
    </row>
    <row r="339" spans="1:9">
      <c r="A339" s="5" t="s">
        <v>523</v>
      </c>
      <c r="B339" s="3" t="s">
        <v>7</v>
      </c>
      <c r="C339" s="3" t="s">
        <v>7</v>
      </c>
      <c r="D339" s="5" t="s">
        <v>8</v>
      </c>
      <c r="E339" s="3" t="s">
        <v>199</v>
      </c>
      <c r="F339" s="7">
        <v>46112.357094907406</v>
      </c>
      <c r="G339" t="s">
        <v>458</v>
      </c>
      <c r="H339" t="s">
        <v>310</v>
      </c>
      <c r="I339" s="4">
        <f>VLOOKUP(G339,Sheet2!A:D,4,0)</f>
        <v>12</v>
      </c>
    </row>
    <row r="340" spans="1:9">
      <c r="A340" s="4" t="s">
        <v>524</v>
      </c>
      <c r="B340" s="2" t="s">
        <v>7</v>
      </c>
      <c r="C340" s="2" t="s">
        <v>7</v>
      </c>
      <c r="D340" s="4" t="s">
        <v>8</v>
      </c>
      <c r="E340" s="2" t="s">
        <v>199</v>
      </c>
      <c r="F340" s="6">
        <v>46112.357094907406</v>
      </c>
      <c r="G340" t="s">
        <v>458</v>
      </c>
      <c r="H340" t="s">
        <v>310</v>
      </c>
      <c r="I340" s="4">
        <f>VLOOKUP(G340,Sheet2!A:D,4,0)</f>
        <v>12</v>
      </c>
    </row>
    <row r="341" spans="1:9">
      <c r="A341" s="5" t="s">
        <v>525</v>
      </c>
      <c r="B341" s="3" t="s">
        <v>7</v>
      </c>
      <c r="C341" s="3" t="s">
        <v>7</v>
      </c>
      <c r="D341" s="5" t="s">
        <v>8</v>
      </c>
      <c r="E341" s="3" t="s">
        <v>199</v>
      </c>
      <c r="F341" s="7">
        <v>46112.357094907406</v>
      </c>
      <c r="G341" t="s">
        <v>458</v>
      </c>
      <c r="H341" t="s">
        <v>310</v>
      </c>
      <c r="I341" s="4">
        <f>VLOOKUP(G341,Sheet2!A:D,4,0)</f>
        <v>12</v>
      </c>
    </row>
    <row r="342" spans="1:9">
      <c r="A342" s="4" t="s">
        <v>526</v>
      </c>
      <c r="B342" s="2" t="s">
        <v>7</v>
      </c>
      <c r="C342" s="2" t="s">
        <v>7</v>
      </c>
      <c r="D342" s="4" t="s">
        <v>8</v>
      </c>
      <c r="E342" s="2" t="s">
        <v>199</v>
      </c>
      <c r="F342" s="6">
        <v>46112.357094907406</v>
      </c>
      <c r="G342" t="s">
        <v>458</v>
      </c>
      <c r="H342" t="s">
        <v>310</v>
      </c>
      <c r="I342" s="4">
        <f>VLOOKUP(G342,Sheet2!A:D,4,0)</f>
        <v>12</v>
      </c>
    </row>
    <row r="343" spans="1:9">
      <c r="A343" s="5" t="s">
        <v>527</v>
      </c>
      <c r="B343" s="3" t="s">
        <v>7</v>
      </c>
      <c r="C343" s="3" t="s">
        <v>7</v>
      </c>
      <c r="D343" s="5" t="s">
        <v>8</v>
      </c>
      <c r="E343" s="3" t="s">
        <v>199</v>
      </c>
      <c r="F343" s="7">
        <v>46112.357094907406</v>
      </c>
      <c r="G343" t="s">
        <v>458</v>
      </c>
      <c r="H343" t="s">
        <v>310</v>
      </c>
      <c r="I343" s="4">
        <f>VLOOKUP(G343,Sheet2!A:D,4,0)</f>
        <v>12</v>
      </c>
    </row>
    <row r="344" spans="1:9">
      <c r="A344" s="4" t="s">
        <v>528</v>
      </c>
      <c r="B344" s="2" t="s">
        <v>7</v>
      </c>
      <c r="C344" s="2" t="s">
        <v>7</v>
      </c>
      <c r="D344" s="4" t="s">
        <v>8</v>
      </c>
      <c r="E344" s="2" t="s">
        <v>199</v>
      </c>
      <c r="F344" s="6">
        <v>46112.357094907406</v>
      </c>
      <c r="G344" t="s">
        <v>458</v>
      </c>
      <c r="H344" t="s">
        <v>310</v>
      </c>
      <c r="I344" s="4">
        <f>VLOOKUP(G344,Sheet2!A:D,4,0)</f>
        <v>12</v>
      </c>
    </row>
    <row r="345" spans="1:9">
      <c r="A345" s="5" t="s">
        <v>529</v>
      </c>
      <c r="B345" s="3" t="s">
        <v>7</v>
      </c>
      <c r="C345" s="3" t="s">
        <v>7</v>
      </c>
      <c r="D345" s="5" t="s">
        <v>8</v>
      </c>
      <c r="E345" s="3" t="s">
        <v>199</v>
      </c>
      <c r="F345" s="7">
        <v>46112.357094907406</v>
      </c>
      <c r="G345" t="s">
        <v>458</v>
      </c>
      <c r="H345" t="s">
        <v>310</v>
      </c>
      <c r="I345" s="4">
        <f>VLOOKUP(G345,Sheet2!A:D,4,0)</f>
        <v>12</v>
      </c>
    </row>
    <row r="346" spans="1:9">
      <c r="A346" s="4" t="s">
        <v>530</v>
      </c>
      <c r="B346" s="2" t="s">
        <v>7</v>
      </c>
      <c r="C346" s="2" t="s">
        <v>7</v>
      </c>
      <c r="D346" s="4" t="s">
        <v>8</v>
      </c>
      <c r="E346" s="2" t="s">
        <v>199</v>
      </c>
      <c r="F346" s="6">
        <v>46112.357094907406</v>
      </c>
      <c r="G346" t="s">
        <v>458</v>
      </c>
      <c r="H346" t="s">
        <v>310</v>
      </c>
      <c r="I346" s="4">
        <f>VLOOKUP(G346,Sheet2!A:D,4,0)</f>
        <v>12</v>
      </c>
    </row>
    <row r="347" spans="1:9">
      <c r="A347" s="5" t="s">
        <v>531</v>
      </c>
      <c r="B347" s="3" t="s">
        <v>7</v>
      </c>
      <c r="C347" s="3" t="s">
        <v>7</v>
      </c>
      <c r="D347" s="5" t="s">
        <v>8</v>
      </c>
      <c r="E347" s="3" t="s">
        <v>199</v>
      </c>
      <c r="F347" s="7">
        <v>46112.357094907406</v>
      </c>
      <c r="G347" t="s">
        <v>458</v>
      </c>
      <c r="H347" t="s">
        <v>310</v>
      </c>
      <c r="I347" s="4">
        <f>VLOOKUP(G347,Sheet2!A:D,4,0)</f>
        <v>12</v>
      </c>
    </row>
    <row r="348" spans="1:9">
      <c r="A348" s="4" t="s">
        <v>532</v>
      </c>
      <c r="B348" s="2" t="s">
        <v>7</v>
      </c>
      <c r="C348" s="2" t="s">
        <v>7</v>
      </c>
      <c r="D348" s="4" t="s">
        <v>8</v>
      </c>
      <c r="E348" s="2" t="s">
        <v>199</v>
      </c>
      <c r="F348" s="6">
        <v>46112.357094907406</v>
      </c>
      <c r="G348" t="s">
        <v>458</v>
      </c>
      <c r="H348" t="s">
        <v>310</v>
      </c>
      <c r="I348" s="4">
        <f>VLOOKUP(G348,Sheet2!A:D,4,0)</f>
        <v>12</v>
      </c>
    </row>
    <row r="349" spans="1:9">
      <c r="A349" s="5" t="s">
        <v>533</v>
      </c>
      <c r="B349" s="3" t="s">
        <v>7</v>
      </c>
      <c r="C349" s="3" t="s">
        <v>7</v>
      </c>
      <c r="D349" s="5" t="s">
        <v>8</v>
      </c>
      <c r="E349" s="3" t="s">
        <v>199</v>
      </c>
      <c r="F349" s="7">
        <v>46112.357094907406</v>
      </c>
      <c r="G349" t="s">
        <v>458</v>
      </c>
      <c r="H349" t="s">
        <v>310</v>
      </c>
      <c r="I349" s="4">
        <f>VLOOKUP(G349,Sheet2!A:D,4,0)</f>
        <v>12</v>
      </c>
    </row>
    <row r="350" spans="1:9">
      <c r="A350" s="4" t="s">
        <v>534</v>
      </c>
      <c r="B350" s="2" t="s">
        <v>7</v>
      </c>
      <c r="C350" s="2" t="s">
        <v>7</v>
      </c>
      <c r="D350" s="4" t="s">
        <v>8</v>
      </c>
      <c r="E350" s="2" t="s">
        <v>199</v>
      </c>
      <c r="F350" s="6">
        <v>46112.357094907406</v>
      </c>
      <c r="G350" t="s">
        <v>458</v>
      </c>
      <c r="H350" t="s">
        <v>310</v>
      </c>
      <c r="I350" s="4">
        <f>VLOOKUP(G350,Sheet2!A:D,4,0)</f>
        <v>12</v>
      </c>
    </row>
    <row r="351" spans="1:9">
      <c r="A351" s="5" t="s">
        <v>535</v>
      </c>
      <c r="B351" s="3" t="s">
        <v>7</v>
      </c>
      <c r="C351" s="3" t="s">
        <v>7</v>
      </c>
      <c r="D351" s="5" t="s">
        <v>8</v>
      </c>
      <c r="E351" s="3" t="s">
        <v>199</v>
      </c>
      <c r="F351" s="7">
        <v>46112.357094907406</v>
      </c>
      <c r="G351" t="s">
        <v>458</v>
      </c>
      <c r="H351" t="s">
        <v>310</v>
      </c>
      <c r="I351" s="4">
        <f>VLOOKUP(G351,Sheet2!A:D,4,0)</f>
        <v>12</v>
      </c>
    </row>
    <row r="352" spans="1:9">
      <c r="A352" s="4" t="s">
        <v>536</v>
      </c>
      <c r="B352" s="2" t="s">
        <v>7</v>
      </c>
      <c r="C352" s="2" t="s">
        <v>7</v>
      </c>
      <c r="D352" s="4" t="s">
        <v>8</v>
      </c>
      <c r="E352" s="2" t="s">
        <v>199</v>
      </c>
      <c r="F352" s="6">
        <v>46112.357094907406</v>
      </c>
      <c r="G352" t="s">
        <v>458</v>
      </c>
      <c r="H352" t="s">
        <v>310</v>
      </c>
      <c r="I352" s="4">
        <f>VLOOKUP(G352,Sheet2!A:D,4,0)</f>
        <v>12</v>
      </c>
    </row>
    <row r="353" spans="1:10">
      <c r="A353" s="5" t="s">
        <v>537</v>
      </c>
      <c r="B353" s="3" t="s">
        <v>7</v>
      </c>
      <c r="C353" s="3" t="s">
        <v>7</v>
      </c>
      <c r="D353" s="5" t="s">
        <v>8</v>
      </c>
      <c r="E353" s="3" t="s">
        <v>199</v>
      </c>
      <c r="F353" s="7">
        <v>46112.357094907406</v>
      </c>
      <c r="G353" t="s">
        <v>458</v>
      </c>
      <c r="H353" t="s">
        <v>310</v>
      </c>
      <c r="I353" s="4">
        <f>VLOOKUP(G353,Sheet2!A:D,4,0)</f>
        <v>12</v>
      </c>
    </row>
    <row r="354" spans="1:10">
      <c r="A354" s="4" t="s">
        <v>538</v>
      </c>
      <c r="B354" s="2" t="s">
        <v>7</v>
      </c>
      <c r="C354" s="2" t="s">
        <v>7</v>
      </c>
      <c r="D354" s="4" t="s">
        <v>8</v>
      </c>
      <c r="E354" s="2" t="s">
        <v>199</v>
      </c>
      <c r="F354" s="6">
        <v>46112.357094907406</v>
      </c>
      <c r="G354" t="s">
        <v>458</v>
      </c>
      <c r="H354" t="s">
        <v>310</v>
      </c>
      <c r="I354" s="4">
        <f>VLOOKUP(G354,Sheet2!A:D,4,0)</f>
        <v>12</v>
      </c>
    </row>
    <row r="355" spans="1:10">
      <c r="A355" s="5" t="s">
        <v>539</v>
      </c>
      <c r="B355" s="3" t="s">
        <v>7</v>
      </c>
      <c r="C355" s="3" t="s">
        <v>7</v>
      </c>
      <c r="D355" s="5" t="s">
        <v>8</v>
      </c>
      <c r="E355" s="3" t="s">
        <v>199</v>
      </c>
      <c r="F355" s="7">
        <v>46112.357094907406</v>
      </c>
      <c r="G355" t="s">
        <v>458</v>
      </c>
      <c r="H355" t="s">
        <v>310</v>
      </c>
      <c r="I355" s="4">
        <f>VLOOKUP(G355,Sheet2!A:D,4,0)</f>
        <v>12</v>
      </c>
    </row>
    <row r="356" spans="1:10">
      <c r="A356" s="4" t="s">
        <v>540</v>
      </c>
      <c r="B356" s="2" t="s">
        <v>7</v>
      </c>
      <c r="C356" s="2" t="s">
        <v>7</v>
      </c>
      <c r="D356" s="4" t="s">
        <v>8</v>
      </c>
      <c r="E356" s="2" t="s">
        <v>199</v>
      </c>
      <c r="F356" s="6">
        <v>46112.357094907406</v>
      </c>
      <c r="G356" t="s">
        <v>458</v>
      </c>
      <c r="H356" t="s">
        <v>310</v>
      </c>
      <c r="I356" s="4">
        <f>VLOOKUP(G356,Sheet2!A:D,4,0)</f>
        <v>12</v>
      </c>
    </row>
    <row r="357" spans="1:10">
      <c r="A357" s="5" t="s">
        <v>541</v>
      </c>
      <c r="B357" s="3" t="s">
        <v>7</v>
      </c>
      <c r="C357" s="3" t="s">
        <v>7</v>
      </c>
      <c r="D357" s="5" t="s">
        <v>8</v>
      </c>
      <c r="E357" s="3" t="s">
        <v>199</v>
      </c>
      <c r="F357" s="7">
        <v>46112.357094907406</v>
      </c>
      <c r="G357" t="s">
        <v>458</v>
      </c>
      <c r="H357" t="s">
        <v>310</v>
      </c>
      <c r="I357" s="4">
        <f>VLOOKUP(G357,Sheet2!A:D,4,0)</f>
        <v>12</v>
      </c>
    </row>
    <row r="358" spans="1:10">
      <c r="A358" s="4" t="s">
        <v>542</v>
      </c>
      <c r="B358" s="2" t="s">
        <v>7</v>
      </c>
      <c r="C358" s="2" t="s">
        <v>7</v>
      </c>
      <c r="D358" s="4" t="s">
        <v>8</v>
      </c>
      <c r="E358" s="2" t="s">
        <v>199</v>
      </c>
      <c r="F358" s="6">
        <v>46112.357094907406</v>
      </c>
      <c r="G358" t="s">
        <v>458</v>
      </c>
      <c r="H358" t="s">
        <v>310</v>
      </c>
      <c r="I358" s="4">
        <f>VLOOKUP(G358,Sheet2!A:D,4,0)</f>
        <v>12</v>
      </c>
    </row>
    <row r="359" spans="1:10">
      <c r="A359" s="5" t="s">
        <v>543</v>
      </c>
      <c r="B359" s="3" t="s">
        <v>7</v>
      </c>
      <c r="C359" s="3" t="s">
        <v>7</v>
      </c>
      <c r="D359" s="5" t="s">
        <v>8</v>
      </c>
      <c r="E359" s="3" t="s">
        <v>199</v>
      </c>
      <c r="F359" s="7">
        <v>46112.357094907406</v>
      </c>
      <c r="G359" t="s">
        <v>458</v>
      </c>
      <c r="H359" t="s">
        <v>310</v>
      </c>
      <c r="I359" s="4">
        <f>VLOOKUP(G359,Sheet2!A:D,4,0)</f>
        <v>12</v>
      </c>
    </row>
    <row r="360" spans="1:10">
      <c r="A360" s="4" t="s">
        <v>544</v>
      </c>
      <c r="B360" s="2" t="s">
        <v>7</v>
      </c>
      <c r="C360" s="2" t="s">
        <v>7</v>
      </c>
      <c r="D360" s="4" t="s">
        <v>8</v>
      </c>
      <c r="E360" s="2" t="s">
        <v>199</v>
      </c>
      <c r="F360" s="6">
        <v>46112.357094907406</v>
      </c>
      <c r="G360" t="s">
        <v>458</v>
      </c>
      <c r="H360" t="s">
        <v>310</v>
      </c>
      <c r="I360" s="4">
        <f>VLOOKUP(G360,Sheet2!A:D,4,0)</f>
        <v>12</v>
      </c>
    </row>
    <row r="361" spans="1:10">
      <c r="A361" s="5" t="s">
        <v>545</v>
      </c>
      <c r="B361" s="3" t="s">
        <v>7</v>
      </c>
      <c r="C361" s="3" t="s">
        <v>7</v>
      </c>
      <c r="D361" s="5" t="s">
        <v>8</v>
      </c>
      <c r="E361" s="3" t="s">
        <v>199</v>
      </c>
      <c r="F361" s="7">
        <v>46112.357094907406</v>
      </c>
      <c r="G361" t="s">
        <v>458</v>
      </c>
      <c r="H361" t="s">
        <v>310</v>
      </c>
      <c r="I361" s="4">
        <f>VLOOKUP(G361,Sheet2!A:D,4,0)</f>
        <v>12</v>
      </c>
    </row>
    <row r="362" spans="1:10">
      <c r="A362" s="4" t="s">
        <v>546</v>
      </c>
      <c r="B362" s="2" t="s">
        <v>7</v>
      </c>
      <c r="C362" s="2" t="s">
        <v>7</v>
      </c>
      <c r="D362" s="4" t="s">
        <v>8</v>
      </c>
      <c r="E362" s="2" t="s">
        <v>199</v>
      </c>
      <c r="F362" s="6">
        <v>46112.357094907406</v>
      </c>
      <c r="G362" t="s">
        <v>458</v>
      </c>
      <c r="H362" t="s">
        <v>310</v>
      </c>
      <c r="I362" s="4">
        <f>VLOOKUP(G362,Sheet2!A:D,4,0)</f>
        <v>12</v>
      </c>
    </row>
    <row r="363" spans="1:10">
      <c r="A363" s="5" t="s">
        <v>547</v>
      </c>
      <c r="B363" s="3" t="s">
        <v>7</v>
      </c>
      <c r="C363" s="3" t="s">
        <v>7</v>
      </c>
      <c r="D363" s="5" t="s">
        <v>8</v>
      </c>
      <c r="E363" s="3" t="s">
        <v>199</v>
      </c>
      <c r="F363" s="7">
        <v>46112.357094907406</v>
      </c>
      <c r="G363" t="s">
        <v>458</v>
      </c>
      <c r="H363" t="s">
        <v>310</v>
      </c>
      <c r="I363" s="4">
        <f>VLOOKUP(G363,Sheet2!A:D,4,0)</f>
        <v>12</v>
      </c>
    </row>
    <row r="364" spans="1:10">
      <c r="A364" s="4" t="s">
        <v>548</v>
      </c>
      <c r="B364" s="2" t="s">
        <v>7</v>
      </c>
      <c r="C364" s="2" t="s">
        <v>7</v>
      </c>
      <c r="D364" s="4" t="s">
        <v>8</v>
      </c>
      <c r="E364" s="2" t="s">
        <v>199</v>
      </c>
      <c r="F364" s="6">
        <v>46112.357094907406</v>
      </c>
      <c r="G364" t="s">
        <v>458</v>
      </c>
      <c r="H364" t="s">
        <v>310</v>
      </c>
      <c r="I364" s="4">
        <f>VLOOKUP(G364,Sheet2!A:D,4,0)</f>
        <v>12</v>
      </c>
    </row>
    <row r="365" spans="1:10">
      <c r="A365" s="5" t="s">
        <v>549</v>
      </c>
      <c r="B365" s="3" t="s">
        <v>7</v>
      </c>
      <c r="C365" s="3" t="s">
        <v>7</v>
      </c>
      <c r="D365" s="5" t="s">
        <v>8</v>
      </c>
      <c r="E365" s="3" t="s">
        <v>199</v>
      </c>
      <c r="F365" s="7">
        <v>46112.357094907406</v>
      </c>
      <c r="G365" t="s">
        <v>458</v>
      </c>
      <c r="H365" t="s">
        <v>310</v>
      </c>
      <c r="I365" s="4">
        <f>VLOOKUP(G365,Sheet2!A:D,4,0)</f>
        <v>12</v>
      </c>
    </row>
    <row r="366" spans="1:10">
      <c r="A366" s="4" t="s">
        <v>550</v>
      </c>
      <c r="B366" s="2" t="s">
        <v>7</v>
      </c>
      <c r="C366" s="2" t="s">
        <v>7</v>
      </c>
      <c r="D366" s="4" t="s">
        <v>8</v>
      </c>
      <c r="E366" s="2" t="s">
        <v>199</v>
      </c>
      <c r="F366" s="6">
        <v>46112.357094907406</v>
      </c>
      <c r="G366" t="s">
        <v>458</v>
      </c>
      <c r="H366" t="s">
        <v>310</v>
      </c>
      <c r="I366" s="4">
        <f>VLOOKUP(G366,Sheet2!A:D,4,0)</f>
        <v>12</v>
      </c>
    </row>
    <row r="367" spans="1:10">
      <c r="A367" s="5" t="s">
        <v>551</v>
      </c>
      <c r="B367" s="3" t="s">
        <v>7</v>
      </c>
      <c r="C367" s="3" t="s">
        <v>7</v>
      </c>
      <c r="D367" s="5" t="s">
        <v>8</v>
      </c>
      <c r="E367" s="3" t="s">
        <v>199</v>
      </c>
      <c r="F367" s="7">
        <v>46112.357094907406</v>
      </c>
      <c r="G367" t="s">
        <v>458</v>
      </c>
      <c r="H367" t="s">
        <v>310</v>
      </c>
      <c r="I367" s="4">
        <f>VLOOKUP(G367,Sheet2!A:D,4,0)</f>
        <v>12</v>
      </c>
      <c r="J367" t="s">
        <v>471</v>
      </c>
    </row>
    <row r="368" spans="1:10">
      <c r="A368" s="4" t="s">
        <v>552</v>
      </c>
      <c r="B368" s="2" t="s">
        <v>7</v>
      </c>
      <c r="C368" s="2" t="s">
        <v>7</v>
      </c>
      <c r="D368" s="4" t="s">
        <v>8</v>
      </c>
      <c r="E368" s="2" t="s">
        <v>199</v>
      </c>
      <c r="F368" s="6">
        <v>46112.357094907406</v>
      </c>
      <c r="G368" t="s">
        <v>458</v>
      </c>
      <c r="H368" t="s">
        <v>310</v>
      </c>
      <c r="I368" s="4">
        <f>VLOOKUP(G368,Sheet2!A:D,4,0)</f>
        <v>12</v>
      </c>
    </row>
    <row r="369" spans="1:11">
      <c r="A369" s="5" t="s">
        <v>553</v>
      </c>
      <c r="B369" s="3" t="s">
        <v>7</v>
      </c>
      <c r="C369" s="3" t="s">
        <v>7</v>
      </c>
      <c r="D369" s="5" t="s">
        <v>8</v>
      </c>
      <c r="E369" s="3" t="s">
        <v>199</v>
      </c>
      <c r="F369" s="7">
        <v>46112.357094907406</v>
      </c>
      <c r="G369" t="s">
        <v>458</v>
      </c>
      <c r="H369" t="s">
        <v>310</v>
      </c>
      <c r="I369" s="4">
        <f>VLOOKUP(G369,Sheet2!A:D,4,0)</f>
        <v>12</v>
      </c>
    </row>
    <row r="370" spans="1:11">
      <c r="A370" s="4" t="s">
        <v>554</v>
      </c>
      <c r="B370" s="2" t="s">
        <v>7</v>
      </c>
      <c r="C370" s="2" t="s">
        <v>7</v>
      </c>
      <c r="D370" s="4" t="s">
        <v>8</v>
      </c>
      <c r="E370" s="2" t="s">
        <v>199</v>
      </c>
      <c r="F370" s="6">
        <v>46112.357094907406</v>
      </c>
      <c r="G370" t="s">
        <v>458</v>
      </c>
      <c r="H370" t="s">
        <v>310</v>
      </c>
      <c r="I370" s="4">
        <f>VLOOKUP(G370,Sheet2!A:D,4,0)</f>
        <v>12</v>
      </c>
    </row>
    <row r="371" spans="1:11">
      <c r="A371" s="5" t="s">
        <v>555</v>
      </c>
      <c r="B371" s="3" t="s">
        <v>7</v>
      </c>
      <c r="C371" s="3" t="s">
        <v>7</v>
      </c>
      <c r="D371" s="5" t="s">
        <v>8</v>
      </c>
      <c r="E371" s="3" t="s">
        <v>199</v>
      </c>
      <c r="F371" s="7">
        <v>46112.357094907406</v>
      </c>
      <c r="G371" t="s">
        <v>458</v>
      </c>
      <c r="H371" t="s">
        <v>310</v>
      </c>
      <c r="I371" s="4">
        <f>VLOOKUP(G371,Sheet2!A:D,4,0)</f>
        <v>12</v>
      </c>
      <c r="J371" t="s">
        <v>471</v>
      </c>
      <c r="K371" t="s">
        <v>473</v>
      </c>
    </row>
    <row r="372" spans="1:11">
      <c r="A372" s="4" t="s">
        <v>556</v>
      </c>
      <c r="B372" s="2" t="s">
        <v>7</v>
      </c>
      <c r="C372" s="2" t="s">
        <v>7</v>
      </c>
      <c r="D372" s="4" t="s">
        <v>8</v>
      </c>
      <c r="E372" s="2" t="s">
        <v>199</v>
      </c>
      <c r="F372" s="6">
        <v>46112.357094907406</v>
      </c>
      <c r="G372" t="s">
        <v>458</v>
      </c>
      <c r="H372" t="s">
        <v>310</v>
      </c>
      <c r="I372" s="4">
        <f>VLOOKUP(G372,Sheet2!A:D,4,0)</f>
        <v>12</v>
      </c>
      <c r="J372" t="s">
        <v>472</v>
      </c>
    </row>
    <row r="373" spans="1:11">
      <c r="A373" s="5" t="s">
        <v>557</v>
      </c>
      <c r="B373" s="3" t="s">
        <v>7</v>
      </c>
      <c r="C373" s="3" t="s">
        <v>7</v>
      </c>
      <c r="D373" s="5" t="s">
        <v>8</v>
      </c>
      <c r="E373" s="3" t="s">
        <v>199</v>
      </c>
      <c r="F373" s="7">
        <v>46112.357094907406</v>
      </c>
      <c r="G373" t="s">
        <v>458</v>
      </c>
      <c r="H373" t="s">
        <v>310</v>
      </c>
      <c r="I373" s="4">
        <f>VLOOKUP(G373,Sheet2!A:D,4,0)</f>
        <v>12</v>
      </c>
      <c r="J373" t="s">
        <v>472</v>
      </c>
    </row>
    <row r="374" spans="1:11">
      <c r="A374" s="4" t="s">
        <v>558</v>
      </c>
      <c r="B374" s="2" t="s">
        <v>7</v>
      </c>
      <c r="C374" s="2" t="s">
        <v>7</v>
      </c>
      <c r="D374" s="4" t="s">
        <v>8</v>
      </c>
      <c r="E374" s="2" t="s">
        <v>199</v>
      </c>
      <c r="F374" s="6">
        <v>46112.357094907406</v>
      </c>
      <c r="G374" t="s">
        <v>458</v>
      </c>
      <c r="H374" t="s">
        <v>310</v>
      </c>
      <c r="I374" s="4">
        <f>VLOOKUP(G374,Sheet2!A:D,4,0)</f>
        <v>12</v>
      </c>
    </row>
    <row r="375" spans="1:11">
      <c r="A375" s="5" t="s">
        <v>559</v>
      </c>
      <c r="B375" s="3" t="s">
        <v>7</v>
      </c>
      <c r="C375" s="3" t="s">
        <v>7</v>
      </c>
      <c r="D375" s="5" t="s">
        <v>8</v>
      </c>
      <c r="E375" s="3" t="s">
        <v>199</v>
      </c>
      <c r="F375" s="7">
        <v>46112.357094907406</v>
      </c>
      <c r="G375" t="s">
        <v>458</v>
      </c>
      <c r="H375" t="s">
        <v>310</v>
      </c>
      <c r="I375" s="4">
        <f>VLOOKUP(G375,Sheet2!A:D,4,0)</f>
        <v>12</v>
      </c>
    </row>
    <row r="376" spans="1:11">
      <c r="A376" s="4" t="s">
        <v>560</v>
      </c>
      <c r="B376" s="2" t="s">
        <v>7</v>
      </c>
      <c r="C376" s="2" t="s">
        <v>7</v>
      </c>
      <c r="D376" s="4" t="s">
        <v>8</v>
      </c>
      <c r="E376" s="2" t="s">
        <v>199</v>
      </c>
      <c r="F376" s="6">
        <v>46112.357094907406</v>
      </c>
      <c r="G376" t="s">
        <v>458</v>
      </c>
      <c r="H376" t="s">
        <v>310</v>
      </c>
      <c r="I376" s="4">
        <f>VLOOKUP(G376,Sheet2!A:D,4,0)</f>
        <v>12</v>
      </c>
    </row>
    <row r="377" spans="1:11">
      <c r="A377" s="5" t="s">
        <v>561</v>
      </c>
      <c r="B377" s="3" t="s">
        <v>7</v>
      </c>
      <c r="C377" s="3" t="s">
        <v>7</v>
      </c>
      <c r="D377" s="5" t="s">
        <v>8</v>
      </c>
      <c r="E377" s="3" t="s">
        <v>199</v>
      </c>
      <c r="F377" s="7">
        <v>46112.357094907406</v>
      </c>
      <c r="G377" t="s">
        <v>458</v>
      </c>
      <c r="H377" t="s">
        <v>310</v>
      </c>
      <c r="I377" s="4">
        <f>VLOOKUP(G377,Sheet2!A:D,4,0)</f>
        <v>12</v>
      </c>
    </row>
    <row r="378" spans="1:11">
      <c r="A378" s="4" t="s">
        <v>562</v>
      </c>
      <c r="B378" s="2" t="s">
        <v>7</v>
      </c>
      <c r="C378" s="2" t="s">
        <v>7</v>
      </c>
      <c r="D378" s="4" t="s">
        <v>8</v>
      </c>
      <c r="E378" s="2" t="s">
        <v>199</v>
      </c>
      <c r="F378" s="6">
        <v>46112.357094907406</v>
      </c>
      <c r="G378" t="s">
        <v>458</v>
      </c>
      <c r="H378" t="s">
        <v>310</v>
      </c>
      <c r="I378" s="4">
        <f>VLOOKUP(G378,Sheet2!A:D,4,0)</f>
        <v>12</v>
      </c>
    </row>
    <row r="379" spans="1:11">
      <c r="A379" s="5" t="s">
        <v>563</v>
      </c>
      <c r="B379" s="3" t="s">
        <v>7</v>
      </c>
      <c r="C379" s="3" t="s">
        <v>7</v>
      </c>
      <c r="D379" s="5" t="s">
        <v>8</v>
      </c>
      <c r="E379" s="3" t="s">
        <v>199</v>
      </c>
      <c r="F379" s="7">
        <v>46112.357094907406</v>
      </c>
      <c r="G379" t="s">
        <v>458</v>
      </c>
      <c r="H379" t="s">
        <v>310</v>
      </c>
      <c r="I379" s="4">
        <f>VLOOKUP(G379,Sheet2!A:D,4,0)</f>
        <v>12</v>
      </c>
    </row>
    <row r="380" spans="1:11">
      <c r="A380" s="4" t="s">
        <v>564</v>
      </c>
      <c r="B380" s="2" t="s">
        <v>7</v>
      </c>
      <c r="C380" s="2" t="s">
        <v>7</v>
      </c>
      <c r="D380" s="4" t="s">
        <v>8</v>
      </c>
      <c r="E380" s="2" t="s">
        <v>199</v>
      </c>
      <c r="F380" s="6">
        <v>46112.357094907406</v>
      </c>
      <c r="G380" t="s">
        <v>458</v>
      </c>
      <c r="H380" t="s">
        <v>310</v>
      </c>
      <c r="I380" s="4">
        <f>VLOOKUP(G380,Sheet2!A:D,4,0)</f>
        <v>12</v>
      </c>
    </row>
    <row r="381" spans="1:11">
      <c r="A381" s="5" t="s">
        <v>565</v>
      </c>
      <c r="B381" s="3" t="s">
        <v>7</v>
      </c>
      <c r="C381" s="3" t="s">
        <v>7</v>
      </c>
      <c r="D381" s="5" t="s">
        <v>8</v>
      </c>
      <c r="E381" s="3" t="s">
        <v>199</v>
      </c>
      <c r="F381" s="7">
        <v>46112.357094907406</v>
      </c>
      <c r="G381" t="s">
        <v>458</v>
      </c>
      <c r="H381" t="s">
        <v>310</v>
      </c>
      <c r="I381" s="4">
        <f>VLOOKUP(G381,Sheet2!A:D,4,0)</f>
        <v>12</v>
      </c>
    </row>
    <row r="382" spans="1:11">
      <c r="A382" s="4" t="s">
        <v>566</v>
      </c>
      <c r="B382" s="2" t="s">
        <v>7</v>
      </c>
      <c r="C382" s="2" t="s">
        <v>7</v>
      </c>
      <c r="D382" s="4" t="s">
        <v>8</v>
      </c>
      <c r="E382" s="2" t="s">
        <v>199</v>
      </c>
      <c r="F382" s="6">
        <v>46112.357094907406</v>
      </c>
      <c r="G382" t="s">
        <v>458</v>
      </c>
      <c r="H382" t="s">
        <v>310</v>
      </c>
      <c r="I382" s="4">
        <f>VLOOKUP(G382,Sheet2!A:D,4,0)</f>
        <v>12</v>
      </c>
    </row>
    <row r="383" spans="1:11">
      <c r="A383" s="5" t="s">
        <v>567</v>
      </c>
      <c r="B383" s="3" t="s">
        <v>7</v>
      </c>
      <c r="C383" s="3" t="s">
        <v>7</v>
      </c>
      <c r="D383" s="5" t="s">
        <v>8</v>
      </c>
      <c r="E383" s="3" t="s">
        <v>199</v>
      </c>
      <c r="F383" s="7">
        <v>46112.357094907406</v>
      </c>
      <c r="G383" t="s">
        <v>458</v>
      </c>
      <c r="H383" t="s">
        <v>310</v>
      </c>
      <c r="I383" s="4">
        <f>VLOOKUP(G383,Sheet2!A:D,4,0)</f>
        <v>12</v>
      </c>
    </row>
    <row r="384" spans="1:11">
      <c r="A384" s="4" t="s">
        <v>568</v>
      </c>
      <c r="B384" s="2" t="s">
        <v>7</v>
      </c>
      <c r="C384" s="2" t="s">
        <v>7</v>
      </c>
      <c r="D384" s="4" t="s">
        <v>8</v>
      </c>
      <c r="E384" s="2" t="s">
        <v>199</v>
      </c>
      <c r="F384" s="6">
        <v>46112.357094907406</v>
      </c>
      <c r="G384" t="s">
        <v>458</v>
      </c>
      <c r="H384" t="s">
        <v>310</v>
      </c>
      <c r="I384" s="4">
        <f>VLOOKUP(G384,Sheet2!A:D,4,0)</f>
        <v>12</v>
      </c>
    </row>
    <row r="385" spans="1:9">
      <c r="A385" s="5" t="s">
        <v>569</v>
      </c>
      <c r="B385" s="3" t="s">
        <v>7</v>
      </c>
      <c r="C385" s="3" t="s">
        <v>7</v>
      </c>
      <c r="D385" s="5" t="s">
        <v>8</v>
      </c>
      <c r="E385" s="3" t="s">
        <v>199</v>
      </c>
      <c r="F385" s="7">
        <v>46112.357094907406</v>
      </c>
      <c r="G385" t="s">
        <v>458</v>
      </c>
      <c r="H385" t="s">
        <v>310</v>
      </c>
      <c r="I385" s="4">
        <f>VLOOKUP(G385,Sheet2!A:D,4,0)</f>
        <v>12</v>
      </c>
    </row>
    <row r="386" spans="1:9">
      <c r="A386" s="4" t="s">
        <v>570</v>
      </c>
      <c r="B386" s="2" t="s">
        <v>7</v>
      </c>
      <c r="C386" s="2" t="s">
        <v>7</v>
      </c>
      <c r="D386" s="4" t="s">
        <v>8</v>
      </c>
      <c r="E386" s="2" t="s">
        <v>199</v>
      </c>
      <c r="F386" s="6">
        <v>46112.357094907406</v>
      </c>
      <c r="G386" t="s">
        <v>458</v>
      </c>
      <c r="H386" t="s">
        <v>310</v>
      </c>
      <c r="I386" s="4">
        <f>VLOOKUP(G386,Sheet2!A:D,4,0)</f>
        <v>12</v>
      </c>
    </row>
    <row r="387" spans="1:9">
      <c r="A387" s="5" t="s">
        <v>571</v>
      </c>
      <c r="B387" s="3" t="s">
        <v>7</v>
      </c>
      <c r="C387" s="3" t="s">
        <v>7</v>
      </c>
      <c r="D387" s="5" t="s">
        <v>8</v>
      </c>
      <c r="E387" s="3" t="s">
        <v>199</v>
      </c>
      <c r="F387" s="7">
        <v>46112.357094907406</v>
      </c>
      <c r="G387" t="s">
        <v>458</v>
      </c>
      <c r="H387" t="s">
        <v>310</v>
      </c>
      <c r="I387" s="4">
        <f>VLOOKUP(G387,Sheet2!A:D,4,0)</f>
        <v>12</v>
      </c>
    </row>
    <row r="388" spans="1:9">
      <c r="A388" s="4" t="s">
        <v>572</v>
      </c>
      <c r="B388" s="2" t="s">
        <v>7</v>
      </c>
      <c r="C388" s="2" t="s">
        <v>7</v>
      </c>
      <c r="D388" s="4" t="s">
        <v>8</v>
      </c>
      <c r="E388" s="2" t="s">
        <v>199</v>
      </c>
      <c r="F388" s="6">
        <v>46112.357094907406</v>
      </c>
      <c r="G388" t="s">
        <v>458</v>
      </c>
      <c r="H388" t="s">
        <v>310</v>
      </c>
      <c r="I388" s="4">
        <f>VLOOKUP(G388,Sheet2!A:D,4,0)</f>
        <v>12</v>
      </c>
    </row>
    <row r="389" spans="1:9">
      <c r="A389" s="5" t="s">
        <v>573</v>
      </c>
      <c r="B389" s="3" t="s">
        <v>7</v>
      </c>
      <c r="C389" s="3" t="s">
        <v>7</v>
      </c>
      <c r="D389" s="5" t="s">
        <v>8</v>
      </c>
      <c r="E389" s="3" t="s">
        <v>199</v>
      </c>
      <c r="F389" s="7">
        <v>46112.357094907406</v>
      </c>
      <c r="G389" t="s">
        <v>458</v>
      </c>
      <c r="H389" t="s">
        <v>310</v>
      </c>
      <c r="I389" s="4">
        <f>VLOOKUP(G389,Sheet2!A:D,4,0)</f>
        <v>12</v>
      </c>
    </row>
    <row r="390" spans="1:9">
      <c r="A390" s="4" t="s">
        <v>574</v>
      </c>
      <c r="B390" s="2" t="s">
        <v>7</v>
      </c>
      <c r="C390" s="2" t="s">
        <v>7</v>
      </c>
      <c r="D390" s="4" t="s">
        <v>8</v>
      </c>
      <c r="E390" s="2" t="s">
        <v>199</v>
      </c>
      <c r="F390" s="6">
        <v>46112.357094907406</v>
      </c>
      <c r="G390" t="s">
        <v>458</v>
      </c>
      <c r="H390" t="s">
        <v>310</v>
      </c>
      <c r="I390" s="4">
        <f>VLOOKUP(G390,Sheet2!A:D,4,0)</f>
        <v>12</v>
      </c>
    </row>
    <row r="391" spans="1:9">
      <c r="A391" s="5" t="s">
        <v>575</v>
      </c>
      <c r="B391" s="3" t="s">
        <v>7</v>
      </c>
      <c r="C391" s="3" t="s">
        <v>7</v>
      </c>
      <c r="D391" s="5" t="s">
        <v>8</v>
      </c>
      <c r="E391" s="3" t="s">
        <v>199</v>
      </c>
      <c r="F391" s="7">
        <v>46112.357094907406</v>
      </c>
      <c r="G391" t="s">
        <v>458</v>
      </c>
      <c r="H391" t="s">
        <v>310</v>
      </c>
      <c r="I391" s="4">
        <f>VLOOKUP(G391,Sheet2!A:D,4,0)</f>
        <v>12</v>
      </c>
    </row>
    <row r="392" spans="1:9">
      <c r="A392" s="4" t="s">
        <v>576</v>
      </c>
      <c r="B392" s="2" t="s">
        <v>7</v>
      </c>
      <c r="C392" s="2" t="s">
        <v>7</v>
      </c>
      <c r="D392" s="4" t="s">
        <v>8</v>
      </c>
      <c r="E392" s="2" t="s">
        <v>199</v>
      </c>
      <c r="F392" s="6">
        <v>46112.357094907406</v>
      </c>
      <c r="G392" t="s">
        <v>458</v>
      </c>
      <c r="H392" t="s">
        <v>310</v>
      </c>
      <c r="I392" s="4">
        <f>VLOOKUP(G392,Sheet2!A:D,4,0)</f>
        <v>12</v>
      </c>
    </row>
    <row r="393" spans="1:9">
      <c r="A393" s="5" t="s">
        <v>577</v>
      </c>
      <c r="B393" s="3" t="s">
        <v>7</v>
      </c>
      <c r="C393" s="3" t="s">
        <v>7</v>
      </c>
      <c r="D393" s="5" t="s">
        <v>8</v>
      </c>
      <c r="E393" s="3" t="s">
        <v>199</v>
      </c>
      <c r="F393" s="7">
        <v>46112.357094907406</v>
      </c>
      <c r="G393" t="s">
        <v>458</v>
      </c>
      <c r="H393" t="s">
        <v>310</v>
      </c>
      <c r="I393" s="4">
        <f>VLOOKUP(G393,Sheet2!A:D,4,0)</f>
        <v>12</v>
      </c>
    </row>
    <row r="394" spans="1:9">
      <c r="A394" s="4" t="s">
        <v>578</v>
      </c>
      <c r="B394" s="2" t="s">
        <v>7</v>
      </c>
      <c r="C394" s="2" t="s">
        <v>7</v>
      </c>
      <c r="D394" s="4" t="s">
        <v>8</v>
      </c>
      <c r="E394" s="2" t="s">
        <v>199</v>
      </c>
      <c r="F394" s="6">
        <v>46112.357094907406</v>
      </c>
      <c r="G394" t="s">
        <v>458</v>
      </c>
      <c r="H394" t="s">
        <v>310</v>
      </c>
      <c r="I394" s="4">
        <f>VLOOKUP(G394,Sheet2!A:D,4,0)</f>
        <v>12</v>
      </c>
    </row>
    <row r="395" spans="1:9">
      <c r="A395" s="5" t="s">
        <v>579</v>
      </c>
      <c r="B395" s="3" t="s">
        <v>7</v>
      </c>
      <c r="C395" s="3" t="s">
        <v>7</v>
      </c>
      <c r="D395" s="5" t="s">
        <v>8</v>
      </c>
      <c r="E395" s="3" t="s">
        <v>199</v>
      </c>
      <c r="F395" s="7">
        <v>46112.357094907406</v>
      </c>
      <c r="G395" t="s">
        <v>458</v>
      </c>
      <c r="H395" t="s">
        <v>310</v>
      </c>
      <c r="I395" s="4">
        <f>VLOOKUP(G395,Sheet2!A:D,4,0)</f>
        <v>12</v>
      </c>
    </row>
    <row r="396" spans="1:9">
      <c r="A396" s="4" t="s">
        <v>580</v>
      </c>
      <c r="B396" s="2" t="s">
        <v>7</v>
      </c>
      <c r="C396" s="2" t="s">
        <v>7</v>
      </c>
      <c r="D396" s="4" t="s">
        <v>8</v>
      </c>
      <c r="E396" s="2" t="s">
        <v>199</v>
      </c>
      <c r="F396" s="6">
        <v>46112.357094907406</v>
      </c>
      <c r="G396" t="s">
        <v>458</v>
      </c>
      <c r="H396" t="s">
        <v>310</v>
      </c>
      <c r="I396" s="4">
        <f>VLOOKUP(G396,Sheet2!A:D,4,0)</f>
        <v>12</v>
      </c>
    </row>
    <row r="397" spans="1:9">
      <c r="A397" s="5" t="s">
        <v>581</v>
      </c>
      <c r="B397" s="3" t="s">
        <v>7</v>
      </c>
      <c r="C397" s="3" t="s">
        <v>7</v>
      </c>
      <c r="D397" s="5" t="s">
        <v>8</v>
      </c>
      <c r="E397" s="3" t="s">
        <v>199</v>
      </c>
      <c r="F397" s="7">
        <v>46112.357094907406</v>
      </c>
      <c r="G397" t="s">
        <v>458</v>
      </c>
      <c r="H397" t="s">
        <v>310</v>
      </c>
      <c r="I397" s="4">
        <f>VLOOKUP(G397,Sheet2!A:D,4,0)</f>
        <v>12</v>
      </c>
    </row>
    <row r="398" spans="1:9">
      <c r="A398" s="4" t="s">
        <v>582</v>
      </c>
      <c r="B398" s="2" t="s">
        <v>7</v>
      </c>
      <c r="C398" s="2" t="s">
        <v>7</v>
      </c>
      <c r="D398" s="4" t="s">
        <v>8</v>
      </c>
      <c r="E398" s="2" t="s">
        <v>199</v>
      </c>
      <c r="F398" s="6">
        <v>46112.357094907406</v>
      </c>
      <c r="G398" t="s">
        <v>458</v>
      </c>
      <c r="H398" t="s">
        <v>310</v>
      </c>
      <c r="I398" s="4">
        <f>VLOOKUP(G398,Sheet2!A:D,4,0)</f>
        <v>12</v>
      </c>
    </row>
    <row r="399" spans="1:9">
      <c r="A399" s="5" t="s">
        <v>583</v>
      </c>
      <c r="B399" s="3" t="s">
        <v>7</v>
      </c>
      <c r="C399" s="3" t="s">
        <v>7</v>
      </c>
      <c r="D399" s="5" t="s">
        <v>8</v>
      </c>
      <c r="E399" s="3" t="s">
        <v>199</v>
      </c>
      <c r="F399" s="7">
        <v>46112.357094907406</v>
      </c>
      <c r="G399" t="s">
        <v>458</v>
      </c>
      <c r="H399" t="s">
        <v>310</v>
      </c>
      <c r="I399" s="4">
        <f>VLOOKUP(G399,Sheet2!A:D,4,0)</f>
        <v>12</v>
      </c>
    </row>
    <row r="400" spans="1:9">
      <c r="A400" s="4" t="s">
        <v>584</v>
      </c>
      <c r="B400" s="2" t="s">
        <v>7</v>
      </c>
      <c r="C400" s="2" t="s">
        <v>7</v>
      </c>
      <c r="D400" s="4" t="s">
        <v>8</v>
      </c>
      <c r="E400" s="2" t="s">
        <v>199</v>
      </c>
      <c r="F400" s="6">
        <v>46112.357094907406</v>
      </c>
      <c r="G400" t="s">
        <v>458</v>
      </c>
      <c r="H400" t="s">
        <v>310</v>
      </c>
      <c r="I400" s="4">
        <f>VLOOKUP(G400,Sheet2!A:D,4,0)</f>
        <v>12</v>
      </c>
    </row>
    <row r="401" spans="1:9">
      <c r="A401" s="5" t="s">
        <v>585</v>
      </c>
      <c r="B401" s="3" t="s">
        <v>7</v>
      </c>
      <c r="C401" s="3" t="s">
        <v>7</v>
      </c>
      <c r="D401" s="5" t="s">
        <v>8</v>
      </c>
      <c r="E401" s="3" t="s">
        <v>199</v>
      </c>
      <c r="F401" s="7">
        <v>46112.357094907406</v>
      </c>
      <c r="G401" t="s">
        <v>458</v>
      </c>
      <c r="H401" t="s">
        <v>310</v>
      </c>
      <c r="I401" s="4">
        <f>VLOOKUP(G401,Sheet2!A:D,4,0)</f>
        <v>12</v>
      </c>
    </row>
    <row r="402" spans="1:9">
      <c r="A402" s="4" t="s">
        <v>586</v>
      </c>
      <c r="B402" s="2" t="s">
        <v>7</v>
      </c>
      <c r="C402" s="2" t="s">
        <v>7</v>
      </c>
      <c r="D402" s="4" t="s">
        <v>8</v>
      </c>
      <c r="E402" s="2" t="s">
        <v>199</v>
      </c>
      <c r="F402" s="6">
        <v>46112.357094907406</v>
      </c>
      <c r="G402" t="s">
        <v>458</v>
      </c>
      <c r="H402" t="s">
        <v>310</v>
      </c>
      <c r="I402" s="4">
        <f>VLOOKUP(G402,Sheet2!A:D,4,0)</f>
        <v>12</v>
      </c>
    </row>
    <row r="403" spans="1:9">
      <c r="A403" s="5" t="s">
        <v>587</v>
      </c>
      <c r="B403" s="3" t="s">
        <v>7</v>
      </c>
      <c r="C403" s="3" t="s">
        <v>7</v>
      </c>
      <c r="D403" s="5" t="s">
        <v>8</v>
      </c>
      <c r="E403" s="3" t="s">
        <v>199</v>
      </c>
      <c r="F403" s="7">
        <v>46112.357094907406</v>
      </c>
      <c r="G403" t="s">
        <v>458</v>
      </c>
      <c r="H403" t="s">
        <v>310</v>
      </c>
      <c r="I403" s="4">
        <f>VLOOKUP(G403,Sheet2!A:D,4,0)</f>
        <v>12</v>
      </c>
    </row>
    <row r="404" spans="1:9">
      <c r="A404" s="4" t="s">
        <v>588</v>
      </c>
      <c r="B404" s="2" t="s">
        <v>7</v>
      </c>
      <c r="C404" s="2" t="s">
        <v>7</v>
      </c>
      <c r="D404" s="4" t="s">
        <v>8</v>
      </c>
      <c r="E404" s="2" t="s">
        <v>199</v>
      </c>
      <c r="F404" s="6">
        <v>46112.357094907406</v>
      </c>
      <c r="G404" t="s">
        <v>458</v>
      </c>
      <c r="H404" t="s">
        <v>310</v>
      </c>
      <c r="I404" s="4">
        <f>VLOOKUP(G404,Sheet2!A:D,4,0)</f>
        <v>12</v>
      </c>
    </row>
    <row r="405" spans="1:9">
      <c r="A405" s="5" t="s">
        <v>589</v>
      </c>
      <c r="B405" s="3" t="s">
        <v>7</v>
      </c>
      <c r="C405" s="3" t="s">
        <v>7</v>
      </c>
      <c r="D405" s="5" t="s">
        <v>8</v>
      </c>
      <c r="E405" s="3" t="s">
        <v>199</v>
      </c>
      <c r="F405" s="7">
        <v>46112.357094907406</v>
      </c>
      <c r="G405" t="s">
        <v>458</v>
      </c>
      <c r="H405" t="s">
        <v>310</v>
      </c>
      <c r="I405" s="4">
        <f>VLOOKUP(G405,Sheet2!A:D,4,0)</f>
        <v>12</v>
      </c>
    </row>
    <row r="406" spans="1:9">
      <c r="A406" s="4" t="s">
        <v>590</v>
      </c>
      <c r="B406" s="2" t="s">
        <v>7</v>
      </c>
      <c r="C406" s="2" t="s">
        <v>7</v>
      </c>
      <c r="D406" s="4" t="s">
        <v>8</v>
      </c>
      <c r="E406" s="2" t="s">
        <v>199</v>
      </c>
      <c r="F406" s="6">
        <v>46112.357094907406</v>
      </c>
      <c r="G406" t="s">
        <v>458</v>
      </c>
      <c r="H406" t="s">
        <v>310</v>
      </c>
      <c r="I406" s="4">
        <f>VLOOKUP(G406,Sheet2!A:D,4,0)</f>
        <v>12</v>
      </c>
    </row>
    <row r="407" spans="1:9">
      <c r="A407" s="5" t="s">
        <v>591</v>
      </c>
      <c r="B407" s="3" t="s">
        <v>7</v>
      </c>
      <c r="C407" s="3" t="s">
        <v>7</v>
      </c>
      <c r="D407" s="5" t="s">
        <v>8</v>
      </c>
      <c r="E407" s="3" t="s">
        <v>199</v>
      </c>
      <c r="F407" s="7">
        <v>46112.357094907406</v>
      </c>
      <c r="G407" t="s">
        <v>458</v>
      </c>
      <c r="H407" t="s">
        <v>310</v>
      </c>
      <c r="I407" s="4">
        <f>VLOOKUP(G407,Sheet2!A:D,4,0)</f>
        <v>12</v>
      </c>
    </row>
    <row r="408" spans="1:9">
      <c r="A408" s="4" t="s">
        <v>592</v>
      </c>
      <c r="B408" s="2" t="s">
        <v>7</v>
      </c>
      <c r="C408" s="2" t="s">
        <v>7</v>
      </c>
      <c r="D408" s="4" t="s">
        <v>8</v>
      </c>
      <c r="E408" s="2" t="s">
        <v>199</v>
      </c>
      <c r="F408" s="6">
        <v>46112.357094907406</v>
      </c>
      <c r="G408" t="s">
        <v>458</v>
      </c>
      <c r="H408" t="s">
        <v>310</v>
      </c>
      <c r="I408" s="4">
        <f>VLOOKUP(G408,Sheet2!A:D,4,0)</f>
        <v>12</v>
      </c>
    </row>
    <row r="409" spans="1:9">
      <c r="A409" s="5" t="s">
        <v>593</v>
      </c>
      <c r="B409" s="3" t="s">
        <v>7</v>
      </c>
      <c r="C409" s="3" t="s">
        <v>7</v>
      </c>
      <c r="D409" s="5" t="s">
        <v>8</v>
      </c>
      <c r="E409" s="3" t="s">
        <v>199</v>
      </c>
      <c r="F409" s="7">
        <v>46112.357094907406</v>
      </c>
      <c r="G409" t="s">
        <v>458</v>
      </c>
      <c r="H409" t="s">
        <v>310</v>
      </c>
      <c r="I409" s="4">
        <f>VLOOKUP(G409,Sheet2!A:D,4,0)</f>
        <v>12</v>
      </c>
    </row>
    <row r="410" spans="1:9">
      <c r="A410" s="4" t="s">
        <v>594</v>
      </c>
      <c r="B410" s="2" t="s">
        <v>7</v>
      </c>
      <c r="C410" s="2" t="s">
        <v>7</v>
      </c>
      <c r="D410" s="4" t="s">
        <v>8</v>
      </c>
      <c r="E410" s="2" t="s">
        <v>199</v>
      </c>
      <c r="F410" s="6">
        <v>46112.357094907406</v>
      </c>
      <c r="G410" t="s">
        <v>458</v>
      </c>
      <c r="H410" t="s">
        <v>310</v>
      </c>
      <c r="I410" s="4">
        <f>VLOOKUP(G410,Sheet2!A:D,4,0)</f>
        <v>12</v>
      </c>
    </row>
    <row r="411" spans="1:9">
      <c r="A411" s="5" t="s">
        <v>595</v>
      </c>
      <c r="B411" s="3" t="s">
        <v>7</v>
      </c>
      <c r="C411" s="3" t="s">
        <v>7</v>
      </c>
      <c r="D411" s="5" t="s">
        <v>8</v>
      </c>
      <c r="E411" s="3" t="s">
        <v>199</v>
      </c>
      <c r="F411" s="7">
        <v>46112.357094907406</v>
      </c>
      <c r="G411" t="s">
        <v>458</v>
      </c>
      <c r="H411" t="s">
        <v>310</v>
      </c>
      <c r="I411" s="4">
        <f>VLOOKUP(G411,Sheet2!A:D,4,0)</f>
        <v>12</v>
      </c>
    </row>
    <row r="412" spans="1:9">
      <c r="A412" s="4" t="s">
        <v>596</v>
      </c>
      <c r="B412" s="2" t="s">
        <v>7</v>
      </c>
      <c r="C412" s="2" t="s">
        <v>7</v>
      </c>
      <c r="D412" s="4" t="s">
        <v>8</v>
      </c>
      <c r="E412" s="2" t="s">
        <v>199</v>
      </c>
      <c r="F412" s="6">
        <v>46112.357094907406</v>
      </c>
      <c r="G412" t="s">
        <v>458</v>
      </c>
      <c r="H412" t="s">
        <v>310</v>
      </c>
      <c r="I412" s="4">
        <f>VLOOKUP(G412,Sheet2!A:D,4,0)</f>
        <v>12</v>
      </c>
    </row>
    <row r="413" spans="1:9">
      <c r="A413" s="5" t="s">
        <v>597</v>
      </c>
      <c r="B413" s="3" t="s">
        <v>7</v>
      </c>
      <c r="C413" s="3" t="s">
        <v>7</v>
      </c>
      <c r="D413" s="5" t="s">
        <v>8</v>
      </c>
      <c r="E413" s="3" t="s">
        <v>199</v>
      </c>
      <c r="F413" s="7">
        <v>46112.357094907406</v>
      </c>
      <c r="G413" t="s">
        <v>458</v>
      </c>
      <c r="H413" t="s">
        <v>310</v>
      </c>
      <c r="I413" s="4">
        <f>VLOOKUP(G413,Sheet2!A:D,4,0)</f>
        <v>12</v>
      </c>
    </row>
    <row r="414" spans="1:9">
      <c r="A414" s="4" t="s">
        <v>598</v>
      </c>
      <c r="B414" s="2" t="s">
        <v>7</v>
      </c>
      <c r="C414" s="2" t="s">
        <v>7</v>
      </c>
      <c r="D414" s="4" t="s">
        <v>8</v>
      </c>
      <c r="E414" s="2" t="s">
        <v>199</v>
      </c>
      <c r="F414" s="6">
        <v>46112.357094907406</v>
      </c>
      <c r="G414" t="s">
        <v>458</v>
      </c>
      <c r="H414" t="s">
        <v>310</v>
      </c>
      <c r="I414" s="4">
        <f>VLOOKUP(G414,Sheet2!A:D,4,0)</f>
        <v>12</v>
      </c>
    </row>
    <row r="415" spans="1:9">
      <c r="A415" s="5" t="s">
        <v>599</v>
      </c>
      <c r="B415" s="3" t="s">
        <v>7</v>
      </c>
      <c r="C415" s="3" t="s">
        <v>7</v>
      </c>
      <c r="D415" s="5" t="s">
        <v>8</v>
      </c>
      <c r="E415" s="3" t="s">
        <v>199</v>
      </c>
      <c r="F415" s="7">
        <v>46112.357094907406</v>
      </c>
      <c r="G415" t="s">
        <v>458</v>
      </c>
      <c r="H415" t="s">
        <v>310</v>
      </c>
      <c r="I415" s="4">
        <f>VLOOKUP(G415,Sheet2!A:D,4,0)</f>
        <v>12</v>
      </c>
    </row>
    <row r="416" spans="1:9">
      <c r="A416" s="4" t="s">
        <v>600</v>
      </c>
      <c r="B416" s="2" t="s">
        <v>7</v>
      </c>
      <c r="C416" s="2" t="s">
        <v>7</v>
      </c>
      <c r="D416" s="4" t="s">
        <v>8</v>
      </c>
      <c r="E416" s="2" t="s">
        <v>199</v>
      </c>
      <c r="F416" s="6">
        <v>46112.357094907406</v>
      </c>
      <c r="G416" t="s">
        <v>458</v>
      </c>
      <c r="H416" t="s">
        <v>310</v>
      </c>
      <c r="I416" s="4">
        <f>VLOOKUP(G416,Sheet2!A:D,4,0)</f>
        <v>12</v>
      </c>
    </row>
    <row r="417" spans="1:9">
      <c r="A417" s="5" t="s">
        <v>601</v>
      </c>
      <c r="B417" s="3" t="s">
        <v>7</v>
      </c>
      <c r="C417" s="3" t="s">
        <v>7</v>
      </c>
      <c r="D417" s="5" t="s">
        <v>8</v>
      </c>
      <c r="E417" s="3" t="s">
        <v>199</v>
      </c>
      <c r="F417" s="7">
        <v>46112.357094907406</v>
      </c>
      <c r="G417" t="s">
        <v>458</v>
      </c>
      <c r="H417" t="s">
        <v>310</v>
      </c>
      <c r="I417" s="4">
        <f>VLOOKUP(G417,Sheet2!A:D,4,0)</f>
        <v>12</v>
      </c>
    </row>
    <row r="418" spans="1:9">
      <c r="A418" s="4" t="s">
        <v>602</v>
      </c>
      <c r="B418" s="2" t="s">
        <v>7</v>
      </c>
      <c r="C418" s="2" t="s">
        <v>7</v>
      </c>
      <c r="D418" s="4" t="s">
        <v>8</v>
      </c>
      <c r="E418" s="2" t="s">
        <v>199</v>
      </c>
      <c r="F418" s="6">
        <v>46112.357094907406</v>
      </c>
      <c r="G418" t="s">
        <v>458</v>
      </c>
      <c r="H418" t="s">
        <v>310</v>
      </c>
      <c r="I418" s="4">
        <f>VLOOKUP(G418,Sheet2!A:D,4,0)</f>
        <v>12</v>
      </c>
    </row>
    <row r="419" spans="1:9">
      <c r="A419" s="5" t="s">
        <v>603</v>
      </c>
      <c r="B419" s="3" t="s">
        <v>7</v>
      </c>
      <c r="C419" s="3" t="s">
        <v>7</v>
      </c>
      <c r="D419" s="5" t="s">
        <v>8</v>
      </c>
      <c r="E419" s="3" t="s">
        <v>199</v>
      </c>
      <c r="F419" s="7">
        <v>46112.357094907406</v>
      </c>
      <c r="G419" t="s">
        <v>458</v>
      </c>
      <c r="H419" t="s">
        <v>310</v>
      </c>
      <c r="I419" s="4">
        <f>VLOOKUP(G419,Sheet2!A:D,4,0)</f>
        <v>12</v>
      </c>
    </row>
    <row r="420" spans="1:9">
      <c r="A420" s="4" t="s">
        <v>604</v>
      </c>
      <c r="B420" s="2" t="s">
        <v>7</v>
      </c>
      <c r="C420" s="2" t="s">
        <v>7</v>
      </c>
      <c r="D420" s="4" t="s">
        <v>8</v>
      </c>
      <c r="E420" s="2" t="s">
        <v>199</v>
      </c>
      <c r="F420" s="6">
        <v>46112.357094907406</v>
      </c>
      <c r="G420" t="s">
        <v>458</v>
      </c>
      <c r="H420" t="s">
        <v>310</v>
      </c>
      <c r="I420" s="4">
        <f>VLOOKUP(G420,Sheet2!A:D,4,0)</f>
        <v>12</v>
      </c>
    </row>
    <row r="421" spans="1:9">
      <c r="A421" s="5" t="s">
        <v>605</v>
      </c>
      <c r="B421" s="3" t="s">
        <v>7</v>
      </c>
      <c r="C421" s="3" t="s">
        <v>7</v>
      </c>
      <c r="D421" s="5" t="s">
        <v>8</v>
      </c>
      <c r="E421" s="3" t="s">
        <v>199</v>
      </c>
      <c r="F421" s="7">
        <v>46112.357094907406</v>
      </c>
      <c r="G421" t="s">
        <v>458</v>
      </c>
      <c r="H421" t="s">
        <v>310</v>
      </c>
      <c r="I421" s="4">
        <f>VLOOKUP(G421,Sheet2!A:D,4,0)</f>
        <v>12</v>
      </c>
    </row>
    <row r="422" spans="1:9">
      <c r="A422" s="4" t="s">
        <v>606</v>
      </c>
      <c r="B422" s="2" t="s">
        <v>7</v>
      </c>
      <c r="C422" s="2" t="s">
        <v>7</v>
      </c>
      <c r="D422" s="4" t="s">
        <v>8</v>
      </c>
      <c r="E422" s="2" t="s">
        <v>199</v>
      </c>
      <c r="F422" s="6">
        <v>46112.357094907406</v>
      </c>
      <c r="G422" t="s">
        <v>458</v>
      </c>
      <c r="H422" t="s">
        <v>310</v>
      </c>
      <c r="I422" s="4">
        <f>VLOOKUP(G422,Sheet2!A:D,4,0)</f>
        <v>12</v>
      </c>
    </row>
    <row r="423" spans="1:9">
      <c r="A423" s="5" t="s">
        <v>607</v>
      </c>
      <c r="B423" s="3" t="s">
        <v>7</v>
      </c>
      <c r="C423" s="3" t="s">
        <v>7</v>
      </c>
      <c r="D423" s="5" t="s">
        <v>8</v>
      </c>
      <c r="E423" s="3" t="s">
        <v>199</v>
      </c>
      <c r="F423" s="7">
        <v>46112.357094907406</v>
      </c>
      <c r="G423" t="s">
        <v>458</v>
      </c>
      <c r="H423" t="s">
        <v>310</v>
      </c>
      <c r="I423" s="4">
        <f>VLOOKUP(G423,Sheet2!A:D,4,0)</f>
        <v>12</v>
      </c>
    </row>
    <row r="424" spans="1:9">
      <c r="A424" s="4" t="s">
        <v>608</v>
      </c>
      <c r="B424" s="2" t="s">
        <v>7</v>
      </c>
      <c r="C424" s="2" t="s">
        <v>7</v>
      </c>
      <c r="D424" s="4" t="s">
        <v>8</v>
      </c>
      <c r="E424" s="2" t="s">
        <v>199</v>
      </c>
      <c r="F424" s="6">
        <v>46112.357094907406</v>
      </c>
      <c r="G424" t="s">
        <v>458</v>
      </c>
      <c r="H424" t="s">
        <v>310</v>
      </c>
      <c r="I424" s="4">
        <f>VLOOKUP(G424,Sheet2!A:D,4,0)</f>
        <v>12</v>
      </c>
    </row>
    <row r="425" spans="1:9">
      <c r="A425" s="5" t="s">
        <v>609</v>
      </c>
      <c r="B425" s="3" t="s">
        <v>7</v>
      </c>
      <c r="C425" s="3" t="s">
        <v>7</v>
      </c>
      <c r="D425" s="5" t="s">
        <v>8</v>
      </c>
      <c r="E425" s="3" t="s">
        <v>199</v>
      </c>
      <c r="F425" s="7">
        <v>46112.357094907406</v>
      </c>
      <c r="G425" t="s">
        <v>458</v>
      </c>
      <c r="H425" t="s">
        <v>310</v>
      </c>
      <c r="I425" s="4">
        <f>VLOOKUP(G425,Sheet2!A:D,4,0)</f>
        <v>12</v>
      </c>
    </row>
    <row r="426" spans="1:9">
      <c r="A426" s="4" t="s">
        <v>610</v>
      </c>
      <c r="B426" s="2" t="s">
        <v>7</v>
      </c>
      <c r="C426" s="2" t="s">
        <v>7</v>
      </c>
      <c r="D426" s="4" t="s">
        <v>8</v>
      </c>
      <c r="E426" s="2" t="s">
        <v>199</v>
      </c>
      <c r="F426" s="6">
        <v>46112.357094907406</v>
      </c>
      <c r="G426" t="s">
        <v>458</v>
      </c>
      <c r="H426" t="s">
        <v>310</v>
      </c>
      <c r="I426" s="4">
        <f>VLOOKUP(G426,Sheet2!A:D,4,0)</f>
        <v>12</v>
      </c>
    </row>
    <row r="427" spans="1:9">
      <c r="A427" s="5" t="s">
        <v>611</v>
      </c>
      <c r="B427" s="3" t="s">
        <v>7</v>
      </c>
      <c r="C427" s="3" t="s">
        <v>7</v>
      </c>
      <c r="D427" s="5" t="s">
        <v>8</v>
      </c>
      <c r="E427" s="3" t="s">
        <v>199</v>
      </c>
      <c r="F427" s="7">
        <v>46112.357094907406</v>
      </c>
      <c r="G427" t="s">
        <v>458</v>
      </c>
      <c r="H427" t="s">
        <v>310</v>
      </c>
      <c r="I427" s="4">
        <f>VLOOKUP(G427,Sheet2!A:D,4,0)</f>
        <v>12</v>
      </c>
    </row>
    <row r="428" spans="1:9">
      <c r="A428" s="4" t="s">
        <v>612</v>
      </c>
      <c r="B428" s="2" t="s">
        <v>7</v>
      </c>
      <c r="C428" s="2" t="s">
        <v>7</v>
      </c>
      <c r="D428" s="4" t="s">
        <v>8</v>
      </c>
      <c r="E428" s="2" t="s">
        <v>199</v>
      </c>
      <c r="F428" s="6">
        <v>46112.357094907406</v>
      </c>
      <c r="G428" t="s">
        <v>458</v>
      </c>
      <c r="H428" t="s">
        <v>310</v>
      </c>
      <c r="I428" s="4">
        <f>VLOOKUP(G428,Sheet2!A:D,4,0)</f>
        <v>12</v>
      </c>
    </row>
    <row r="429" spans="1:9">
      <c r="A429" s="5" t="s">
        <v>613</v>
      </c>
      <c r="B429" s="3" t="s">
        <v>7</v>
      </c>
      <c r="C429" s="3" t="s">
        <v>7</v>
      </c>
      <c r="D429" s="5" t="s">
        <v>8</v>
      </c>
      <c r="E429" s="3" t="s">
        <v>199</v>
      </c>
      <c r="F429" s="7">
        <v>46112.357094907406</v>
      </c>
      <c r="G429" t="s">
        <v>458</v>
      </c>
      <c r="H429" t="s">
        <v>310</v>
      </c>
      <c r="I429" s="4">
        <f>VLOOKUP(G429,Sheet2!A:D,4,0)</f>
        <v>12</v>
      </c>
    </row>
    <row r="430" spans="1:9">
      <c r="A430" s="4" t="s">
        <v>614</v>
      </c>
      <c r="B430" s="2" t="s">
        <v>7</v>
      </c>
      <c r="C430" s="2" t="s">
        <v>7</v>
      </c>
      <c r="D430" s="4" t="s">
        <v>8</v>
      </c>
      <c r="E430" s="2" t="s">
        <v>199</v>
      </c>
      <c r="F430" s="6">
        <v>46112.357094907406</v>
      </c>
      <c r="G430" t="s">
        <v>458</v>
      </c>
      <c r="H430" t="s">
        <v>310</v>
      </c>
      <c r="I430" s="4">
        <f>VLOOKUP(G430,Sheet2!A:D,4,0)</f>
        <v>12</v>
      </c>
    </row>
    <row r="431" spans="1:9">
      <c r="A431" s="5" t="s">
        <v>615</v>
      </c>
      <c r="B431" s="3" t="s">
        <v>7</v>
      </c>
      <c r="C431" s="3" t="s">
        <v>7</v>
      </c>
      <c r="D431" s="5" t="s">
        <v>8</v>
      </c>
      <c r="E431" s="3" t="s">
        <v>199</v>
      </c>
      <c r="F431" s="7">
        <v>46112.357094907406</v>
      </c>
      <c r="G431" t="s">
        <v>458</v>
      </c>
      <c r="H431" t="s">
        <v>310</v>
      </c>
      <c r="I431" s="4">
        <f>VLOOKUP(G431,Sheet2!A:D,4,0)</f>
        <v>12</v>
      </c>
    </row>
    <row r="432" spans="1:9" hidden="1">
      <c r="A432" s="4" t="s">
        <v>166</v>
      </c>
      <c r="B432" s="2" t="s">
        <v>7</v>
      </c>
      <c r="C432" s="2" t="s">
        <v>7</v>
      </c>
      <c r="D432" s="4" t="s">
        <v>8</v>
      </c>
      <c r="E432" s="2" t="s">
        <v>9</v>
      </c>
      <c r="F432" s="6">
        <v>46072.54996527778</v>
      </c>
      <c r="G432" t="s">
        <v>215</v>
      </c>
      <c r="H432" t="s">
        <v>223</v>
      </c>
      <c r="I432" s="4">
        <f>VLOOKUP(G432,Sheet2!A:D,4,0)</f>
        <v>3</v>
      </c>
    </row>
    <row r="433" spans="1:9" hidden="1">
      <c r="A433" s="5" t="s">
        <v>167</v>
      </c>
      <c r="B433" s="3" t="s">
        <v>169</v>
      </c>
      <c r="C433" s="3" t="s">
        <v>170</v>
      </c>
      <c r="D433" s="5" t="s">
        <v>8</v>
      </c>
      <c r="E433" s="3" t="s">
        <v>171</v>
      </c>
      <c r="F433" s="7">
        <v>46070.519953703704</v>
      </c>
      <c r="G433" t="s">
        <v>215</v>
      </c>
      <c r="H433" t="s">
        <v>223</v>
      </c>
      <c r="I433" s="4">
        <f>VLOOKUP(G433,Sheet2!A:D,4,0)</f>
        <v>3</v>
      </c>
    </row>
    <row r="434" spans="1:9" hidden="1">
      <c r="A434" s="4" t="s">
        <v>168</v>
      </c>
      <c r="B434" s="2" t="s">
        <v>169</v>
      </c>
      <c r="C434" s="2" t="s">
        <v>170</v>
      </c>
      <c r="D434" s="4" t="s">
        <v>8</v>
      </c>
      <c r="E434" s="2" t="s">
        <v>171</v>
      </c>
      <c r="F434" s="6">
        <v>46064.476134259261</v>
      </c>
      <c r="G434" t="s">
        <v>215</v>
      </c>
      <c r="H434" t="s">
        <v>223</v>
      </c>
      <c r="I434" s="4">
        <f>VLOOKUP(G434,Sheet2!A:D,4,0)</f>
        <v>3</v>
      </c>
    </row>
    <row r="435" spans="1:9" hidden="1">
      <c r="A435" s="5" t="s">
        <v>172</v>
      </c>
      <c r="B435" s="3" t="s">
        <v>169</v>
      </c>
      <c r="C435" s="3" t="s">
        <v>170</v>
      </c>
      <c r="D435" s="5" t="s">
        <v>8</v>
      </c>
      <c r="E435" s="3" t="s">
        <v>171</v>
      </c>
      <c r="F435" s="7">
        <v>46093.411180555559</v>
      </c>
      <c r="G435" t="s">
        <v>215</v>
      </c>
      <c r="H435" t="s">
        <v>223</v>
      </c>
      <c r="I435" s="4">
        <f>VLOOKUP(G435,Sheet2!A:D,4,0)</f>
        <v>3</v>
      </c>
    </row>
    <row r="436" spans="1:9" hidden="1">
      <c r="A436" s="4" t="s">
        <v>173</v>
      </c>
      <c r="B436" s="2" t="s">
        <v>169</v>
      </c>
      <c r="C436" s="2" t="s">
        <v>170</v>
      </c>
      <c r="D436" s="4" t="s">
        <v>8</v>
      </c>
      <c r="E436" s="2" t="s">
        <v>171</v>
      </c>
      <c r="F436" s="6">
        <v>46091.466041666667</v>
      </c>
      <c r="G436" t="s">
        <v>215</v>
      </c>
      <c r="H436" t="s">
        <v>223</v>
      </c>
      <c r="I436" s="4">
        <f>VLOOKUP(G436,Sheet2!A:D,4,0)</f>
        <v>3</v>
      </c>
    </row>
    <row r="437" spans="1:9" hidden="1">
      <c r="A437" s="5" t="s">
        <v>174</v>
      </c>
      <c r="B437" s="3" t="s">
        <v>348</v>
      </c>
      <c r="C437" s="3" t="s">
        <v>349</v>
      </c>
      <c r="D437" s="5" t="s">
        <v>8</v>
      </c>
      <c r="E437" s="3" t="s">
        <v>350</v>
      </c>
      <c r="F437" s="7">
        <v>46101.382453703707</v>
      </c>
      <c r="G437" t="s">
        <v>215</v>
      </c>
      <c r="H437" t="s">
        <v>223</v>
      </c>
      <c r="I437" s="4">
        <f>VLOOKUP(G437,Sheet2!A:D,4,0)</f>
        <v>3</v>
      </c>
    </row>
    <row r="438" spans="1:9" hidden="1">
      <c r="A438" s="4" t="s">
        <v>175</v>
      </c>
      <c r="B438" s="2" t="s">
        <v>7</v>
      </c>
      <c r="C438" s="2" t="s">
        <v>7</v>
      </c>
      <c r="D438" s="4" t="s">
        <v>8</v>
      </c>
      <c r="E438" s="2" t="s">
        <v>9</v>
      </c>
      <c r="F438" s="6">
        <v>46092.319791666669</v>
      </c>
      <c r="G438" t="s">
        <v>215</v>
      </c>
      <c r="H438" t="s">
        <v>223</v>
      </c>
      <c r="I438" s="4">
        <f>VLOOKUP(G438,Sheet2!A:D,4,0)</f>
        <v>3</v>
      </c>
    </row>
    <row r="439" spans="1:9" hidden="1">
      <c r="A439" s="5" t="s">
        <v>176</v>
      </c>
      <c r="B439" s="3" t="s">
        <v>7</v>
      </c>
      <c r="C439" s="3" t="s">
        <v>7</v>
      </c>
      <c r="D439" s="5" t="s">
        <v>8</v>
      </c>
      <c r="E439" s="3" t="s">
        <v>9</v>
      </c>
      <c r="F439" s="7">
        <v>46071.436874999999</v>
      </c>
      <c r="G439" t="s">
        <v>215</v>
      </c>
      <c r="H439" t="s">
        <v>223</v>
      </c>
      <c r="I439" s="4">
        <f>VLOOKUP(G439,Sheet2!A:D,4,0)</f>
        <v>3</v>
      </c>
    </row>
    <row r="440" spans="1:9" hidden="1">
      <c r="A440" s="4" t="s">
        <v>177</v>
      </c>
      <c r="B440" s="2" t="s">
        <v>348</v>
      </c>
      <c r="C440" s="2" t="s">
        <v>349</v>
      </c>
      <c r="D440" s="4" t="s">
        <v>8</v>
      </c>
      <c r="E440" s="2" t="s">
        <v>350</v>
      </c>
      <c r="F440" s="6">
        <v>46094.662557870368</v>
      </c>
      <c r="G440" t="s">
        <v>215</v>
      </c>
      <c r="H440" t="s">
        <v>223</v>
      </c>
      <c r="I440" s="4">
        <f>VLOOKUP(G440,Sheet2!A:D,4,0)</f>
        <v>3</v>
      </c>
    </row>
    <row r="441" spans="1:9" hidden="1">
      <c r="A441" s="5" t="s">
        <v>178</v>
      </c>
      <c r="B441" s="3" t="s">
        <v>7</v>
      </c>
      <c r="C441" s="3" t="s">
        <v>7</v>
      </c>
      <c r="D441" s="5" t="s">
        <v>8</v>
      </c>
      <c r="E441" s="3" t="s">
        <v>9</v>
      </c>
      <c r="F441" s="7">
        <v>46073.399988425925</v>
      </c>
      <c r="G441" t="s">
        <v>215</v>
      </c>
      <c r="H441" t="s">
        <v>223</v>
      </c>
      <c r="I441" s="4">
        <f>VLOOKUP(G441,Sheet2!A:D,4,0)</f>
        <v>3</v>
      </c>
    </row>
    <row r="442" spans="1:9" hidden="1">
      <c r="A442" s="4" t="s">
        <v>179</v>
      </c>
      <c r="B442" s="2" t="s">
        <v>7</v>
      </c>
      <c r="C442" s="2" t="s">
        <v>7</v>
      </c>
      <c r="D442" s="4" t="s">
        <v>8</v>
      </c>
      <c r="E442" s="2" t="s">
        <v>9</v>
      </c>
      <c r="F442" s="6">
        <v>46100.280844907407</v>
      </c>
      <c r="G442" t="s">
        <v>215</v>
      </c>
      <c r="H442" t="s">
        <v>223</v>
      </c>
      <c r="I442" s="4">
        <f>VLOOKUP(G442,Sheet2!A:D,4,0)</f>
        <v>3</v>
      </c>
    </row>
    <row r="443" spans="1:9" hidden="1">
      <c r="A443" s="5" t="s">
        <v>180</v>
      </c>
      <c r="B443" s="3" t="s">
        <v>7</v>
      </c>
      <c r="C443" s="3" t="s">
        <v>7</v>
      </c>
      <c r="D443" s="5" t="s">
        <v>8</v>
      </c>
      <c r="E443" s="3" t="s">
        <v>9</v>
      </c>
      <c r="F443" s="7">
        <v>46097.504641203705</v>
      </c>
      <c r="G443" t="s">
        <v>215</v>
      </c>
      <c r="H443" t="s">
        <v>223</v>
      </c>
      <c r="I443" s="4">
        <f>VLOOKUP(G443,Sheet2!A:D,4,0)</f>
        <v>3</v>
      </c>
    </row>
    <row r="444" spans="1:9" hidden="1">
      <c r="A444" s="4" t="s">
        <v>181</v>
      </c>
      <c r="B444" s="2" t="s">
        <v>348</v>
      </c>
      <c r="C444" s="2" t="s">
        <v>349</v>
      </c>
      <c r="D444" s="4" t="s">
        <v>8</v>
      </c>
      <c r="E444" s="2" t="s">
        <v>350</v>
      </c>
      <c r="F444" s="6">
        <v>46091.507430555554</v>
      </c>
      <c r="G444" t="s">
        <v>215</v>
      </c>
      <c r="H444" t="s">
        <v>223</v>
      </c>
      <c r="I444" s="4">
        <f>VLOOKUP(G444,Sheet2!A:D,4,0)</f>
        <v>3</v>
      </c>
    </row>
    <row r="445" spans="1:9" hidden="1">
      <c r="A445" s="5" t="s">
        <v>182</v>
      </c>
      <c r="B445" s="3" t="s">
        <v>7</v>
      </c>
      <c r="C445" s="3" t="s">
        <v>7</v>
      </c>
      <c r="D445" s="5" t="s">
        <v>8</v>
      </c>
      <c r="E445" s="3" t="s">
        <v>9</v>
      </c>
      <c r="F445" s="7">
        <v>46072.318819444445</v>
      </c>
      <c r="G445" t="s">
        <v>215</v>
      </c>
      <c r="H445" t="s">
        <v>223</v>
      </c>
      <c r="I445" s="4">
        <f>VLOOKUP(G445,Sheet2!A:D,4,0)</f>
        <v>3</v>
      </c>
    </row>
    <row r="446" spans="1:9" hidden="1">
      <c r="A446" s="4" t="s">
        <v>183</v>
      </c>
      <c r="B446" s="2" t="s">
        <v>169</v>
      </c>
      <c r="C446" s="2" t="s">
        <v>170</v>
      </c>
      <c r="D446" s="4" t="s">
        <v>8</v>
      </c>
      <c r="E446" s="2" t="s">
        <v>171</v>
      </c>
      <c r="F446" s="6">
        <v>46111.549305555556</v>
      </c>
      <c r="G446" t="s">
        <v>215</v>
      </c>
      <c r="H446" t="s">
        <v>223</v>
      </c>
      <c r="I446" s="4">
        <f>VLOOKUP(G446,Sheet2!A:D,4,0)</f>
        <v>3</v>
      </c>
    </row>
    <row r="447" spans="1:9" hidden="1">
      <c r="A447" s="5" t="s">
        <v>184</v>
      </c>
      <c r="B447" s="3" t="s">
        <v>348</v>
      </c>
      <c r="C447" s="3" t="s">
        <v>349</v>
      </c>
      <c r="D447" s="5" t="s">
        <v>8</v>
      </c>
      <c r="E447" s="3" t="s">
        <v>350</v>
      </c>
      <c r="F447" s="7">
        <v>46101.606261574074</v>
      </c>
      <c r="G447" t="s">
        <v>215</v>
      </c>
      <c r="H447" t="s">
        <v>223</v>
      </c>
      <c r="I447" s="4">
        <f>VLOOKUP(G447,Sheet2!A:D,4,0)</f>
        <v>3</v>
      </c>
    </row>
    <row r="448" spans="1:9" hidden="1">
      <c r="A448" s="4" t="s">
        <v>185</v>
      </c>
      <c r="B448" s="2" t="s">
        <v>7</v>
      </c>
      <c r="C448" s="2" t="s">
        <v>7</v>
      </c>
      <c r="D448" s="4" t="s">
        <v>8</v>
      </c>
      <c r="E448" s="2" t="s">
        <v>9</v>
      </c>
      <c r="F448" s="6">
        <v>46072.449212962965</v>
      </c>
      <c r="G448" t="s">
        <v>215</v>
      </c>
      <c r="H448" t="s">
        <v>223</v>
      </c>
      <c r="I448" s="4">
        <f>VLOOKUP(G448,Sheet2!A:D,4,0)</f>
        <v>3</v>
      </c>
    </row>
    <row r="449" spans="1:9" hidden="1">
      <c r="A449" s="5" t="s">
        <v>186</v>
      </c>
      <c r="B449" s="3" t="s">
        <v>7</v>
      </c>
      <c r="C449" s="3" t="s">
        <v>7</v>
      </c>
      <c r="D449" s="5" t="s">
        <v>8</v>
      </c>
      <c r="E449" s="3" t="s">
        <v>9</v>
      </c>
      <c r="F449" s="7">
        <v>46071.412546296298</v>
      </c>
      <c r="G449" t="s">
        <v>215</v>
      </c>
      <c r="H449" t="s">
        <v>223</v>
      </c>
      <c r="I449" s="4">
        <f>VLOOKUP(G449,Sheet2!A:D,4,0)</f>
        <v>3</v>
      </c>
    </row>
    <row r="450" spans="1:9" hidden="1">
      <c r="A450" s="4" t="s">
        <v>187</v>
      </c>
      <c r="B450" s="2" t="s">
        <v>7</v>
      </c>
      <c r="C450" s="2" t="s">
        <v>7</v>
      </c>
      <c r="D450" s="4" t="s">
        <v>8</v>
      </c>
      <c r="E450" s="2" t="s">
        <v>9</v>
      </c>
      <c r="F450" s="6">
        <v>46091.600578703707</v>
      </c>
      <c r="G450" t="s">
        <v>215</v>
      </c>
      <c r="H450" t="s">
        <v>223</v>
      </c>
      <c r="I450" s="4">
        <f>VLOOKUP(G450,Sheet2!A:D,4,0)</f>
        <v>3</v>
      </c>
    </row>
    <row r="451" spans="1:9" hidden="1">
      <c r="A451" s="5" t="s">
        <v>188</v>
      </c>
      <c r="B451" s="3" t="s">
        <v>348</v>
      </c>
      <c r="C451" s="3" t="s">
        <v>349</v>
      </c>
      <c r="D451" s="5" t="s">
        <v>8</v>
      </c>
      <c r="E451" s="3" t="s">
        <v>350</v>
      </c>
      <c r="F451" s="7">
        <v>46101.374918981484</v>
      </c>
      <c r="G451" t="s">
        <v>215</v>
      </c>
      <c r="H451" t="s">
        <v>223</v>
      </c>
      <c r="I451" s="4">
        <f>VLOOKUP(G451,Sheet2!A:D,4,0)</f>
        <v>3</v>
      </c>
    </row>
    <row r="452" spans="1:9" hidden="1">
      <c r="A452" s="4" t="s">
        <v>189</v>
      </c>
      <c r="B452" s="2" t="s">
        <v>7</v>
      </c>
      <c r="C452" s="2" t="s">
        <v>7</v>
      </c>
      <c r="D452" s="4" t="s">
        <v>8</v>
      </c>
      <c r="E452" s="2" t="s">
        <v>9</v>
      </c>
      <c r="F452" s="6">
        <v>46097.375381944446</v>
      </c>
      <c r="G452" t="s">
        <v>215</v>
      </c>
      <c r="H452" t="s">
        <v>223</v>
      </c>
      <c r="I452" s="4">
        <f>VLOOKUP(G452,Sheet2!A:D,4,0)</f>
        <v>3</v>
      </c>
    </row>
    <row r="453" spans="1:9" hidden="1">
      <c r="A453" s="5" t="s">
        <v>190</v>
      </c>
      <c r="B453" s="3" t="s">
        <v>169</v>
      </c>
      <c r="C453" s="3" t="s">
        <v>170</v>
      </c>
      <c r="D453" s="5" t="s">
        <v>8</v>
      </c>
      <c r="E453" s="3" t="s">
        <v>171</v>
      </c>
      <c r="F453" s="7">
        <v>46111.550324074073</v>
      </c>
      <c r="G453" t="s">
        <v>215</v>
      </c>
      <c r="H453" t="s">
        <v>223</v>
      </c>
      <c r="I453" s="4">
        <f>VLOOKUP(G453,Sheet2!A:D,4,0)</f>
        <v>3</v>
      </c>
    </row>
    <row r="454" spans="1:9" hidden="1">
      <c r="A454" s="4" t="s">
        <v>191</v>
      </c>
      <c r="B454" s="2" t="s">
        <v>348</v>
      </c>
      <c r="C454" s="2" t="s">
        <v>349</v>
      </c>
      <c r="D454" s="4" t="s">
        <v>8</v>
      </c>
      <c r="E454" s="2" t="s">
        <v>350</v>
      </c>
      <c r="F454" s="6">
        <v>46101.355555555558</v>
      </c>
      <c r="G454" t="s">
        <v>215</v>
      </c>
      <c r="H454" t="s">
        <v>223</v>
      </c>
      <c r="I454" s="4">
        <f>VLOOKUP(G454,Sheet2!A:D,4,0)</f>
        <v>3</v>
      </c>
    </row>
    <row r="455" spans="1:9" hidden="1">
      <c r="A455" s="5" t="s">
        <v>192</v>
      </c>
      <c r="B455" s="3" t="s">
        <v>348</v>
      </c>
      <c r="C455" s="3" t="s">
        <v>349</v>
      </c>
      <c r="D455" s="5" t="s">
        <v>8</v>
      </c>
      <c r="E455" s="3" t="s">
        <v>350</v>
      </c>
      <c r="F455" s="7">
        <v>46091.507430555554</v>
      </c>
      <c r="G455" t="s">
        <v>215</v>
      </c>
      <c r="H455" t="s">
        <v>223</v>
      </c>
      <c r="I455" s="4">
        <f>VLOOKUP(G455,Sheet2!A:D,4,0)</f>
        <v>3</v>
      </c>
    </row>
    <row r="456" spans="1:9" hidden="1">
      <c r="A456" s="4" t="s">
        <v>193</v>
      </c>
      <c r="B456" s="2" t="s">
        <v>169</v>
      </c>
      <c r="C456" s="2" t="s">
        <v>170</v>
      </c>
      <c r="D456" s="4" t="s">
        <v>8</v>
      </c>
      <c r="E456" s="2" t="s">
        <v>171</v>
      </c>
      <c r="F456" s="6">
        <v>46064.472361111111</v>
      </c>
      <c r="G456" t="s">
        <v>215</v>
      </c>
      <c r="H456" t="s">
        <v>223</v>
      </c>
      <c r="I456" s="4">
        <f>VLOOKUP(G456,Sheet2!A:D,4,0)</f>
        <v>3</v>
      </c>
    </row>
    <row r="457" spans="1:9" hidden="1">
      <c r="A457" s="4" t="s">
        <v>411</v>
      </c>
      <c r="B457" s="2" t="s">
        <v>480</v>
      </c>
      <c r="C457" s="2" t="s">
        <v>481</v>
      </c>
      <c r="D457" s="4" t="s">
        <v>8</v>
      </c>
      <c r="E457" s="2" t="s">
        <v>59</v>
      </c>
      <c r="F457" s="6">
        <v>46112.40216435185</v>
      </c>
      <c r="G457" t="s">
        <v>392</v>
      </c>
      <c r="H457" t="s">
        <v>394</v>
      </c>
      <c r="I457" s="4">
        <f>VLOOKUP(G457,Sheet2!A:D,4,0)</f>
        <v>9</v>
      </c>
    </row>
    <row r="458" spans="1:9" hidden="1">
      <c r="A458" s="5" t="s">
        <v>412</v>
      </c>
      <c r="B458" s="3" t="s">
        <v>462</v>
      </c>
      <c r="C458" s="3" t="s">
        <v>463</v>
      </c>
      <c r="D458" s="5" t="s">
        <v>8</v>
      </c>
      <c r="E458" s="3" t="s">
        <v>18</v>
      </c>
      <c r="F458" s="7">
        <v>46112.437361111108</v>
      </c>
      <c r="G458" t="s">
        <v>392</v>
      </c>
      <c r="H458" t="s">
        <v>394</v>
      </c>
      <c r="I458" s="4">
        <f>VLOOKUP(G458,Sheet2!A:D,4,0)</f>
        <v>9</v>
      </c>
    </row>
    <row r="459" spans="1:9" hidden="1">
      <c r="A459" s="4" t="s">
        <v>413</v>
      </c>
      <c r="B459" s="2" t="s">
        <v>622</v>
      </c>
      <c r="C459" s="2" t="s">
        <v>623</v>
      </c>
      <c r="D459" s="4" t="s">
        <v>8</v>
      </c>
      <c r="E459" s="2" t="s">
        <v>18</v>
      </c>
      <c r="F459" s="6">
        <v>46112.461562500001</v>
      </c>
      <c r="G459" t="s">
        <v>392</v>
      </c>
      <c r="H459" t="s">
        <v>394</v>
      </c>
      <c r="I459" s="4">
        <f>VLOOKUP(G459,Sheet2!A:D,4,0)</f>
        <v>9</v>
      </c>
    </row>
    <row r="460" spans="1:9" hidden="1">
      <c r="A460" s="5" t="s">
        <v>414</v>
      </c>
      <c r="B460" s="3" t="s">
        <v>462</v>
      </c>
      <c r="C460" s="3" t="s">
        <v>463</v>
      </c>
      <c r="D460" s="5" t="s">
        <v>8</v>
      </c>
      <c r="E460" s="3" t="s">
        <v>18</v>
      </c>
      <c r="F460" s="7">
        <v>46112.47216435185</v>
      </c>
      <c r="G460" t="s">
        <v>392</v>
      </c>
      <c r="H460" t="s">
        <v>394</v>
      </c>
      <c r="I460" s="4">
        <f>VLOOKUP(G460,Sheet2!A:D,4,0)</f>
        <v>9</v>
      </c>
    </row>
    <row r="461" spans="1:9" hidden="1">
      <c r="A461" s="4" t="s">
        <v>415</v>
      </c>
      <c r="B461" s="2" t="s">
        <v>480</v>
      </c>
      <c r="C461" s="2" t="s">
        <v>481</v>
      </c>
      <c r="D461" s="4" t="s">
        <v>8</v>
      </c>
      <c r="E461" s="2" t="s">
        <v>59</v>
      </c>
      <c r="F461" s="6">
        <v>46112.559004629627</v>
      </c>
      <c r="G461" t="s">
        <v>392</v>
      </c>
      <c r="H461" t="s">
        <v>394</v>
      </c>
      <c r="I461" s="4">
        <f>VLOOKUP(G461,Sheet2!A:D,4,0)</f>
        <v>9</v>
      </c>
    </row>
    <row r="462" spans="1:9" hidden="1">
      <c r="A462" s="5" t="s">
        <v>416</v>
      </c>
      <c r="B462" s="3" t="s">
        <v>462</v>
      </c>
      <c r="C462" s="3" t="s">
        <v>463</v>
      </c>
      <c r="D462" s="5" t="s">
        <v>8</v>
      </c>
      <c r="E462" s="3" t="s">
        <v>18</v>
      </c>
      <c r="F462" s="7">
        <v>46112.485046296293</v>
      </c>
      <c r="G462" t="s">
        <v>392</v>
      </c>
      <c r="H462" t="s">
        <v>394</v>
      </c>
      <c r="I462" s="4">
        <f>VLOOKUP(G462,Sheet2!A:D,4,0)</f>
        <v>9</v>
      </c>
    </row>
    <row r="463" spans="1:9" hidden="1">
      <c r="A463" s="4" t="s">
        <v>417</v>
      </c>
      <c r="B463" s="2" t="s">
        <v>480</v>
      </c>
      <c r="C463" s="2" t="s">
        <v>481</v>
      </c>
      <c r="D463" s="4" t="s">
        <v>8</v>
      </c>
      <c r="E463" s="2" t="s">
        <v>59</v>
      </c>
      <c r="F463" s="6">
        <v>46111.490335648145</v>
      </c>
      <c r="G463" t="s">
        <v>392</v>
      </c>
      <c r="H463" t="s">
        <v>394</v>
      </c>
      <c r="I463" s="4">
        <f>VLOOKUP(G463,Sheet2!A:D,4,0)</f>
        <v>9</v>
      </c>
    </row>
    <row r="464" spans="1:9" hidden="1">
      <c r="A464" s="5" t="s">
        <v>418</v>
      </c>
      <c r="B464" s="3" t="s">
        <v>480</v>
      </c>
      <c r="C464" s="3" t="s">
        <v>481</v>
      </c>
      <c r="D464" s="5" t="s">
        <v>8</v>
      </c>
      <c r="E464" s="3" t="s">
        <v>59</v>
      </c>
      <c r="F464" s="7">
        <v>46112.493715277778</v>
      </c>
      <c r="G464" t="s">
        <v>392</v>
      </c>
      <c r="H464" t="s">
        <v>394</v>
      </c>
      <c r="I464" s="4">
        <f>VLOOKUP(G464,Sheet2!A:D,4,0)</f>
        <v>9</v>
      </c>
    </row>
    <row r="465" spans="1:9" hidden="1">
      <c r="A465" s="4" t="s">
        <v>419</v>
      </c>
      <c r="B465" s="2" t="s">
        <v>618</v>
      </c>
      <c r="C465" s="2" t="s">
        <v>619</v>
      </c>
      <c r="D465" s="4" t="s">
        <v>8</v>
      </c>
      <c r="E465" s="2" t="s">
        <v>18</v>
      </c>
      <c r="F465" s="6">
        <v>46112.426770833335</v>
      </c>
      <c r="G465" t="s">
        <v>392</v>
      </c>
      <c r="H465" t="s">
        <v>394</v>
      </c>
      <c r="I465" s="4">
        <f>VLOOKUP(G465,Sheet2!A:D,4,0)</f>
        <v>9</v>
      </c>
    </row>
    <row r="466" spans="1:9" hidden="1">
      <c r="A466" s="5" t="s">
        <v>420</v>
      </c>
      <c r="B466" s="3" t="s">
        <v>478</v>
      </c>
      <c r="C466" s="3" t="s">
        <v>230</v>
      </c>
      <c r="D466" s="5" t="s">
        <v>8</v>
      </c>
      <c r="E466" s="3" t="s">
        <v>59</v>
      </c>
      <c r="F466" s="7">
        <v>46111.411932870367</v>
      </c>
      <c r="G466" t="s">
        <v>392</v>
      </c>
      <c r="H466" t="s">
        <v>394</v>
      </c>
      <c r="I466" s="4">
        <f>VLOOKUP(G466,Sheet2!A:D,4,0)</f>
        <v>9</v>
      </c>
    </row>
    <row r="467" spans="1:9" hidden="1">
      <c r="A467" s="4" t="s">
        <v>421</v>
      </c>
      <c r="B467" s="2" t="s">
        <v>462</v>
      </c>
      <c r="C467" s="2" t="s">
        <v>463</v>
      </c>
      <c r="D467" s="4" t="s">
        <v>8</v>
      </c>
      <c r="E467" s="2" t="s">
        <v>18</v>
      </c>
      <c r="F467" s="6">
        <v>46112.513506944444</v>
      </c>
      <c r="G467" t="s">
        <v>392</v>
      </c>
      <c r="H467" t="s">
        <v>394</v>
      </c>
      <c r="I467" s="4">
        <f>VLOOKUP(G467,Sheet2!A:D,4,0)</f>
        <v>9</v>
      </c>
    </row>
    <row r="468" spans="1:9" hidden="1">
      <c r="A468" s="5" t="s">
        <v>422</v>
      </c>
      <c r="B468" s="3" t="s">
        <v>462</v>
      </c>
      <c r="C468" s="3" t="s">
        <v>463</v>
      </c>
      <c r="D468" s="5" t="s">
        <v>8</v>
      </c>
      <c r="E468" s="3" t="s">
        <v>18</v>
      </c>
      <c r="F468" s="7">
        <v>46112.291574074072</v>
      </c>
      <c r="G468" t="s">
        <v>392</v>
      </c>
      <c r="H468" t="s">
        <v>394</v>
      </c>
      <c r="I468" s="4">
        <f>VLOOKUP(G468,Sheet2!A:D,4,0)</f>
        <v>9</v>
      </c>
    </row>
    <row r="469" spans="1:9" hidden="1">
      <c r="A469" s="4" t="s">
        <v>423</v>
      </c>
      <c r="B469" s="2" t="s">
        <v>169</v>
      </c>
      <c r="C469" s="2" t="s">
        <v>170</v>
      </c>
      <c r="D469" s="4" t="s">
        <v>8</v>
      </c>
      <c r="E469" s="2" t="s">
        <v>171</v>
      </c>
      <c r="F469" s="6">
        <v>46108.59443287037</v>
      </c>
      <c r="G469" t="s">
        <v>392</v>
      </c>
      <c r="H469" t="s">
        <v>394</v>
      </c>
      <c r="I469" s="4">
        <f>VLOOKUP(G469,Sheet2!A:D,4,0)</f>
        <v>9</v>
      </c>
    </row>
    <row r="470" spans="1:9" hidden="1">
      <c r="A470" s="5" t="s">
        <v>424</v>
      </c>
      <c r="B470" s="3" t="s">
        <v>57</v>
      </c>
      <c r="C470" s="3" t="s">
        <v>58</v>
      </c>
      <c r="D470" s="5" t="s">
        <v>8</v>
      </c>
      <c r="E470" s="3" t="s">
        <v>59</v>
      </c>
      <c r="F470" s="7">
        <v>46107.56144675926</v>
      </c>
      <c r="G470" t="s">
        <v>392</v>
      </c>
      <c r="H470" t="s">
        <v>394</v>
      </c>
      <c r="I470" s="4">
        <f>VLOOKUP(G470,Sheet2!A:D,4,0)</f>
        <v>9</v>
      </c>
    </row>
    <row r="471" spans="1:9" hidden="1">
      <c r="A471" s="4" t="s">
        <v>425</v>
      </c>
      <c r="B471" s="2" t="s">
        <v>480</v>
      </c>
      <c r="C471" s="2" t="s">
        <v>481</v>
      </c>
      <c r="D471" s="4" t="s">
        <v>8</v>
      </c>
      <c r="E471" s="2" t="s">
        <v>59</v>
      </c>
      <c r="F471" s="6">
        <v>46112.301238425927</v>
      </c>
      <c r="G471" t="s">
        <v>392</v>
      </c>
      <c r="H471" t="s">
        <v>394</v>
      </c>
      <c r="I471" s="4">
        <f>VLOOKUP(G471,Sheet2!A:D,4,0)</f>
        <v>9</v>
      </c>
    </row>
    <row r="472" spans="1:9" hidden="1">
      <c r="A472" s="5" t="s">
        <v>426</v>
      </c>
      <c r="B472" s="3" t="s">
        <v>57</v>
      </c>
      <c r="C472" s="3" t="s">
        <v>58</v>
      </c>
      <c r="D472" s="5" t="s">
        <v>8</v>
      </c>
      <c r="E472" s="3" t="s">
        <v>59</v>
      </c>
      <c r="F472" s="7">
        <v>46111.406192129631</v>
      </c>
      <c r="G472" t="s">
        <v>392</v>
      </c>
      <c r="H472" t="s">
        <v>394</v>
      </c>
      <c r="I472" s="4">
        <f>VLOOKUP(G472,Sheet2!A:D,4,0)</f>
        <v>9</v>
      </c>
    </row>
    <row r="473" spans="1:9" hidden="1">
      <c r="A473" s="4" t="s">
        <v>427</v>
      </c>
      <c r="B473" s="2" t="s">
        <v>354</v>
      </c>
      <c r="C473" s="2" t="s">
        <v>355</v>
      </c>
      <c r="D473" s="4" t="s">
        <v>8</v>
      </c>
      <c r="E473" s="2" t="s">
        <v>59</v>
      </c>
      <c r="F473" s="6">
        <v>46111.472488425927</v>
      </c>
      <c r="G473" t="s">
        <v>392</v>
      </c>
      <c r="H473" t="s">
        <v>394</v>
      </c>
      <c r="I473" s="4">
        <f>VLOOKUP(G473,Sheet2!A:D,4,0)</f>
        <v>9</v>
      </c>
    </row>
    <row r="474" spans="1:9" hidden="1">
      <c r="A474" s="5" t="s">
        <v>428</v>
      </c>
      <c r="B474" s="3" t="s">
        <v>480</v>
      </c>
      <c r="C474" s="3" t="s">
        <v>481</v>
      </c>
      <c r="D474" s="5" t="s">
        <v>8</v>
      </c>
      <c r="E474" s="3" t="s">
        <v>59</v>
      </c>
      <c r="F474" s="7">
        <v>46111.374791666669</v>
      </c>
      <c r="G474" t="s">
        <v>392</v>
      </c>
      <c r="H474" t="s">
        <v>394</v>
      </c>
      <c r="I474" s="4">
        <f>VLOOKUP(G474,Sheet2!A:D,4,0)</f>
        <v>9</v>
      </c>
    </row>
    <row r="475" spans="1:9" hidden="1">
      <c r="A475" s="4" t="s">
        <v>429</v>
      </c>
      <c r="B475" s="2" t="s">
        <v>480</v>
      </c>
      <c r="C475" s="2" t="s">
        <v>481</v>
      </c>
      <c r="D475" s="4" t="s">
        <v>8</v>
      </c>
      <c r="E475" s="2" t="s">
        <v>59</v>
      </c>
      <c r="F475" s="6">
        <v>46111.574374999997</v>
      </c>
      <c r="G475" t="s">
        <v>392</v>
      </c>
      <c r="H475" t="s">
        <v>394</v>
      </c>
      <c r="I475" s="4">
        <f>VLOOKUP(G475,Sheet2!A:D,4,0)</f>
        <v>9</v>
      </c>
    </row>
    <row r="476" spans="1:9" hidden="1">
      <c r="A476" s="5" t="s">
        <v>430</v>
      </c>
      <c r="B476" s="3" t="s">
        <v>464</v>
      </c>
      <c r="C476" s="3" t="s">
        <v>465</v>
      </c>
      <c r="D476" s="5" t="s">
        <v>8</v>
      </c>
      <c r="E476" s="3" t="s">
        <v>59</v>
      </c>
      <c r="F476" s="7">
        <v>46112.572743055556</v>
      </c>
      <c r="G476" t="s">
        <v>392</v>
      </c>
      <c r="H476" t="s">
        <v>394</v>
      </c>
      <c r="I476" s="4">
        <f>VLOOKUP(G476,Sheet2!A:D,4,0)</f>
        <v>9</v>
      </c>
    </row>
    <row r="477" spans="1:9" hidden="1">
      <c r="A477" s="4" t="s">
        <v>431</v>
      </c>
      <c r="B477" s="2" t="s">
        <v>480</v>
      </c>
      <c r="C477" s="2" t="s">
        <v>481</v>
      </c>
      <c r="D477" s="4" t="s">
        <v>8</v>
      </c>
      <c r="E477" s="2" t="s">
        <v>59</v>
      </c>
      <c r="F477" s="6">
        <v>46111.478506944448</v>
      </c>
      <c r="G477" t="s">
        <v>392</v>
      </c>
      <c r="H477" t="s">
        <v>394</v>
      </c>
      <c r="I477" s="4">
        <f>VLOOKUP(G477,Sheet2!A:D,4,0)</f>
        <v>9</v>
      </c>
    </row>
    <row r="478" spans="1:9" hidden="1">
      <c r="A478" s="5" t="s">
        <v>432</v>
      </c>
      <c r="B478" s="3" t="s">
        <v>462</v>
      </c>
      <c r="C478" s="3" t="s">
        <v>463</v>
      </c>
      <c r="D478" s="5" t="s">
        <v>8</v>
      </c>
      <c r="E478" s="3" t="s">
        <v>18</v>
      </c>
      <c r="F478" s="7">
        <v>46112.504247685189</v>
      </c>
      <c r="G478" t="s">
        <v>392</v>
      </c>
      <c r="H478" t="s">
        <v>394</v>
      </c>
      <c r="I478" s="4">
        <f>VLOOKUP(G478,Sheet2!A:D,4,0)</f>
        <v>9</v>
      </c>
    </row>
    <row r="479" spans="1:9" hidden="1">
      <c r="A479" s="4" t="s">
        <v>433</v>
      </c>
      <c r="B479" s="2" t="s">
        <v>480</v>
      </c>
      <c r="C479" s="2" t="s">
        <v>481</v>
      </c>
      <c r="D479" s="4" t="s">
        <v>8</v>
      </c>
      <c r="E479" s="2" t="s">
        <v>59</v>
      </c>
      <c r="F479" s="6">
        <v>46112.276875000003</v>
      </c>
      <c r="G479" t="s">
        <v>392</v>
      </c>
      <c r="H479" t="s">
        <v>394</v>
      </c>
      <c r="I479" s="4">
        <f>VLOOKUP(G479,Sheet2!A:D,4,0)</f>
        <v>9</v>
      </c>
    </row>
    <row r="480" spans="1:9" hidden="1">
      <c r="A480" s="5" t="s">
        <v>434</v>
      </c>
      <c r="B480" s="3" t="s">
        <v>480</v>
      </c>
      <c r="C480" s="3" t="s">
        <v>481</v>
      </c>
      <c r="D480" s="5" t="s">
        <v>8</v>
      </c>
      <c r="E480" s="3" t="s">
        <v>59</v>
      </c>
      <c r="F480" s="7">
        <v>46111.566643518519</v>
      </c>
      <c r="G480" t="s">
        <v>392</v>
      </c>
      <c r="H480" t="s">
        <v>394</v>
      </c>
      <c r="I480" s="4">
        <f>VLOOKUP(G480,Sheet2!A:D,4,0)</f>
        <v>9</v>
      </c>
    </row>
    <row r="481" spans="1:9" hidden="1">
      <c r="A481" s="4" t="s">
        <v>435</v>
      </c>
      <c r="B481" s="2" t="s">
        <v>462</v>
      </c>
      <c r="C481" s="2" t="s">
        <v>463</v>
      </c>
      <c r="D481" s="4" t="s">
        <v>8</v>
      </c>
      <c r="E481" s="2" t="s">
        <v>18</v>
      </c>
      <c r="F481" s="6">
        <v>46112.566087962965</v>
      </c>
      <c r="G481" t="s">
        <v>392</v>
      </c>
      <c r="H481" t="s">
        <v>394</v>
      </c>
      <c r="I481" s="4">
        <f>VLOOKUP(G481,Sheet2!A:D,4,0)</f>
        <v>9</v>
      </c>
    </row>
    <row r="482" spans="1:9" hidden="1">
      <c r="A482" s="5" t="s">
        <v>436</v>
      </c>
      <c r="B482" s="3" t="s">
        <v>464</v>
      </c>
      <c r="C482" s="3" t="s">
        <v>465</v>
      </c>
      <c r="D482" s="5" t="s">
        <v>8</v>
      </c>
      <c r="E482" s="3" t="s">
        <v>59</v>
      </c>
      <c r="F482" s="7">
        <v>46105.605856481481</v>
      </c>
      <c r="G482" t="s">
        <v>392</v>
      </c>
      <c r="H482" t="s">
        <v>394</v>
      </c>
      <c r="I482" s="4">
        <f>VLOOKUP(G482,Sheet2!A:D,4,0)</f>
        <v>9</v>
      </c>
    </row>
    <row r="483" spans="1:9" hidden="1">
      <c r="A483" s="4" t="s">
        <v>437</v>
      </c>
      <c r="B483" s="2" t="s">
        <v>480</v>
      </c>
      <c r="C483" s="2" t="s">
        <v>481</v>
      </c>
      <c r="D483" s="4" t="s">
        <v>8</v>
      </c>
      <c r="E483" s="2" t="s">
        <v>59</v>
      </c>
      <c r="F483" s="6">
        <v>46111.587372685186</v>
      </c>
      <c r="G483" t="s">
        <v>392</v>
      </c>
      <c r="H483" t="s">
        <v>394</v>
      </c>
      <c r="I483" s="4">
        <f>VLOOKUP(G483,Sheet2!A:D,4,0)</f>
        <v>9</v>
      </c>
    </row>
    <row r="484" spans="1:9" hidden="1">
      <c r="A484" s="5" t="s">
        <v>438</v>
      </c>
      <c r="B484" s="3" t="s">
        <v>616</v>
      </c>
      <c r="C484" s="3" t="s">
        <v>617</v>
      </c>
      <c r="D484" s="5" t="s">
        <v>8</v>
      </c>
      <c r="E484" s="3" t="s">
        <v>59</v>
      </c>
      <c r="F484" s="7">
        <v>46113.262048611112</v>
      </c>
      <c r="G484" t="s">
        <v>392</v>
      </c>
      <c r="H484" t="s">
        <v>394</v>
      </c>
      <c r="I484" s="4">
        <f>VLOOKUP(G484,Sheet2!A:D,4,0)</f>
        <v>9</v>
      </c>
    </row>
    <row r="485" spans="1:9" hidden="1">
      <c r="A485" s="4" t="s">
        <v>439</v>
      </c>
      <c r="B485" s="2" t="s">
        <v>354</v>
      </c>
      <c r="C485" s="2" t="s">
        <v>355</v>
      </c>
      <c r="D485" s="4" t="s">
        <v>8</v>
      </c>
      <c r="E485" s="2" t="s">
        <v>59</v>
      </c>
      <c r="F485" s="6">
        <v>46105.577974537038</v>
      </c>
      <c r="G485" t="s">
        <v>392</v>
      </c>
      <c r="H485" t="s">
        <v>394</v>
      </c>
      <c r="I485" s="4">
        <f>VLOOKUP(G485,Sheet2!A:D,4,0)</f>
        <v>9</v>
      </c>
    </row>
    <row r="486" spans="1:9" hidden="1">
      <c r="A486" s="4" t="s">
        <v>194</v>
      </c>
      <c r="B486" s="2" t="s">
        <v>169</v>
      </c>
      <c r="C486" s="2" t="s">
        <v>170</v>
      </c>
      <c r="D486" s="4" t="s">
        <v>8</v>
      </c>
      <c r="E486" s="2" t="s">
        <v>171</v>
      </c>
      <c r="F486" s="6">
        <v>46085.504027777781</v>
      </c>
      <c r="G486" t="s">
        <v>218</v>
      </c>
      <c r="H486" t="s">
        <v>224</v>
      </c>
      <c r="I486" s="4">
        <f>VLOOKUP(G486,Sheet2!A:D,4,0)</f>
        <v>4</v>
      </c>
    </row>
    <row r="487" spans="1:9" hidden="1">
      <c r="A487" s="5" t="s">
        <v>195</v>
      </c>
      <c r="B487" s="3" t="s">
        <v>169</v>
      </c>
      <c r="C487" s="3" t="s">
        <v>170</v>
      </c>
      <c r="D487" s="5" t="s">
        <v>8</v>
      </c>
      <c r="E487" s="3" t="s">
        <v>171</v>
      </c>
      <c r="F487" s="7">
        <v>46084.566979166666</v>
      </c>
      <c r="G487" t="s">
        <v>218</v>
      </c>
      <c r="H487" t="s">
        <v>224</v>
      </c>
      <c r="I487" s="4">
        <f>VLOOKUP(G487,Sheet2!A:D,4,0)</f>
        <v>4</v>
      </c>
    </row>
    <row r="488" spans="1:9" hidden="1">
      <c r="A488" s="4" t="s">
        <v>196</v>
      </c>
      <c r="B488" s="2" t="s">
        <v>169</v>
      </c>
      <c r="C488" s="2" t="s">
        <v>170</v>
      </c>
      <c r="D488" s="4" t="s">
        <v>8</v>
      </c>
      <c r="E488" s="2" t="s">
        <v>171</v>
      </c>
      <c r="F488" s="6">
        <v>46098.269861111112</v>
      </c>
      <c r="G488" t="s">
        <v>218</v>
      </c>
      <c r="H488" t="s">
        <v>224</v>
      </c>
      <c r="I488" s="4">
        <f>VLOOKUP(G488,Sheet2!A:D,4,0)</f>
        <v>4</v>
      </c>
    </row>
    <row r="489" spans="1:9" hidden="1">
      <c r="A489" s="5" t="s">
        <v>197</v>
      </c>
      <c r="B489" s="3" t="s">
        <v>169</v>
      </c>
      <c r="C489" s="3" t="s">
        <v>170</v>
      </c>
      <c r="D489" s="5" t="s">
        <v>8</v>
      </c>
      <c r="E489" s="3" t="s">
        <v>171</v>
      </c>
      <c r="F489" s="7">
        <v>46098.415717592594</v>
      </c>
      <c r="G489" t="s">
        <v>218</v>
      </c>
      <c r="H489" t="s">
        <v>224</v>
      </c>
      <c r="I489" s="4">
        <f>VLOOKUP(G489,Sheet2!A:D,4,0)</f>
        <v>4</v>
      </c>
    </row>
    <row r="490" spans="1:9" hidden="1">
      <c r="A490" s="4" t="s">
        <v>198</v>
      </c>
      <c r="B490" s="2" t="s">
        <v>169</v>
      </c>
      <c r="C490" s="2" t="s">
        <v>170</v>
      </c>
      <c r="D490" s="4" t="s">
        <v>8</v>
      </c>
      <c r="E490" s="2" t="s">
        <v>171</v>
      </c>
      <c r="F490" s="6">
        <v>46085.320393518516</v>
      </c>
      <c r="G490" t="s">
        <v>218</v>
      </c>
      <c r="H490" t="s">
        <v>224</v>
      </c>
      <c r="I490" s="4">
        <f>VLOOKUP(G490,Sheet2!A:D,4,0)</f>
        <v>4</v>
      </c>
    </row>
    <row r="491" spans="1:9" hidden="1">
      <c r="A491" s="5" t="s">
        <v>200</v>
      </c>
      <c r="B491" s="3" t="s">
        <v>12</v>
      </c>
      <c r="C491" s="3" t="s">
        <v>13</v>
      </c>
      <c r="D491" s="5" t="s">
        <v>8</v>
      </c>
      <c r="E491" s="3" t="s">
        <v>14</v>
      </c>
      <c r="F491" s="7">
        <v>46104.324131944442</v>
      </c>
      <c r="G491" t="s">
        <v>218</v>
      </c>
      <c r="H491" t="s">
        <v>224</v>
      </c>
      <c r="I491" s="4">
        <f>VLOOKUP(G491,Sheet2!A:D,4,0)</f>
        <v>4</v>
      </c>
    </row>
    <row r="492" spans="1:9" hidden="1">
      <c r="A492" s="4" t="s">
        <v>201</v>
      </c>
      <c r="B492" s="2" t="s">
        <v>169</v>
      </c>
      <c r="C492" s="2" t="s">
        <v>170</v>
      </c>
      <c r="D492" s="4" t="s">
        <v>8</v>
      </c>
      <c r="E492" s="2" t="s">
        <v>171</v>
      </c>
      <c r="F492" s="6">
        <v>46085.503321759257</v>
      </c>
      <c r="G492" t="s">
        <v>218</v>
      </c>
      <c r="H492" t="s">
        <v>224</v>
      </c>
      <c r="I492" s="4">
        <f>VLOOKUP(G492,Sheet2!A:D,4,0)</f>
        <v>4</v>
      </c>
    </row>
    <row r="493" spans="1:9" hidden="1">
      <c r="A493" s="5" t="s">
        <v>202</v>
      </c>
      <c r="B493" s="3" t="s">
        <v>169</v>
      </c>
      <c r="C493" s="3" t="s">
        <v>170</v>
      </c>
      <c r="D493" s="5" t="s">
        <v>8</v>
      </c>
      <c r="E493" s="3" t="s">
        <v>171</v>
      </c>
      <c r="F493" s="7">
        <v>46080.518611111111</v>
      </c>
      <c r="G493" t="s">
        <v>218</v>
      </c>
      <c r="H493" t="s">
        <v>224</v>
      </c>
      <c r="I493" s="4">
        <f>VLOOKUP(G493,Sheet2!A:D,4,0)</f>
        <v>4</v>
      </c>
    </row>
    <row r="494" spans="1:9" hidden="1">
      <c r="A494" s="4" t="s">
        <v>203</v>
      </c>
      <c r="B494" s="2" t="s">
        <v>12</v>
      </c>
      <c r="C494" s="2" t="s">
        <v>13</v>
      </c>
      <c r="D494" s="4" t="s">
        <v>8</v>
      </c>
      <c r="E494" s="2" t="s">
        <v>14</v>
      </c>
      <c r="F494" s="6">
        <v>46104.324652777781</v>
      </c>
      <c r="G494" t="s">
        <v>218</v>
      </c>
      <c r="H494" t="s">
        <v>224</v>
      </c>
      <c r="I494" s="4">
        <f>VLOOKUP(G494,Sheet2!A:D,4,0)</f>
        <v>4</v>
      </c>
    </row>
    <row r="495" spans="1:9" hidden="1">
      <c r="A495" s="5" t="s">
        <v>204</v>
      </c>
      <c r="B495" s="3" t="s">
        <v>169</v>
      </c>
      <c r="C495" s="3" t="s">
        <v>170</v>
      </c>
      <c r="D495" s="5" t="s">
        <v>8</v>
      </c>
      <c r="E495" s="3" t="s">
        <v>171</v>
      </c>
      <c r="F495" s="7">
        <v>46080.520381944443</v>
      </c>
      <c r="G495" t="s">
        <v>218</v>
      </c>
      <c r="H495" t="s">
        <v>224</v>
      </c>
      <c r="I495" s="4">
        <f>VLOOKUP(G495,Sheet2!A:D,4,0)</f>
        <v>4</v>
      </c>
    </row>
    <row r="496" spans="1:9" hidden="1">
      <c r="A496" s="4" t="s">
        <v>205</v>
      </c>
      <c r="B496" s="2" t="s">
        <v>169</v>
      </c>
      <c r="C496" s="2" t="s">
        <v>170</v>
      </c>
      <c r="D496" s="4" t="s">
        <v>8</v>
      </c>
      <c r="E496" s="2" t="s">
        <v>171</v>
      </c>
      <c r="F496" s="6">
        <v>46085.504965277774</v>
      </c>
      <c r="G496" t="s">
        <v>218</v>
      </c>
      <c r="H496" t="s">
        <v>224</v>
      </c>
      <c r="I496" s="4">
        <f>VLOOKUP(G496,Sheet2!A:D,4,0)</f>
        <v>4</v>
      </c>
    </row>
    <row r="497" spans="1:9" hidden="1">
      <c r="A497" s="5" t="s">
        <v>206</v>
      </c>
      <c r="B497" s="3" t="s">
        <v>169</v>
      </c>
      <c r="C497" s="3" t="s">
        <v>170</v>
      </c>
      <c r="D497" s="5" t="s">
        <v>8</v>
      </c>
      <c r="E497" s="3" t="s">
        <v>171</v>
      </c>
      <c r="F497" s="7">
        <v>46080.552210648151</v>
      </c>
      <c r="G497" t="s">
        <v>218</v>
      </c>
      <c r="H497" t="s">
        <v>224</v>
      </c>
      <c r="I497" s="4">
        <f>VLOOKUP(G497,Sheet2!A:D,4,0)</f>
        <v>4</v>
      </c>
    </row>
    <row r="498" spans="1:9" hidden="1">
      <c r="A498" s="4" t="s">
        <v>207</v>
      </c>
      <c r="B498" s="2" t="s">
        <v>169</v>
      </c>
      <c r="C498" s="2" t="s">
        <v>170</v>
      </c>
      <c r="D498" s="4" t="s">
        <v>8</v>
      </c>
      <c r="E498" s="2" t="s">
        <v>171</v>
      </c>
      <c r="F498" s="6">
        <v>46080.521469907406</v>
      </c>
      <c r="G498" t="s">
        <v>218</v>
      </c>
      <c r="H498" t="s">
        <v>224</v>
      </c>
      <c r="I498" s="4">
        <f>VLOOKUP(G498,Sheet2!A:D,4,0)</f>
        <v>4</v>
      </c>
    </row>
    <row r="499" spans="1:9" hidden="1">
      <c r="A499" s="5" t="s">
        <v>208</v>
      </c>
      <c r="B499" s="3" t="s">
        <v>229</v>
      </c>
      <c r="C499" s="3" t="s">
        <v>230</v>
      </c>
      <c r="D499" s="5" t="s">
        <v>8</v>
      </c>
      <c r="E499" s="3" t="s">
        <v>228</v>
      </c>
      <c r="F499" s="7">
        <v>46073.260324074072</v>
      </c>
      <c r="G499" t="s">
        <v>218</v>
      </c>
      <c r="H499" t="s">
        <v>224</v>
      </c>
      <c r="I499" s="4">
        <f>VLOOKUP(G499,Sheet2!A:D,4,0)</f>
        <v>4</v>
      </c>
    </row>
    <row r="500" spans="1:9" hidden="1">
      <c r="A500" s="4" t="s">
        <v>209</v>
      </c>
      <c r="B500" s="2" t="s">
        <v>169</v>
      </c>
      <c r="C500" s="2" t="s">
        <v>170</v>
      </c>
      <c r="D500" s="4" t="s">
        <v>8</v>
      </c>
      <c r="E500" s="2" t="s">
        <v>171</v>
      </c>
      <c r="F500" s="6">
        <v>46098.309884259259</v>
      </c>
      <c r="G500" t="s">
        <v>218</v>
      </c>
      <c r="H500" t="s">
        <v>224</v>
      </c>
      <c r="I500" s="4">
        <f>VLOOKUP(G500,Sheet2!A:D,4,0)</f>
        <v>4</v>
      </c>
    </row>
    <row r="501" spans="1:9" hidden="1">
      <c r="A501" s="5" t="s">
        <v>210</v>
      </c>
      <c r="B501" s="3" t="s">
        <v>12</v>
      </c>
      <c r="C501" s="3" t="s">
        <v>13</v>
      </c>
      <c r="D501" s="5" t="s">
        <v>8</v>
      </c>
      <c r="E501" s="3" t="s">
        <v>14</v>
      </c>
      <c r="F501" s="7">
        <v>46100.508368055554</v>
      </c>
      <c r="G501" t="s">
        <v>218</v>
      </c>
      <c r="H501" t="s">
        <v>224</v>
      </c>
      <c r="I501" s="4">
        <f>VLOOKUP(G501,Sheet2!A:D,4,0)</f>
        <v>4</v>
      </c>
    </row>
    <row r="502" spans="1:9" hidden="1">
      <c r="A502" s="4" t="s">
        <v>211</v>
      </c>
      <c r="B502" s="2" t="s">
        <v>169</v>
      </c>
      <c r="C502" s="2" t="s">
        <v>170</v>
      </c>
      <c r="D502" s="4" t="s">
        <v>8</v>
      </c>
      <c r="E502" s="2" t="s">
        <v>171</v>
      </c>
      <c r="F502" s="6">
        <v>46097.368449074071</v>
      </c>
      <c r="G502" t="s">
        <v>218</v>
      </c>
      <c r="H502" t="s">
        <v>224</v>
      </c>
      <c r="I502" s="4">
        <f>VLOOKUP(G502,Sheet2!A:D,4,0)</f>
        <v>4</v>
      </c>
    </row>
    <row r="503" spans="1:9" hidden="1">
      <c r="A503" s="5" t="s">
        <v>212</v>
      </c>
      <c r="B503" s="3" t="s">
        <v>169</v>
      </c>
      <c r="C503" s="3" t="s">
        <v>170</v>
      </c>
      <c r="D503" s="5" t="s">
        <v>8</v>
      </c>
      <c r="E503" s="3" t="s">
        <v>171</v>
      </c>
      <c r="F503" s="7">
        <v>46111.557569444441</v>
      </c>
      <c r="G503" t="s">
        <v>218</v>
      </c>
      <c r="H503" t="s">
        <v>224</v>
      </c>
      <c r="I503" s="4">
        <f>VLOOKUP(G503,Sheet2!A:D,4,0)</f>
        <v>4</v>
      </c>
    </row>
    <row r="504" spans="1:9" hidden="1">
      <c r="A504" s="4" t="s">
        <v>213</v>
      </c>
      <c r="B504" s="2" t="s">
        <v>169</v>
      </c>
      <c r="C504" s="2" t="s">
        <v>170</v>
      </c>
      <c r="D504" s="4" t="s">
        <v>8</v>
      </c>
      <c r="E504" s="2" t="s">
        <v>171</v>
      </c>
      <c r="F504" s="6">
        <v>46111.559004629627</v>
      </c>
      <c r="G504" t="s">
        <v>218</v>
      </c>
      <c r="H504" t="s">
        <v>224</v>
      </c>
      <c r="I504" s="4">
        <f>VLOOKUP(G504,Sheet2!A:D,4,0)</f>
        <v>4</v>
      </c>
    </row>
    <row r="505" spans="1:9" hidden="1">
      <c r="A505" s="5" t="s">
        <v>214</v>
      </c>
      <c r="B505" s="3" t="s">
        <v>169</v>
      </c>
      <c r="C505" s="3" t="s">
        <v>170</v>
      </c>
      <c r="D505" s="5" t="s">
        <v>8</v>
      </c>
      <c r="E505" s="3" t="s">
        <v>171</v>
      </c>
      <c r="F505" s="7">
        <v>46111.560324074075</v>
      </c>
      <c r="G505" t="s">
        <v>218</v>
      </c>
      <c r="H505" t="s">
        <v>224</v>
      </c>
      <c r="I505" s="4">
        <f>VLOOKUP(G505,Sheet2!A:D,4,0)</f>
        <v>4</v>
      </c>
    </row>
    <row r="506" spans="1:9" hidden="1">
      <c r="A506" s="4" t="s">
        <v>440</v>
      </c>
      <c r="B506" s="2" t="s">
        <v>482</v>
      </c>
      <c r="C506" s="2" t="s">
        <v>483</v>
      </c>
      <c r="D506" s="4" t="s">
        <v>8</v>
      </c>
      <c r="E506" s="2" t="s">
        <v>228</v>
      </c>
      <c r="F506" s="6">
        <v>46108.450567129628</v>
      </c>
      <c r="G506" t="s">
        <v>393</v>
      </c>
      <c r="H506" t="s">
        <v>395</v>
      </c>
      <c r="I506" s="4">
        <f>VLOOKUP(G506,Sheet2!A:D,4,0)</f>
        <v>10</v>
      </c>
    </row>
    <row r="507" spans="1:9" hidden="1">
      <c r="A507" s="5" t="s">
        <v>441</v>
      </c>
      <c r="B507" s="3" t="s">
        <v>7</v>
      </c>
      <c r="C507" s="3" t="s">
        <v>7</v>
      </c>
      <c r="D507" s="5" t="s">
        <v>8</v>
      </c>
      <c r="E507" s="3" t="s">
        <v>199</v>
      </c>
      <c r="F507" s="7">
        <v>46098.549317129633</v>
      </c>
      <c r="G507" t="s">
        <v>393</v>
      </c>
      <c r="H507" t="s">
        <v>395</v>
      </c>
      <c r="I507" s="4">
        <f>VLOOKUP(G507,Sheet2!A:D,4,0)</f>
        <v>10</v>
      </c>
    </row>
    <row r="508" spans="1:9" hidden="1">
      <c r="A508" s="4" t="s">
        <v>442</v>
      </c>
      <c r="B508" s="2" t="s">
        <v>7</v>
      </c>
      <c r="C508" s="2" t="s">
        <v>7</v>
      </c>
      <c r="D508" s="4" t="s">
        <v>8</v>
      </c>
      <c r="E508" s="2" t="s">
        <v>199</v>
      </c>
      <c r="F508" s="6">
        <v>46098.549317129633</v>
      </c>
      <c r="G508" t="s">
        <v>393</v>
      </c>
      <c r="H508" t="s">
        <v>395</v>
      </c>
      <c r="I508" s="4">
        <f>VLOOKUP(G508,Sheet2!A:D,4,0)</f>
        <v>10</v>
      </c>
    </row>
    <row r="509" spans="1:9" hidden="1">
      <c r="A509" s="5" t="s">
        <v>443</v>
      </c>
      <c r="B509" s="3" t="s">
        <v>7</v>
      </c>
      <c r="C509" s="3" t="s">
        <v>7</v>
      </c>
      <c r="D509" s="5" t="s">
        <v>8</v>
      </c>
      <c r="E509" s="3" t="s">
        <v>199</v>
      </c>
      <c r="F509" s="7">
        <v>46098.549317129633</v>
      </c>
      <c r="G509" t="s">
        <v>393</v>
      </c>
      <c r="H509" t="s">
        <v>395</v>
      </c>
      <c r="I509" s="4">
        <f>VLOOKUP(G509,Sheet2!A:D,4,0)</f>
        <v>10</v>
      </c>
    </row>
    <row r="510" spans="1:9" hidden="1">
      <c r="A510" s="4" t="s">
        <v>444</v>
      </c>
      <c r="B510" s="2" t="s">
        <v>7</v>
      </c>
      <c r="C510" s="2" t="s">
        <v>7</v>
      </c>
      <c r="D510" s="4" t="s">
        <v>8</v>
      </c>
      <c r="E510" s="2" t="s">
        <v>199</v>
      </c>
      <c r="F510" s="6">
        <v>46098.549317129633</v>
      </c>
      <c r="G510" t="s">
        <v>393</v>
      </c>
      <c r="H510" t="s">
        <v>395</v>
      </c>
      <c r="I510" s="4">
        <f>VLOOKUP(G510,Sheet2!A:D,4,0)</f>
        <v>10</v>
      </c>
    </row>
    <row r="511" spans="1:9" hidden="1">
      <c r="A511" s="5" t="s">
        <v>445</v>
      </c>
      <c r="B511" s="3" t="s">
        <v>7</v>
      </c>
      <c r="C511" s="3" t="s">
        <v>7</v>
      </c>
      <c r="D511" s="5" t="s">
        <v>8</v>
      </c>
      <c r="E511" s="3" t="s">
        <v>199</v>
      </c>
      <c r="F511" s="7">
        <v>46098.549317129633</v>
      </c>
      <c r="G511" t="s">
        <v>393</v>
      </c>
      <c r="H511" t="s">
        <v>395</v>
      </c>
      <c r="I511" s="4">
        <f>VLOOKUP(G511,Sheet2!A:D,4,0)</f>
        <v>10</v>
      </c>
    </row>
    <row r="512" spans="1:9" hidden="1">
      <c r="A512" s="4" t="s">
        <v>446</v>
      </c>
      <c r="B512" s="2" t="s">
        <v>7</v>
      </c>
      <c r="C512" s="2" t="s">
        <v>7</v>
      </c>
      <c r="D512" s="4" t="s">
        <v>8</v>
      </c>
      <c r="E512" s="2" t="s">
        <v>199</v>
      </c>
      <c r="F512" s="6">
        <v>46098.549317129633</v>
      </c>
      <c r="G512" t="s">
        <v>393</v>
      </c>
      <c r="H512" t="s">
        <v>395</v>
      </c>
      <c r="I512" s="4">
        <f>VLOOKUP(G512,Sheet2!A:D,4,0)</f>
        <v>10</v>
      </c>
    </row>
    <row r="513" spans="1:9" hidden="1">
      <c r="A513" s="5" t="s">
        <v>447</v>
      </c>
      <c r="B513" s="3" t="s">
        <v>7</v>
      </c>
      <c r="C513" s="3" t="s">
        <v>7</v>
      </c>
      <c r="D513" s="5" t="s">
        <v>8</v>
      </c>
      <c r="E513" s="3" t="s">
        <v>199</v>
      </c>
      <c r="F513" s="7">
        <v>46098.549317129633</v>
      </c>
      <c r="G513" t="s">
        <v>393</v>
      </c>
      <c r="H513" t="s">
        <v>395</v>
      </c>
      <c r="I513" s="4">
        <f>VLOOKUP(G513,Sheet2!A:D,4,0)</f>
        <v>10</v>
      </c>
    </row>
    <row r="514" spans="1:9" hidden="1">
      <c r="A514" s="4" t="s">
        <v>448</v>
      </c>
      <c r="B514" s="2" t="s">
        <v>7</v>
      </c>
      <c r="C514" s="2" t="s">
        <v>7</v>
      </c>
      <c r="D514" s="4" t="s">
        <v>8</v>
      </c>
      <c r="E514" s="2" t="s">
        <v>199</v>
      </c>
      <c r="F514" s="6">
        <v>46098.549317129633</v>
      </c>
      <c r="G514" t="s">
        <v>393</v>
      </c>
      <c r="H514" t="s">
        <v>395</v>
      </c>
      <c r="I514" s="4">
        <f>VLOOKUP(G514,Sheet2!A:D,4,0)</f>
        <v>10</v>
      </c>
    </row>
    <row r="515" spans="1:9" hidden="1">
      <c r="A515" s="5" t="s">
        <v>449</v>
      </c>
      <c r="B515" s="3" t="s">
        <v>7</v>
      </c>
      <c r="C515" s="3" t="s">
        <v>7</v>
      </c>
      <c r="D515" s="5" t="s">
        <v>8</v>
      </c>
      <c r="E515" s="3" t="s">
        <v>199</v>
      </c>
      <c r="F515" s="7">
        <v>46098.549317129633</v>
      </c>
      <c r="G515" t="s">
        <v>393</v>
      </c>
      <c r="H515" t="s">
        <v>395</v>
      </c>
      <c r="I515" s="4">
        <f>VLOOKUP(G515,Sheet2!A:D,4,0)</f>
        <v>10</v>
      </c>
    </row>
    <row r="516" spans="1:9" hidden="1">
      <c r="A516" s="4" t="s">
        <v>450</v>
      </c>
      <c r="B516" s="2" t="s">
        <v>7</v>
      </c>
      <c r="C516" s="2" t="s">
        <v>7</v>
      </c>
      <c r="D516" s="4" t="s">
        <v>8</v>
      </c>
      <c r="E516" s="2" t="s">
        <v>199</v>
      </c>
      <c r="F516" s="6">
        <v>46098.549317129633</v>
      </c>
      <c r="G516" t="s">
        <v>393</v>
      </c>
      <c r="H516" t="s">
        <v>395</v>
      </c>
      <c r="I516" s="4">
        <f>VLOOKUP(G516,Sheet2!A:D,4,0)</f>
        <v>10</v>
      </c>
    </row>
    <row r="517" spans="1:9" hidden="1">
      <c r="A517" s="5" t="s">
        <v>451</v>
      </c>
      <c r="B517" s="3" t="s">
        <v>7</v>
      </c>
      <c r="C517" s="3" t="s">
        <v>7</v>
      </c>
      <c r="D517" s="5" t="s">
        <v>8</v>
      </c>
      <c r="E517" s="3" t="s">
        <v>199</v>
      </c>
      <c r="F517" s="7">
        <v>46098.549317129633</v>
      </c>
      <c r="G517" t="s">
        <v>393</v>
      </c>
      <c r="H517" t="s">
        <v>395</v>
      </c>
      <c r="I517" s="4">
        <f>VLOOKUP(G517,Sheet2!A:D,4,0)</f>
        <v>10</v>
      </c>
    </row>
    <row r="518" spans="1:9" hidden="1">
      <c r="A518" s="4" t="s">
        <v>452</v>
      </c>
      <c r="B518" s="2" t="s">
        <v>7</v>
      </c>
      <c r="C518" s="2" t="s">
        <v>7</v>
      </c>
      <c r="D518" s="4" t="s">
        <v>8</v>
      </c>
      <c r="E518" s="2" t="s">
        <v>199</v>
      </c>
      <c r="F518" s="6">
        <v>46098.549317129633</v>
      </c>
      <c r="G518" t="s">
        <v>393</v>
      </c>
      <c r="H518" t="s">
        <v>395</v>
      </c>
      <c r="I518" s="4">
        <f>VLOOKUP(G518,Sheet2!A:D,4,0)</f>
        <v>10</v>
      </c>
    </row>
    <row r="519" spans="1:9" hidden="1">
      <c r="A519" s="5" t="s">
        <v>453</v>
      </c>
      <c r="B519" s="3" t="s">
        <v>7</v>
      </c>
      <c r="C519" s="3" t="s">
        <v>7</v>
      </c>
      <c r="D519" s="5" t="s">
        <v>8</v>
      </c>
      <c r="E519" s="3" t="s">
        <v>199</v>
      </c>
      <c r="F519" s="7">
        <v>46098.549317129633</v>
      </c>
      <c r="G519" t="s">
        <v>393</v>
      </c>
      <c r="H519" t="s">
        <v>395</v>
      </c>
      <c r="I519" s="4">
        <f>VLOOKUP(G519,Sheet2!A:D,4,0)</f>
        <v>10</v>
      </c>
    </row>
    <row r="520" spans="1:9" hidden="1">
      <c r="A520" s="4" t="s">
        <v>454</v>
      </c>
      <c r="B520" s="2" t="s">
        <v>7</v>
      </c>
      <c r="C520" s="2" t="s">
        <v>7</v>
      </c>
      <c r="D520" s="4" t="s">
        <v>8</v>
      </c>
      <c r="E520" s="2" t="s">
        <v>199</v>
      </c>
      <c r="F520" s="6">
        <v>46098.549317129633</v>
      </c>
      <c r="G520" t="s">
        <v>393</v>
      </c>
      <c r="H520" t="s">
        <v>395</v>
      </c>
      <c r="I520" s="4">
        <f>VLOOKUP(G520,Sheet2!A:D,4,0)</f>
        <v>10</v>
      </c>
    </row>
  </sheetData>
  <autoFilter ref="A1:L520">
    <filterColumn colId="0"/>
    <filterColumn colId="2"/>
    <filterColumn colId="6">
      <filters>
        <filter val="QT17IA14.50"/>
      </filters>
    </filterColumn>
    <filterColumn colId="7">
      <filters>
        <filter val="QTNSN095288A.X1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>
      <selection activeCell="D32" sqref="D3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3" max="13" width="21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219</v>
      </c>
      <c r="H1" t="s">
        <v>220</v>
      </c>
      <c r="I1" t="s">
        <v>390</v>
      </c>
      <c r="J1" t="s">
        <v>391</v>
      </c>
      <c r="K1" t="s">
        <v>455</v>
      </c>
      <c r="L1" t="s">
        <v>456</v>
      </c>
      <c r="M1" t="s">
        <v>629</v>
      </c>
    </row>
    <row r="2" spans="1:13">
      <c r="A2" t="s">
        <v>388</v>
      </c>
      <c r="B2" t="s">
        <v>348</v>
      </c>
      <c r="C2" t="s">
        <v>349</v>
      </c>
      <c r="D2" t="s">
        <v>8</v>
      </c>
      <c r="E2" t="s">
        <v>350</v>
      </c>
      <c r="F2" s="20">
        <v>46106.40384259259</v>
      </c>
      <c r="G2" t="s">
        <v>347</v>
      </c>
      <c r="H2" t="s">
        <v>310</v>
      </c>
      <c r="I2">
        <v>6</v>
      </c>
      <c r="M2" t="s">
        <v>628</v>
      </c>
    </row>
    <row r="3" spans="1:13">
      <c r="A3" t="s">
        <v>387</v>
      </c>
      <c r="B3" t="s">
        <v>348</v>
      </c>
      <c r="C3" t="s">
        <v>349</v>
      </c>
      <c r="D3" t="s">
        <v>8</v>
      </c>
      <c r="E3" t="s">
        <v>350</v>
      </c>
      <c r="F3" s="20">
        <v>46106.40520833333</v>
      </c>
      <c r="G3" t="s">
        <v>347</v>
      </c>
      <c r="H3" t="s">
        <v>310</v>
      </c>
      <c r="I3">
        <v>6</v>
      </c>
      <c r="M3" t="s">
        <v>630</v>
      </c>
    </row>
    <row r="4" spans="1:13">
      <c r="A4" t="s">
        <v>382</v>
      </c>
      <c r="B4" t="s">
        <v>348</v>
      </c>
      <c r="C4" t="s">
        <v>349</v>
      </c>
      <c r="D4" t="s">
        <v>8</v>
      </c>
      <c r="E4" t="s">
        <v>350</v>
      </c>
      <c r="F4" s="20">
        <v>46106.401909722219</v>
      </c>
      <c r="G4" t="s">
        <v>347</v>
      </c>
      <c r="H4" t="s">
        <v>310</v>
      </c>
      <c r="I4">
        <v>6</v>
      </c>
    </row>
    <row r="5" spans="1:13">
      <c r="A5" t="s">
        <v>378</v>
      </c>
      <c r="B5" t="s">
        <v>348</v>
      </c>
      <c r="C5" t="s">
        <v>349</v>
      </c>
      <c r="D5" t="s">
        <v>8</v>
      </c>
      <c r="E5" t="s">
        <v>350</v>
      </c>
      <c r="F5" s="20">
        <v>46106.410069444442</v>
      </c>
      <c r="G5" t="s">
        <v>347</v>
      </c>
      <c r="H5" t="s">
        <v>310</v>
      </c>
      <c r="I5">
        <v>6</v>
      </c>
    </row>
    <row r="6" spans="1:13">
      <c r="A6" t="s">
        <v>363</v>
      </c>
      <c r="B6" t="s">
        <v>348</v>
      </c>
      <c r="C6" t="s">
        <v>349</v>
      </c>
      <c r="D6" t="s">
        <v>8</v>
      </c>
      <c r="E6" t="s">
        <v>350</v>
      </c>
      <c r="F6" s="20">
        <v>46107.546597222223</v>
      </c>
      <c r="G6" t="s">
        <v>347</v>
      </c>
      <c r="H6" t="s">
        <v>310</v>
      </c>
      <c r="I6">
        <v>6</v>
      </c>
    </row>
    <row r="7" spans="1:13">
      <c r="A7" t="s">
        <v>362</v>
      </c>
      <c r="B7" t="s">
        <v>348</v>
      </c>
      <c r="C7" t="s">
        <v>349</v>
      </c>
      <c r="D7" t="s">
        <v>8</v>
      </c>
      <c r="E7" t="s">
        <v>350</v>
      </c>
      <c r="F7" s="20">
        <v>46107.5156712963</v>
      </c>
      <c r="G7" t="s">
        <v>347</v>
      </c>
      <c r="H7" t="s">
        <v>310</v>
      </c>
      <c r="I7">
        <v>6</v>
      </c>
      <c r="M7" t="s">
        <v>628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A2" sqref="A2: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219</v>
      </c>
      <c r="H1" t="s">
        <v>220</v>
      </c>
      <c r="I1" t="s">
        <v>390</v>
      </c>
      <c r="J1" t="s">
        <v>391</v>
      </c>
      <c r="K1" t="s">
        <v>455</v>
      </c>
      <c r="L1" t="s">
        <v>456</v>
      </c>
    </row>
    <row r="2" spans="1:12">
      <c r="A2" t="s">
        <v>426</v>
      </c>
      <c r="B2" t="s">
        <v>57</v>
      </c>
      <c r="C2" t="s">
        <v>58</v>
      </c>
      <c r="D2" t="s">
        <v>8</v>
      </c>
      <c r="E2" t="s">
        <v>59</v>
      </c>
      <c r="F2" s="20">
        <v>46111.406192129631</v>
      </c>
      <c r="G2" t="s">
        <v>392</v>
      </c>
      <c r="H2" t="s">
        <v>394</v>
      </c>
      <c r="I2">
        <v>9</v>
      </c>
    </row>
    <row r="3" spans="1:12">
      <c r="A3" t="s">
        <v>424</v>
      </c>
      <c r="B3" t="s">
        <v>57</v>
      </c>
      <c r="C3" t="s">
        <v>58</v>
      </c>
      <c r="D3" t="s">
        <v>8</v>
      </c>
      <c r="E3" t="s">
        <v>59</v>
      </c>
      <c r="F3" s="20">
        <v>46107.56144675926</v>
      </c>
      <c r="G3" t="s">
        <v>392</v>
      </c>
      <c r="H3" t="s">
        <v>394</v>
      </c>
      <c r="I3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O42"/>
  <sheetViews>
    <sheetView topLeftCell="A10" workbookViewId="0">
      <selection activeCell="F28" sqref="F28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5" max="15" width="9.7109375" bestFit="1" customWidth="1"/>
  </cols>
  <sheetData>
    <row r="1" spans="1:9">
      <c r="A1" s="8" t="s">
        <v>225</v>
      </c>
      <c r="B1" s="8" t="s">
        <v>219</v>
      </c>
      <c r="C1" s="8" t="s">
        <v>220</v>
      </c>
      <c r="D1" s="8" t="s">
        <v>2</v>
      </c>
      <c r="E1" s="8" t="s">
        <v>4</v>
      </c>
      <c r="F1" t="s">
        <v>227</v>
      </c>
    </row>
    <row r="2" spans="1:9">
      <c r="A2" s="9">
        <v>1</v>
      </c>
      <c r="B2" s="9" t="s">
        <v>217</v>
      </c>
      <c r="C2" s="9" t="s">
        <v>221</v>
      </c>
      <c r="D2" s="9" t="s">
        <v>7</v>
      </c>
      <c r="E2" s="9" t="s">
        <v>9</v>
      </c>
      <c r="F2" s="10">
        <v>64</v>
      </c>
      <c r="G2" s="15"/>
      <c r="H2" s="17"/>
      <c r="I2" s="18"/>
    </row>
    <row r="3" spans="1:9">
      <c r="D3" s="9" t="s">
        <v>170</v>
      </c>
      <c r="E3" s="9" t="s">
        <v>171</v>
      </c>
      <c r="F3" s="10">
        <v>5</v>
      </c>
      <c r="G3" s="10"/>
      <c r="H3" s="17"/>
      <c r="I3" s="18"/>
    </row>
    <row r="4" spans="1:9">
      <c r="D4" s="9" t="s">
        <v>349</v>
      </c>
      <c r="E4" s="9" t="s">
        <v>350</v>
      </c>
      <c r="F4" s="10">
        <v>1</v>
      </c>
      <c r="G4" s="10"/>
      <c r="H4" s="19"/>
      <c r="I4" s="18"/>
    </row>
    <row r="5" spans="1:9">
      <c r="A5" s="9">
        <v>2</v>
      </c>
      <c r="B5" s="9" t="s">
        <v>216</v>
      </c>
      <c r="C5" s="9" t="s">
        <v>222</v>
      </c>
      <c r="D5" s="9" t="s">
        <v>58</v>
      </c>
      <c r="E5" s="9" t="s">
        <v>59</v>
      </c>
      <c r="F5" s="10">
        <v>2</v>
      </c>
      <c r="G5" s="10"/>
      <c r="H5" s="19"/>
      <c r="I5" s="18"/>
    </row>
    <row r="6" spans="1:9">
      <c r="D6" s="9" t="s">
        <v>7</v>
      </c>
      <c r="E6" s="9" t="s">
        <v>9</v>
      </c>
      <c r="F6" s="10">
        <v>64</v>
      </c>
      <c r="G6" s="10"/>
      <c r="H6" s="17"/>
      <c r="I6" s="18"/>
    </row>
    <row r="7" spans="1:9">
      <c r="D7" s="9" t="s">
        <v>170</v>
      </c>
      <c r="E7" s="9" t="s">
        <v>171</v>
      </c>
      <c r="F7" s="10">
        <v>14</v>
      </c>
      <c r="G7" s="10"/>
      <c r="H7" s="17"/>
      <c r="I7" s="18"/>
    </row>
    <row r="8" spans="1:9">
      <c r="A8" s="9">
        <v>3</v>
      </c>
      <c r="B8" s="9" t="s">
        <v>215</v>
      </c>
      <c r="C8" s="9" t="s">
        <v>223</v>
      </c>
      <c r="D8" s="9" t="s">
        <v>7</v>
      </c>
      <c r="E8" s="9" t="s">
        <v>9</v>
      </c>
      <c r="F8" s="10">
        <v>11</v>
      </c>
      <c r="G8" s="10"/>
      <c r="H8" s="10"/>
    </row>
    <row r="9" spans="1:9">
      <c r="D9" s="9" t="s">
        <v>170</v>
      </c>
      <c r="E9" s="9" t="s">
        <v>171</v>
      </c>
      <c r="F9" s="10">
        <v>7</v>
      </c>
      <c r="G9" s="9"/>
      <c r="H9" s="9"/>
    </row>
    <row r="10" spans="1:9">
      <c r="D10" s="9" t="s">
        <v>349</v>
      </c>
      <c r="E10" s="9" t="s">
        <v>350</v>
      </c>
      <c r="F10" s="10">
        <v>7</v>
      </c>
      <c r="G10" s="10"/>
      <c r="H10" s="10"/>
    </row>
    <row r="11" spans="1:9">
      <c r="A11" s="9">
        <v>4</v>
      </c>
      <c r="B11" s="9" t="s">
        <v>218</v>
      </c>
      <c r="C11" s="9" t="s">
        <v>224</v>
      </c>
      <c r="D11" s="9" t="s">
        <v>13</v>
      </c>
      <c r="E11" s="9" t="s">
        <v>14</v>
      </c>
      <c r="F11" s="14">
        <v>3</v>
      </c>
      <c r="G11" s="10"/>
      <c r="H11" s="10"/>
    </row>
    <row r="12" spans="1:9">
      <c r="D12" s="13" t="s">
        <v>170</v>
      </c>
      <c r="E12" s="13" t="s">
        <v>171</v>
      </c>
      <c r="F12" s="14">
        <v>16</v>
      </c>
      <c r="G12" s="16"/>
      <c r="H12" s="10"/>
    </row>
    <row r="13" spans="1:9" ht="15.75">
      <c r="D13" s="13" t="s">
        <v>230</v>
      </c>
      <c r="E13" s="13" t="s">
        <v>228</v>
      </c>
      <c r="F13" s="14">
        <v>1</v>
      </c>
      <c r="G13" s="10"/>
      <c r="H13" s="11"/>
    </row>
    <row r="14" spans="1:9" ht="15.75">
      <c r="A14" s="9">
        <v>5</v>
      </c>
      <c r="B14" s="9" t="s">
        <v>309</v>
      </c>
      <c r="C14" s="9" t="s">
        <v>310</v>
      </c>
      <c r="D14" s="9" t="s">
        <v>13</v>
      </c>
      <c r="E14" s="9" t="s">
        <v>14</v>
      </c>
      <c r="F14" s="10">
        <v>34</v>
      </c>
      <c r="G14" s="16"/>
      <c r="H14" s="11"/>
    </row>
    <row r="15" spans="1:9">
      <c r="D15" s="9" t="s">
        <v>58</v>
      </c>
      <c r="E15" s="9" t="s">
        <v>59</v>
      </c>
      <c r="F15" s="10">
        <v>1</v>
      </c>
      <c r="G15" t="s">
        <v>624</v>
      </c>
      <c r="H15" s="10" t="s">
        <v>627</v>
      </c>
    </row>
    <row r="16" spans="1:9">
      <c r="D16" s="9" t="s">
        <v>349</v>
      </c>
      <c r="E16" s="9" t="s">
        <v>350</v>
      </c>
      <c r="F16" s="10">
        <v>2</v>
      </c>
      <c r="G16" s="10" t="s">
        <v>625</v>
      </c>
      <c r="H16" s="10"/>
    </row>
    <row r="17" spans="1:15">
      <c r="A17" s="9">
        <v>6</v>
      </c>
      <c r="B17" s="9" t="s">
        <v>347</v>
      </c>
      <c r="C17" s="9" t="s">
        <v>310</v>
      </c>
      <c r="D17" s="9" t="s">
        <v>13</v>
      </c>
      <c r="E17" s="9" t="s">
        <v>14</v>
      </c>
      <c r="F17" s="10">
        <v>25</v>
      </c>
      <c r="G17" s="15"/>
      <c r="H17" s="15"/>
    </row>
    <row r="18" spans="1:15">
      <c r="D18" s="9" t="s">
        <v>58</v>
      </c>
      <c r="E18" s="9" t="s">
        <v>59</v>
      </c>
      <c r="F18" s="10">
        <v>2</v>
      </c>
      <c r="G18" s="10" t="s">
        <v>626</v>
      </c>
      <c r="H18" s="10"/>
    </row>
    <row r="19" spans="1:15">
      <c r="D19" s="9" t="s">
        <v>170</v>
      </c>
      <c r="E19" s="9" t="s">
        <v>171</v>
      </c>
      <c r="F19" s="10">
        <v>4</v>
      </c>
      <c r="G19" s="16"/>
      <c r="H19" s="15"/>
      <c r="I19" s="16"/>
      <c r="O19" s="21">
        <f ca="1">TODAY()+71</f>
        <v>46186</v>
      </c>
    </row>
    <row r="20" spans="1:15">
      <c r="D20" s="9" t="s">
        <v>349</v>
      </c>
      <c r="E20" s="9" t="s">
        <v>350</v>
      </c>
      <c r="F20" s="10">
        <v>6</v>
      </c>
      <c r="G20" s="10" t="s">
        <v>631</v>
      </c>
      <c r="H20" s="10"/>
    </row>
    <row r="21" spans="1:15">
      <c r="A21" s="9">
        <v>7</v>
      </c>
      <c r="B21" s="9" t="s">
        <v>232</v>
      </c>
      <c r="C21" s="9" t="s">
        <v>233</v>
      </c>
      <c r="D21" s="9" t="s">
        <v>13</v>
      </c>
      <c r="E21" s="9" t="s">
        <v>14</v>
      </c>
      <c r="F21" s="10">
        <v>22</v>
      </c>
      <c r="G21" s="15"/>
      <c r="H21" s="10"/>
    </row>
    <row r="22" spans="1:15">
      <c r="D22" s="9" t="s">
        <v>58</v>
      </c>
      <c r="E22" s="9" t="s">
        <v>59</v>
      </c>
      <c r="F22" s="10">
        <v>2</v>
      </c>
      <c r="G22" s="10"/>
      <c r="H22" s="10"/>
    </row>
    <row r="23" spans="1:15">
      <c r="D23" s="9" t="s">
        <v>170</v>
      </c>
      <c r="E23" s="9" t="s">
        <v>171</v>
      </c>
      <c r="F23" s="10">
        <v>1</v>
      </c>
      <c r="G23" s="15"/>
      <c r="H23" s="10"/>
      <c r="I23" s="10"/>
      <c r="J23" s="10"/>
    </row>
    <row r="24" spans="1:15">
      <c r="D24" s="9" t="s">
        <v>349</v>
      </c>
      <c r="E24" s="9" t="s">
        <v>350</v>
      </c>
      <c r="F24" s="10">
        <v>12</v>
      </c>
      <c r="G24" s="10"/>
      <c r="H24" s="10"/>
    </row>
    <row r="25" spans="1:15">
      <c r="A25" s="9">
        <v>8</v>
      </c>
      <c r="B25" s="9" t="s">
        <v>271</v>
      </c>
      <c r="C25" s="9" t="s">
        <v>233</v>
      </c>
      <c r="D25" s="9" t="s">
        <v>13</v>
      </c>
      <c r="E25" s="9" t="s">
        <v>14</v>
      </c>
      <c r="F25" s="10">
        <v>32</v>
      </c>
      <c r="G25" s="15"/>
      <c r="H25" s="15"/>
    </row>
    <row r="26" spans="1:15">
      <c r="D26" s="9" t="s">
        <v>170</v>
      </c>
      <c r="E26" s="9" t="s">
        <v>171</v>
      </c>
      <c r="F26" s="10">
        <v>3</v>
      </c>
      <c r="G26" s="15"/>
      <c r="H26" s="10"/>
    </row>
    <row r="27" spans="1:15">
      <c r="D27" s="9" t="s">
        <v>349</v>
      </c>
      <c r="E27" s="9" t="s">
        <v>350</v>
      </c>
      <c r="F27" s="10">
        <v>2</v>
      </c>
      <c r="G27" s="10"/>
    </row>
    <row r="28" spans="1:15">
      <c r="A28" s="9">
        <v>9</v>
      </c>
      <c r="B28" s="9" t="s">
        <v>392</v>
      </c>
      <c r="C28" s="9" t="s">
        <v>394</v>
      </c>
      <c r="D28" s="9" t="s">
        <v>58</v>
      </c>
      <c r="E28" s="9" t="s">
        <v>59</v>
      </c>
      <c r="F28" s="10">
        <v>2</v>
      </c>
      <c r="G28" s="15" t="s">
        <v>632</v>
      </c>
      <c r="H28" s="10"/>
    </row>
    <row r="29" spans="1:15">
      <c r="D29" s="9" t="s">
        <v>170</v>
      </c>
      <c r="E29" s="9" t="s">
        <v>171</v>
      </c>
      <c r="F29" s="10">
        <v>1</v>
      </c>
      <c r="G29" s="9"/>
    </row>
    <row r="30" spans="1:15">
      <c r="D30" s="9" t="s">
        <v>230</v>
      </c>
      <c r="E30" s="9" t="s">
        <v>59</v>
      </c>
      <c r="F30" s="10">
        <v>1</v>
      </c>
    </row>
    <row r="31" spans="1:15">
      <c r="D31" s="9" t="s">
        <v>355</v>
      </c>
      <c r="E31" s="9" t="s">
        <v>59</v>
      </c>
      <c r="F31" s="10">
        <v>2</v>
      </c>
    </row>
    <row r="32" spans="1:15">
      <c r="D32" s="9" t="s">
        <v>617</v>
      </c>
      <c r="E32" s="9" t="s">
        <v>59</v>
      </c>
      <c r="F32" s="10">
        <v>1</v>
      </c>
      <c r="H32" s="14"/>
    </row>
    <row r="33" spans="1:7">
      <c r="D33" s="9" t="s">
        <v>481</v>
      </c>
      <c r="E33" s="9" t="s">
        <v>59</v>
      </c>
      <c r="F33" s="10">
        <v>11</v>
      </c>
      <c r="G33" s="9"/>
    </row>
    <row r="34" spans="1:7">
      <c r="D34" s="9" t="s">
        <v>463</v>
      </c>
      <c r="E34" s="9" t="s">
        <v>18</v>
      </c>
      <c r="F34" s="10">
        <v>7</v>
      </c>
    </row>
    <row r="35" spans="1:7">
      <c r="D35" s="9" t="s">
        <v>465</v>
      </c>
      <c r="E35" s="9" t="s">
        <v>59</v>
      </c>
      <c r="F35" s="10">
        <v>2</v>
      </c>
    </row>
    <row r="36" spans="1:7">
      <c r="D36" s="9" t="s">
        <v>619</v>
      </c>
      <c r="E36" s="9" t="s">
        <v>18</v>
      </c>
      <c r="F36" s="10">
        <v>1</v>
      </c>
      <c r="G36" s="9"/>
    </row>
    <row r="37" spans="1:7">
      <c r="D37" s="9" t="s">
        <v>623</v>
      </c>
      <c r="E37" s="9" t="s">
        <v>18</v>
      </c>
      <c r="F37" s="10">
        <v>1</v>
      </c>
    </row>
    <row r="38" spans="1:7">
      <c r="A38" s="9">
        <v>10</v>
      </c>
      <c r="B38" s="9" t="s">
        <v>393</v>
      </c>
      <c r="C38" s="9" t="s">
        <v>395</v>
      </c>
      <c r="D38" s="9" t="s">
        <v>7</v>
      </c>
      <c r="E38" s="9" t="s">
        <v>199</v>
      </c>
      <c r="F38" s="10">
        <v>14</v>
      </c>
    </row>
    <row r="39" spans="1:7">
      <c r="D39" s="9" t="s">
        <v>483</v>
      </c>
      <c r="E39" s="9" t="s">
        <v>228</v>
      </c>
      <c r="F39" s="10">
        <v>1</v>
      </c>
    </row>
    <row r="40" spans="1:7">
      <c r="A40" s="9">
        <v>12</v>
      </c>
      <c r="B40" s="9" t="s">
        <v>458</v>
      </c>
      <c r="C40" s="9" t="s">
        <v>310</v>
      </c>
      <c r="D40" s="9" t="s">
        <v>7</v>
      </c>
      <c r="E40" s="9" t="s">
        <v>199</v>
      </c>
      <c r="F40" s="10">
        <v>131</v>
      </c>
    </row>
    <row r="41" spans="1:7">
      <c r="D41" s="9" t="s">
        <v>355</v>
      </c>
      <c r="E41" s="9" t="s">
        <v>59</v>
      </c>
      <c r="F41" s="10">
        <v>1</v>
      </c>
    </row>
    <row r="42" spans="1:7">
      <c r="A42" s="9" t="s">
        <v>226</v>
      </c>
      <c r="F42" s="10">
        <v>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>
      <selection activeCell="A2" sqref="A2:A15"/>
    </sheetView>
  </sheetViews>
  <sheetFormatPr defaultRowHeight="15"/>
  <cols>
    <col min="1" max="1" width="11.85546875" bestFit="1" customWidth="1"/>
    <col min="2" max="2" width="18.5703125" bestFit="1" customWidth="1"/>
    <col min="5" max="5" width="122.28515625" bestFit="1" customWidth="1"/>
    <col min="7" max="7" width="14" customWidth="1"/>
    <col min="11" max="11" width="15.7109375" bestFit="1" customWidth="1"/>
    <col min="12" max="12" width="32.5703125" bestFit="1" customWidth="1"/>
    <col min="13" max="13" width="36.5703125" bestFit="1" customWidth="1"/>
  </cols>
  <sheetData>
    <row r="1" spans="1:13">
      <c r="A1" t="s">
        <v>396</v>
      </c>
      <c r="B1" t="s">
        <v>220</v>
      </c>
      <c r="C1" t="s">
        <v>3</v>
      </c>
      <c r="D1" t="s">
        <v>390</v>
      </c>
      <c r="E1" t="s">
        <v>397</v>
      </c>
    </row>
    <row r="2" spans="1:13">
      <c r="A2" t="s">
        <v>217</v>
      </c>
      <c r="B2" t="s">
        <v>221</v>
      </c>
      <c r="C2">
        <v>70</v>
      </c>
      <c r="D2">
        <v>1</v>
      </c>
    </row>
    <row r="3" spans="1:13">
      <c r="A3" t="s">
        <v>216</v>
      </c>
      <c r="B3" t="s">
        <v>222</v>
      </c>
      <c r="C3">
        <v>80</v>
      </c>
      <c r="D3">
        <v>2</v>
      </c>
    </row>
    <row r="4" spans="1:13">
      <c r="A4" t="s">
        <v>215</v>
      </c>
      <c r="B4" t="s">
        <v>223</v>
      </c>
      <c r="C4">
        <v>25</v>
      </c>
      <c r="D4">
        <v>3</v>
      </c>
      <c r="K4" t="s">
        <v>461</v>
      </c>
    </row>
    <row r="5" spans="1:13">
      <c r="A5" t="s">
        <v>218</v>
      </c>
      <c r="B5" t="s">
        <v>224</v>
      </c>
      <c r="C5">
        <v>20</v>
      </c>
      <c r="D5">
        <v>4</v>
      </c>
      <c r="K5" t="s">
        <v>398</v>
      </c>
      <c r="L5" t="s">
        <v>399</v>
      </c>
      <c r="M5" t="s">
        <v>408</v>
      </c>
    </row>
    <row r="6" spans="1:13">
      <c r="A6" t="s">
        <v>309</v>
      </c>
      <c r="B6" t="s">
        <v>310</v>
      </c>
      <c r="C6">
        <v>37</v>
      </c>
      <c r="D6">
        <v>5</v>
      </c>
      <c r="E6" t="s">
        <v>468</v>
      </c>
      <c r="K6" t="s">
        <v>400</v>
      </c>
      <c r="L6" t="s">
        <v>402</v>
      </c>
      <c r="M6" t="s">
        <v>409</v>
      </c>
    </row>
    <row r="7" spans="1:13">
      <c r="A7" t="s">
        <v>347</v>
      </c>
      <c r="B7" t="s">
        <v>310</v>
      </c>
      <c r="C7">
        <v>37</v>
      </c>
      <c r="D7">
        <v>6</v>
      </c>
      <c r="E7" t="s">
        <v>469</v>
      </c>
      <c r="K7" t="s">
        <v>401</v>
      </c>
      <c r="L7" t="s">
        <v>402</v>
      </c>
    </row>
    <row r="8" spans="1:13">
      <c r="A8" t="s">
        <v>232</v>
      </c>
      <c r="B8" t="s">
        <v>233</v>
      </c>
      <c r="C8">
        <v>37</v>
      </c>
      <c r="D8">
        <v>7</v>
      </c>
      <c r="E8" t="s">
        <v>466</v>
      </c>
      <c r="K8" t="s">
        <v>403</v>
      </c>
      <c r="L8" t="s">
        <v>404</v>
      </c>
    </row>
    <row r="9" spans="1:13">
      <c r="A9" t="s">
        <v>271</v>
      </c>
      <c r="B9" t="s">
        <v>233</v>
      </c>
      <c r="C9">
        <v>37</v>
      </c>
      <c r="D9">
        <v>8</v>
      </c>
      <c r="E9" t="s">
        <v>467</v>
      </c>
      <c r="K9" t="s">
        <v>405</v>
      </c>
      <c r="L9" t="s">
        <v>406</v>
      </c>
    </row>
    <row r="10" spans="1:13">
      <c r="A10" t="s">
        <v>392</v>
      </c>
      <c r="B10" t="s">
        <v>394</v>
      </c>
      <c r="C10">
        <v>29</v>
      </c>
      <c r="D10">
        <v>9</v>
      </c>
      <c r="E10" t="s">
        <v>477</v>
      </c>
      <c r="K10" t="s">
        <v>407</v>
      </c>
      <c r="L10" t="s">
        <v>410</v>
      </c>
    </row>
    <row r="11" spans="1:13">
      <c r="A11" t="s">
        <v>393</v>
      </c>
      <c r="B11" t="s">
        <v>395</v>
      </c>
      <c r="C11">
        <v>15</v>
      </c>
      <c r="D11">
        <v>10</v>
      </c>
      <c r="E11" t="s">
        <v>470</v>
      </c>
    </row>
    <row r="12" spans="1:13">
      <c r="A12" t="s">
        <v>457</v>
      </c>
      <c r="B12" t="s">
        <v>233</v>
      </c>
      <c r="C12">
        <v>124</v>
      </c>
      <c r="D12">
        <v>11</v>
      </c>
      <c r="E12" t="s">
        <v>620</v>
      </c>
      <c r="F12" t="s">
        <v>460</v>
      </c>
    </row>
    <row r="13" spans="1:13">
      <c r="A13" t="s">
        <v>458</v>
      </c>
      <c r="B13" t="s">
        <v>233</v>
      </c>
      <c r="C13">
        <v>124</v>
      </c>
      <c r="D13">
        <v>12</v>
      </c>
      <c r="E13" t="s">
        <v>479</v>
      </c>
      <c r="F13" t="s">
        <v>460</v>
      </c>
    </row>
    <row r="14" spans="1:13">
      <c r="A14" t="s">
        <v>459</v>
      </c>
      <c r="B14" t="s">
        <v>394</v>
      </c>
      <c r="C14">
        <v>36</v>
      </c>
      <c r="D14">
        <v>13</v>
      </c>
      <c r="E14" t="s">
        <v>620</v>
      </c>
      <c r="F14" t="s">
        <v>460</v>
      </c>
    </row>
    <row r="15" spans="1:13">
      <c r="A15" t="s">
        <v>621</v>
      </c>
      <c r="E15" t="s">
        <v>620</v>
      </c>
    </row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Shop Order</vt:lpstr>
      <vt:lpstr>Need to confirm</vt:lpstr>
      <vt:lpstr>Sheet6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2026-04-03T14:50:21Z</dcterms:modified>
</cp:coreProperties>
</file>
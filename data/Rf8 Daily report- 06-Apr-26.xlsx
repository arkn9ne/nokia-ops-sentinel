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Order'!$A$1:$L$520</definedName>
  </definedName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<sst xmlns="http://schemas.openxmlformats.org/spreadsheetml/2006/main" count="3849" uniqueCount="628">
  <si>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</si>
  <si>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</si>
  <si>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</si>
  <si>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</si>
  <si>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</si>
  <si>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</si>
  <si>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</si>
  <si>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</si>
  <si>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</si>
  <si>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</si>
  <si>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</si>
  <si>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</si>
  <si>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</si>
  <si>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</si>
  <si>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</si>
  <si>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</si>
  <si>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</si>
  <si>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</si>
  <si>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</si>
  <si>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</si>
  <si>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</si>
  <si>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</si>
  <si>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</si>
  <si>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</si>
  <si>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</si>
  <si>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</si>
  <si>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</si>
  <si>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</si>
  <si>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</si>
  <si>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</si>
  <si>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</si>
  <si>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</si>
  <si>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</si>
  <si>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</si>
  <si>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</si>
  <si>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</si>
  <si>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</si>
  <si>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</si>
  <si>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</si>
  <si>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</si>
  <si>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</si>
  <si>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</si>
  <si>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</si>
  <si>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</si>
  <si>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</si>
  <si>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</si>
  <si>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</si>
  <si>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</si>
  <si>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</si>
  <si>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</si>
  <si>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</si>
  <si>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</si>
  <si>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</si>
  <si>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</si>
  <si>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</si>
  <si>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</si>
  <si>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</si>
  <si>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</si>
  <si>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</si>
  <si>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</si>
  <si>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</si>
  <si>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</si>
  <si>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</si>
  <si>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</si>
  <si>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</si>
  <si>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</si>
  <si>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</si>
  <si>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</si>
  <si>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</si>
  <si>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</si>
  <si>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</si>
  <si>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</si>
  <si>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</si>
  <si>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</si>
  <si>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</si>
  <si>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</si>
  <si>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</si>
  <si>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</si>
  <si>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</si>
  <si>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</si>
  <si>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</si>
  <si>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</si>
  <si>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</si>
  <si>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</si>
  <si>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</si>
  <si>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</si>
  <si>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</si>
  <si>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</si>
  <si>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</si>
  <si>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</si>
  <si>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</si>
  <si>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</si>
  <si>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</si>
  <si>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</si>
  <si>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</si>
  <si>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</si>
  <si>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</si>
  <si>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</si>
  <si>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</si>
  <si>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</si>
  <si>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</si>
  <si>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</si>
  <si>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</si>
  <si>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</si>
  <si>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</si>
  <si>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</si>
  <si>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</si>
  <si>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</si>
  <si>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</si>
  <si>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</si>
  <si>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</si>
  <si>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</si>
  <si>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</si>
  <si>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</si>
  <si>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</si>
  <si>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</si>
  <si>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</si>
  <si>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</si>
  <si>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</si>
  <si>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</si>
  <si>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</si>
  <si>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</si>
  <si>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</si>
  <si>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</si>
  <si>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</si>
  <si>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</si>
  <si>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</si>
  <si>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</si>
  <si>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</si>
  <si>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</si>
  <si>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</si>
  <si>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</si>
  <si>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</si>
  <si>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</si>
  <si>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</si>
  <si>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</si>
  <si>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</si>
  <si>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</si>
  <si>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</si>
  <si>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</si>
  <si>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</si>
  <si>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</si>
  <si>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</si>
  <si>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</si>
  <si>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</si>
  <si>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</si>
  <si>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</si>
  <si>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</si>
  <si>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</si>
  <si>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</si>
  <si>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</si>
  <si>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</si>
  <si>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</si>
  <si>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</si>
  <si>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</si>
  <si>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</si>
  <si>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</si>
  <si>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</si>
  <si>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</si>
  <si>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</si>
  <si>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</si>
  <si>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</si>
  <si>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</si>
  <si>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</si>
  <si>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</si>
  <si>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</si>
  <si>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</si>
  <si>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</si>
  <si>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</si>
  <si>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</si>
  <si>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</si>
  <si>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</si>
  <si>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</si>
  <si>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</si>
  <si>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</si>
  <si>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</si>
  <si>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</si>
  <si>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</si>
  <si>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</si>
  <si>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</si>
  <si>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</si>
  <si>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</si>
  <si>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</si>
  <si>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</si>
  <si>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</si>
  <si>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</si>
  <si>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</si>
  <si>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</si>
  <si>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</si>
  <si>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</si>
  <si>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</si>
  <si>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</si>
  <si>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</si>
  <si>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</si>
  <si>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</si>
  <si>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</si>
  <si>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</si>
  <si>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</si>
  <si>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</si>
  <si>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</si>
  <si>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</si>
  <si>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</si>
  <si>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</si>
  <si>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</si>
  <si>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</si>
  <si>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</si>
  <si>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</si>
  <si>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</si>
  <si>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</si>
  <si>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</si>
  <si>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</si>
  <si>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</si>
  <si>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</si>
  <si>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</si>
  <si>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</si>
  <si>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</si>
  <si>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</si>
  <si>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</si>
  <si>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</si>
  <si>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</si>
  <si>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</si>
  <si>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</si>
  <si>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</si>
  <si>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</si>
  <si>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</si>
  <si>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</si>
  <si>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</si>
  <si>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</si>
  <si>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</si>
  <si>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</si>
  <si>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</si>
  <si>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</si>
  <si>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</si>
  <si>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</si>
  <si>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</si>
  <si>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</si>
  <si>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</si>
  <si>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</si>
  <si>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</si>
  <si>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</si>
  <si>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</si>
  <si>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</si>
  <si>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</si>
  <si>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</si>
  <si>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</si>
  <si>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</si>
  <si>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</si>
  <si>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</si>
  <si>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</si>
  <si>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</si>
  <si>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</si>
  <si>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</si>
  <si>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</si>
  <si>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</si>
  <si>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</si>
  <si>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</si>
  <si>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</si>
  <si>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</si>
  <si>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</si>
  <si>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</si>
  <si>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</si>
  <si>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</si>
  <si>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</si>
  <si>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</si>
  <si>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</si>
  <si>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</si>
  <si>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</si>
  <si>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</si>
  <si>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</si>
  <si>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</si>
  <si>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</si>
  <si>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</si>
  <si>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</si>
  <si>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</si>
  <si>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</si>
  <si>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</si>
  <si>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</si>
  <si>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</si>
  <si>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</si>
  <si>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</si>
  <si>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</si>
  <si>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</si>
  <si>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</si>
  <si>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</si>
  <si>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</si>
  <si>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</si>
  <si>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</si>
  <si>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</si>
  <si>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</si>
  <si>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</si>
  <si>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</si>
  <si>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</si>
  <si>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</si>
  <si>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</si>
  <si>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</si>
  <si>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</si>
  <si>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</si>
  <si>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</si>
  <si>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</si>
  <si>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</si>
  <si>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</si>
  <si>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</si>
  <si>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</si>
  <si>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</si>
  <si>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</si>
  <si>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</si>
  <si>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</si>
  <si>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</si>
  <si>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</si>
  <si>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</si>
  <si>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</si>
  <si>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</si>
  <si>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</si>
  <si>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</si>
  <si>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</si>
  <si>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</si>
  <si>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</si>
  <si>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</si>
  <si>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</si>
  <si>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</si>
  <si>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</si>
  <si>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</si>
  <si>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</si>
  <si>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</si>
  <si>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</si>
  <si>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</si>
  <si>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</si>
  <si>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</si>
  <si>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</si>
  <si>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</si>
  <si>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</si>
  <si>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</si>
  <si>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</si>
  <si>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</si>
  <si>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</si>
  <si>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</si>
  <si>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</si>
  <si>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</si>
  <si>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</si>
  <si>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</si>
  <si>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</si>
  <si>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</si>
  <si>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</si>
  <si>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</si>
  <si>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</si>
  <si>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</si>
  <si>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</si>
  <si>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</si>
  <si>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</si>
  <si>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</si>
  <si>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</si>
  <si>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</si>
  <si>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</si>
  <si>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</si>
  <si>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</si>
  <si>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</si>
  <si>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</si>
  <si>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</si>
  <si>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</si>
  <si>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</si>
  <si>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</si>
  <si>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</si>
  <si>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</si>
  <si>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</si>
  <si>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</si>
  <si>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</si>
  <si>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</si>
  <si>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</si>
  <si>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</si>
  <si>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</si>
  <si>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</si>
  <si>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</si>
  <si>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</si>
  <si>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</si>
  <si>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</si>
  <si>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</si>
  <si>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</si>
  <si>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</si>
  <si>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</si>
  <si>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</si>
  <si>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</si>
  <si>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</si>
  <si>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</si>
  <si>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</si>
  <si>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</si>
  <si>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</si>
  <si>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</si>
  <si>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</si>
  <si>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</si>
  <si>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</si>
  <si>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</si>
  <si>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</si>
  <si>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</si>
  <si>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</si>
  <si>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</si>
  <si>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</si>
  <si>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</si>
  <si>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</si>
  <si>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</si>
  <si>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</si>
  <si>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RRH Fixture</t>
  </si>
  <si>
    <t>2 Fixtures</t>
  </si>
  <si>
    <t>1 unit tester</t>
  </si>
  <si>
    <t>RTWP Tester</t>
  </si>
  <si>
    <t>Need to be hooked up powered on</t>
  </si>
  <si>
    <t>LBTS</t>
  </si>
  <si>
    <t>Need to be powered up</t>
  </si>
  <si>
    <t>3D chasis weight</t>
  </si>
  <si>
    <t>Right next to the TRX Tester rack</t>
  </si>
  <si>
    <t xml:space="preserve">Filter </t>
  </si>
  <si>
    <t xml:space="preserve">Electrical Plans required for the testers </t>
  </si>
  <si>
    <t>Layout Plan- Sebastian</t>
  </si>
  <si>
    <t>Need to be delivered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</si>
  <si>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</si>
  <si>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</si>
  <si>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</si>
  <si>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</si>
  <si>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</si>
  <si>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</si>
  <si>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</si>
  <si>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</si>
  <si>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</si>
  <si>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</si>
  <si>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</si>
  <si>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</si>
  <si>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</si>
  <si>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</si>
  <si>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</si>
  <si>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</si>
  <si>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</si>
  <si>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</si>
  <si>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</si>
  <si>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</si>
  <si>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</si>
  <si>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</si>
  <si>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</si>
  <si>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</si>
  <si>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</si>
  <si>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</si>
  <si>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</si>
  <si>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</si>
  <si>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</si>
  <si>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</si>
  <si>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</si>
  <si>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</si>
  <si>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</si>
  <si>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</si>
  <si>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</si>
  <si>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</si>
  <si>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</si>
  <si>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</si>
  <si>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</si>
  <si>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</si>
  <si>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</si>
  <si>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</si>
  <si>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</si>
  <si>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</si>
  <si>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</si>
  <si>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</si>
  <si>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</si>
  <si>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</si>
  <si>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</si>
  <si>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Quote</t>
  </si>
  <si>
    <t>Test fixtures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</si>
  <si>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</si>
  <si>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</si>
  <si>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</si>
  <si>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</si>
  <si>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</si>
  <si>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</si>
  <si>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</si>
  <si>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</si>
  <si>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</si>
  <si>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</si>
  <si>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</si>
  <si>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</si>
  <si>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</si>
  <si>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</si>
  <si>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</si>
  <si>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</si>
  <si>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</si>
  <si>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</si>
  <si>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</si>
  <si>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</si>
  <si>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</si>
  <si>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</si>
  <si>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</si>
  <si>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</si>
  <si>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</si>
  <si>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</si>
  <si>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</si>
  <si>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</si>
  <si>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</si>
  <si>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</si>
  <si>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</si>
  <si>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</si>
  <si>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</si>
  <si>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</si>
  <si>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</si>
  <si>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</si>
  <si>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</si>
  <si>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</si>
  <si>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</si>
  <si>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</si>
  <si>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</si>
  <si>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</si>
  <si>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</si>
  <si>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</si>
  <si>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</si>
  <si>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</si>
  <si>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</si>
  <si>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</si>
  <si>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</si>
  <si>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</si>
  <si>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</si>
  <si>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</si>
  <si>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</si>
  <si>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</si>
  <si>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</si>
  <si>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</si>
  <si>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</si>
  <si>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</si>
  <si>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</si>
  <si>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</si>
  <si>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</si>
  <si>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</si>
  <si>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</si>
  <si>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</si>
  <si>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</si>
  <si>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</si>
  <si>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</si>
  <si>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</si>
  <si>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</si>
  <si>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</si>
  <si>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</si>
  <si>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</si>
  <si>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</si>
  <si>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</si>
  <si>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</si>
  <si>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</si>
  <si>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</si>
  <si>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</si>
  <si>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</si>
  <si>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</si>
  <si>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</si>
  <si>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</si>
  <si>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</si>
  <si>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</si>
  <si>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</si>
  <si>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</si>
  <si>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</si>
  <si>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</si>
  <si>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</si>
  <si>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</si>
  <si>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</si>
  <si>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</si>
  <si>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</si>
  <si>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</si>
  <si>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</si>
  <si>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</si>
  <si>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</si>
  <si>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</si>
  <si>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</si>
  <si>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</si>
  <si>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</si>
  <si>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</si>
  <si>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</si>
  <si>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</si>
  <si>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</si>
  <si>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</si>
  <si>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</si>
  <si>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</si>
  <si>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</si>
  <si>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</si>
  <si>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</si>
  <si>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</si>
  <si>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</si>
  <si>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</si>
  <si>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</si>
  <si>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</si>
  <si>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</si>
  <si>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</si>
  <si>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</si>
  <si>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</si>
  <si>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</si>
  <si>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</si>
  <si>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</si>
  <si>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</si>
  <si>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</si>
  <si>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</si>
  <si>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</si>
  <si>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</si>
  <si>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</si>
  <si>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</si>
  <si>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</si>
  <si>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</si>
  <si>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</si>
  <si>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</si>
  <si>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</si>
  <si>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</si>
  <si>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</si>
  <si>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</si>
  <si>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</si>
  <si>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</si>
  <si>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</si>
  <si>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</si>
  <si>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</si>
  <si>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</si>
  <si>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</si>
  <si>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</si>
  <si>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</si>
  <si>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</si>
  <si>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</si>
  <si>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</si>
  <si>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</si>
  <si>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</si>
  <si>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</si>
  <si>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</si>
  <si>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</si>
  <si>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</si>
  <si>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</si>
  <si>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</si>
  <si>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New Stencils</t>
  </si>
  <si>
    <t>XRAY</t>
  </si>
  <si>
    <t>XRAY DAGE</t>
  </si>
  <si>
    <t>5DXR 5DX RWK</t>
  </si>
  <si>
    <t>RWK 5DX</t>
  </si>
  <si>
    <t>STI To be released - New BOM to be released- Up Rev the bom to x12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</si>
</sst>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5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8.578024768518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8">
        <s v="NOT-IN-PROCESS"/>
        <s v="Shipped to Customer"/>
        <s v="Xfr to Debug Test"/>
        <s v="Functional Test-1"/>
        <s v="Rework-1"/>
        <s v="Complete"/>
        <s v="5DX"/>
        <s v="AOR1 AOI Repair S1"/>
        <s v="XRAY DAGE"/>
        <s v="PBA Inspection"/>
        <s v="AOI  Inspect"/>
        <s v="AOR2 AOI Repair S2"/>
        <s v="RWK SMT2"/>
        <s v="Assembly 1 - 1B"/>
        <s v="AOI"/>
        <s v="RWK 5DX"/>
        <s v="Inspect SMT2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6T13:47:05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1">
        <n v="1"/>
        <n v="2"/>
        <n v="7"/>
        <n v="8"/>
        <n v="5"/>
        <n v="6"/>
        <n v="12"/>
        <n v="3"/>
        <n v="9"/>
        <n v="4"/>
        <n v="10"/>
      </sharedItems>
    </cacheField>
    <cacheField name="Comments" numFmtId="0">
      <sharedItems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RWK1 Repair Test"/>
    <x v="4"/>
    <s v="1"/>
    <x v="4"/>
    <d v="2026-04-06T10:18:26"/>
    <x v="2"/>
    <x v="2"/>
    <x v="2"/>
    <m/>
    <m/>
    <m/>
  </r>
  <r>
    <s v="YK260900002"/>
    <s v="CMP1 Complete"/>
    <x v="5"/>
    <s v="1"/>
    <x v="5"/>
    <d v="2026-03-18T13:21:04"/>
    <x v="2"/>
    <x v="2"/>
    <x v="2"/>
    <m/>
    <m/>
    <m/>
  </r>
  <r>
    <s v="YK260900003"/>
    <s v="CMP1 Complete"/>
    <x v="5"/>
    <s v="1"/>
    <x v="5"/>
    <d v="2026-03-18T13:31:38"/>
    <x v="2"/>
    <x v="2"/>
    <x v="2"/>
    <m/>
    <m/>
    <m/>
  </r>
  <r>
    <s v="YK260900004"/>
    <s v="RWK1 Repair Test"/>
    <x v="4"/>
    <s v="1"/>
    <x v="4"/>
    <d v="2026-04-06T08:32:51"/>
    <x v="2"/>
    <x v="2"/>
    <x v="2"/>
    <m/>
    <m/>
    <m/>
  </r>
  <r>
    <s v="YK260900005"/>
    <s v="CMP1 Complete"/>
    <x v="5"/>
    <s v="1"/>
    <x v="5"/>
    <d v="2026-04-06T07:25:24"/>
    <x v="2"/>
    <x v="2"/>
    <x v="2"/>
    <m/>
    <m/>
    <m/>
  </r>
  <r>
    <s v="YK260900006"/>
    <s v="CMP1 Complete"/>
    <x v="5"/>
    <s v="1"/>
    <x v="5"/>
    <d v="2026-03-23T08:30:25"/>
    <x v="2"/>
    <x v="2"/>
    <x v="2"/>
    <m/>
    <m/>
    <m/>
  </r>
  <r>
    <s v="YK260900007"/>
    <s v="CMP1 Complete"/>
    <x v="5"/>
    <s v="1"/>
    <x v="5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CMP1 Complete"/>
    <x v="5"/>
    <s v="1"/>
    <x v="5"/>
    <d v="2026-04-06T07:30:46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5"/>
    <s v="1"/>
    <x v="5"/>
    <d v="2026-03-20T11:36:55"/>
    <x v="2"/>
    <x v="2"/>
    <x v="2"/>
    <m/>
    <m/>
    <m/>
  </r>
  <r>
    <s v="YK260900013"/>
    <s v="CMP1 Complete"/>
    <x v="5"/>
    <s v="1"/>
    <x v="5"/>
    <d v="2026-03-23T08:23:19"/>
    <x v="2"/>
    <x v="2"/>
    <x v="2"/>
    <m/>
    <m/>
    <m/>
  </r>
  <r>
    <s v="YK260900014"/>
    <s v="CMP1 Complete"/>
    <x v="5"/>
    <s v="1"/>
    <x v="5"/>
    <d v="2026-04-03T12:23:08"/>
    <x v="2"/>
    <x v="2"/>
    <x v="2"/>
    <m/>
    <m/>
    <m/>
  </r>
  <r>
    <s v="YK260900015"/>
    <s v="CMP1 Complete"/>
    <x v="5"/>
    <s v="1"/>
    <x v="5"/>
    <d v="2026-03-19T14:07:57"/>
    <x v="2"/>
    <x v="2"/>
    <x v="2"/>
    <m/>
    <m/>
    <m/>
  </r>
  <r>
    <s v="YK260900016"/>
    <s v="CMP1 Complete"/>
    <x v="5"/>
    <s v="1"/>
    <x v="5"/>
    <d v="2026-04-06T07:27:53"/>
    <x v="2"/>
    <x v="2"/>
    <x v="2"/>
    <m/>
    <m/>
    <m/>
  </r>
  <r>
    <s v="YK260900017"/>
    <s v="CMP1 Complete"/>
    <x v="5"/>
    <s v="1"/>
    <x v="5"/>
    <d v="2026-03-24T06:53:19"/>
    <x v="2"/>
    <x v="2"/>
    <x v="2"/>
    <m/>
    <m/>
    <m/>
  </r>
  <r>
    <s v="YK260900018"/>
    <s v="CMP1 Complete"/>
    <x v="5"/>
    <s v="1"/>
    <x v="5"/>
    <d v="2026-03-16T11:58:22"/>
    <x v="2"/>
    <x v="2"/>
    <x v="2"/>
    <m/>
    <m/>
    <m/>
  </r>
  <r>
    <s v="YK260900019"/>
    <s v="CMP1 Complete"/>
    <x v="5"/>
    <s v="1"/>
    <x v="5"/>
    <d v="2026-04-06T07:26:54"/>
    <x v="2"/>
    <x v="2"/>
    <x v="2"/>
    <m/>
    <m/>
    <m/>
  </r>
  <r>
    <s v="YK260900020"/>
    <s v="CMP1 Complete"/>
    <x v="5"/>
    <s v="1"/>
    <x v="5"/>
    <d v="2026-04-03T12:23:45"/>
    <x v="2"/>
    <x v="2"/>
    <x v="2"/>
    <m/>
    <m/>
    <m/>
  </r>
  <r>
    <s v="YK260900021"/>
    <s v="RWK1 Repair Test"/>
    <x v="4"/>
    <s v="1"/>
    <x v="4"/>
    <d v="2026-04-02T12:11:23"/>
    <x v="2"/>
    <x v="2"/>
    <x v="2"/>
    <m/>
    <m/>
    <m/>
  </r>
  <r>
    <s v="YK260900022"/>
    <s v="CMP1 Complete"/>
    <x v="5"/>
    <s v="1"/>
    <x v="5"/>
    <d v="2026-03-18T13:32:46"/>
    <x v="2"/>
    <x v="2"/>
    <x v="2"/>
    <m/>
    <m/>
    <m/>
  </r>
  <r>
    <s v="YK260900023"/>
    <s v="CMP1 Complete"/>
    <x v="5"/>
    <s v="1"/>
    <x v="5"/>
    <d v="2026-03-20T11:28:35"/>
    <x v="2"/>
    <x v="2"/>
    <x v="2"/>
    <m/>
    <m/>
    <m/>
  </r>
  <r>
    <s v="YK260900024"/>
    <s v="CMP1 Complete"/>
    <x v="5"/>
    <s v="1"/>
    <x v="5"/>
    <d v="2026-03-18T13:24:18"/>
    <x v="2"/>
    <x v="2"/>
    <x v="2"/>
    <m/>
    <m/>
    <m/>
  </r>
  <r>
    <s v="YK260900025"/>
    <s v="CMP1 Complete"/>
    <x v="5"/>
    <s v="1"/>
    <x v="5"/>
    <d v="2026-03-18T10:46:16"/>
    <x v="2"/>
    <x v="2"/>
    <x v="2"/>
    <m/>
    <m/>
    <m/>
  </r>
  <r>
    <s v="YK260900026"/>
    <s v="CMP1 Complete"/>
    <x v="5"/>
    <s v="1"/>
    <x v="5"/>
    <d v="2026-03-19T13:57:53"/>
    <x v="2"/>
    <x v="2"/>
    <x v="2"/>
    <m/>
    <m/>
    <m/>
  </r>
  <r>
    <s v="YK260900027"/>
    <s v="RWK1 Repair Test"/>
    <x v="4"/>
    <s v="1"/>
    <x v="4"/>
    <d v="2026-04-02T11:37:51"/>
    <x v="2"/>
    <x v="2"/>
    <x v="2"/>
    <m/>
    <m/>
    <m/>
  </r>
  <r>
    <s v="YK260900028"/>
    <s v="CMP1 Complete"/>
    <x v="5"/>
    <s v="1"/>
    <x v="5"/>
    <d v="2026-04-06T07:43:05"/>
    <x v="2"/>
    <x v="2"/>
    <x v="2"/>
    <m/>
    <m/>
    <m/>
  </r>
  <r>
    <s v="YK260900029"/>
    <s v="CMP1 Complete"/>
    <x v="5"/>
    <s v="1"/>
    <x v="5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CMP1 Complete"/>
    <x v="5"/>
    <s v="1"/>
    <x v="5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5"/>
    <s v="1"/>
    <x v="5"/>
    <d v="2026-03-25T13:30:24"/>
    <x v="2"/>
    <x v="2"/>
    <x v="2"/>
    <m/>
    <m/>
    <m/>
  </r>
  <r>
    <s v="YK260900036"/>
    <s v="CMP1 Complete"/>
    <x v="5"/>
    <s v="1"/>
    <x v="5"/>
    <d v="2026-03-20T11:27:26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CMP1 Complete"/>
    <x v="5"/>
    <s v="1"/>
    <x v="5"/>
    <d v="2026-03-16T11:57:29"/>
    <x v="3"/>
    <x v="2"/>
    <x v="3"/>
    <m/>
    <m/>
    <m/>
  </r>
  <r>
    <s v="YK260900076"/>
    <s v="CMP1 Complete"/>
    <x v="5"/>
    <s v="1"/>
    <x v="5"/>
    <d v="2026-03-23T08:22:45"/>
    <x v="3"/>
    <x v="2"/>
    <x v="3"/>
    <m/>
    <m/>
    <m/>
  </r>
  <r>
    <s v="YK260900077"/>
    <s v="CMP1 Complete"/>
    <x v="5"/>
    <s v="1"/>
    <x v="5"/>
    <d v="2026-03-25T13:12:33"/>
    <x v="3"/>
    <x v="2"/>
    <x v="3"/>
    <m/>
    <m/>
    <m/>
  </r>
  <r>
    <s v="YK260900078"/>
    <s v="CMP1 Complete"/>
    <x v="5"/>
    <s v="1"/>
    <x v="5"/>
    <d v="2026-03-18T13:25:15"/>
    <x v="3"/>
    <x v="2"/>
    <x v="3"/>
    <m/>
    <m/>
    <m/>
  </r>
  <r>
    <s v="YK260900079"/>
    <s v="CMP1 Complete"/>
    <x v="5"/>
    <s v="1"/>
    <x v="5"/>
    <d v="2026-03-23T08:27:45"/>
    <x v="3"/>
    <x v="2"/>
    <x v="3"/>
    <m/>
    <m/>
    <m/>
  </r>
  <r>
    <s v="YK260900080"/>
    <s v="CMP1 Complete"/>
    <x v="5"/>
    <s v="1"/>
    <x v="5"/>
    <d v="2026-03-23T08:29:48"/>
    <x v="3"/>
    <x v="2"/>
    <x v="3"/>
    <m/>
    <m/>
    <m/>
  </r>
  <r>
    <s v="YK260900081"/>
    <s v="CMP1 Complete"/>
    <x v="5"/>
    <s v="1"/>
    <x v="5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5"/>
    <s v="1"/>
    <x v="5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CMP1 Complete"/>
    <x v="5"/>
    <s v="1"/>
    <x v="5"/>
    <d v="2026-04-06T07:31:34"/>
    <x v="3"/>
    <x v="2"/>
    <x v="3"/>
    <m/>
    <m/>
    <m/>
  </r>
  <r>
    <s v="YK260900086"/>
    <s v="CMP1 Complete"/>
    <x v="5"/>
    <s v="1"/>
    <x v="5"/>
    <d v="2026-03-25T13:21:58"/>
    <x v="3"/>
    <x v="2"/>
    <x v="3"/>
    <m/>
    <m/>
    <m/>
  </r>
  <r>
    <s v="YK260900087"/>
    <s v="CMP1 Complete"/>
    <x v="5"/>
    <s v="1"/>
    <x v="5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5"/>
    <s v="1"/>
    <x v="5"/>
    <d v="2026-03-18T13:30:34"/>
    <x v="3"/>
    <x v="2"/>
    <x v="3"/>
    <m/>
    <m/>
    <m/>
  </r>
  <r>
    <s v="YK260900090"/>
    <s v="CMP1 Complete"/>
    <x v="5"/>
    <s v="1"/>
    <x v="5"/>
    <d v="2026-03-17T17:14:19"/>
    <x v="3"/>
    <x v="2"/>
    <x v="3"/>
    <m/>
    <m/>
    <m/>
  </r>
  <r>
    <s v="YK260900091"/>
    <s v="CMP1 Complete"/>
    <x v="5"/>
    <s v="1"/>
    <x v="5"/>
    <d v="2026-03-23T08:25:29"/>
    <x v="3"/>
    <x v="2"/>
    <x v="3"/>
    <m/>
    <m/>
    <m/>
  </r>
  <r>
    <s v="YK260900092"/>
    <s v="CMP1 Complete"/>
    <x v="5"/>
    <s v="1"/>
    <x v="5"/>
    <d v="2026-03-25T13:19:20"/>
    <x v="3"/>
    <x v="2"/>
    <x v="3"/>
    <m/>
    <m/>
    <m/>
  </r>
  <r>
    <s v="YK260900093"/>
    <s v="CMP1 Complete"/>
    <x v="5"/>
    <s v="1"/>
    <x v="5"/>
    <d v="2026-03-23T08:24:58"/>
    <x v="3"/>
    <x v="2"/>
    <x v="3"/>
    <m/>
    <m/>
    <m/>
  </r>
  <r>
    <s v="YK260900094"/>
    <s v="CMP1 Complete"/>
    <x v="5"/>
    <s v="1"/>
    <x v="5"/>
    <d v="2026-03-23T08:27:14"/>
    <x v="3"/>
    <x v="2"/>
    <x v="3"/>
    <m/>
    <m/>
    <m/>
  </r>
  <r>
    <s v="YK260900095"/>
    <s v="CMP1 Complete"/>
    <x v="5"/>
    <s v="1"/>
    <x v="5"/>
    <d v="2026-03-18T13:31:06"/>
    <x v="3"/>
    <x v="2"/>
    <x v="3"/>
    <m/>
    <m/>
    <m/>
  </r>
  <r>
    <s v="YK260900096"/>
    <s v="CMP1 Complete"/>
    <x v="5"/>
    <s v="1"/>
    <x v="5"/>
    <d v="2026-03-18T13:22:44"/>
    <x v="3"/>
    <x v="2"/>
    <x v="3"/>
    <m/>
    <m/>
    <m/>
  </r>
  <r>
    <s v="YK260900097"/>
    <s v="CMP1 Complete"/>
    <x v="5"/>
    <s v="1"/>
    <x v="5"/>
    <d v="2026-03-18T14:07:04"/>
    <x v="3"/>
    <x v="2"/>
    <x v="3"/>
    <m/>
    <m/>
    <m/>
  </r>
  <r>
    <s v="YK260900098"/>
    <s v="CMP1 Complete"/>
    <x v="5"/>
    <s v="1"/>
    <x v="5"/>
    <d v="2026-03-18T14:13:03"/>
    <x v="3"/>
    <x v="2"/>
    <x v="3"/>
    <m/>
    <m/>
    <m/>
  </r>
  <r>
    <s v="YK260900099"/>
    <s v="CMP1 Complete"/>
    <x v="5"/>
    <s v="1"/>
    <x v="5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5"/>
    <s v="1"/>
    <x v="5"/>
    <d v="2026-04-06T07:30:00"/>
    <x v="3"/>
    <x v="2"/>
    <x v="3"/>
    <m/>
    <m/>
    <m/>
  </r>
  <r>
    <s v="YK260900102"/>
    <s v="CMP1 Complete"/>
    <x v="5"/>
    <s v="1"/>
    <x v="5"/>
    <d v="2026-03-24T06:55:27"/>
    <x v="3"/>
    <x v="2"/>
    <x v="3"/>
    <m/>
    <m/>
    <m/>
  </r>
  <r>
    <s v="YK260900103"/>
    <s v="CMP1 Complete"/>
    <x v="5"/>
    <s v="1"/>
    <x v="5"/>
    <d v="2026-03-23T08:23:52"/>
    <x v="3"/>
    <x v="2"/>
    <x v="3"/>
    <m/>
    <m/>
    <m/>
  </r>
  <r>
    <s v="YK260900104"/>
    <s v="CMP1 Complete"/>
    <x v="5"/>
    <s v="1"/>
    <x v="5"/>
    <d v="2026-03-23T08:24:26"/>
    <x v="3"/>
    <x v="2"/>
    <x v="3"/>
    <m/>
    <m/>
    <m/>
  </r>
  <r>
    <s v="YK260900105"/>
    <s v="CMP1 Complete"/>
    <x v="5"/>
    <s v="1"/>
    <x v="5"/>
    <d v="2026-03-25T13:21:14"/>
    <x v="3"/>
    <x v="2"/>
    <x v="3"/>
    <m/>
    <m/>
    <m/>
  </r>
  <r>
    <s v="YK260900106"/>
    <s v="CMP1 Complete"/>
    <x v="5"/>
    <s v="1"/>
    <x v="5"/>
    <d v="2026-03-25T13:19:53"/>
    <x v="3"/>
    <x v="2"/>
    <x v="3"/>
    <m/>
    <m/>
    <m/>
  </r>
  <r>
    <s v="YK260900107"/>
    <s v="CMP1 Complete"/>
    <x v="5"/>
    <s v="1"/>
    <x v="5"/>
    <d v="2026-03-25T13:11:07"/>
    <x v="3"/>
    <x v="2"/>
    <x v="3"/>
    <m/>
    <m/>
    <m/>
  </r>
  <r>
    <s v="YK260900108"/>
    <s v="CMP1 Complete"/>
    <x v="5"/>
    <s v="1"/>
    <x v="5"/>
    <d v="2026-03-25T13:20:30"/>
    <x v="3"/>
    <x v="2"/>
    <x v="3"/>
    <m/>
    <m/>
    <m/>
  </r>
  <r>
    <s v="YK260900109"/>
    <s v="CMP1 Complete"/>
    <x v="5"/>
    <s v="1"/>
    <x v="5"/>
    <d v="2026-03-25T13:25:45"/>
    <x v="3"/>
    <x v="2"/>
    <x v="3"/>
    <m/>
    <m/>
    <m/>
  </r>
  <r>
    <s v="YK260900110"/>
    <s v="CMP1 Complete"/>
    <x v="5"/>
    <s v="1"/>
    <x v="5"/>
    <d v="2026-03-25T13:11:57"/>
    <x v="3"/>
    <x v="2"/>
    <x v="3"/>
    <m/>
    <m/>
    <m/>
  </r>
  <r>
    <s v="YK260900111"/>
    <s v="CMP1 Complete"/>
    <x v="5"/>
    <s v="1"/>
    <x v="5"/>
    <d v="2026-03-23T08:26:05"/>
    <x v="3"/>
    <x v="2"/>
    <x v="3"/>
    <m/>
    <m/>
    <m/>
  </r>
  <r>
    <s v="YK260900038"/>
    <s v="CMP1 Complete"/>
    <x v="5"/>
    <s v="1"/>
    <x v="5"/>
    <d v="2026-03-20T11:24:28"/>
    <x v="4"/>
    <x v="3"/>
    <x v="4"/>
    <m/>
    <m/>
    <m/>
  </r>
  <r>
    <s v="YK260900039"/>
    <s v="CMP1 Complete"/>
    <x v="5"/>
    <s v="1"/>
    <x v="5"/>
    <d v="2026-03-21T09:49:53"/>
    <x v="4"/>
    <x v="3"/>
    <x v="4"/>
    <m/>
    <m/>
    <m/>
  </r>
  <r>
    <s v="YK260900040"/>
    <s v="CMP1 Complete"/>
    <x v="5"/>
    <s v="1"/>
    <x v="5"/>
    <d v="2026-03-18T10:12:48"/>
    <x v="4"/>
    <x v="3"/>
    <x v="4"/>
    <m/>
    <m/>
    <m/>
  </r>
  <r>
    <s v="YK260900041"/>
    <s v="CMP1 Complete"/>
    <x v="5"/>
    <s v="1"/>
    <x v="5"/>
    <d v="2026-03-18T10:08:50"/>
    <x v="4"/>
    <x v="3"/>
    <x v="4"/>
    <m/>
    <m/>
    <m/>
  </r>
  <r>
    <s v="YK260900042"/>
    <s v="CMP1 Complete"/>
    <x v="5"/>
    <s v="1"/>
    <x v="5"/>
    <d v="2026-03-18T09:49:20"/>
    <x v="4"/>
    <x v="3"/>
    <x v="4"/>
    <m/>
    <m/>
    <m/>
  </r>
  <r>
    <s v="YK260900043"/>
    <s v="CMP1 Complete"/>
    <x v="5"/>
    <s v="1"/>
    <x v="5"/>
    <d v="2026-03-20T11:25:20"/>
    <x v="4"/>
    <x v="3"/>
    <x v="4"/>
    <m/>
    <m/>
    <m/>
  </r>
  <r>
    <s v="YK260900044"/>
    <s v="CMP1 Complete"/>
    <x v="5"/>
    <s v="1"/>
    <x v="5"/>
    <d v="2026-03-18T09:44:45"/>
    <x v="4"/>
    <x v="3"/>
    <x v="4"/>
    <m/>
    <m/>
    <m/>
  </r>
  <r>
    <s v="YK260900045"/>
    <s v="CMP1 Complete"/>
    <x v="5"/>
    <s v="1"/>
    <x v="5"/>
    <d v="2026-03-20T06:33:59"/>
    <x v="4"/>
    <x v="3"/>
    <x v="4"/>
    <m/>
    <m/>
    <m/>
  </r>
  <r>
    <s v="YK260900046"/>
    <s v="CMP1 Complete"/>
    <x v="5"/>
    <s v="1"/>
    <x v="5"/>
    <d v="2026-03-18T09:53:41"/>
    <x v="4"/>
    <x v="3"/>
    <x v="4"/>
    <m/>
    <m/>
    <m/>
  </r>
  <r>
    <s v="YK260900047"/>
    <s v="RWK1 Repair Test"/>
    <x v="4"/>
    <s v="1"/>
    <x v="4"/>
    <d v="2026-04-06T10:11:57"/>
    <x v="4"/>
    <x v="3"/>
    <x v="4"/>
    <m/>
    <m/>
    <m/>
  </r>
  <r>
    <s v="YK260900048"/>
    <s v="RWK1 Repair Test"/>
    <x v="4"/>
    <s v="1"/>
    <x v="4"/>
    <d v="2026-04-06T08:40:24"/>
    <x v="4"/>
    <x v="3"/>
    <x v="4"/>
    <m/>
    <m/>
    <m/>
  </r>
  <r>
    <s v="YK260900049"/>
    <s v="CMP1 Complete"/>
    <x v="5"/>
    <s v="1"/>
    <x v="5"/>
    <d v="2026-03-18T09:38:53"/>
    <x v="4"/>
    <x v="3"/>
    <x v="4"/>
    <m/>
    <m/>
    <m/>
  </r>
  <r>
    <s v="YK260900050"/>
    <s v="CMP1 Complete"/>
    <x v="5"/>
    <s v="1"/>
    <x v="5"/>
    <d v="2026-03-16T11:39:36"/>
    <x v="4"/>
    <x v="3"/>
    <x v="4"/>
    <m/>
    <m/>
    <m/>
  </r>
  <r>
    <s v="YK260900051"/>
    <s v="CMP1 Complete"/>
    <x v="5"/>
    <s v="1"/>
    <x v="5"/>
    <d v="2026-03-21T09:52:22"/>
    <x v="4"/>
    <x v="3"/>
    <x v="4"/>
    <m/>
    <m/>
    <m/>
  </r>
  <r>
    <s v="YK260900052"/>
    <s v="CMP1 Complete"/>
    <x v="5"/>
    <s v="1"/>
    <x v="5"/>
    <d v="2026-03-16T11:40:18"/>
    <x v="4"/>
    <x v="3"/>
    <x v="4"/>
    <m/>
    <m/>
    <m/>
  </r>
  <r>
    <s v="YK260900053"/>
    <s v="CMP1 Complete"/>
    <x v="5"/>
    <s v="1"/>
    <x v="5"/>
    <d v="2026-03-16T11:42:55"/>
    <x v="4"/>
    <x v="3"/>
    <x v="4"/>
    <m/>
    <m/>
    <m/>
  </r>
  <r>
    <s v="YK260900054"/>
    <s v="CMP1 Complete"/>
    <x v="5"/>
    <s v="1"/>
    <x v="5"/>
    <d v="2026-03-21T09:51:50"/>
    <x v="4"/>
    <x v="3"/>
    <x v="4"/>
    <m/>
    <m/>
    <m/>
  </r>
  <r>
    <s v="YK260900055"/>
    <s v="CMP1 Complete"/>
    <x v="5"/>
    <s v="1"/>
    <x v="5"/>
    <d v="2026-03-20T09:20:21"/>
    <x v="4"/>
    <x v="3"/>
    <x v="4"/>
    <s v="New Stencils"/>
    <m/>
    <m/>
  </r>
  <r>
    <s v="YK260900056"/>
    <s v="CMP1 Complete"/>
    <x v="5"/>
    <s v="1"/>
    <x v="5"/>
    <d v="2026-03-20T09:16:50"/>
    <x v="4"/>
    <x v="3"/>
    <x v="4"/>
    <s v="New Stencils"/>
    <m/>
    <m/>
  </r>
  <r>
    <s v="YK260900057"/>
    <s v="CMP1 Complete"/>
    <x v="5"/>
    <s v="1"/>
    <x v="5"/>
    <d v="2026-03-20T09:19:35"/>
    <x v="4"/>
    <x v="3"/>
    <x v="4"/>
    <s v="New Stencils"/>
    <m/>
    <m/>
  </r>
  <r>
    <s v="YK260900058"/>
    <s v="CMP1 Complete"/>
    <x v="5"/>
    <s v="1"/>
    <x v="5"/>
    <d v="2026-03-20T09:16:13"/>
    <x v="4"/>
    <x v="3"/>
    <x v="4"/>
    <s v="New Stencils"/>
    <m/>
    <m/>
  </r>
  <r>
    <s v="YK260900059"/>
    <s v="CMP1 Complete"/>
    <x v="5"/>
    <s v="1"/>
    <x v="5"/>
    <d v="2026-03-21T09:51:12"/>
    <x v="4"/>
    <x v="3"/>
    <x v="4"/>
    <s v="New Stencils"/>
    <m/>
    <m/>
  </r>
  <r>
    <s v="YK260900060"/>
    <s v="CMP1 Complete"/>
    <x v="5"/>
    <s v="1"/>
    <x v="5"/>
    <d v="2026-03-20T09:17:59"/>
    <x v="4"/>
    <x v="3"/>
    <x v="4"/>
    <s v="New Stencils"/>
    <m/>
    <m/>
  </r>
  <r>
    <s v="YK260900061"/>
    <s v="FUN1 Func Test"/>
    <x v="3"/>
    <s v="1"/>
    <x v="3"/>
    <d v="2026-04-01T06:36:31"/>
    <x v="4"/>
    <x v="3"/>
    <x v="4"/>
    <s v="New Stencils"/>
    <m/>
    <m/>
  </r>
  <r>
    <s v="YK260900062"/>
    <s v="CMP1 Complete"/>
    <x v="5"/>
    <s v="1"/>
    <x v="5"/>
    <d v="2026-03-16T11:41:02"/>
    <x v="4"/>
    <x v="3"/>
    <x v="4"/>
    <s v="New Stencils"/>
    <m/>
    <m/>
  </r>
  <r>
    <s v="YK260900063"/>
    <s v="CMP1 Complete"/>
    <x v="5"/>
    <s v="1"/>
    <x v="5"/>
    <d v="2026-03-16T11:38:39"/>
    <x v="4"/>
    <x v="3"/>
    <x v="4"/>
    <s v="New Stencils"/>
    <m/>
    <m/>
  </r>
  <r>
    <s v="YK260900064"/>
    <s v="CMP1 Complete"/>
    <x v="5"/>
    <s v="1"/>
    <x v="5"/>
    <d v="2026-03-21T09:50:23"/>
    <x v="4"/>
    <x v="3"/>
    <x v="4"/>
    <s v="New Stencils"/>
    <m/>
    <m/>
  </r>
  <r>
    <s v="YK260900065"/>
    <s v="CMP1 Complete"/>
    <x v="5"/>
    <s v="1"/>
    <x v="5"/>
    <d v="2026-03-20T11:23:22"/>
    <x v="4"/>
    <x v="3"/>
    <x v="4"/>
    <s v="New Stencils"/>
    <m/>
    <m/>
  </r>
  <r>
    <s v="YK260900066"/>
    <s v="CMP1 Complete"/>
    <x v="5"/>
    <s v="1"/>
    <x v="5"/>
    <d v="2026-03-20T09:19:00"/>
    <x v="4"/>
    <x v="3"/>
    <x v="4"/>
    <s v="New Stencils"/>
    <m/>
    <m/>
  </r>
  <r>
    <s v="YK260900067"/>
    <s v="CMP1 Complete"/>
    <x v="5"/>
    <s v="1"/>
    <x v="5"/>
    <d v="2026-03-16T11:41:42"/>
    <x v="4"/>
    <x v="3"/>
    <x v="4"/>
    <s v="New Stencils"/>
    <m/>
    <m/>
  </r>
  <r>
    <s v="YK260900068"/>
    <s v="CMP1 Complete"/>
    <x v="5"/>
    <s v="1"/>
    <x v="5"/>
    <d v="2026-03-20T09:32:48"/>
    <x v="4"/>
    <x v="3"/>
    <x v="4"/>
    <s v="New Stencils"/>
    <m/>
    <m/>
  </r>
  <r>
    <s v="YK260900069"/>
    <s v="CMP1 Complete"/>
    <x v="5"/>
    <s v="1"/>
    <x v="5"/>
    <d v="2026-03-20T09:17:27"/>
    <x v="4"/>
    <x v="3"/>
    <x v="4"/>
    <s v="New Stencils"/>
    <m/>
    <m/>
  </r>
  <r>
    <s v="YK260900070"/>
    <s v="CMP1 Complete"/>
    <x v="5"/>
    <s v="1"/>
    <x v="5"/>
    <d v="2026-03-18T10:04:06"/>
    <x v="4"/>
    <x v="3"/>
    <x v="4"/>
    <s v="New Stencils"/>
    <m/>
    <m/>
  </r>
  <r>
    <s v="YK260900071"/>
    <s v="CMP1 Complete"/>
    <x v="5"/>
    <s v="1"/>
    <x v="5"/>
    <d v="2026-03-31T12:00:25"/>
    <x v="4"/>
    <x v="3"/>
    <x v="4"/>
    <s v="New Stencils"/>
    <m/>
    <m/>
  </r>
  <r>
    <s v="YK260900072"/>
    <s v="CMP1 Complete"/>
    <x v="5"/>
    <s v="1"/>
    <x v="5"/>
    <d v="2026-03-18T09:58:28"/>
    <x v="4"/>
    <x v="3"/>
    <x v="4"/>
    <s v="New Stencils"/>
    <m/>
    <m/>
  </r>
  <r>
    <s v="YK260900073"/>
    <s v="CMP1 Complete"/>
    <x v="5"/>
    <s v="1"/>
    <x v="5"/>
    <d v="2026-03-20T06:34:53"/>
    <x v="4"/>
    <x v="3"/>
    <x v="4"/>
    <s v="New Stencils"/>
    <m/>
    <m/>
  </r>
  <r>
    <s v="YK260900074"/>
    <s v="CMP1 Complete"/>
    <x v="5"/>
    <s v="1"/>
    <x v="5"/>
    <d v="2026-03-16T10:13:32"/>
    <x v="4"/>
    <x v="3"/>
    <x v="4"/>
    <s v="New Stencils"/>
    <m/>
    <m/>
  </r>
  <r>
    <s v="YK261100763"/>
    <s v="RWK1 Repair Test"/>
    <x v="4"/>
    <s v="1"/>
    <x v="4"/>
    <d v="2026-04-06T10:10:01"/>
    <x v="5"/>
    <x v="3"/>
    <x v="5"/>
    <m/>
    <m/>
    <m/>
  </r>
  <r>
    <s v="YK261100764"/>
    <s v="CMP1 Complete"/>
    <x v="5"/>
    <s v="1"/>
    <x v="5"/>
    <d v="2026-04-06T07:33:01"/>
    <x v="5"/>
    <x v="3"/>
    <x v="5"/>
    <m/>
    <m/>
    <m/>
  </r>
  <r>
    <s v="YK261100765"/>
    <s v="CMP1 Complete"/>
    <x v="5"/>
    <s v="1"/>
    <x v="5"/>
    <d v="2026-03-24T14:08:12"/>
    <x v="5"/>
    <x v="3"/>
    <x v="5"/>
    <m/>
    <m/>
    <m/>
  </r>
  <r>
    <s v="YK261100766"/>
    <s v="CMP1 Complete"/>
    <x v="5"/>
    <s v="1"/>
    <x v="5"/>
    <d v="2026-03-25T09:48:18"/>
    <x v="5"/>
    <x v="3"/>
    <x v="5"/>
    <m/>
    <m/>
    <m/>
  </r>
  <r>
    <s v="YK261100767"/>
    <s v="CMP1 Complete"/>
    <x v="5"/>
    <s v="1"/>
    <x v="5"/>
    <d v="2026-03-26T13:31:34"/>
    <x v="5"/>
    <x v="3"/>
    <x v="5"/>
    <m/>
    <m/>
    <m/>
  </r>
  <r>
    <s v="YK261100768"/>
    <s v="CMP1 Complete"/>
    <x v="5"/>
    <s v="1"/>
    <x v="5"/>
    <d v="2026-03-24T14:08:55"/>
    <x v="5"/>
    <x v="3"/>
    <x v="5"/>
    <m/>
    <m/>
    <m/>
  </r>
  <r>
    <s v="YK261100769"/>
    <s v="CMP1 Complete"/>
    <x v="5"/>
    <s v="1"/>
    <x v="5"/>
    <d v="2026-03-26T13:13:51"/>
    <x v="5"/>
    <x v="3"/>
    <x v="5"/>
    <m/>
    <m/>
    <m/>
  </r>
  <r>
    <s v="YK261100770"/>
    <s v="CMP1 Complete"/>
    <x v="5"/>
    <s v="1"/>
    <x v="5"/>
    <d v="2026-03-24T14:09:19"/>
    <x v="5"/>
    <x v="3"/>
    <x v="5"/>
    <m/>
    <m/>
    <m/>
  </r>
  <r>
    <s v="YK261100771"/>
    <s v="CMP1 Complete"/>
    <x v="5"/>
    <s v="1"/>
    <x v="5"/>
    <d v="2026-03-26T13:20:20"/>
    <x v="5"/>
    <x v="3"/>
    <x v="5"/>
    <m/>
    <m/>
    <m/>
  </r>
  <r>
    <s v="YK261100772"/>
    <s v="CMP1 Complete"/>
    <x v="5"/>
    <s v="1"/>
    <x v="5"/>
    <d v="2026-04-06T07:29:11"/>
    <x v="5"/>
    <x v="3"/>
    <x v="5"/>
    <m/>
    <m/>
    <m/>
  </r>
  <r>
    <s v="YK261100773"/>
    <s v="RWK1 Repair Test"/>
    <x v="4"/>
    <s v="1"/>
    <x v="4"/>
    <d v="2026-04-06T08:36:23"/>
    <x v="5"/>
    <x v="3"/>
    <x v="5"/>
    <m/>
    <m/>
    <m/>
  </r>
  <r>
    <s v="YK261100774"/>
    <s v="CMP1 Complete"/>
    <x v="5"/>
    <s v="1"/>
    <x v="5"/>
    <d v="2026-03-26T13:29:22"/>
    <x v="5"/>
    <x v="3"/>
    <x v="5"/>
    <m/>
    <m/>
    <m/>
  </r>
  <r>
    <s v="YK261100775"/>
    <s v="CMP1 Complete"/>
    <x v="5"/>
    <s v="1"/>
    <x v="5"/>
    <d v="2026-03-26T13:12:00"/>
    <x v="5"/>
    <x v="3"/>
    <x v="5"/>
    <m/>
    <m/>
    <m/>
  </r>
  <r>
    <s v="YK261100776"/>
    <s v="CMP1 Complete"/>
    <x v="5"/>
    <s v="1"/>
    <x v="5"/>
    <d v="2026-03-24T14:08:34"/>
    <x v="5"/>
    <x v="3"/>
    <x v="5"/>
    <m/>
    <m/>
    <m/>
  </r>
  <r>
    <s v="YK261100777"/>
    <s v="CMP1 Complete"/>
    <x v="5"/>
    <s v="1"/>
    <x v="5"/>
    <d v="2026-03-25T09:30:31"/>
    <x v="5"/>
    <x v="3"/>
    <x v="5"/>
    <m/>
    <m/>
    <m/>
  </r>
  <r>
    <s v="YK261100778"/>
    <s v="CMP1 Complete"/>
    <x v="5"/>
    <s v="1"/>
    <x v="5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5"/>
    <s v="1"/>
    <x v="5"/>
    <d v="2026-03-25T09:34:39"/>
    <x v="5"/>
    <x v="3"/>
    <x v="5"/>
    <m/>
    <m/>
    <m/>
  </r>
  <r>
    <s v="YK261100781"/>
    <s v="CMP1 Complete"/>
    <x v="5"/>
    <s v="1"/>
    <x v="5"/>
    <d v="2026-03-26T13:10:14"/>
    <x v="5"/>
    <x v="3"/>
    <x v="5"/>
    <m/>
    <m/>
    <m/>
  </r>
  <r>
    <s v="YK261100782"/>
    <s v="CMP1 Complete"/>
    <x v="5"/>
    <s v="1"/>
    <x v="5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5"/>
    <s v="1"/>
    <x v="5"/>
    <d v="2026-03-26T13:30:36"/>
    <x v="5"/>
    <x v="3"/>
    <x v="5"/>
    <m/>
    <m/>
    <m/>
  </r>
  <r>
    <s v="YK261100785"/>
    <s v="CMP1 Complete"/>
    <x v="5"/>
    <s v="1"/>
    <x v="5"/>
    <d v="2026-03-26T13:32:51"/>
    <x v="5"/>
    <x v="3"/>
    <x v="5"/>
    <m/>
    <m/>
    <m/>
  </r>
  <r>
    <s v="YK261100786"/>
    <s v="CMP1 Complete"/>
    <x v="5"/>
    <s v="1"/>
    <x v="5"/>
    <d v="2026-03-25T09:29:41"/>
    <x v="5"/>
    <x v="3"/>
    <x v="5"/>
    <m/>
    <m/>
    <m/>
  </r>
  <r>
    <s v="YK261100787"/>
    <s v="CMP1 Complete"/>
    <x v="5"/>
    <s v="1"/>
    <x v="5"/>
    <d v="2026-03-25T09:34:10"/>
    <x v="5"/>
    <x v="3"/>
    <x v="5"/>
    <m/>
    <m/>
    <m/>
  </r>
  <r>
    <s v="YK261100788"/>
    <s v="RWK1 Repair Test"/>
    <x v="4"/>
    <s v="1"/>
    <x v="4"/>
    <d v="2026-04-06T10:15:46"/>
    <x v="5"/>
    <x v="3"/>
    <x v="5"/>
    <m/>
    <m/>
    <m/>
  </r>
  <r>
    <s v="YK261100789"/>
    <s v="CMP1 Complete"/>
    <x v="5"/>
    <s v="1"/>
    <x v="5"/>
    <d v="2026-03-26T13:34:02"/>
    <x v="5"/>
    <x v="3"/>
    <x v="5"/>
    <m/>
    <m/>
    <m/>
  </r>
  <r>
    <s v="YK261100790"/>
    <s v="CMP1 Complete"/>
    <x v="5"/>
    <s v="1"/>
    <x v="5"/>
    <d v="2026-03-25T09:31:03"/>
    <x v="5"/>
    <x v="3"/>
    <x v="5"/>
    <m/>
    <m/>
    <m/>
  </r>
  <r>
    <s v="YK261100791"/>
    <s v="CMP1 Complete"/>
    <x v="5"/>
    <s v="1"/>
    <x v="5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5"/>
    <s v="1"/>
    <x v="5"/>
    <d v="2026-03-24T14:09:42"/>
    <x v="5"/>
    <x v="3"/>
    <x v="5"/>
    <m/>
    <m/>
    <m/>
  </r>
  <r>
    <s v="YK261100795"/>
    <s v="CMP1 Complete"/>
    <x v="5"/>
    <s v="1"/>
    <x v="5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RWK1 Repair Test"/>
    <x v="4"/>
    <s v="1"/>
    <x v="4"/>
    <d v="2026-04-06T10:20:17"/>
    <x v="5"/>
    <x v="3"/>
    <x v="5"/>
    <m/>
    <m/>
    <m/>
  </r>
  <r>
    <s v="YK261100798"/>
    <s v="RWK1 Repair Test"/>
    <x v="4"/>
    <s v="1"/>
    <x v="4"/>
    <d v="2026-04-06T10:21:24"/>
    <x v="5"/>
    <x v="3"/>
    <x v="5"/>
    <m/>
    <m/>
    <m/>
  </r>
  <r>
    <s v="YK261100799"/>
    <s v="RWK1 Repair Test"/>
    <x v="4"/>
    <s v="1"/>
    <x v="4"/>
    <d v="2026-04-06T11:41:04"/>
    <x v="5"/>
    <x v="3"/>
    <x v="5"/>
    <m/>
    <m/>
    <m/>
  </r>
  <r>
    <s v="YK261400001"/>
    <s v="5DX1 SMT 5DX"/>
    <x v="6"/>
    <s v="1"/>
    <x v="3"/>
    <d v="2026-04-02T11:05:05"/>
    <x v="6"/>
    <x v="3"/>
    <x v="6"/>
    <m/>
    <m/>
    <m/>
  </r>
  <r>
    <s v="YK261400002"/>
    <s v="FUN1 Func Test"/>
    <x v="3"/>
    <s v="1"/>
    <x v="3"/>
    <d v="2026-04-06T07:59:36"/>
    <x v="6"/>
    <x v="3"/>
    <x v="6"/>
    <m/>
    <m/>
    <m/>
  </r>
  <r>
    <s v="YK261400003"/>
    <s v="5DX1 SMT 5DX"/>
    <x v="6"/>
    <s v="1"/>
    <x v="3"/>
    <d v="2026-04-02T12:20:12"/>
    <x v="6"/>
    <x v="3"/>
    <x v="6"/>
    <m/>
    <m/>
    <m/>
  </r>
  <r>
    <s v="YK261400004"/>
    <s v="5DX1 SMT 5DX"/>
    <x v="6"/>
    <s v="1"/>
    <x v="3"/>
    <d v="2026-04-02T12:29:08"/>
    <x v="6"/>
    <x v="3"/>
    <x v="6"/>
    <m/>
    <m/>
    <m/>
  </r>
  <r>
    <s v="YK261400005"/>
    <s v="AOR1 AOI RWK S1"/>
    <x v="7"/>
    <s v="1"/>
    <x v="4"/>
    <d v="2026-04-03T06:34:16"/>
    <x v="6"/>
    <x v="3"/>
    <x v="6"/>
    <m/>
    <m/>
    <m/>
  </r>
  <r>
    <s v="YK261400006"/>
    <s v="AOR1 AOI RWK S1"/>
    <x v="7"/>
    <s v="1"/>
    <x v="4"/>
    <d v="2026-04-03T06:48:28"/>
    <x v="6"/>
    <x v="3"/>
    <x v="6"/>
    <m/>
    <m/>
    <m/>
  </r>
  <r>
    <s v="YK261400007"/>
    <s v="5DX1 SMT 5DX"/>
    <x v="6"/>
    <s v="1"/>
    <x v="3"/>
    <d v="2026-04-02T13:14:52"/>
    <x v="6"/>
    <x v="3"/>
    <x v="6"/>
    <m/>
    <m/>
    <m/>
  </r>
  <r>
    <s v="YK261400008"/>
    <s v="AOR1 AOI RWK S1"/>
    <x v="7"/>
    <s v="1"/>
    <x v="4"/>
    <d v="2026-04-02T13:39:33"/>
    <x v="6"/>
    <x v="3"/>
    <x v="6"/>
    <m/>
    <m/>
    <m/>
  </r>
  <r>
    <s v="YK261400009"/>
    <s v="XRAY"/>
    <x v="8"/>
    <s v="1"/>
    <x v="3"/>
    <d v="2026-04-03T22:03:32"/>
    <x v="6"/>
    <x v="3"/>
    <x v="6"/>
    <m/>
    <m/>
    <m/>
  </r>
  <r>
    <s v="YK261400010"/>
    <s v="5DX1 SMT 5DX"/>
    <x v="6"/>
    <s v="1"/>
    <x v="3"/>
    <d v="2026-04-02T13:31:42"/>
    <x v="6"/>
    <x v="3"/>
    <x v="6"/>
    <m/>
    <m/>
    <m/>
  </r>
  <r>
    <s v="YK261400011"/>
    <s v="5DX1 SMT 5DX"/>
    <x v="6"/>
    <s v="1"/>
    <x v="3"/>
    <d v="2026-04-02T14:11:35"/>
    <x v="6"/>
    <x v="3"/>
    <x v="6"/>
    <m/>
    <m/>
    <m/>
  </r>
  <r>
    <s v="YK261400012"/>
    <s v="XRAY"/>
    <x v="8"/>
    <s v="1"/>
    <x v="3"/>
    <d v="2026-04-03T20:41:52"/>
    <x v="6"/>
    <x v="3"/>
    <x v="6"/>
    <m/>
    <m/>
    <m/>
  </r>
  <r>
    <s v="YK261400013"/>
    <s v="AOR1 AOI RWK S1"/>
    <x v="7"/>
    <s v="1"/>
    <x v="4"/>
    <d v="2026-04-02T13:39:58"/>
    <x v="6"/>
    <x v="3"/>
    <x v="6"/>
    <m/>
    <m/>
    <m/>
  </r>
  <r>
    <s v="YK261400014"/>
    <s v="AOR1 AOI RWK S1"/>
    <x v="7"/>
    <s v="1"/>
    <x v="4"/>
    <d v="2026-04-02T13:43:54"/>
    <x v="6"/>
    <x v="3"/>
    <x v="6"/>
    <m/>
    <m/>
    <m/>
  </r>
  <r>
    <s v="YK261400015"/>
    <s v="AOR1 AOI RWK S1"/>
    <x v="7"/>
    <s v="1"/>
    <x v="4"/>
    <d v="2026-04-02T14:03:59"/>
    <x v="6"/>
    <x v="3"/>
    <x v="6"/>
    <m/>
    <m/>
    <m/>
  </r>
  <r>
    <s v="YK261400016"/>
    <s v="5DX1 SMT 5DX"/>
    <x v="6"/>
    <s v="1"/>
    <x v="3"/>
    <d v="2026-04-02T13:52:02"/>
    <x v="6"/>
    <x v="3"/>
    <x v="6"/>
    <m/>
    <m/>
    <m/>
  </r>
  <r>
    <s v="YK261400017"/>
    <s v="AOR1 AOI RWK S1"/>
    <x v="7"/>
    <s v="1"/>
    <x v="4"/>
    <d v="2026-04-02T13:57:53"/>
    <x v="6"/>
    <x v="3"/>
    <x v="6"/>
    <m/>
    <m/>
    <m/>
  </r>
  <r>
    <s v="YK261400018"/>
    <s v="5DX1 SMT 5DX"/>
    <x v="6"/>
    <s v="1"/>
    <x v="3"/>
    <d v="2026-04-02T13:59:54"/>
    <x v="6"/>
    <x v="3"/>
    <x v="6"/>
    <m/>
    <m/>
    <m/>
  </r>
  <r>
    <s v="YK261400019"/>
    <s v="5DX1 SMT 5DX"/>
    <x v="6"/>
    <s v="1"/>
    <x v="3"/>
    <d v="2026-04-03T06:50:54"/>
    <x v="6"/>
    <x v="3"/>
    <x v="6"/>
    <m/>
    <m/>
    <m/>
  </r>
  <r>
    <s v="YK261400020"/>
    <s v="AOR1 AOI RWK S1"/>
    <x v="7"/>
    <s v="1"/>
    <x v="4"/>
    <d v="2026-04-03T06:41:59"/>
    <x v="6"/>
    <x v="3"/>
    <x v="6"/>
    <m/>
    <m/>
    <m/>
  </r>
  <r>
    <s v="YK261400021"/>
    <s v="AOR1 AOI RWK S1"/>
    <x v="7"/>
    <s v="1"/>
    <x v="4"/>
    <d v="2026-04-03T06:37:47"/>
    <x v="6"/>
    <x v="3"/>
    <x v="6"/>
    <m/>
    <m/>
    <m/>
  </r>
  <r>
    <s v="YK261400022"/>
    <s v="XRAY"/>
    <x v="8"/>
    <s v="1"/>
    <x v="3"/>
    <d v="2026-04-03T20:59:49"/>
    <x v="6"/>
    <x v="3"/>
    <x v="6"/>
    <m/>
    <m/>
    <m/>
  </r>
  <r>
    <s v="YK261400023"/>
    <s v="PBAI Inspect"/>
    <x v="9"/>
    <s v="1"/>
    <x v="3"/>
    <d v="2026-04-06T13:31:25"/>
    <x v="6"/>
    <x v="3"/>
    <x v="6"/>
    <m/>
    <m/>
    <m/>
  </r>
  <r>
    <s v="YK261400024"/>
    <s v="PBAI Inspect"/>
    <x v="9"/>
    <s v="1"/>
    <x v="3"/>
    <d v="2026-04-06T13:31:09"/>
    <x v="6"/>
    <x v="3"/>
    <x v="6"/>
    <m/>
    <m/>
    <m/>
  </r>
  <r>
    <s v="YK261400025"/>
    <s v="PBAI Inspect"/>
    <x v="9"/>
    <s v="1"/>
    <x v="3"/>
    <d v="2026-04-06T13:31:35"/>
    <x v="6"/>
    <x v="3"/>
    <x v="6"/>
    <m/>
    <m/>
    <m/>
  </r>
  <r>
    <s v="YK261400026"/>
    <s v="PBAI Inspect"/>
    <x v="9"/>
    <s v="1"/>
    <x v="3"/>
    <d v="2026-04-06T13:30:59"/>
    <x v="6"/>
    <x v="3"/>
    <x v="6"/>
    <m/>
    <m/>
    <m/>
  </r>
  <r>
    <s v="YK261400027"/>
    <s v="AOR1 AOI RWK S1"/>
    <x v="7"/>
    <s v="1"/>
    <x v="4"/>
    <d v="2026-04-03T07:58:26"/>
    <x v="6"/>
    <x v="3"/>
    <x v="6"/>
    <m/>
    <m/>
    <m/>
  </r>
  <r>
    <s v="YK261400028"/>
    <s v="FUN1 Func Test"/>
    <x v="3"/>
    <s v="1"/>
    <x v="3"/>
    <d v="2026-04-06T07:58:27"/>
    <x v="6"/>
    <x v="3"/>
    <x v="6"/>
    <m/>
    <m/>
    <m/>
  </r>
  <r>
    <s v="YK261400029"/>
    <s v="XRAY"/>
    <x v="8"/>
    <s v="1"/>
    <x v="3"/>
    <d v="2026-04-03T22:05:26"/>
    <x v="6"/>
    <x v="3"/>
    <x v="6"/>
    <m/>
    <m/>
    <m/>
  </r>
  <r>
    <s v="YK261400030"/>
    <s v="5DX1 SMT 5DX"/>
    <x v="6"/>
    <s v="1"/>
    <x v="3"/>
    <d v="2026-04-03T08:07:43"/>
    <x v="6"/>
    <x v="3"/>
    <x v="6"/>
    <m/>
    <m/>
    <m/>
  </r>
  <r>
    <s v="YK261400031"/>
    <s v="5DX1 SMT 5DX"/>
    <x v="6"/>
    <s v="1"/>
    <x v="3"/>
    <d v="2026-04-03T08:10:10"/>
    <x v="6"/>
    <x v="3"/>
    <x v="6"/>
    <m/>
    <m/>
    <m/>
  </r>
  <r>
    <s v="YK261400032"/>
    <s v="XRAY"/>
    <x v="8"/>
    <s v="1"/>
    <x v="3"/>
    <d v="2026-04-03T17:54:21"/>
    <x v="6"/>
    <x v="3"/>
    <x v="6"/>
    <m/>
    <m/>
    <m/>
  </r>
  <r>
    <s v="YK261400033"/>
    <s v="XRAY"/>
    <x v="8"/>
    <s v="1"/>
    <x v="3"/>
    <d v="2026-04-03T11:40:59"/>
    <x v="6"/>
    <x v="3"/>
    <x v="6"/>
    <m/>
    <m/>
    <m/>
  </r>
  <r>
    <s v="YK261400034"/>
    <s v="XRAY"/>
    <x v="8"/>
    <s v="1"/>
    <x v="3"/>
    <d v="2026-04-03T17:18:10"/>
    <x v="6"/>
    <x v="3"/>
    <x v="6"/>
    <m/>
    <m/>
    <m/>
  </r>
  <r>
    <s v="YK261400035"/>
    <s v="XRAY"/>
    <x v="8"/>
    <s v="1"/>
    <x v="3"/>
    <d v="2026-04-03T22:17:39"/>
    <x v="6"/>
    <x v="3"/>
    <x v="6"/>
    <m/>
    <m/>
    <m/>
  </r>
  <r>
    <s v="YK261400036"/>
    <s v="XRAY"/>
    <x v="8"/>
    <s v="1"/>
    <x v="3"/>
    <d v="2026-04-03T17:46:36"/>
    <x v="6"/>
    <x v="3"/>
    <x v="6"/>
    <m/>
    <m/>
    <m/>
  </r>
  <r>
    <s v="YK261400037"/>
    <s v="AOR1 AOI RWK S1"/>
    <x v="7"/>
    <s v="1"/>
    <x v="4"/>
    <d v="2026-04-03T12:07:40"/>
    <x v="6"/>
    <x v="3"/>
    <x v="6"/>
    <m/>
    <m/>
    <m/>
  </r>
  <r>
    <s v="YK261400038"/>
    <s v="XRAY"/>
    <x v="8"/>
    <s v="1"/>
    <x v="3"/>
    <d v="2026-04-03T17:13:58"/>
    <x v="6"/>
    <x v="3"/>
    <x v="6"/>
    <m/>
    <m/>
    <m/>
  </r>
  <r>
    <s v="YK261400039"/>
    <s v="AOR1 AOI RWK S1"/>
    <x v="7"/>
    <s v="1"/>
    <x v="4"/>
    <d v="2026-04-03T12:14:09"/>
    <x v="6"/>
    <x v="3"/>
    <x v="6"/>
    <m/>
    <m/>
    <m/>
  </r>
  <r>
    <s v="YK261400040"/>
    <s v="XRAY"/>
    <x v="8"/>
    <s v="1"/>
    <x v="3"/>
    <d v="2026-04-03T19:54:16"/>
    <x v="6"/>
    <x v="3"/>
    <x v="6"/>
    <m/>
    <m/>
    <m/>
  </r>
  <r>
    <s v="YK261400041"/>
    <s v="XRAY"/>
    <x v="8"/>
    <s v="1"/>
    <x v="3"/>
    <d v="2026-04-03T17:58:38"/>
    <x v="6"/>
    <x v="3"/>
    <x v="6"/>
    <m/>
    <m/>
    <m/>
  </r>
  <r>
    <s v="YK261400042"/>
    <s v="XRAY"/>
    <x v="8"/>
    <s v="1"/>
    <x v="3"/>
    <d v="2026-04-03T17:52:10"/>
    <x v="6"/>
    <x v="3"/>
    <x v="6"/>
    <m/>
    <m/>
    <m/>
  </r>
  <r>
    <s v="YK261400043"/>
    <s v="5DX1 SMT 5DX"/>
    <x v="6"/>
    <s v="1"/>
    <x v="3"/>
    <d v="2026-04-06T08:32:22"/>
    <x v="6"/>
    <x v="3"/>
    <x v="6"/>
    <m/>
    <m/>
    <m/>
  </r>
  <r>
    <s v="YK261400044"/>
    <s v="5DX1 SMT 5DX"/>
    <x v="6"/>
    <s v="1"/>
    <x v="3"/>
    <d v="2026-04-06T07:16:56"/>
    <x v="6"/>
    <x v="3"/>
    <x v="6"/>
    <m/>
    <m/>
    <m/>
  </r>
  <r>
    <s v="YK261400045"/>
    <s v="AOR1 AOI RWK S1"/>
    <x v="7"/>
    <s v="1"/>
    <x v="4"/>
    <d v="2026-04-06T09:00:38"/>
    <x v="6"/>
    <x v="3"/>
    <x v="6"/>
    <m/>
    <m/>
    <m/>
  </r>
  <r>
    <s v="YK261400046"/>
    <s v="AOR1 AOI RWK S1"/>
    <x v="7"/>
    <s v="1"/>
    <x v="4"/>
    <d v="2026-04-06T09:05:18"/>
    <x v="6"/>
    <x v="3"/>
    <x v="6"/>
    <m/>
    <m/>
    <m/>
  </r>
  <r>
    <s v="YK261400047"/>
    <s v="AOR1 AOI RWK S1"/>
    <x v="7"/>
    <s v="1"/>
    <x v="4"/>
    <d v="2026-04-06T10:00:55"/>
    <x v="6"/>
    <x v="3"/>
    <x v="6"/>
    <m/>
    <m/>
    <m/>
  </r>
  <r>
    <s v="YK261400048"/>
    <s v="AOR1 AOI RWK S1"/>
    <x v="7"/>
    <s v="1"/>
    <x v="4"/>
    <d v="2026-04-06T10:04:49"/>
    <x v="6"/>
    <x v="3"/>
    <x v="6"/>
    <m/>
    <m/>
    <m/>
  </r>
  <r>
    <s v="YK261400049"/>
    <s v="AOR1 AOI RWK S1"/>
    <x v="7"/>
    <s v="1"/>
    <x v="4"/>
    <d v="2026-04-06T10:21:04"/>
    <x v="6"/>
    <x v="3"/>
    <x v="6"/>
    <m/>
    <m/>
    <m/>
  </r>
  <r>
    <s v="YK261400050"/>
    <s v="5DX1 SMT 5DX"/>
    <x v="6"/>
    <s v="1"/>
    <x v="3"/>
    <d v="2026-04-06T10:53:30"/>
    <x v="6"/>
    <x v="3"/>
    <x v="6"/>
    <m/>
    <m/>
    <m/>
  </r>
  <r>
    <s v="YK261400051"/>
    <s v="5DX1 SMT 5DX"/>
    <x v="6"/>
    <s v="1"/>
    <x v="3"/>
    <d v="2026-04-06T12:14:11"/>
    <x v="6"/>
    <x v="3"/>
    <x v="6"/>
    <m/>
    <m/>
    <m/>
  </r>
  <r>
    <s v="YK261400052"/>
    <s v="5DX1 SMT 5DX"/>
    <x v="6"/>
    <s v="1"/>
    <x v="3"/>
    <d v="2026-04-06T12:16:11"/>
    <x v="6"/>
    <x v="3"/>
    <x v="6"/>
    <m/>
    <m/>
    <m/>
  </r>
  <r>
    <s v="YK261400053"/>
    <s v="AOR1 AOI RWK S1"/>
    <x v="7"/>
    <s v="1"/>
    <x v="4"/>
    <d v="2026-04-06T11:34:14"/>
    <x v="6"/>
    <x v="3"/>
    <x v="6"/>
    <m/>
    <m/>
    <m/>
  </r>
  <r>
    <s v="YK261400054"/>
    <s v="5DX1 SMT 5DX"/>
    <x v="6"/>
    <s v="1"/>
    <x v="3"/>
    <d v="2026-04-06T12:01:13"/>
    <x v="6"/>
    <x v="3"/>
    <x v="6"/>
    <m/>
    <m/>
    <m/>
  </r>
  <r>
    <s v="YK261400055"/>
    <s v="5DX1 SMT 5DX"/>
    <x v="6"/>
    <s v="1"/>
    <x v="3"/>
    <d v="2026-04-06T13:13:30"/>
    <x v="6"/>
    <x v="3"/>
    <x v="6"/>
    <m/>
    <m/>
    <m/>
  </r>
  <r>
    <s v="YK261400056"/>
    <s v="AOR1 AOI RWK S1"/>
    <x v="7"/>
    <s v="1"/>
    <x v="4"/>
    <d v="2026-04-06T13:47:05"/>
    <x v="6"/>
    <x v="3"/>
    <x v="6"/>
    <m/>
    <m/>
    <m/>
  </r>
  <r>
    <s v="YK261400057"/>
    <s v="AOI1 AOI Inspect S1"/>
    <x v="10"/>
    <s v="1"/>
    <x v="3"/>
    <d v="2026-04-06T12:24:42"/>
    <x v="6"/>
    <x v="3"/>
    <x v="6"/>
    <m/>
    <m/>
    <m/>
  </r>
  <r>
    <s v="YK261400058"/>
    <s v="AOI1 AOI Inspect S1"/>
    <x v="10"/>
    <s v="1"/>
    <x v="3"/>
    <d v="2026-04-06T12:24:54"/>
    <x v="6"/>
    <x v="3"/>
    <x v="6"/>
    <m/>
    <m/>
    <m/>
  </r>
  <r>
    <s v="YK261400059"/>
    <s v="AOI1 AOI Inspect S1"/>
    <x v="10"/>
    <s v="1"/>
    <x v="3"/>
    <d v="2026-04-06T12:25:12"/>
    <x v="6"/>
    <x v="3"/>
    <x v="6"/>
    <m/>
    <m/>
    <m/>
  </r>
  <r>
    <s v="YK261400060"/>
    <s v="AOI1 AOI Inspect S1"/>
    <x v="10"/>
    <s v="1"/>
    <x v="3"/>
    <d v="2026-04-06T12:26:39"/>
    <x v="6"/>
    <x v="3"/>
    <x v="6"/>
    <m/>
    <m/>
    <m/>
  </r>
  <r>
    <s v="YK261400061"/>
    <s v="AOI1 AOI Inspect S1"/>
    <x v="10"/>
    <s v="1"/>
    <x v="3"/>
    <d v="2026-04-06T12:26:59"/>
    <x v="6"/>
    <x v="3"/>
    <x v="6"/>
    <m/>
    <m/>
    <m/>
  </r>
  <r>
    <s v="YK261400062"/>
    <s v="AOI1 AOI Inspect S1"/>
    <x v="10"/>
    <s v="1"/>
    <x v="3"/>
    <d v="2026-04-06T12:27:12"/>
    <x v="6"/>
    <x v="3"/>
    <x v="6"/>
    <m/>
    <m/>
    <m/>
  </r>
  <r>
    <s v="YK261400063"/>
    <s v="AOI1 AOI Inspect S1"/>
    <x v="10"/>
    <s v="1"/>
    <x v="3"/>
    <d v="2026-04-06T12:27:30"/>
    <x v="6"/>
    <x v="3"/>
    <x v="6"/>
    <m/>
    <m/>
    <m/>
  </r>
  <r>
    <s v="YK261400064"/>
    <s v="AOI1 AOI Inspect S1"/>
    <x v="10"/>
    <s v="1"/>
    <x v="3"/>
    <d v="2026-04-06T13:16:21"/>
    <x v="6"/>
    <x v="3"/>
    <x v="6"/>
    <m/>
    <m/>
    <m/>
  </r>
  <r>
    <s v="YK261400065"/>
    <s v="AOI1 AOI Inspect S1"/>
    <x v="10"/>
    <s v="1"/>
    <x v="3"/>
    <d v="2026-04-06T13:17:58"/>
    <x v="6"/>
    <x v="3"/>
    <x v="6"/>
    <m/>
    <m/>
    <m/>
  </r>
  <r>
    <s v="YK261400066"/>
    <s v="AOI1 AOI Inspect S1"/>
    <x v="10"/>
    <s v="1"/>
    <x v="3"/>
    <d v="2026-04-06T13:18:09"/>
    <x v="6"/>
    <x v="3"/>
    <x v="6"/>
    <m/>
    <m/>
    <m/>
  </r>
  <r>
    <s v="YK261400067"/>
    <s v="NOT-IN-PROCESS"/>
    <x v="0"/>
    <s v="1"/>
    <x v="6"/>
    <d v="2026-03-31T08:34:13"/>
    <x v="6"/>
    <x v="3"/>
    <x v="6"/>
    <m/>
    <m/>
    <m/>
  </r>
  <r>
    <s v="YK261400068"/>
    <s v="NOT-IN-PROCESS"/>
    <x v="0"/>
    <s v="1"/>
    <x v="6"/>
    <d v="2026-03-31T08:34:13"/>
    <x v="6"/>
    <x v="3"/>
    <x v="6"/>
    <m/>
    <m/>
    <m/>
  </r>
  <r>
    <s v="YK261400069"/>
    <s v="NOT-IN-PROCESS"/>
    <x v="0"/>
    <s v="1"/>
    <x v="6"/>
    <d v="2026-03-31T08:34:13"/>
    <x v="6"/>
    <x v="3"/>
    <x v="6"/>
    <m/>
    <m/>
    <m/>
  </r>
  <r>
    <s v="YK261400070"/>
    <s v="NOT-IN-PROCESS"/>
    <x v="0"/>
    <s v="1"/>
    <x v="6"/>
    <d v="2026-03-31T08:34:13"/>
    <x v="6"/>
    <x v="3"/>
    <x v="6"/>
    <m/>
    <m/>
    <m/>
  </r>
  <r>
    <s v="YK261400071"/>
    <s v="NOT-IN-PROCESS"/>
    <x v="0"/>
    <s v="1"/>
    <x v="6"/>
    <d v="2026-03-31T08:34:13"/>
    <x v="6"/>
    <x v="3"/>
    <x v="6"/>
    <m/>
    <m/>
    <m/>
  </r>
  <r>
    <s v="YK261400072"/>
    <s v="NOT-IN-PROCESS"/>
    <x v="0"/>
    <s v="1"/>
    <x v="6"/>
    <d v="2026-03-31T08:34:13"/>
    <x v="6"/>
    <x v="3"/>
    <x v="6"/>
    <m/>
    <m/>
    <m/>
  </r>
  <r>
    <s v="YK261400073"/>
    <s v="NOT-IN-PROCESS"/>
    <x v="0"/>
    <s v="1"/>
    <x v="6"/>
    <d v="2026-03-31T08:34:13"/>
    <x v="6"/>
    <x v="3"/>
    <x v="6"/>
    <m/>
    <m/>
    <m/>
  </r>
  <r>
    <s v="YK261400074"/>
    <s v="NOT-IN-PROCESS"/>
    <x v="0"/>
    <s v="1"/>
    <x v="6"/>
    <d v="2026-03-31T08:34:13"/>
    <x v="6"/>
    <x v="3"/>
    <x v="6"/>
    <m/>
    <m/>
    <m/>
  </r>
  <r>
    <s v="YK261400075"/>
    <s v="NOT-IN-PROCESS"/>
    <x v="0"/>
    <s v="1"/>
    <x v="6"/>
    <d v="2026-03-31T08:34:13"/>
    <x v="6"/>
    <x v="3"/>
    <x v="6"/>
    <m/>
    <m/>
    <m/>
  </r>
  <r>
    <s v="YK261400076"/>
    <s v="NOT-IN-PROCESS"/>
    <x v="0"/>
    <s v="1"/>
    <x v="6"/>
    <d v="2026-03-31T08:34:13"/>
    <x v="6"/>
    <x v="3"/>
    <x v="6"/>
    <m/>
    <m/>
    <m/>
  </r>
  <r>
    <s v="YK261400077"/>
    <s v="NOT-IN-PROCESS"/>
    <x v="0"/>
    <s v="1"/>
    <x v="6"/>
    <d v="2026-03-31T08:34:13"/>
    <x v="6"/>
    <x v="3"/>
    <x v="6"/>
    <m/>
    <m/>
    <m/>
  </r>
  <r>
    <s v="YK261400078"/>
    <s v="NOT-IN-PROCESS"/>
    <x v="0"/>
    <s v="1"/>
    <x v="6"/>
    <d v="2026-03-31T08:34:13"/>
    <x v="6"/>
    <x v="3"/>
    <x v="6"/>
    <m/>
    <m/>
    <m/>
  </r>
  <r>
    <s v="YK261400079"/>
    <s v="NOT-IN-PROCESS"/>
    <x v="0"/>
    <s v="1"/>
    <x v="6"/>
    <d v="2026-03-31T08:34:13"/>
    <x v="6"/>
    <x v="3"/>
    <x v="6"/>
    <m/>
    <m/>
    <m/>
  </r>
  <r>
    <s v="YK261400080"/>
    <s v="NOT-IN-PROCESS"/>
    <x v="0"/>
    <s v="1"/>
    <x v="6"/>
    <d v="2026-03-31T08:34:13"/>
    <x v="6"/>
    <x v="3"/>
    <x v="6"/>
    <m/>
    <m/>
    <m/>
  </r>
  <r>
    <s v="YK261400081"/>
    <s v="NOT-IN-PROCESS"/>
    <x v="0"/>
    <s v="1"/>
    <x v="6"/>
    <d v="2026-03-31T08:34:13"/>
    <x v="6"/>
    <x v="3"/>
    <x v="6"/>
    <m/>
    <m/>
    <m/>
  </r>
  <r>
    <s v="YK261400082"/>
    <s v="NOT-IN-PROCESS"/>
    <x v="0"/>
    <s v="1"/>
    <x v="6"/>
    <d v="2026-03-31T08:34:13"/>
    <x v="6"/>
    <x v="3"/>
    <x v="6"/>
    <m/>
    <m/>
    <m/>
  </r>
  <r>
    <s v="YK261400083"/>
    <s v="NOT-IN-PROCESS"/>
    <x v="0"/>
    <s v="1"/>
    <x v="6"/>
    <d v="2026-03-31T08:34:13"/>
    <x v="6"/>
    <x v="3"/>
    <x v="6"/>
    <m/>
    <m/>
    <m/>
  </r>
  <r>
    <s v="YK261400084"/>
    <s v="NOT-IN-PROCESS"/>
    <x v="0"/>
    <s v="1"/>
    <x v="6"/>
    <d v="2026-03-31T08:34:13"/>
    <x v="6"/>
    <x v="3"/>
    <x v="6"/>
    <m/>
    <m/>
    <m/>
  </r>
  <r>
    <s v="YK261400085"/>
    <s v="NOT-IN-PROCESS"/>
    <x v="0"/>
    <s v="1"/>
    <x v="6"/>
    <d v="2026-03-31T08:34:13"/>
    <x v="6"/>
    <x v="3"/>
    <x v="6"/>
    <m/>
    <m/>
    <m/>
  </r>
  <r>
    <s v="YK261400086"/>
    <s v="NOT-IN-PROCESS"/>
    <x v="0"/>
    <s v="1"/>
    <x v="6"/>
    <d v="2026-03-31T08:34:13"/>
    <x v="6"/>
    <x v="3"/>
    <x v="6"/>
    <m/>
    <m/>
    <m/>
  </r>
  <r>
    <s v="YK261400087"/>
    <s v="NOT-IN-PROCESS"/>
    <x v="0"/>
    <s v="1"/>
    <x v="6"/>
    <d v="2026-03-31T08:34:13"/>
    <x v="6"/>
    <x v="3"/>
    <x v="6"/>
    <m/>
    <m/>
    <m/>
  </r>
  <r>
    <s v="YK261400088"/>
    <s v="NOT-IN-PROCESS"/>
    <x v="0"/>
    <s v="1"/>
    <x v="6"/>
    <d v="2026-03-31T08:34:13"/>
    <x v="6"/>
    <x v="3"/>
    <x v="6"/>
    <m/>
    <m/>
    <m/>
  </r>
  <r>
    <s v="YK261400089"/>
    <s v="NOT-IN-PROCESS"/>
    <x v="0"/>
    <s v="1"/>
    <x v="6"/>
    <d v="2026-03-31T08:34:13"/>
    <x v="6"/>
    <x v="3"/>
    <x v="6"/>
    <m/>
    <m/>
    <m/>
  </r>
  <r>
    <s v="YK261400090"/>
    <s v="NOT-IN-PROCESS"/>
    <x v="0"/>
    <s v="1"/>
    <x v="6"/>
    <d v="2026-03-31T08:34:13"/>
    <x v="6"/>
    <x v="3"/>
    <x v="6"/>
    <m/>
    <m/>
    <m/>
  </r>
  <r>
    <s v="YK261400091"/>
    <s v="NOT-IN-PROCESS"/>
    <x v="0"/>
    <s v="1"/>
    <x v="6"/>
    <d v="2026-03-31T08:34:13"/>
    <x v="6"/>
    <x v="3"/>
    <x v="6"/>
    <m/>
    <m/>
    <m/>
  </r>
  <r>
    <s v="YK261400092"/>
    <s v="NOT-IN-PROCESS"/>
    <x v="0"/>
    <s v="1"/>
    <x v="6"/>
    <d v="2026-03-31T08:34:13"/>
    <x v="6"/>
    <x v="3"/>
    <x v="6"/>
    <m/>
    <m/>
    <m/>
  </r>
  <r>
    <s v="YK261400093"/>
    <s v="NOT-IN-PROCESS"/>
    <x v="0"/>
    <s v="1"/>
    <x v="6"/>
    <d v="2026-03-31T08:34:13"/>
    <x v="6"/>
    <x v="3"/>
    <x v="6"/>
    <m/>
    <m/>
    <m/>
  </r>
  <r>
    <s v="YK261400094"/>
    <s v="NOT-IN-PROCESS"/>
    <x v="0"/>
    <s v="1"/>
    <x v="6"/>
    <d v="2026-03-31T08:34:13"/>
    <x v="6"/>
    <x v="3"/>
    <x v="6"/>
    <m/>
    <m/>
    <m/>
  </r>
  <r>
    <s v="YK261400095"/>
    <s v="NOT-IN-PROCESS"/>
    <x v="0"/>
    <s v="1"/>
    <x v="6"/>
    <d v="2026-03-31T08:34:13"/>
    <x v="6"/>
    <x v="3"/>
    <x v="6"/>
    <m/>
    <m/>
    <m/>
  </r>
  <r>
    <s v="YK261400096"/>
    <s v="NOT-IN-PROCESS"/>
    <x v="0"/>
    <s v="1"/>
    <x v="6"/>
    <d v="2026-03-31T08:34:13"/>
    <x v="6"/>
    <x v="3"/>
    <x v="6"/>
    <m/>
    <m/>
    <m/>
  </r>
  <r>
    <s v="YK261400097"/>
    <s v="NOT-IN-PROCESS"/>
    <x v="0"/>
    <s v="1"/>
    <x v="6"/>
    <d v="2026-03-31T08:34:13"/>
    <x v="6"/>
    <x v="3"/>
    <x v="6"/>
    <m/>
    <m/>
    <m/>
  </r>
  <r>
    <s v="YK261400098"/>
    <s v="NOT-IN-PROCESS"/>
    <x v="0"/>
    <s v="1"/>
    <x v="6"/>
    <d v="2026-03-31T08:34:13"/>
    <x v="6"/>
    <x v="3"/>
    <x v="6"/>
    <m/>
    <m/>
    <m/>
  </r>
  <r>
    <s v="YK261400099"/>
    <s v="NOT-IN-PROCESS"/>
    <x v="0"/>
    <s v="1"/>
    <x v="6"/>
    <d v="2026-03-31T08:34:13"/>
    <x v="6"/>
    <x v="3"/>
    <x v="6"/>
    <m/>
    <m/>
    <m/>
  </r>
  <r>
    <s v="YK261400100"/>
    <s v="NOT-IN-PROCESS"/>
    <x v="0"/>
    <s v="1"/>
    <x v="6"/>
    <d v="2026-03-31T08:34:13"/>
    <x v="6"/>
    <x v="3"/>
    <x v="6"/>
    <m/>
    <m/>
    <m/>
  </r>
  <r>
    <s v="YK261400101"/>
    <s v="NOT-IN-PROCESS"/>
    <x v="0"/>
    <s v="1"/>
    <x v="6"/>
    <d v="2026-03-31T08:34:13"/>
    <x v="6"/>
    <x v="3"/>
    <x v="6"/>
    <m/>
    <m/>
    <m/>
  </r>
  <r>
    <s v="YK261400102"/>
    <s v="NOT-IN-PROCESS"/>
    <x v="0"/>
    <s v="1"/>
    <x v="6"/>
    <d v="2026-03-31T08:34:13"/>
    <x v="6"/>
    <x v="3"/>
    <x v="6"/>
    <m/>
    <m/>
    <m/>
  </r>
  <r>
    <s v="YK261400103"/>
    <s v="NOT-IN-PROCESS"/>
    <x v="0"/>
    <s v="1"/>
    <x v="6"/>
    <d v="2026-03-31T08:34:13"/>
    <x v="6"/>
    <x v="3"/>
    <x v="6"/>
    <m/>
    <m/>
    <m/>
  </r>
  <r>
    <s v="YK261400104"/>
    <s v="NOT-IN-PROCESS"/>
    <x v="0"/>
    <s v="1"/>
    <x v="6"/>
    <d v="2026-03-31T08:34:13"/>
    <x v="6"/>
    <x v="3"/>
    <x v="6"/>
    <m/>
    <m/>
    <m/>
  </r>
  <r>
    <s v="YK261400105"/>
    <s v="NOT-IN-PROCESS"/>
    <x v="0"/>
    <s v="1"/>
    <x v="6"/>
    <d v="2026-03-31T08:34:13"/>
    <x v="6"/>
    <x v="3"/>
    <x v="6"/>
    <m/>
    <m/>
    <m/>
  </r>
  <r>
    <s v="YK261400106"/>
    <s v="NOT-IN-PROCESS"/>
    <x v="0"/>
    <s v="1"/>
    <x v="6"/>
    <d v="2026-03-31T08:34:13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6"/>
    <s v="1"/>
    <x v="3"/>
    <d v="2026-03-31T09:39:07"/>
    <x v="8"/>
    <x v="5"/>
    <x v="8"/>
    <m/>
    <m/>
    <m/>
  </r>
  <r>
    <s v="YK261100003"/>
    <s v="AOR2 AOI RWK S2"/>
    <x v="11"/>
    <s v="1"/>
    <x v="4"/>
    <d v="2026-03-31T10:29:48"/>
    <x v="8"/>
    <x v="5"/>
    <x v="8"/>
    <m/>
    <m/>
    <m/>
  </r>
  <r>
    <s v="YK261100004"/>
    <s v="AOR1 AOI RWK S1"/>
    <x v="7"/>
    <s v="1"/>
    <x v="4"/>
    <d v="2026-03-31T11:04:39"/>
    <x v="8"/>
    <x v="5"/>
    <x v="8"/>
    <m/>
    <m/>
    <m/>
  </r>
  <r>
    <s v="YK261100005"/>
    <s v="AOR2 AOI RWK S2"/>
    <x v="11"/>
    <s v="1"/>
    <x v="4"/>
    <d v="2026-03-31T11:19:55"/>
    <x v="8"/>
    <x v="5"/>
    <x v="8"/>
    <m/>
    <m/>
    <m/>
  </r>
  <r>
    <s v="YK261100006"/>
    <s v="5DX1 SMT 5DX"/>
    <x v="6"/>
    <s v="1"/>
    <x v="3"/>
    <d v="2026-03-31T13:24:58"/>
    <x v="8"/>
    <x v="5"/>
    <x v="8"/>
    <m/>
    <m/>
    <m/>
  </r>
  <r>
    <s v="YK261100007"/>
    <s v="AOR2 AOI RWK S2"/>
    <x v="11"/>
    <s v="1"/>
    <x v="4"/>
    <d v="2026-03-31T11:38:28"/>
    <x v="8"/>
    <x v="5"/>
    <x v="8"/>
    <m/>
    <m/>
    <m/>
  </r>
  <r>
    <s v="YK261100008"/>
    <s v="5DX1 SMT 5DX"/>
    <x v="6"/>
    <s v="1"/>
    <x v="3"/>
    <d v="2026-03-30T11:46:05"/>
    <x v="8"/>
    <x v="5"/>
    <x v="8"/>
    <m/>
    <m/>
    <m/>
  </r>
  <r>
    <s v="YK261100009"/>
    <s v="5DX1 SMT 5DX"/>
    <x v="6"/>
    <s v="1"/>
    <x v="3"/>
    <d v="2026-03-31T11:50:57"/>
    <x v="8"/>
    <x v="5"/>
    <x v="8"/>
    <m/>
    <m/>
    <m/>
  </r>
  <r>
    <s v="YK261100010"/>
    <s v="SMR2 RWK SMT2"/>
    <x v="12"/>
    <s v="1"/>
    <x v="4"/>
    <d v="2026-03-31T10:14:33"/>
    <x v="8"/>
    <x v="5"/>
    <x v="8"/>
    <m/>
    <m/>
    <m/>
  </r>
  <r>
    <s v="YK261100011"/>
    <s v="DPNL Mech Depanel"/>
    <x v="13"/>
    <s v="1"/>
    <x v="3"/>
    <d v="2026-03-30T09:53:11"/>
    <x v="8"/>
    <x v="5"/>
    <x v="8"/>
    <m/>
    <m/>
    <m/>
  </r>
  <r>
    <s v="YK261100012"/>
    <s v="AOR2 AOI RWK S2"/>
    <x v="11"/>
    <s v="1"/>
    <x v="4"/>
    <d v="2026-03-31T12:19:27"/>
    <x v="8"/>
    <x v="5"/>
    <x v="8"/>
    <m/>
    <m/>
    <m/>
  </r>
  <r>
    <s v="YK261100013"/>
    <s v="AOR2 AOI RWK S2"/>
    <x v="11"/>
    <s v="1"/>
    <x v="4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4-03T15:58:02"/>
    <x v="8"/>
    <x v="5"/>
    <x v="8"/>
    <m/>
    <m/>
    <m/>
  </r>
  <r>
    <s v="YK261100016"/>
    <s v="5DX1 SMT 5DX"/>
    <x v="6"/>
    <s v="1"/>
    <x v="3"/>
    <d v="2026-03-31T07:13:47"/>
    <x v="8"/>
    <x v="5"/>
    <x v="8"/>
    <m/>
    <m/>
    <m/>
  </r>
  <r>
    <s v="YK261100017"/>
    <s v="FUN1 Func Test"/>
    <x v="3"/>
    <s v="1"/>
    <x v="3"/>
    <d v="2026-04-03T16:00:00"/>
    <x v="8"/>
    <x v="5"/>
    <x v="8"/>
    <m/>
    <m/>
    <m/>
  </r>
  <r>
    <s v="YK261100018"/>
    <s v="AOI1 AOI Inspect S1"/>
    <x v="10"/>
    <s v="1"/>
    <x v="3"/>
    <d v="2026-03-30T11:20:23"/>
    <x v="8"/>
    <x v="5"/>
    <x v="8"/>
    <m/>
    <m/>
    <m/>
  </r>
  <r>
    <s v="YK261100019"/>
    <s v="5DX1 SMT 5DX"/>
    <x v="6"/>
    <s v="1"/>
    <x v="3"/>
    <d v="2026-03-30T08:59:42"/>
    <x v="8"/>
    <x v="5"/>
    <x v="8"/>
    <m/>
    <m/>
    <m/>
  </r>
  <r>
    <s v="YK261100020"/>
    <s v="DPNL Mech Depanel"/>
    <x v="13"/>
    <s v="1"/>
    <x v="3"/>
    <d v="2026-04-06T13:11:11"/>
    <x v="8"/>
    <x v="5"/>
    <x v="8"/>
    <m/>
    <m/>
    <m/>
  </r>
  <r>
    <s v="YK261100021"/>
    <s v="AOI2 AOI Inspect S2"/>
    <x v="14"/>
    <s v="1"/>
    <x v="3"/>
    <d v="2026-03-31T13:44:45"/>
    <x v="8"/>
    <x v="5"/>
    <x v="8"/>
    <m/>
    <m/>
    <m/>
  </r>
  <r>
    <s v="YK261100022"/>
    <s v="5DX1 SMT 5DX"/>
    <x v="6"/>
    <s v="1"/>
    <x v="3"/>
    <d v="2026-03-30T11:29:03"/>
    <x v="8"/>
    <x v="5"/>
    <x v="8"/>
    <m/>
    <m/>
    <m/>
  </r>
  <r>
    <s v="YK261100023"/>
    <s v="AOR2 AOI RWK S2"/>
    <x v="11"/>
    <s v="1"/>
    <x v="4"/>
    <d v="2026-03-31T12:06:07"/>
    <x v="8"/>
    <x v="5"/>
    <x v="8"/>
    <m/>
    <m/>
    <m/>
  </r>
  <r>
    <s v="YK261100024"/>
    <s v="5DX1 SMT 5DX"/>
    <x v="6"/>
    <s v="1"/>
    <x v="3"/>
    <d v="2026-03-31T06:38:42"/>
    <x v="8"/>
    <x v="5"/>
    <x v="8"/>
    <m/>
    <m/>
    <m/>
  </r>
  <r>
    <s v="YK261100025"/>
    <s v="5DXR 5DX RWK"/>
    <x v="15"/>
    <s v="1"/>
    <x v="4"/>
    <d v="2026-04-06T12:59:52"/>
    <x v="8"/>
    <x v="5"/>
    <x v="8"/>
    <m/>
    <m/>
    <m/>
  </r>
  <r>
    <s v="YK261100026"/>
    <s v="AOR2 AOI RWK S2"/>
    <x v="11"/>
    <s v="1"/>
    <x v="4"/>
    <d v="2026-03-31T13:35:10"/>
    <x v="8"/>
    <x v="5"/>
    <x v="8"/>
    <m/>
    <m/>
    <m/>
  </r>
  <r>
    <s v="YK261100027"/>
    <s v="AOI2 AOI Inspect S2"/>
    <x v="14"/>
    <s v="1"/>
    <x v="3"/>
    <d v="2026-03-24T14:32:26"/>
    <x v="8"/>
    <x v="5"/>
    <x v="8"/>
    <m/>
    <m/>
    <m/>
  </r>
  <r>
    <s v="YK261100028"/>
    <s v="DPNL Mech Depanel"/>
    <x v="13"/>
    <s v="1"/>
    <x v="3"/>
    <d v="2026-04-03T08:50:00"/>
    <x v="8"/>
    <x v="5"/>
    <x v="8"/>
    <m/>
    <m/>
    <m/>
  </r>
  <r>
    <s v="YK261100029"/>
    <s v="SMT2 SMT Side 2"/>
    <x v="16"/>
    <s v="1"/>
    <x v="3"/>
    <d v="2026-04-01T06:17:21"/>
    <x v="8"/>
    <x v="5"/>
    <x v="8"/>
    <m/>
    <m/>
    <m/>
  </r>
  <r>
    <s v="YK261100030"/>
    <s v="AOI1 AOI Inspect S1"/>
    <x v="10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5"/>
    <s v="1"/>
    <x v="5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5"/>
    <s v="1"/>
    <x v="5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3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5"/>
    <s v="1"/>
    <x v="5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7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49" firstHeaderRow="1" firstDataRow="1" firstDataCol="5"/>
  <pivotFields count="12">
    <pivotField showAll="0"/>
    <pivotField showAll="0"/>
    <pivotField axis="axisRow" outline="0" showAll="0" defaultSubtotal="0">
      <items count="18">
        <item x="5"/>
        <item x="3"/>
        <item x="0"/>
        <item x="4"/>
        <item x="1"/>
        <item x="13"/>
        <item x="10"/>
        <item x="2"/>
        <item x="16"/>
        <item x="6"/>
        <item x="11"/>
        <item x="14"/>
        <item x="17"/>
        <item x="12"/>
        <item x="7"/>
        <item x="9"/>
        <item x="8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1">
        <item x="0"/>
        <item x="1"/>
        <item x="7"/>
        <item x="9"/>
        <item x="4"/>
        <item x="5"/>
        <item x="2"/>
        <item x="3"/>
        <item x="8"/>
        <item x="10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48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1"/>
      <x v="3"/>
    </i>
    <i r="3">
      <x v="3"/>
      <x v="1"/>
    </i>
    <i>
      <x v="5"/>
      <x v="5"/>
      <x v="5"/>
      <x/>
      <x/>
    </i>
    <i r="3">
      <x v="3"/>
      <x v="1"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3"/>
      <x v="1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 r="3">
      <x v="17"/>
      <x v="1"/>
    </i>
    <i>
      <x v="9"/>
      <x v="10"/>
      <x v="7"/>
      <x v="2"/>
      <x v="6"/>
    </i>
    <i r="3">
      <x v="12"/>
      <x v="4"/>
    </i>
    <i>
      <x v="10"/>
      <x v="6"/>
      <x v="5"/>
      <x v="1"/>
      <x v="3"/>
    </i>
    <i r="3">
      <x v="2"/>
      <x v="6"/>
    </i>
    <i r="3">
      <x v="6"/>
      <x v="3"/>
    </i>
    <i r="3">
      <x v="9"/>
      <x v="3"/>
    </i>
    <i r="3">
      <x v="14"/>
      <x v="1"/>
    </i>
    <i r="3">
      <x v="15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20"/>
  <sheetViews>
    <sheetView workbookViewId="0">
      <pane ySplit="1" topLeftCell="A2" activePane="bottomLeft" state="frozen"/>
      <selection pane="bottomLeft" activeCell="C528" sqref="C528:C529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219</v>
      </c>
      <c r="H1" s="21" t="s">
        <v>220</v>
      </c>
      <c r="I1" s="1" t="s">
        <v>392</v>
      </c>
      <c r="J1" s="1" t="s">
        <v>393</v>
      </c>
      <c r="K1" s="1" t="s">
        <v>457</v>
      </c>
      <c r="L1" s="1" t="s">
        <v>458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231</v>
      </c>
      <c r="B152" s="2" t="s">
        <v>351</v>
      </c>
      <c r="C152" s="2" t="s">
        <v>352</v>
      </c>
      <c r="D152" s="4" t="s">
        <v>8</v>
      </c>
      <c r="E152" s="2" t="s">
        <v>18</v>
      </c>
      <c r="F152" s="6">
        <v>46118.429467592592</v>
      </c>
      <c r="G152" t="s">
        <v>232</v>
      </c>
      <c r="H152" t="s">
        <v>233</v>
      </c>
      <c r="I152" s="4">
        <f>VLOOKUP(G152,Sheet2!A:D,4,0)</f>
        <v>7</v>
      </c>
    </row>
    <row r="153" spans="1:13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>
      <c r="A155" s="5" t="s">
        <v>236</v>
      </c>
      <c r="B155" s="3" t="s">
        <v>351</v>
      </c>
      <c r="C155" s="3" t="s">
        <v>352</v>
      </c>
      <c r="D155" s="5" t="s">
        <v>8</v>
      </c>
      <c r="E155" s="3" t="s">
        <v>18</v>
      </c>
      <c r="F155" s="7">
        <v>46118.356145833335</v>
      </c>
      <c r="G155" t="s">
        <v>232</v>
      </c>
      <c r="H155" t="s">
        <v>233</v>
      </c>
      <c r="I155" s="4">
        <f>VLOOKUP(G155,Sheet2!A:D,4,0)</f>
        <v>7</v>
      </c>
    </row>
    <row r="156" spans="1:13">
      <c r="A156" s="4" t="s">
        <v>237</v>
      </c>
      <c r="B156" s="2" t="s">
        <v>12</v>
      </c>
      <c r="C156" s="2" t="s">
        <v>13</v>
      </c>
      <c r="D156" s="4" t="s">
        <v>8</v>
      </c>
      <c r="E156" s="2" t="s">
        <v>14</v>
      </c>
      <c r="F156" s="6">
        <v>46118.309305555558</v>
      </c>
      <c r="G156" t="s">
        <v>232</v>
      </c>
      <c r="H156" t="s">
        <v>233</v>
      </c>
      <c r="I156" s="4">
        <f>VLOOKUP(G156,Sheet2!A:D,4,0)</f>
        <v>7</v>
      </c>
    </row>
    <row r="157" spans="1:13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>
      <c r="A161" s="5" t="s">
        <v>242</v>
      </c>
      <c r="B161" s="3" t="s">
        <v>12</v>
      </c>
      <c r="C161" s="3" t="s">
        <v>13</v>
      </c>
      <c r="D161" s="5" t="s">
        <v>8</v>
      </c>
      <c r="E161" s="3" t="s">
        <v>14</v>
      </c>
      <c r="F161" s="7">
        <v>46118.313032407408</v>
      </c>
      <c r="G161" t="s">
        <v>232</v>
      </c>
      <c r="H161" t="s">
        <v>233</v>
      </c>
      <c r="I161" s="4">
        <f>VLOOKUP(G161,Sheet2!A:D,4,0)</f>
        <v>7</v>
      </c>
    </row>
    <row r="162" spans="1:9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46115.516064814816</v>
      </c>
      <c r="G165" t="s">
        <v>232</v>
      </c>
      <c r="H165" t="s">
        <v>233</v>
      </c>
      <c r="I165" s="4">
        <f>VLOOKUP(G165,Sheet2!A:D,4,0)</f>
        <v>7</v>
      </c>
    </row>
    <row r="166" spans="1:9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>
      <c r="A167" s="5" t="s">
        <v>248</v>
      </c>
      <c r="B167" s="3" t="s">
        <v>12</v>
      </c>
      <c r="C167" s="3" t="s">
        <v>13</v>
      </c>
      <c r="D167" s="5" t="s">
        <v>8</v>
      </c>
      <c r="E167" s="3" t="s">
        <v>14</v>
      </c>
      <c r="F167" s="7">
        <v>46118.311030092591</v>
      </c>
      <c r="G167" t="s">
        <v>232</v>
      </c>
      <c r="H167" t="s">
        <v>233</v>
      </c>
      <c r="I167" s="4">
        <f>VLOOKUP(G167,Sheet2!A:D,4,0)</f>
        <v>7</v>
      </c>
    </row>
    <row r="168" spans="1:9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>
      <c r="A170" s="4" t="s">
        <v>251</v>
      </c>
      <c r="B170" s="2" t="s">
        <v>12</v>
      </c>
      <c r="C170" s="2" t="s">
        <v>13</v>
      </c>
      <c r="D170" s="4" t="s">
        <v>8</v>
      </c>
      <c r="E170" s="2" t="s">
        <v>14</v>
      </c>
      <c r="F170" s="6">
        <v>46118.310347222221</v>
      </c>
      <c r="G170" t="s">
        <v>232</v>
      </c>
      <c r="H170" t="s">
        <v>233</v>
      </c>
      <c r="I170" s="4">
        <f>VLOOKUP(G170,Sheet2!A:D,4,0)</f>
        <v>7</v>
      </c>
    </row>
    <row r="171" spans="1:9">
      <c r="A171" s="5" t="s">
        <v>252</v>
      </c>
      <c r="B171" s="3" t="s">
        <v>12</v>
      </c>
      <c r="C171" s="3" t="s">
        <v>13</v>
      </c>
      <c r="D171" s="5" t="s">
        <v>8</v>
      </c>
      <c r="E171" s="3" t="s">
        <v>14</v>
      </c>
      <c r="F171" s="7">
        <v>46115.516493055555</v>
      </c>
      <c r="G171" t="s">
        <v>232</v>
      </c>
      <c r="H171" t="s">
        <v>233</v>
      </c>
      <c r="I171" s="4">
        <f>VLOOKUP(G171,Sheet2!A:D,4,0)</f>
        <v>7</v>
      </c>
    </row>
    <row r="172" spans="1:9">
      <c r="A172" s="4" t="s">
        <v>253</v>
      </c>
      <c r="B172" s="2" t="s">
        <v>351</v>
      </c>
      <c r="C172" s="2" t="s">
        <v>352</v>
      </c>
      <c r="D172" s="4" t="s">
        <v>8</v>
      </c>
      <c r="E172" s="2" t="s">
        <v>18</v>
      </c>
      <c r="F172" s="6">
        <v>46114.507905092592</v>
      </c>
      <c r="G172" t="s">
        <v>232</v>
      </c>
      <c r="H172" t="s">
        <v>233</v>
      </c>
      <c r="I172" s="4">
        <f>VLOOKUP(G172,Sheet2!A:D,4,0)</f>
        <v>7</v>
      </c>
    </row>
    <row r="173" spans="1:9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>
      <c r="A178" s="4" t="s">
        <v>259</v>
      </c>
      <c r="B178" s="2" t="s">
        <v>351</v>
      </c>
      <c r="C178" s="2" t="s">
        <v>352</v>
      </c>
      <c r="D178" s="4" t="s">
        <v>8</v>
      </c>
      <c r="E178" s="2" t="s">
        <v>18</v>
      </c>
      <c r="F178" s="6">
        <v>46114.484618055554</v>
      </c>
      <c r="G178" t="s">
        <v>232</v>
      </c>
      <c r="H178" t="s">
        <v>233</v>
      </c>
      <c r="I178" s="4">
        <f>VLOOKUP(G178,Sheet2!A:D,4,0)</f>
        <v>7</v>
      </c>
    </row>
    <row r="179" spans="1:9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46118.321585648147</v>
      </c>
      <c r="G179" t="s">
        <v>232</v>
      </c>
      <c r="H179" t="s">
        <v>233</v>
      </c>
      <c r="I179" s="4">
        <f>VLOOKUP(G179,Sheet2!A:D,4,0)</f>
        <v>7</v>
      </c>
    </row>
    <row r="180" spans="1:9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>
      <c r="A183" s="5" t="s">
        <v>264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46115.654108796298</v>
      </c>
      <c r="G183" t="s">
        <v>232</v>
      </c>
      <c r="H183" t="s">
        <v>233</v>
      </c>
      <c r="I183" s="4">
        <f>VLOOKUP(G183,Sheet2!A:D,4,0)</f>
        <v>7</v>
      </c>
    </row>
    <row r="184" spans="1:9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>
      <c r="A188" s="4" t="s">
        <v>269</v>
      </c>
      <c r="B188" s="2" t="s">
        <v>57</v>
      </c>
      <c r="C188" s="2" t="s">
        <v>58</v>
      </c>
      <c r="D188" s="4" t="s">
        <v>8</v>
      </c>
      <c r="E188" s="2" t="s">
        <v>59</v>
      </c>
      <c r="F188" s="6">
        <v>46115.604791666665</v>
      </c>
      <c r="G188" t="s">
        <v>232</v>
      </c>
      <c r="H188" t="s">
        <v>233</v>
      </c>
      <c r="I188" s="4">
        <f>VLOOKUP(G188,Sheet2!A:D,4,0)</f>
        <v>7</v>
      </c>
    </row>
    <row r="189" spans="1:9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>
      <c r="A199" s="4" t="s">
        <v>281</v>
      </c>
      <c r="B199" s="2" t="s">
        <v>12</v>
      </c>
      <c r="C199" s="2" t="s">
        <v>13</v>
      </c>
      <c r="D199" s="4" t="s">
        <v>8</v>
      </c>
      <c r="E199" s="2" t="s">
        <v>14</v>
      </c>
      <c r="F199" s="6">
        <v>46118.313587962963</v>
      </c>
      <c r="G199" t="s">
        <v>271</v>
      </c>
      <c r="H199" t="s">
        <v>233</v>
      </c>
      <c r="I199" s="4">
        <f>VLOOKUP(G199,Sheet2!A:D,4,0)</f>
        <v>8</v>
      </c>
    </row>
    <row r="200" spans="1:9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46118.3125</v>
      </c>
      <c r="G215" t="s">
        <v>271</v>
      </c>
      <c r="H215" t="s">
        <v>233</v>
      </c>
      <c r="I215" s="4">
        <f>VLOOKUP(G215,Sheet2!A:D,4,0)</f>
        <v>8</v>
      </c>
    </row>
    <row r="216" spans="1:9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>
      <c r="A235" s="5" t="s">
        <v>319</v>
      </c>
      <c r="B235" s="3" t="s">
        <v>351</v>
      </c>
      <c r="C235" s="3" t="s">
        <v>352</v>
      </c>
      <c r="D235" s="5" t="s">
        <v>8</v>
      </c>
      <c r="E235" s="3" t="s">
        <v>18</v>
      </c>
      <c r="F235" s="7">
        <v>46118.42496527778</v>
      </c>
      <c r="G235" t="s">
        <v>309</v>
      </c>
      <c r="H235" t="s">
        <v>310</v>
      </c>
      <c r="I235" s="4">
        <f>VLOOKUP(G235,Sheet2!A:D,4,0)</f>
        <v>5</v>
      </c>
    </row>
    <row r="236" spans="1:9">
      <c r="A236" s="4" t="s">
        <v>320</v>
      </c>
      <c r="B236" s="2" t="s">
        <v>351</v>
      </c>
      <c r="C236" s="2" t="s">
        <v>352</v>
      </c>
      <c r="D236" s="4" t="s">
        <v>8</v>
      </c>
      <c r="E236" s="2" t="s">
        <v>18</v>
      </c>
      <c r="F236" s="6">
        <v>46118.361388888887</v>
      </c>
      <c r="G236" t="s">
        <v>309</v>
      </c>
      <c r="H236" t="s">
        <v>310</v>
      </c>
      <c r="I236" s="4">
        <f>VLOOKUP(G236,Sheet2!A:D,4,0)</f>
        <v>5</v>
      </c>
    </row>
    <row r="237" spans="1:9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10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10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10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  <c r="J243" t="s">
        <v>622</v>
      </c>
    </row>
    <row r="244" spans="1:10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  <c r="J244" t="s">
        <v>622</v>
      </c>
    </row>
    <row r="245" spans="1:10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  <c r="J245" t="s">
        <v>622</v>
      </c>
    </row>
    <row r="246" spans="1:10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  <c r="J246" t="s">
        <v>622</v>
      </c>
    </row>
    <row r="247" spans="1:10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  <c r="J247" t="s">
        <v>622</v>
      </c>
    </row>
    <row r="248" spans="1:10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  <c r="J248" t="s">
        <v>622</v>
      </c>
    </row>
    <row r="249" spans="1:10">
      <c r="A249" s="5" t="s">
        <v>333</v>
      </c>
      <c r="B249" s="3" t="s">
        <v>57</v>
      </c>
      <c r="C249" s="3" t="s">
        <v>58</v>
      </c>
      <c r="D249" s="5" t="s">
        <v>8</v>
      </c>
      <c r="E249" s="3" t="s">
        <v>59</v>
      </c>
      <c r="F249" s="7">
        <v>46113.275358796294</v>
      </c>
      <c r="G249" t="s">
        <v>309</v>
      </c>
      <c r="H249" t="s">
        <v>310</v>
      </c>
      <c r="I249" s="4">
        <f>VLOOKUP(G249,Sheet2!A:D,4,0)</f>
        <v>5</v>
      </c>
      <c r="J249" t="s">
        <v>622</v>
      </c>
    </row>
    <row r="250" spans="1:10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  <c r="J250" t="s">
        <v>622</v>
      </c>
    </row>
    <row r="251" spans="1:10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  <c r="J251" t="s">
        <v>622</v>
      </c>
    </row>
    <row r="252" spans="1:10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  <c r="J252" t="s">
        <v>622</v>
      </c>
    </row>
    <row r="253" spans="1:10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  <c r="J253" t="s">
        <v>622</v>
      </c>
    </row>
    <row r="254" spans="1:10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  <c r="J254" t="s">
        <v>622</v>
      </c>
    </row>
    <row r="255" spans="1:10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  <c r="J255" t="s">
        <v>622</v>
      </c>
    </row>
    <row r="256" spans="1:10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  <c r="J256" t="s">
        <v>622</v>
      </c>
    </row>
    <row r="257" spans="1:10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  <c r="J257" t="s">
        <v>622</v>
      </c>
    </row>
    <row r="258" spans="1:10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  <c r="J258" t="s">
        <v>622</v>
      </c>
    </row>
    <row r="259" spans="1:10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  <c r="J259" t="s">
        <v>622</v>
      </c>
    </row>
    <row r="260" spans="1:10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  <c r="J260" t="s">
        <v>622</v>
      </c>
    </row>
    <row r="261" spans="1:10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  <c r="J261" t="s">
        <v>622</v>
      </c>
    </row>
    <row r="262" spans="1:10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  <c r="J262" t="s">
        <v>622</v>
      </c>
    </row>
    <row r="263" spans="1:10">
      <c r="A263" s="4" t="s">
        <v>353</v>
      </c>
      <c r="B263" s="2" t="s">
        <v>351</v>
      </c>
      <c r="C263" s="2" t="s">
        <v>352</v>
      </c>
      <c r="D263" s="4" t="s">
        <v>8</v>
      </c>
      <c r="E263" s="2" t="s">
        <v>18</v>
      </c>
      <c r="F263" s="6">
        <v>46118.423622685186</v>
      </c>
      <c r="G263" t="s">
        <v>347</v>
      </c>
      <c r="H263" t="s">
        <v>310</v>
      </c>
      <c r="I263" s="4">
        <f>VLOOKUP(G263,Sheet2!A:D,4,0)</f>
        <v>6</v>
      </c>
    </row>
    <row r="264" spans="1:10">
      <c r="A264" s="5" t="s">
        <v>354</v>
      </c>
      <c r="B264" s="3" t="s">
        <v>12</v>
      </c>
      <c r="C264" s="3" t="s">
        <v>13</v>
      </c>
      <c r="D264" s="5" t="s">
        <v>8</v>
      </c>
      <c r="E264" s="3" t="s">
        <v>14</v>
      </c>
      <c r="F264" s="7">
        <v>46118.31459490741</v>
      </c>
      <c r="G264" t="s">
        <v>347</v>
      </c>
      <c r="H264" t="s">
        <v>310</v>
      </c>
      <c r="I264" s="4">
        <f>VLOOKUP(G264,Sheet2!A:D,4,0)</f>
        <v>6</v>
      </c>
    </row>
    <row r="265" spans="1:10">
      <c r="A265" s="4" t="s">
        <v>355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10">
      <c r="A266" s="5" t="s">
        <v>358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10">
      <c r="A267" s="4" t="s">
        <v>359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10">
      <c r="A268" s="5" t="s">
        <v>360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10">
      <c r="A269" s="4" t="s">
        <v>361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10">
      <c r="A270" s="5" t="s">
        <v>362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10">
      <c r="A271" s="4" t="s">
        <v>363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10">
      <c r="A272" s="5" t="s">
        <v>364</v>
      </c>
      <c r="B272" s="3" t="s">
        <v>12</v>
      </c>
      <c r="C272" s="3" t="s">
        <v>13</v>
      </c>
      <c r="D272" s="5" t="s">
        <v>8</v>
      </c>
      <c r="E272" s="3" t="s">
        <v>14</v>
      </c>
      <c r="F272" s="7">
        <v>46118.311932870369</v>
      </c>
      <c r="G272" t="s">
        <v>347</v>
      </c>
      <c r="H272" t="s">
        <v>310</v>
      </c>
      <c r="I272" s="4">
        <f>VLOOKUP(G272,Sheet2!A:D,4,0)</f>
        <v>6</v>
      </c>
    </row>
    <row r="273" spans="1:9">
      <c r="A273" s="4" t="s">
        <v>365</v>
      </c>
      <c r="B273" s="2" t="s">
        <v>351</v>
      </c>
      <c r="C273" s="2" t="s">
        <v>352</v>
      </c>
      <c r="D273" s="4" t="s">
        <v>8</v>
      </c>
      <c r="E273" s="2" t="s">
        <v>18</v>
      </c>
      <c r="F273" s="6">
        <v>46118.358599537038</v>
      </c>
      <c r="G273" t="s">
        <v>347</v>
      </c>
      <c r="H273" t="s">
        <v>310</v>
      </c>
      <c r="I273" s="4">
        <f>VLOOKUP(G273,Sheet2!A:D,4,0)</f>
        <v>6</v>
      </c>
    </row>
    <row r="274" spans="1:9">
      <c r="A274" s="5" t="s">
        <v>366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>
      <c r="A275" s="4" t="s">
        <v>367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>
      <c r="A276" s="5" t="s">
        <v>368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>
      <c r="A277" s="4" t="s">
        <v>369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>
      <c r="A278" s="5" t="s">
        <v>370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>
      <c r="A279" s="4" t="s">
        <v>371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>
      <c r="A280" s="5" t="s">
        <v>372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>
      <c r="A281" s="4" t="s">
        <v>373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>
      <c r="A282" s="5" t="s">
        <v>374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>
      <c r="A283" s="4" t="s">
        <v>375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>
      <c r="A284" s="5" t="s">
        <v>376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>
      <c r="A285" s="4" t="s">
        <v>377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>
      <c r="A286" s="5" t="s">
        <v>378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>
      <c r="A287" s="4" t="s">
        <v>379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>
      <c r="A288" s="5" t="s">
        <v>380</v>
      </c>
      <c r="B288" s="3" t="s">
        <v>351</v>
      </c>
      <c r="C288" s="3" t="s">
        <v>352</v>
      </c>
      <c r="D288" s="5" t="s">
        <v>8</v>
      </c>
      <c r="E288" s="3" t="s">
        <v>18</v>
      </c>
      <c r="F288" s="7">
        <v>46118.427615740744</v>
      </c>
      <c r="G288" t="s">
        <v>347</v>
      </c>
      <c r="H288" t="s">
        <v>310</v>
      </c>
      <c r="I288" s="4">
        <f>VLOOKUP(G288,Sheet2!A:D,4,0)</f>
        <v>6</v>
      </c>
    </row>
    <row r="289" spans="1:9">
      <c r="A289" s="4" t="s">
        <v>381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>
      <c r="A290" s="5" t="s">
        <v>382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>
      <c r="A291" s="4" t="s">
        <v>383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>
      <c r="A292" s="5" t="s">
        <v>384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>
      <c r="A293" s="4" t="s">
        <v>385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>
      <c r="A294" s="5" t="s">
        <v>386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>
      <c r="A295" s="4" t="s">
        <v>387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>
      <c r="A296" s="5" t="s">
        <v>388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>
      <c r="A297" s="4" t="s">
        <v>389</v>
      </c>
      <c r="B297" s="2" t="s">
        <v>351</v>
      </c>
      <c r="C297" s="2" t="s">
        <v>352</v>
      </c>
      <c r="D297" s="4" t="s">
        <v>8</v>
      </c>
      <c r="E297" s="2" t="s">
        <v>18</v>
      </c>
      <c r="F297" s="6">
        <v>46118.430752314816</v>
      </c>
      <c r="G297" t="s">
        <v>347</v>
      </c>
      <c r="H297" t="s">
        <v>310</v>
      </c>
      <c r="I297" s="4">
        <f>VLOOKUP(G297,Sheet2!A:D,4,0)</f>
        <v>6</v>
      </c>
    </row>
    <row r="298" spans="1:9">
      <c r="A298" s="5" t="s">
        <v>390</v>
      </c>
      <c r="B298" s="3" t="s">
        <v>351</v>
      </c>
      <c r="C298" s="3" t="s">
        <v>352</v>
      </c>
      <c r="D298" s="5" t="s">
        <v>8</v>
      </c>
      <c r="E298" s="3" t="s">
        <v>18</v>
      </c>
      <c r="F298" s="7">
        <v>46118.431527777779</v>
      </c>
      <c r="G298" t="s">
        <v>347</v>
      </c>
      <c r="H298" t="s">
        <v>310</v>
      </c>
      <c r="I298" s="4">
        <f>VLOOKUP(G298,Sheet2!A:D,4,0)</f>
        <v>6</v>
      </c>
    </row>
    <row r="299" spans="1:9">
      <c r="A299" s="4" t="s">
        <v>391</v>
      </c>
      <c r="B299" s="2" t="s">
        <v>351</v>
      </c>
      <c r="C299" s="2" t="s">
        <v>352</v>
      </c>
      <c r="D299" s="4" t="s">
        <v>8</v>
      </c>
      <c r="E299" s="2" t="s">
        <v>18</v>
      </c>
      <c r="F299" s="6">
        <v>46118.486851851849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480</v>
      </c>
      <c r="B300" s="2" t="s">
        <v>476</v>
      </c>
      <c r="C300" s="2" t="s">
        <v>477</v>
      </c>
      <c r="D300" s="4" t="s">
        <v>8</v>
      </c>
      <c r="E300" s="2" t="s">
        <v>59</v>
      </c>
      <c r="F300" s="6">
        <v>46114.461863425924</v>
      </c>
      <c r="G300" t="s">
        <v>460</v>
      </c>
      <c r="H300" t="s">
        <v>310</v>
      </c>
      <c r="I300" s="4">
        <f>VLOOKUP(G300,Sheet2!A:D,4,0)</f>
        <v>11</v>
      </c>
    </row>
    <row r="301" spans="1:9">
      <c r="A301" s="5" t="s">
        <v>481</v>
      </c>
      <c r="B301" s="3" t="s">
        <v>57</v>
      </c>
      <c r="C301" s="3" t="s">
        <v>58</v>
      </c>
      <c r="D301" s="5" t="s">
        <v>8</v>
      </c>
      <c r="E301" s="3" t="s">
        <v>59</v>
      </c>
      <c r="F301" s="7">
        <v>46118.333055555559</v>
      </c>
      <c r="G301" t="s">
        <v>460</v>
      </c>
      <c r="H301" t="s">
        <v>310</v>
      </c>
      <c r="I301" s="4">
        <f>VLOOKUP(G301,Sheet2!A:D,4,0)</f>
        <v>11</v>
      </c>
    </row>
    <row r="302" spans="1:9">
      <c r="A302" s="4" t="s">
        <v>482</v>
      </c>
      <c r="B302" s="2" t="s">
        <v>476</v>
      </c>
      <c r="C302" s="2" t="s">
        <v>477</v>
      </c>
      <c r="D302" s="4" t="s">
        <v>8</v>
      </c>
      <c r="E302" s="2" t="s">
        <v>59</v>
      </c>
      <c r="F302" s="6">
        <v>46114.514027777775</v>
      </c>
      <c r="G302" t="s">
        <v>460</v>
      </c>
      <c r="H302" t="s">
        <v>310</v>
      </c>
      <c r="I302" s="4">
        <f>VLOOKUP(G302,Sheet2!A:D,4,0)</f>
        <v>11</v>
      </c>
    </row>
    <row r="303" spans="1:9">
      <c r="A303" s="5" t="s">
        <v>483</v>
      </c>
      <c r="B303" s="3" t="s">
        <v>476</v>
      </c>
      <c r="C303" s="3" t="s">
        <v>477</v>
      </c>
      <c r="D303" s="5" t="s">
        <v>8</v>
      </c>
      <c r="E303" s="3" t="s">
        <v>59</v>
      </c>
      <c r="F303" s="7">
        <v>46114.520231481481</v>
      </c>
      <c r="G303" t="s">
        <v>460</v>
      </c>
      <c r="H303" t="s">
        <v>310</v>
      </c>
      <c r="I303" s="4">
        <f>VLOOKUP(G303,Sheet2!A:D,4,0)</f>
        <v>11</v>
      </c>
    </row>
    <row r="304" spans="1:9">
      <c r="A304" s="4" t="s">
        <v>484</v>
      </c>
      <c r="B304" s="2" t="s">
        <v>618</v>
      </c>
      <c r="C304" s="2" t="s">
        <v>619</v>
      </c>
      <c r="D304" s="4" t="s">
        <v>8</v>
      </c>
      <c r="E304" s="2" t="s">
        <v>18</v>
      </c>
      <c r="F304" s="6">
        <v>46115.273796296293</v>
      </c>
      <c r="G304" t="s">
        <v>460</v>
      </c>
      <c r="H304" t="s">
        <v>310</v>
      </c>
      <c r="I304" s="4">
        <f>VLOOKUP(G304,Sheet2!A:D,4,0)</f>
        <v>11</v>
      </c>
    </row>
    <row r="305" spans="1:9">
      <c r="A305" s="5" t="s">
        <v>485</v>
      </c>
      <c r="B305" s="3" t="s">
        <v>618</v>
      </c>
      <c r="C305" s="3" t="s">
        <v>619</v>
      </c>
      <c r="D305" s="5" t="s">
        <v>8</v>
      </c>
      <c r="E305" s="3" t="s">
        <v>18</v>
      </c>
      <c r="F305" s="7">
        <v>46115.28365740741</v>
      </c>
      <c r="G305" t="s">
        <v>460</v>
      </c>
      <c r="H305" t="s">
        <v>310</v>
      </c>
      <c r="I305" s="4">
        <f>VLOOKUP(G305,Sheet2!A:D,4,0)</f>
        <v>11</v>
      </c>
    </row>
    <row r="306" spans="1:9">
      <c r="A306" s="4" t="s">
        <v>486</v>
      </c>
      <c r="B306" s="2" t="s">
        <v>476</v>
      </c>
      <c r="C306" s="2" t="s">
        <v>477</v>
      </c>
      <c r="D306" s="4" t="s">
        <v>8</v>
      </c>
      <c r="E306" s="2" t="s">
        <v>59</v>
      </c>
      <c r="F306" s="6">
        <v>46114.551990740743</v>
      </c>
      <c r="G306" t="s">
        <v>460</v>
      </c>
      <c r="H306" t="s">
        <v>310</v>
      </c>
      <c r="I306" s="4">
        <f>VLOOKUP(G306,Sheet2!A:D,4,0)</f>
        <v>11</v>
      </c>
    </row>
    <row r="307" spans="1:9">
      <c r="A307" s="5" t="s">
        <v>487</v>
      </c>
      <c r="B307" s="3" t="s">
        <v>618</v>
      </c>
      <c r="C307" s="3" t="s">
        <v>619</v>
      </c>
      <c r="D307" s="5" t="s">
        <v>8</v>
      </c>
      <c r="E307" s="3" t="s">
        <v>18</v>
      </c>
      <c r="F307" s="7">
        <v>46114.569131944445</v>
      </c>
      <c r="G307" t="s">
        <v>460</v>
      </c>
      <c r="H307" t="s">
        <v>310</v>
      </c>
      <c r="I307" s="4">
        <f>VLOOKUP(G307,Sheet2!A:D,4,0)</f>
        <v>11</v>
      </c>
    </row>
    <row r="308" spans="1:9">
      <c r="A308" s="4" t="s">
        <v>488</v>
      </c>
      <c r="B308" s="2" t="s">
        <v>623</v>
      </c>
      <c r="C308" s="2" t="s">
        <v>624</v>
      </c>
      <c r="D308" s="4" t="s">
        <v>8</v>
      </c>
      <c r="E308" s="2" t="s">
        <v>59</v>
      </c>
      <c r="F308" s="6">
        <v>46115.919120370374</v>
      </c>
      <c r="G308" t="s">
        <v>460</v>
      </c>
      <c r="H308" t="s">
        <v>310</v>
      </c>
      <c r="I308" s="4">
        <f>VLOOKUP(G308,Sheet2!A:D,4,0)</f>
        <v>11</v>
      </c>
    </row>
    <row r="309" spans="1:9">
      <c r="A309" s="5" t="s">
        <v>489</v>
      </c>
      <c r="B309" s="3" t="s">
        <v>476</v>
      </c>
      <c r="C309" s="3" t="s">
        <v>477</v>
      </c>
      <c r="D309" s="5" t="s">
        <v>8</v>
      </c>
      <c r="E309" s="3" t="s">
        <v>59</v>
      </c>
      <c r="F309" s="7">
        <v>46114.563680555555</v>
      </c>
      <c r="G309" t="s">
        <v>460</v>
      </c>
      <c r="H309" t="s">
        <v>310</v>
      </c>
      <c r="I309" s="4">
        <f>VLOOKUP(G309,Sheet2!A:D,4,0)</f>
        <v>11</v>
      </c>
    </row>
    <row r="310" spans="1:9">
      <c r="A310" s="4" t="s">
        <v>490</v>
      </c>
      <c r="B310" s="2" t="s">
        <v>476</v>
      </c>
      <c r="C310" s="2" t="s">
        <v>477</v>
      </c>
      <c r="D310" s="4" t="s">
        <v>8</v>
      </c>
      <c r="E310" s="2" t="s">
        <v>59</v>
      </c>
      <c r="F310" s="6">
        <v>46114.591377314813</v>
      </c>
      <c r="G310" t="s">
        <v>460</v>
      </c>
      <c r="H310" t="s">
        <v>310</v>
      </c>
      <c r="I310" s="4">
        <f>VLOOKUP(G310,Sheet2!A:D,4,0)</f>
        <v>11</v>
      </c>
    </row>
    <row r="311" spans="1:9">
      <c r="A311" s="5" t="s">
        <v>491</v>
      </c>
      <c r="B311" s="3" t="s">
        <v>623</v>
      </c>
      <c r="C311" s="3" t="s">
        <v>624</v>
      </c>
      <c r="D311" s="5" t="s">
        <v>8</v>
      </c>
      <c r="E311" s="3" t="s">
        <v>59</v>
      </c>
      <c r="F311" s="7">
        <v>46115.862407407411</v>
      </c>
      <c r="G311" t="s">
        <v>460</v>
      </c>
      <c r="H311" t="s">
        <v>310</v>
      </c>
      <c r="I311" s="4">
        <f>VLOOKUP(G311,Sheet2!A:D,4,0)</f>
        <v>11</v>
      </c>
    </row>
    <row r="312" spans="1:9">
      <c r="A312" s="4" t="s">
        <v>492</v>
      </c>
      <c r="B312" s="2" t="s">
        <v>618</v>
      </c>
      <c r="C312" s="2" t="s">
        <v>619</v>
      </c>
      <c r="D312" s="4" t="s">
        <v>8</v>
      </c>
      <c r="E312" s="2" t="s">
        <v>18</v>
      </c>
      <c r="F312" s="6">
        <v>46114.569421296299</v>
      </c>
      <c r="G312" t="s">
        <v>460</v>
      </c>
      <c r="H312" t="s">
        <v>310</v>
      </c>
      <c r="I312" s="4">
        <f>VLOOKUP(G312,Sheet2!A:D,4,0)</f>
        <v>11</v>
      </c>
    </row>
    <row r="313" spans="1:9">
      <c r="A313" s="5" t="s">
        <v>493</v>
      </c>
      <c r="B313" s="3" t="s">
        <v>618</v>
      </c>
      <c r="C313" s="3" t="s">
        <v>619</v>
      </c>
      <c r="D313" s="5" t="s">
        <v>8</v>
      </c>
      <c r="E313" s="3" t="s">
        <v>18</v>
      </c>
      <c r="F313" s="7">
        <v>46114.572152777779</v>
      </c>
      <c r="G313" t="s">
        <v>460</v>
      </c>
      <c r="H313" t="s">
        <v>310</v>
      </c>
      <c r="I313" s="4">
        <f>VLOOKUP(G313,Sheet2!A:D,4,0)</f>
        <v>11</v>
      </c>
    </row>
    <row r="314" spans="1:9">
      <c r="A314" s="4" t="s">
        <v>494</v>
      </c>
      <c r="B314" s="2" t="s">
        <v>618</v>
      </c>
      <c r="C314" s="2" t="s">
        <v>619</v>
      </c>
      <c r="D314" s="4" t="s">
        <v>8</v>
      </c>
      <c r="E314" s="2" t="s">
        <v>18</v>
      </c>
      <c r="F314" s="6">
        <v>46114.586099537039</v>
      </c>
      <c r="G314" t="s">
        <v>460</v>
      </c>
      <c r="H314" t="s">
        <v>310</v>
      </c>
      <c r="I314" s="4">
        <f>VLOOKUP(G314,Sheet2!A:D,4,0)</f>
        <v>11</v>
      </c>
    </row>
    <row r="315" spans="1:9">
      <c r="A315" s="5" t="s">
        <v>495</v>
      </c>
      <c r="B315" s="3" t="s">
        <v>476</v>
      </c>
      <c r="C315" s="3" t="s">
        <v>477</v>
      </c>
      <c r="D315" s="5" t="s">
        <v>8</v>
      </c>
      <c r="E315" s="3" t="s">
        <v>59</v>
      </c>
      <c r="F315" s="7">
        <v>46114.577800925923</v>
      </c>
      <c r="G315" t="s">
        <v>460</v>
      </c>
      <c r="H315" t="s">
        <v>310</v>
      </c>
      <c r="I315" s="4">
        <f>VLOOKUP(G315,Sheet2!A:D,4,0)</f>
        <v>11</v>
      </c>
    </row>
    <row r="316" spans="1:9">
      <c r="A316" s="4" t="s">
        <v>496</v>
      </c>
      <c r="B316" s="2" t="s">
        <v>618</v>
      </c>
      <c r="C316" s="2" t="s">
        <v>619</v>
      </c>
      <c r="D316" s="4" t="s">
        <v>8</v>
      </c>
      <c r="E316" s="2" t="s">
        <v>18</v>
      </c>
      <c r="F316" s="6">
        <v>46114.581863425927</v>
      </c>
      <c r="G316" t="s">
        <v>460</v>
      </c>
      <c r="H316" t="s">
        <v>310</v>
      </c>
      <c r="I316" s="4">
        <f>VLOOKUP(G316,Sheet2!A:D,4,0)</f>
        <v>11</v>
      </c>
    </row>
    <row r="317" spans="1:9">
      <c r="A317" s="5" t="s">
        <v>497</v>
      </c>
      <c r="B317" s="3" t="s">
        <v>476</v>
      </c>
      <c r="C317" s="3" t="s">
        <v>477</v>
      </c>
      <c r="D317" s="5" t="s">
        <v>8</v>
      </c>
      <c r="E317" s="3" t="s">
        <v>59</v>
      </c>
      <c r="F317" s="7">
        <v>46114.58326388889</v>
      </c>
      <c r="G317" t="s">
        <v>460</v>
      </c>
      <c r="H317" t="s">
        <v>310</v>
      </c>
      <c r="I317" s="4">
        <f>VLOOKUP(G317,Sheet2!A:D,4,0)</f>
        <v>11</v>
      </c>
    </row>
    <row r="318" spans="1:9">
      <c r="A318" s="4" t="s">
        <v>498</v>
      </c>
      <c r="B318" s="2" t="s">
        <v>476</v>
      </c>
      <c r="C318" s="2" t="s">
        <v>477</v>
      </c>
      <c r="D318" s="4" t="s">
        <v>8</v>
      </c>
      <c r="E318" s="2" t="s">
        <v>59</v>
      </c>
      <c r="F318" s="6">
        <v>46115.28534722222</v>
      </c>
      <c r="G318" t="s">
        <v>460</v>
      </c>
      <c r="H318" t="s">
        <v>310</v>
      </c>
      <c r="I318" s="4">
        <f>VLOOKUP(G318,Sheet2!A:D,4,0)</f>
        <v>11</v>
      </c>
    </row>
    <row r="319" spans="1:9">
      <c r="A319" s="5" t="s">
        <v>499</v>
      </c>
      <c r="B319" s="3" t="s">
        <v>618</v>
      </c>
      <c r="C319" s="3" t="s">
        <v>619</v>
      </c>
      <c r="D319" s="5" t="s">
        <v>8</v>
      </c>
      <c r="E319" s="3" t="s">
        <v>18</v>
      </c>
      <c r="F319" s="7">
        <v>46115.27915509259</v>
      </c>
      <c r="G319" t="s">
        <v>460</v>
      </c>
      <c r="H319" t="s">
        <v>310</v>
      </c>
      <c r="I319" s="4">
        <f>VLOOKUP(G319,Sheet2!A:D,4,0)</f>
        <v>11</v>
      </c>
    </row>
    <row r="320" spans="1:9">
      <c r="A320" s="4" t="s">
        <v>500</v>
      </c>
      <c r="B320" s="2" t="s">
        <v>618</v>
      </c>
      <c r="C320" s="2" t="s">
        <v>619</v>
      </c>
      <c r="D320" s="4" t="s">
        <v>8</v>
      </c>
      <c r="E320" s="2" t="s">
        <v>18</v>
      </c>
      <c r="F320" s="6">
        <v>46115.276238425926</v>
      </c>
      <c r="G320" t="s">
        <v>460</v>
      </c>
      <c r="H320" t="s">
        <v>310</v>
      </c>
      <c r="I320" s="4">
        <f>VLOOKUP(G320,Sheet2!A:D,4,0)</f>
        <v>11</v>
      </c>
    </row>
    <row r="321" spans="1:9">
      <c r="A321" s="5" t="s">
        <v>501</v>
      </c>
      <c r="B321" s="3" t="s">
        <v>623</v>
      </c>
      <c r="C321" s="3" t="s">
        <v>624</v>
      </c>
      <c r="D321" s="5" t="s">
        <v>8</v>
      </c>
      <c r="E321" s="3" t="s">
        <v>59</v>
      </c>
      <c r="F321" s="7">
        <v>46115.874872685185</v>
      </c>
      <c r="G321" t="s">
        <v>460</v>
      </c>
      <c r="H321" t="s">
        <v>310</v>
      </c>
      <c r="I321" s="4">
        <f>VLOOKUP(G321,Sheet2!A:D,4,0)</f>
        <v>11</v>
      </c>
    </row>
    <row r="322" spans="1:9">
      <c r="A322" s="4" t="s">
        <v>502</v>
      </c>
      <c r="B322" s="2" t="s">
        <v>620</v>
      </c>
      <c r="C322" s="2" t="s">
        <v>621</v>
      </c>
      <c r="D322" s="4" t="s">
        <v>8</v>
      </c>
      <c r="E322" s="2" t="s">
        <v>59</v>
      </c>
      <c r="F322" s="6">
        <v>46118.563483796293</v>
      </c>
      <c r="G322" t="s">
        <v>460</v>
      </c>
      <c r="H322" t="s">
        <v>310</v>
      </c>
      <c r="I322" s="4">
        <f>VLOOKUP(G322,Sheet2!A:D,4,0)</f>
        <v>11</v>
      </c>
    </row>
    <row r="323" spans="1:9">
      <c r="A323" s="5" t="s">
        <v>503</v>
      </c>
      <c r="B323" s="3" t="s">
        <v>620</v>
      </c>
      <c r="C323" s="3" t="s">
        <v>621</v>
      </c>
      <c r="D323" s="5" t="s">
        <v>8</v>
      </c>
      <c r="E323" s="3" t="s">
        <v>59</v>
      </c>
      <c r="F323" s="7">
        <v>46118.563298611109</v>
      </c>
      <c r="G323" t="s">
        <v>460</v>
      </c>
      <c r="H323" t="s">
        <v>310</v>
      </c>
      <c r="I323" s="4">
        <f>VLOOKUP(G323,Sheet2!A:D,4,0)</f>
        <v>11</v>
      </c>
    </row>
    <row r="324" spans="1:9">
      <c r="A324" s="4" t="s">
        <v>504</v>
      </c>
      <c r="B324" s="2" t="s">
        <v>620</v>
      </c>
      <c r="C324" s="2" t="s">
        <v>621</v>
      </c>
      <c r="D324" s="4" t="s">
        <v>8</v>
      </c>
      <c r="E324" s="2" t="s">
        <v>59</v>
      </c>
      <c r="F324" s="6">
        <v>46118.563599537039</v>
      </c>
      <c r="G324" t="s">
        <v>460</v>
      </c>
      <c r="H324" t="s">
        <v>310</v>
      </c>
      <c r="I324" s="4">
        <f>VLOOKUP(G324,Sheet2!A:D,4,0)</f>
        <v>11</v>
      </c>
    </row>
    <row r="325" spans="1:9">
      <c r="A325" s="5" t="s">
        <v>505</v>
      </c>
      <c r="B325" s="3" t="s">
        <v>620</v>
      </c>
      <c r="C325" s="3" t="s">
        <v>621</v>
      </c>
      <c r="D325" s="5" t="s">
        <v>8</v>
      </c>
      <c r="E325" s="3" t="s">
        <v>59</v>
      </c>
      <c r="F325" s="7">
        <v>46118.56318287037</v>
      </c>
      <c r="G325" t="s">
        <v>460</v>
      </c>
      <c r="H325" t="s">
        <v>310</v>
      </c>
      <c r="I325" s="4">
        <f>VLOOKUP(G325,Sheet2!A:D,4,0)</f>
        <v>11</v>
      </c>
    </row>
    <row r="326" spans="1:9">
      <c r="A326" s="4" t="s">
        <v>506</v>
      </c>
      <c r="B326" s="2" t="s">
        <v>618</v>
      </c>
      <c r="C326" s="2" t="s">
        <v>619</v>
      </c>
      <c r="D326" s="4" t="s">
        <v>8</v>
      </c>
      <c r="E326" s="2" t="s">
        <v>18</v>
      </c>
      <c r="F326" s="6">
        <v>46115.332245370373</v>
      </c>
      <c r="G326" t="s">
        <v>460</v>
      </c>
      <c r="H326" t="s">
        <v>310</v>
      </c>
      <c r="I326" s="4">
        <f>VLOOKUP(G326,Sheet2!A:D,4,0)</f>
        <v>11</v>
      </c>
    </row>
    <row r="327" spans="1:9">
      <c r="A327" s="5" t="s">
        <v>507</v>
      </c>
      <c r="B327" s="3" t="s">
        <v>57</v>
      </c>
      <c r="C327" s="3" t="s">
        <v>58</v>
      </c>
      <c r="D327" s="5" t="s">
        <v>8</v>
      </c>
      <c r="E327" s="3" t="s">
        <v>59</v>
      </c>
      <c r="F327" s="7">
        <v>46118.332256944443</v>
      </c>
      <c r="G327" t="s">
        <v>460</v>
      </c>
      <c r="H327" t="s">
        <v>310</v>
      </c>
      <c r="I327" s="4">
        <f>VLOOKUP(G327,Sheet2!A:D,4,0)</f>
        <v>11</v>
      </c>
    </row>
    <row r="328" spans="1:9">
      <c r="A328" s="4" t="s">
        <v>508</v>
      </c>
      <c r="B328" s="2" t="s">
        <v>623</v>
      </c>
      <c r="C328" s="2" t="s">
        <v>624</v>
      </c>
      <c r="D328" s="4" t="s">
        <v>8</v>
      </c>
      <c r="E328" s="2" t="s">
        <v>59</v>
      </c>
      <c r="F328" s="6">
        <v>46115.920439814814</v>
      </c>
      <c r="G328" t="s">
        <v>460</v>
      </c>
      <c r="H328" t="s">
        <v>310</v>
      </c>
      <c r="I328" s="4">
        <f>VLOOKUP(G328,Sheet2!A:D,4,0)</f>
        <v>11</v>
      </c>
    </row>
    <row r="329" spans="1:9">
      <c r="A329" s="5" t="s">
        <v>509</v>
      </c>
      <c r="B329" s="3" t="s">
        <v>476</v>
      </c>
      <c r="C329" s="3" t="s">
        <v>477</v>
      </c>
      <c r="D329" s="5" t="s">
        <v>8</v>
      </c>
      <c r="E329" s="3" t="s">
        <v>59</v>
      </c>
      <c r="F329" s="7">
        <v>46115.338692129626</v>
      </c>
      <c r="G329" t="s">
        <v>460</v>
      </c>
      <c r="H329" t="s">
        <v>310</v>
      </c>
      <c r="I329" s="4">
        <f>VLOOKUP(G329,Sheet2!A:D,4,0)</f>
        <v>11</v>
      </c>
    </row>
    <row r="330" spans="1:9">
      <c r="A330" s="4" t="s">
        <v>510</v>
      </c>
      <c r="B330" s="2" t="s">
        <v>476</v>
      </c>
      <c r="C330" s="2" t="s">
        <v>477</v>
      </c>
      <c r="D330" s="4" t="s">
        <v>8</v>
      </c>
      <c r="E330" s="2" t="s">
        <v>59</v>
      </c>
      <c r="F330" s="6">
        <v>46115.34039351852</v>
      </c>
      <c r="G330" t="s">
        <v>460</v>
      </c>
      <c r="H330" t="s">
        <v>310</v>
      </c>
      <c r="I330" s="4">
        <f>VLOOKUP(G330,Sheet2!A:D,4,0)</f>
        <v>11</v>
      </c>
    </row>
    <row r="331" spans="1:9">
      <c r="A331" s="5" t="s">
        <v>511</v>
      </c>
      <c r="B331" s="3" t="s">
        <v>623</v>
      </c>
      <c r="C331" s="3" t="s">
        <v>624</v>
      </c>
      <c r="D331" s="5" t="s">
        <v>8</v>
      </c>
      <c r="E331" s="3" t="s">
        <v>59</v>
      </c>
      <c r="F331" s="7">
        <v>46115.746076388888</v>
      </c>
      <c r="G331" t="s">
        <v>460</v>
      </c>
      <c r="H331" t="s">
        <v>310</v>
      </c>
      <c r="I331" s="4">
        <f>VLOOKUP(G331,Sheet2!A:D,4,0)</f>
        <v>11</v>
      </c>
    </row>
    <row r="332" spans="1:9">
      <c r="A332" s="4" t="s">
        <v>512</v>
      </c>
      <c r="B332" s="2" t="s">
        <v>623</v>
      </c>
      <c r="C332" s="2" t="s">
        <v>624</v>
      </c>
      <c r="D332" s="4" t="s">
        <v>8</v>
      </c>
      <c r="E332" s="2" t="s">
        <v>59</v>
      </c>
      <c r="F332" s="6">
        <v>46115.486793981479</v>
      </c>
      <c r="G332" t="s">
        <v>460</v>
      </c>
      <c r="H332" t="s">
        <v>310</v>
      </c>
      <c r="I332" s="4">
        <f>VLOOKUP(G332,Sheet2!A:D,4,0)</f>
        <v>11</v>
      </c>
    </row>
    <row r="333" spans="1:9">
      <c r="A333" s="5" t="s">
        <v>513</v>
      </c>
      <c r="B333" s="3" t="s">
        <v>623</v>
      </c>
      <c r="C333" s="3" t="s">
        <v>624</v>
      </c>
      <c r="D333" s="5" t="s">
        <v>8</v>
      </c>
      <c r="E333" s="3" t="s">
        <v>59</v>
      </c>
      <c r="F333" s="7">
        <v>46115.720949074072</v>
      </c>
      <c r="G333" t="s">
        <v>460</v>
      </c>
      <c r="H333" t="s">
        <v>310</v>
      </c>
      <c r="I333" s="4">
        <f>VLOOKUP(G333,Sheet2!A:D,4,0)</f>
        <v>11</v>
      </c>
    </row>
    <row r="334" spans="1:9">
      <c r="A334" s="4" t="s">
        <v>514</v>
      </c>
      <c r="B334" s="2" t="s">
        <v>623</v>
      </c>
      <c r="C334" s="2" t="s">
        <v>624</v>
      </c>
      <c r="D334" s="4" t="s">
        <v>8</v>
      </c>
      <c r="E334" s="2" t="s">
        <v>59</v>
      </c>
      <c r="F334" s="6">
        <v>46115.928923611114</v>
      </c>
      <c r="G334" t="s">
        <v>460</v>
      </c>
      <c r="H334" t="s">
        <v>310</v>
      </c>
      <c r="I334" s="4">
        <f>VLOOKUP(G334,Sheet2!A:D,4,0)</f>
        <v>11</v>
      </c>
    </row>
    <row r="335" spans="1:9">
      <c r="A335" s="5" t="s">
        <v>515</v>
      </c>
      <c r="B335" s="3" t="s">
        <v>623</v>
      </c>
      <c r="C335" s="3" t="s">
        <v>624</v>
      </c>
      <c r="D335" s="5" t="s">
        <v>8</v>
      </c>
      <c r="E335" s="3" t="s">
        <v>59</v>
      </c>
      <c r="F335" s="7">
        <v>46115.740694444445</v>
      </c>
      <c r="G335" t="s">
        <v>460</v>
      </c>
      <c r="H335" t="s">
        <v>310</v>
      </c>
      <c r="I335" s="4">
        <f>VLOOKUP(G335,Sheet2!A:D,4,0)</f>
        <v>11</v>
      </c>
    </row>
    <row r="336" spans="1:9">
      <c r="A336" s="4" t="s">
        <v>516</v>
      </c>
      <c r="B336" s="2" t="s">
        <v>618</v>
      </c>
      <c r="C336" s="2" t="s">
        <v>619</v>
      </c>
      <c r="D336" s="4" t="s">
        <v>8</v>
      </c>
      <c r="E336" s="2" t="s">
        <v>18</v>
      </c>
      <c r="F336" s="6">
        <v>46115.505324074074</v>
      </c>
      <c r="G336" t="s">
        <v>460</v>
      </c>
      <c r="H336" t="s">
        <v>310</v>
      </c>
      <c r="I336" s="4">
        <f>VLOOKUP(G336,Sheet2!A:D,4,0)</f>
        <v>11</v>
      </c>
    </row>
    <row r="337" spans="1:9">
      <c r="A337" s="5" t="s">
        <v>517</v>
      </c>
      <c r="B337" s="3" t="s">
        <v>623</v>
      </c>
      <c r="C337" s="3" t="s">
        <v>624</v>
      </c>
      <c r="D337" s="5" t="s">
        <v>8</v>
      </c>
      <c r="E337" s="3" t="s">
        <v>59</v>
      </c>
      <c r="F337" s="7">
        <v>46115.718032407407</v>
      </c>
      <c r="G337" t="s">
        <v>460</v>
      </c>
      <c r="H337" t="s">
        <v>310</v>
      </c>
      <c r="I337" s="4">
        <f>VLOOKUP(G337,Sheet2!A:D,4,0)</f>
        <v>11</v>
      </c>
    </row>
    <row r="338" spans="1:9">
      <c r="A338" s="4" t="s">
        <v>518</v>
      </c>
      <c r="B338" s="2" t="s">
        <v>618</v>
      </c>
      <c r="C338" s="2" t="s">
        <v>619</v>
      </c>
      <c r="D338" s="4" t="s">
        <v>8</v>
      </c>
      <c r="E338" s="2" t="s">
        <v>18</v>
      </c>
      <c r="F338" s="6">
        <v>46115.509826388887</v>
      </c>
      <c r="G338" t="s">
        <v>460</v>
      </c>
      <c r="H338" t="s">
        <v>310</v>
      </c>
      <c r="I338" s="4">
        <f>VLOOKUP(G338,Sheet2!A:D,4,0)</f>
        <v>11</v>
      </c>
    </row>
    <row r="339" spans="1:9">
      <c r="A339" s="5" t="s">
        <v>519</v>
      </c>
      <c r="B339" s="3" t="s">
        <v>623</v>
      </c>
      <c r="C339" s="3" t="s">
        <v>624</v>
      </c>
      <c r="D339" s="5" t="s">
        <v>8</v>
      </c>
      <c r="E339" s="3" t="s">
        <v>59</v>
      </c>
      <c r="F339" s="7">
        <v>46115.829351851855</v>
      </c>
      <c r="G339" t="s">
        <v>460</v>
      </c>
      <c r="H339" t="s">
        <v>310</v>
      </c>
      <c r="I339" s="4">
        <f>VLOOKUP(G339,Sheet2!A:D,4,0)</f>
        <v>11</v>
      </c>
    </row>
    <row r="340" spans="1:9">
      <c r="A340" s="4" t="s">
        <v>520</v>
      </c>
      <c r="B340" s="2" t="s">
        <v>623</v>
      </c>
      <c r="C340" s="2" t="s">
        <v>624</v>
      </c>
      <c r="D340" s="4" t="s">
        <v>8</v>
      </c>
      <c r="E340" s="2" t="s">
        <v>59</v>
      </c>
      <c r="F340" s="6">
        <v>46115.749050925922</v>
      </c>
      <c r="G340" t="s">
        <v>460</v>
      </c>
      <c r="H340" t="s">
        <v>310</v>
      </c>
      <c r="I340" s="4">
        <f>VLOOKUP(G340,Sheet2!A:D,4,0)</f>
        <v>11</v>
      </c>
    </row>
    <row r="341" spans="1:9">
      <c r="A341" s="5" t="s">
        <v>521</v>
      </c>
      <c r="B341" s="3" t="s">
        <v>623</v>
      </c>
      <c r="C341" s="3" t="s">
        <v>624</v>
      </c>
      <c r="D341" s="5" t="s">
        <v>8</v>
      </c>
      <c r="E341" s="3" t="s">
        <v>59</v>
      </c>
      <c r="F341" s="7">
        <v>46115.744560185187</v>
      </c>
      <c r="G341" t="s">
        <v>460</v>
      </c>
      <c r="H341" t="s">
        <v>310</v>
      </c>
      <c r="I341" s="4">
        <f>VLOOKUP(G341,Sheet2!A:D,4,0)</f>
        <v>11</v>
      </c>
    </row>
    <row r="342" spans="1:9">
      <c r="A342" s="4" t="s">
        <v>522</v>
      </c>
      <c r="B342" s="2" t="s">
        <v>476</v>
      </c>
      <c r="C342" s="2" t="s">
        <v>477</v>
      </c>
      <c r="D342" s="4" t="s">
        <v>8</v>
      </c>
      <c r="E342" s="2" t="s">
        <v>59</v>
      </c>
      <c r="F342" s="6">
        <v>46118.355810185189</v>
      </c>
      <c r="G342" t="s">
        <v>460</v>
      </c>
      <c r="H342" t="s">
        <v>310</v>
      </c>
      <c r="I342" s="4">
        <f>VLOOKUP(G342,Sheet2!A:D,4,0)</f>
        <v>11</v>
      </c>
    </row>
    <row r="343" spans="1:9">
      <c r="A343" s="5" t="s">
        <v>523</v>
      </c>
      <c r="B343" s="3" t="s">
        <v>476</v>
      </c>
      <c r="C343" s="3" t="s">
        <v>477</v>
      </c>
      <c r="D343" s="5" t="s">
        <v>8</v>
      </c>
      <c r="E343" s="3" t="s">
        <v>59</v>
      </c>
      <c r="F343" s="7">
        <v>46118.303425925929</v>
      </c>
      <c r="G343" t="s">
        <v>460</v>
      </c>
      <c r="H343" t="s">
        <v>310</v>
      </c>
      <c r="I343" s="4">
        <f>VLOOKUP(G343,Sheet2!A:D,4,0)</f>
        <v>11</v>
      </c>
    </row>
    <row r="344" spans="1:9">
      <c r="A344" s="4" t="s">
        <v>524</v>
      </c>
      <c r="B344" s="2" t="s">
        <v>618</v>
      </c>
      <c r="C344" s="2" t="s">
        <v>619</v>
      </c>
      <c r="D344" s="4" t="s">
        <v>8</v>
      </c>
      <c r="E344" s="2" t="s">
        <v>18</v>
      </c>
      <c r="F344" s="6">
        <v>46118.375439814816</v>
      </c>
      <c r="G344" t="s">
        <v>460</v>
      </c>
      <c r="H344" t="s">
        <v>310</v>
      </c>
      <c r="I344" s="4">
        <f>VLOOKUP(G344,Sheet2!A:D,4,0)</f>
        <v>11</v>
      </c>
    </row>
    <row r="345" spans="1:9">
      <c r="A345" s="5" t="s">
        <v>525</v>
      </c>
      <c r="B345" s="3" t="s">
        <v>618</v>
      </c>
      <c r="C345" s="3" t="s">
        <v>619</v>
      </c>
      <c r="D345" s="5" t="s">
        <v>8</v>
      </c>
      <c r="E345" s="3" t="s">
        <v>18</v>
      </c>
      <c r="F345" s="7">
        <v>46118.378680555557</v>
      </c>
      <c r="G345" t="s">
        <v>460</v>
      </c>
      <c r="H345" t="s">
        <v>310</v>
      </c>
      <c r="I345" s="4">
        <f>VLOOKUP(G345,Sheet2!A:D,4,0)</f>
        <v>11</v>
      </c>
    </row>
    <row r="346" spans="1:9">
      <c r="A346" s="4" t="s">
        <v>526</v>
      </c>
      <c r="B346" s="2" t="s">
        <v>618</v>
      </c>
      <c r="C346" s="2" t="s">
        <v>619</v>
      </c>
      <c r="D346" s="4" t="s">
        <v>8</v>
      </c>
      <c r="E346" s="2" t="s">
        <v>18</v>
      </c>
      <c r="F346" s="6">
        <v>46118.417303240742</v>
      </c>
      <c r="G346" t="s">
        <v>460</v>
      </c>
      <c r="H346" t="s">
        <v>310</v>
      </c>
      <c r="I346" s="4">
        <f>VLOOKUP(G346,Sheet2!A:D,4,0)</f>
        <v>11</v>
      </c>
    </row>
    <row r="347" spans="1:9">
      <c r="A347" s="5" t="s">
        <v>527</v>
      </c>
      <c r="B347" s="3" t="s">
        <v>618</v>
      </c>
      <c r="C347" s="3" t="s">
        <v>619</v>
      </c>
      <c r="D347" s="5" t="s">
        <v>8</v>
      </c>
      <c r="E347" s="3" t="s">
        <v>18</v>
      </c>
      <c r="F347" s="7">
        <v>46118.420011574075</v>
      </c>
      <c r="G347" t="s">
        <v>460</v>
      </c>
      <c r="H347" t="s">
        <v>310</v>
      </c>
      <c r="I347" s="4">
        <f>VLOOKUP(G347,Sheet2!A:D,4,0)</f>
        <v>11</v>
      </c>
    </row>
    <row r="348" spans="1:9">
      <c r="A348" s="4" t="s">
        <v>528</v>
      </c>
      <c r="B348" s="2" t="s">
        <v>618</v>
      </c>
      <c r="C348" s="2" t="s">
        <v>619</v>
      </c>
      <c r="D348" s="4" t="s">
        <v>8</v>
      </c>
      <c r="E348" s="2" t="s">
        <v>18</v>
      </c>
      <c r="F348" s="6">
        <v>46118.431296296294</v>
      </c>
      <c r="G348" t="s">
        <v>460</v>
      </c>
      <c r="H348" t="s">
        <v>310</v>
      </c>
      <c r="I348" s="4">
        <f>VLOOKUP(G348,Sheet2!A:D,4,0)</f>
        <v>11</v>
      </c>
    </row>
    <row r="349" spans="1:9">
      <c r="A349" s="5" t="s">
        <v>529</v>
      </c>
      <c r="B349" s="3" t="s">
        <v>476</v>
      </c>
      <c r="C349" s="3" t="s">
        <v>477</v>
      </c>
      <c r="D349" s="5" t="s">
        <v>8</v>
      </c>
      <c r="E349" s="3" t="s">
        <v>59</v>
      </c>
      <c r="F349" s="7">
        <v>46118.453819444447</v>
      </c>
      <c r="G349" t="s">
        <v>460</v>
      </c>
      <c r="H349" t="s">
        <v>310</v>
      </c>
      <c r="I349" s="4">
        <f>VLOOKUP(G349,Sheet2!A:D,4,0)</f>
        <v>11</v>
      </c>
    </row>
    <row r="350" spans="1:9">
      <c r="A350" s="4" t="s">
        <v>530</v>
      </c>
      <c r="B350" s="2" t="s">
        <v>476</v>
      </c>
      <c r="C350" s="2" t="s">
        <v>477</v>
      </c>
      <c r="D350" s="4" t="s">
        <v>8</v>
      </c>
      <c r="E350" s="2" t="s">
        <v>59</v>
      </c>
      <c r="F350" s="6">
        <v>46118.50984953704</v>
      </c>
      <c r="G350" t="s">
        <v>460</v>
      </c>
      <c r="H350" t="s">
        <v>310</v>
      </c>
      <c r="I350" s="4">
        <f>VLOOKUP(G350,Sheet2!A:D,4,0)</f>
        <v>11</v>
      </c>
    </row>
    <row r="351" spans="1:9">
      <c r="A351" s="5" t="s">
        <v>531</v>
      </c>
      <c r="B351" s="3" t="s">
        <v>476</v>
      </c>
      <c r="C351" s="3" t="s">
        <v>477</v>
      </c>
      <c r="D351" s="5" t="s">
        <v>8</v>
      </c>
      <c r="E351" s="3" t="s">
        <v>59</v>
      </c>
      <c r="F351" s="7">
        <v>46118.511238425926</v>
      </c>
      <c r="G351" t="s">
        <v>460</v>
      </c>
      <c r="H351" t="s">
        <v>310</v>
      </c>
      <c r="I351" s="4">
        <f>VLOOKUP(G351,Sheet2!A:D,4,0)</f>
        <v>11</v>
      </c>
    </row>
    <row r="352" spans="1:9">
      <c r="A352" s="4" t="s">
        <v>532</v>
      </c>
      <c r="B352" s="2" t="s">
        <v>618</v>
      </c>
      <c r="C352" s="2" t="s">
        <v>619</v>
      </c>
      <c r="D352" s="4" t="s">
        <v>8</v>
      </c>
      <c r="E352" s="2" t="s">
        <v>18</v>
      </c>
      <c r="F352" s="6">
        <v>46118.482106481482</v>
      </c>
      <c r="G352" t="s">
        <v>460</v>
      </c>
      <c r="H352" t="s">
        <v>310</v>
      </c>
      <c r="I352" s="4">
        <f>VLOOKUP(G352,Sheet2!A:D,4,0)</f>
        <v>11</v>
      </c>
    </row>
    <row r="353" spans="1:9">
      <c r="A353" s="5" t="s">
        <v>533</v>
      </c>
      <c r="B353" s="3" t="s">
        <v>476</v>
      </c>
      <c r="C353" s="3" t="s">
        <v>477</v>
      </c>
      <c r="D353" s="5" t="s">
        <v>8</v>
      </c>
      <c r="E353" s="3" t="s">
        <v>59</v>
      </c>
      <c r="F353" s="7">
        <v>46118.500844907408</v>
      </c>
      <c r="G353" t="s">
        <v>460</v>
      </c>
      <c r="H353" t="s">
        <v>310</v>
      </c>
      <c r="I353" s="4">
        <f>VLOOKUP(G353,Sheet2!A:D,4,0)</f>
        <v>11</v>
      </c>
    </row>
    <row r="354" spans="1:9">
      <c r="A354" s="4" t="s">
        <v>534</v>
      </c>
      <c r="B354" s="2" t="s">
        <v>476</v>
      </c>
      <c r="C354" s="2" t="s">
        <v>477</v>
      </c>
      <c r="D354" s="4" t="s">
        <v>8</v>
      </c>
      <c r="E354" s="2" t="s">
        <v>59</v>
      </c>
      <c r="F354" s="6">
        <v>46118.551041666666</v>
      </c>
      <c r="G354" t="s">
        <v>460</v>
      </c>
      <c r="H354" t="s">
        <v>310</v>
      </c>
      <c r="I354" s="4">
        <f>VLOOKUP(G354,Sheet2!A:D,4,0)</f>
        <v>11</v>
      </c>
    </row>
    <row r="355" spans="1:9">
      <c r="A355" s="5" t="s">
        <v>535</v>
      </c>
      <c r="B355" s="3" t="s">
        <v>618</v>
      </c>
      <c r="C355" s="3" t="s">
        <v>619</v>
      </c>
      <c r="D355" s="5" t="s">
        <v>8</v>
      </c>
      <c r="E355" s="3" t="s">
        <v>18</v>
      </c>
      <c r="F355" s="7">
        <v>46118.574363425927</v>
      </c>
      <c r="G355" t="s">
        <v>460</v>
      </c>
      <c r="H355" t="s">
        <v>310</v>
      </c>
      <c r="I355" s="4">
        <f>VLOOKUP(G355,Sheet2!A:D,4,0)</f>
        <v>11</v>
      </c>
    </row>
    <row r="356" spans="1:9">
      <c r="A356" s="4" t="s">
        <v>536</v>
      </c>
      <c r="B356" s="2" t="s">
        <v>356</v>
      </c>
      <c r="C356" s="2" t="s">
        <v>357</v>
      </c>
      <c r="D356" s="4" t="s">
        <v>8</v>
      </c>
      <c r="E356" s="2" t="s">
        <v>59</v>
      </c>
      <c r="F356" s="6">
        <v>46118.517152777778</v>
      </c>
      <c r="G356" t="s">
        <v>460</v>
      </c>
      <c r="H356" t="s">
        <v>310</v>
      </c>
      <c r="I356" s="4">
        <f>VLOOKUP(G356,Sheet2!A:D,4,0)</f>
        <v>11</v>
      </c>
    </row>
    <row r="357" spans="1:9">
      <c r="A357" s="5" t="s">
        <v>537</v>
      </c>
      <c r="B357" s="3" t="s">
        <v>356</v>
      </c>
      <c r="C357" s="3" t="s">
        <v>357</v>
      </c>
      <c r="D357" s="5" t="s">
        <v>8</v>
      </c>
      <c r="E357" s="3" t="s">
        <v>59</v>
      </c>
      <c r="F357" s="7">
        <v>46118.517291666663</v>
      </c>
      <c r="G357" t="s">
        <v>460</v>
      </c>
      <c r="H357" t="s">
        <v>310</v>
      </c>
      <c r="I357" s="4">
        <f>VLOOKUP(G357,Sheet2!A:D,4,0)</f>
        <v>11</v>
      </c>
    </row>
    <row r="358" spans="1:9">
      <c r="A358" s="4" t="s">
        <v>538</v>
      </c>
      <c r="B358" s="2" t="s">
        <v>356</v>
      </c>
      <c r="C358" s="2" t="s">
        <v>357</v>
      </c>
      <c r="D358" s="4" t="s">
        <v>8</v>
      </c>
      <c r="E358" s="2" t="s">
        <v>59</v>
      </c>
      <c r="F358" s="6">
        <v>46118.517500000002</v>
      </c>
      <c r="G358" t="s">
        <v>460</v>
      </c>
      <c r="H358" t="s">
        <v>310</v>
      </c>
      <c r="I358" s="4">
        <f>VLOOKUP(G358,Sheet2!A:D,4,0)</f>
        <v>11</v>
      </c>
    </row>
    <row r="359" spans="1:9">
      <c r="A359" s="5" t="s">
        <v>539</v>
      </c>
      <c r="B359" s="3" t="s">
        <v>356</v>
      </c>
      <c r="C359" s="3" t="s">
        <v>357</v>
      </c>
      <c r="D359" s="5" t="s">
        <v>8</v>
      </c>
      <c r="E359" s="3" t="s">
        <v>59</v>
      </c>
      <c r="F359" s="7">
        <v>46118.518506944441</v>
      </c>
      <c r="G359" t="s">
        <v>460</v>
      </c>
      <c r="H359" t="s">
        <v>310</v>
      </c>
      <c r="I359" s="4">
        <f>VLOOKUP(G359,Sheet2!A:D,4,0)</f>
        <v>11</v>
      </c>
    </row>
    <row r="360" spans="1:9">
      <c r="A360" s="4" t="s">
        <v>540</v>
      </c>
      <c r="B360" s="2" t="s">
        <v>356</v>
      </c>
      <c r="C360" s="2" t="s">
        <v>357</v>
      </c>
      <c r="D360" s="4" t="s">
        <v>8</v>
      </c>
      <c r="E360" s="2" t="s">
        <v>59</v>
      </c>
      <c r="F360" s="6">
        <v>46118.518738425926</v>
      </c>
      <c r="G360" t="s">
        <v>460</v>
      </c>
      <c r="H360" t="s">
        <v>310</v>
      </c>
      <c r="I360" s="4">
        <f>VLOOKUP(G360,Sheet2!A:D,4,0)</f>
        <v>11</v>
      </c>
    </row>
    <row r="361" spans="1:9">
      <c r="A361" s="5" t="s">
        <v>541</v>
      </c>
      <c r="B361" s="3" t="s">
        <v>356</v>
      </c>
      <c r="C361" s="3" t="s">
        <v>357</v>
      </c>
      <c r="D361" s="5" t="s">
        <v>8</v>
      </c>
      <c r="E361" s="3" t="s">
        <v>59</v>
      </c>
      <c r="F361" s="7">
        <v>46118.518888888888</v>
      </c>
      <c r="G361" t="s">
        <v>460</v>
      </c>
      <c r="H361" t="s">
        <v>310</v>
      </c>
      <c r="I361" s="4">
        <f>VLOOKUP(G361,Sheet2!A:D,4,0)</f>
        <v>11</v>
      </c>
    </row>
    <row r="362" spans="1:9">
      <c r="A362" s="4" t="s">
        <v>542</v>
      </c>
      <c r="B362" s="2" t="s">
        <v>356</v>
      </c>
      <c r="C362" s="2" t="s">
        <v>357</v>
      </c>
      <c r="D362" s="4" t="s">
        <v>8</v>
      </c>
      <c r="E362" s="2" t="s">
        <v>59</v>
      </c>
      <c r="F362" s="6">
        <v>46118.519097222219</v>
      </c>
      <c r="G362" t="s">
        <v>460</v>
      </c>
      <c r="H362" t="s">
        <v>310</v>
      </c>
      <c r="I362" s="4">
        <f>VLOOKUP(G362,Sheet2!A:D,4,0)</f>
        <v>11</v>
      </c>
    </row>
    <row r="363" spans="1:9">
      <c r="A363" s="5" t="s">
        <v>543</v>
      </c>
      <c r="B363" s="3" t="s">
        <v>356</v>
      </c>
      <c r="C363" s="3" t="s">
        <v>357</v>
      </c>
      <c r="D363" s="5" t="s">
        <v>8</v>
      </c>
      <c r="E363" s="3" t="s">
        <v>59</v>
      </c>
      <c r="F363" s="7">
        <v>46118.553020833337</v>
      </c>
      <c r="G363" t="s">
        <v>460</v>
      </c>
      <c r="H363" t="s">
        <v>310</v>
      </c>
      <c r="I363" s="4">
        <f>VLOOKUP(G363,Sheet2!A:D,4,0)</f>
        <v>11</v>
      </c>
    </row>
    <row r="364" spans="1:9">
      <c r="A364" s="4" t="s">
        <v>544</v>
      </c>
      <c r="B364" s="2" t="s">
        <v>356</v>
      </c>
      <c r="C364" s="2" t="s">
        <v>357</v>
      </c>
      <c r="D364" s="4" t="s">
        <v>8</v>
      </c>
      <c r="E364" s="2" t="s">
        <v>59</v>
      </c>
      <c r="F364" s="6">
        <v>46118.554143518515</v>
      </c>
      <c r="G364" t="s">
        <v>460</v>
      </c>
      <c r="H364" t="s">
        <v>310</v>
      </c>
      <c r="I364" s="4">
        <f>VLOOKUP(G364,Sheet2!A:D,4,0)</f>
        <v>11</v>
      </c>
    </row>
    <row r="365" spans="1:9">
      <c r="A365" s="5" t="s">
        <v>545</v>
      </c>
      <c r="B365" s="3" t="s">
        <v>356</v>
      </c>
      <c r="C365" s="3" t="s">
        <v>357</v>
      </c>
      <c r="D365" s="5" t="s">
        <v>8</v>
      </c>
      <c r="E365" s="3" t="s">
        <v>59</v>
      </c>
      <c r="F365" s="7">
        <v>46118.554270833331</v>
      </c>
      <c r="G365" t="s">
        <v>460</v>
      </c>
      <c r="H365" t="s">
        <v>310</v>
      </c>
      <c r="I365" s="4">
        <f>VLOOKUP(G365,Sheet2!A:D,4,0)</f>
        <v>11</v>
      </c>
    </row>
    <row r="366" spans="1:9">
      <c r="A366" s="4" t="s">
        <v>546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460</v>
      </c>
      <c r="H366" t="s">
        <v>310</v>
      </c>
      <c r="I366" s="4">
        <f>VLOOKUP(G366,Sheet2!A:D,4,0)</f>
        <v>11</v>
      </c>
    </row>
    <row r="367" spans="1:9">
      <c r="A367" s="5" t="s">
        <v>547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460</v>
      </c>
      <c r="H367" t="s">
        <v>310</v>
      </c>
      <c r="I367" s="4">
        <f>VLOOKUP(G367,Sheet2!A:D,4,0)</f>
        <v>11</v>
      </c>
    </row>
    <row r="368" spans="1:9">
      <c r="A368" s="4" t="s">
        <v>548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460</v>
      </c>
      <c r="H368" t="s">
        <v>310</v>
      </c>
      <c r="I368" s="4">
        <f>VLOOKUP(G368,Sheet2!A:D,4,0)</f>
        <v>11</v>
      </c>
    </row>
    <row r="369" spans="1:9">
      <c r="A369" s="5" t="s">
        <v>549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460</v>
      </c>
      <c r="H369" t="s">
        <v>310</v>
      </c>
      <c r="I369" s="4">
        <f>VLOOKUP(G369,Sheet2!A:D,4,0)</f>
        <v>11</v>
      </c>
    </row>
    <row r="370" spans="1:9">
      <c r="A370" s="4" t="s">
        <v>550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460</v>
      </c>
      <c r="H370" t="s">
        <v>310</v>
      </c>
      <c r="I370" s="4">
        <f>VLOOKUP(G370,Sheet2!A:D,4,0)</f>
        <v>11</v>
      </c>
    </row>
    <row r="371" spans="1:9">
      <c r="A371" s="5" t="s">
        <v>551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460</v>
      </c>
      <c r="H371" t="s">
        <v>310</v>
      </c>
      <c r="I371" s="4">
        <f>VLOOKUP(G371,Sheet2!A:D,4,0)</f>
        <v>11</v>
      </c>
    </row>
    <row r="372" spans="1:9">
      <c r="A372" s="4" t="s">
        <v>552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460</v>
      </c>
      <c r="H372" t="s">
        <v>310</v>
      </c>
      <c r="I372" s="4">
        <f>VLOOKUP(G372,Sheet2!A:D,4,0)</f>
        <v>11</v>
      </c>
    </row>
    <row r="373" spans="1:9">
      <c r="A373" s="5" t="s">
        <v>553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460</v>
      </c>
      <c r="H373" t="s">
        <v>310</v>
      </c>
      <c r="I373" s="4">
        <f>VLOOKUP(G373,Sheet2!A:D,4,0)</f>
        <v>11</v>
      </c>
    </row>
    <row r="374" spans="1:9">
      <c r="A374" s="4" t="s">
        <v>554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460</v>
      </c>
      <c r="H374" t="s">
        <v>310</v>
      </c>
      <c r="I374" s="4">
        <f>VLOOKUP(G374,Sheet2!A:D,4,0)</f>
        <v>11</v>
      </c>
    </row>
    <row r="375" spans="1:9">
      <c r="A375" s="5" t="s">
        <v>555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460</v>
      </c>
      <c r="H375" t="s">
        <v>310</v>
      </c>
      <c r="I375" s="4">
        <f>VLOOKUP(G375,Sheet2!A:D,4,0)</f>
        <v>11</v>
      </c>
    </row>
    <row r="376" spans="1:9">
      <c r="A376" s="4" t="s">
        <v>556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460</v>
      </c>
      <c r="H376" t="s">
        <v>310</v>
      </c>
      <c r="I376" s="4">
        <f>VLOOKUP(G376,Sheet2!A:D,4,0)</f>
        <v>11</v>
      </c>
    </row>
    <row r="377" spans="1:9">
      <c r="A377" s="5" t="s">
        <v>557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460</v>
      </c>
      <c r="H377" t="s">
        <v>310</v>
      </c>
      <c r="I377" s="4">
        <f>VLOOKUP(G377,Sheet2!A:D,4,0)</f>
        <v>11</v>
      </c>
    </row>
    <row r="378" spans="1:9">
      <c r="A378" s="4" t="s">
        <v>558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460</v>
      </c>
      <c r="H378" t="s">
        <v>310</v>
      </c>
      <c r="I378" s="4">
        <f>VLOOKUP(G378,Sheet2!A:D,4,0)</f>
        <v>11</v>
      </c>
    </row>
    <row r="379" spans="1:9">
      <c r="A379" s="5" t="s">
        <v>559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460</v>
      </c>
      <c r="H379" t="s">
        <v>310</v>
      </c>
      <c r="I379" s="4">
        <f>VLOOKUP(G379,Sheet2!A:D,4,0)</f>
        <v>11</v>
      </c>
    </row>
    <row r="380" spans="1:9">
      <c r="A380" s="4" t="s">
        <v>560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460</v>
      </c>
      <c r="H380" t="s">
        <v>310</v>
      </c>
      <c r="I380" s="4">
        <f>VLOOKUP(G380,Sheet2!A:D,4,0)</f>
        <v>11</v>
      </c>
    </row>
    <row r="381" spans="1:9">
      <c r="A381" s="5" t="s">
        <v>561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460</v>
      </c>
      <c r="H381" t="s">
        <v>310</v>
      </c>
      <c r="I381" s="4">
        <f>VLOOKUP(G381,Sheet2!A:D,4,0)</f>
        <v>11</v>
      </c>
    </row>
    <row r="382" spans="1:9">
      <c r="A382" s="4" t="s">
        <v>562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460</v>
      </c>
      <c r="H382" t="s">
        <v>310</v>
      </c>
      <c r="I382" s="4">
        <f>VLOOKUP(G382,Sheet2!A:D,4,0)</f>
        <v>11</v>
      </c>
    </row>
    <row r="383" spans="1:9">
      <c r="A383" s="5" t="s">
        <v>563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460</v>
      </c>
      <c r="H383" t="s">
        <v>310</v>
      </c>
      <c r="I383" s="4">
        <f>VLOOKUP(G383,Sheet2!A:D,4,0)</f>
        <v>11</v>
      </c>
    </row>
    <row r="384" spans="1:9">
      <c r="A384" s="4" t="s">
        <v>564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460</v>
      </c>
      <c r="H384" t="s">
        <v>310</v>
      </c>
      <c r="I384" s="4">
        <f>VLOOKUP(G384,Sheet2!A:D,4,0)</f>
        <v>11</v>
      </c>
    </row>
    <row r="385" spans="1:9">
      <c r="A385" s="5" t="s">
        <v>565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460</v>
      </c>
      <c r="H385" t="s">
        <v>310</v>
      </c>
      <c r="I385" s="4">
        <f>VLOOKUP(G385,Sheet2!A:D,4,0)</f>
        <v>11</v>
      </c>
    </row>
    <row r="386" spans="1:9">
      <c r="A386" s="4" t="s">
        <v>566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460</v>
      </c>
      <c r="H386" t="s">
        <v>310</v>
      </c>
      <c r="I386" s="4">
        <f>VLOOKUP(G386,Sheet2!A:D,4,0)</f>
        <v>11</v>
      </c>
    </row>
    <row r="387" spans="1:9">
      <c r="A387" s="5" t="s">
        <v>567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460</v>
      </c>
      <c r="H387" t="s">
        <v>310</v>
      </c>
      <c r="I387" s="4">
        <f>VLOOKUP(G387,Sheet2!A:D,4,0)</f>
        <v>11</v>
      </c>
    </row>
    <row r="388" spans="1:9">
      <c r="A388" s="4" t="s">
        <v>568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460</v>
      </c>
      <c r="H388" t="s">
        <v>310</v>
      </c>
      <c r="I388" s="4">
        <f>VLOOKUP(G388,Sheet2!A:D,4,0)</f>
        <v>11</v>
      </c>
    </row>
    <row r="389" spans="1:9">
      <c r="A389" s="5" t="s">
        <v>569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460</v>
      </c>
      <c r="H389" t="s">
        <v>310</v>
      </c>
      <c r="I389" s="4">
        <f>VLOOKUP(G389,Sheet2!A:D,4,0)</f>
        <v>11</v>
      </c>
    </row>
    <row r="390" spans="1:9">
      <c r="A390" s="4" t="s">
        <v>570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460</v>
      </c>
      <c r="H390" t="s">
        <v>310</v>
      </c>
      <c r="I390" s="4">
        <f>VLOOKUP(G390,Sheet2!A:D,4,0)</f>
        <v>11</v>
      </c>
    </row>
    <row r="391" spans="1:9">
      <c r="A391" s="5" t="s">
        <v>571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460</v>
      </c>
      <c r="H391" t="s">
        <v>310</v>
      </c>
      <c r="I391" s="4">
        <f>VLOOKUP(G391,Sheet2!A:D,4,0)</f>
        <v>11</v>
      </c>
    </row>
    <row r="392" spans="1:9">
      <c r="A392" s="4" t="s">
        <v>572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460</v>
      </c>
      <c r="H392" t="s">
        <v>310</v>
      </c>
      <c r="I392" s="4">
        <f>VLOOKUP(G392,Sheet2!A:D,4,0)</f>
        <v>11</v>
      </c>
    </row>
    <row r="393" spans="1:9">
      <c r="A393" s="5" t="s">
        <v>573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460</v>
      </c>
      <c r="H393" t="s">
        <v>310</v>
      </c>
      <c r="I393" s="4">
        <f>VLOOKUP(G393,Sheet2!A:D,4,0)</f>
        <v>11</v>
      </c>
    </row>
    <row r="394" spans="1:9">
      <c r="A394" s="4" t="s">
        <v>574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460</v>
      </c>
      <c r="H394" t="s">
        <v>310</v>
      </c>
      <c r="I394" s="4">
        <f>VLOOKUP(G394,Sheet2!A:D,4,0)</f>
        <v>11</v>
      </c>
    </row>
    <row r="395" spans="1:9">
      <c r="A395" s="5" t="s">
        <v>575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460</v>
      </c>
      <c r="H395" t="s">
        <v>310</v>
      </c>
      <c r="I395" s="4">
        <f>VLOOKUP(G395,Sheet2!A:D,4,0)</f>
        <v>11</v>
      </c>
    </row>
    <row r="396" spans="1:9">
      <c r="A396" s="4" t="s">
        <v>576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460</v>
      </c>
      <c r="H396" t="s">
        <v>310</v>
      </c>
      <c r="I396" s="4">
        <f>VLOOKUP(G396,Sheet2!A:D,4,0)</f>
        <v>11</v>
      </c>
    </row>
    <row r="397" spans="1:9">
      <c r="A397" s="5" t="s">
        <v>577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460</v>
      </c>
      <c r="H397" t="s">
        <v>310</v>
      </c>
      <c r="I397" s="4">
        <f>VLOOKUP(G397,Sheet2!A:D,4,0)</f>
        <v>11</v>
      </c>
    </row>
    <row r="398" spans="1:9">
      <c r="A398" s="4" t="s">
        <v>578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460</v>
      </c>
      <c r="H398" t="s">
        <v>310</v>
      </c>
      <c r="I398" s="4">
        <f>VLOOKUP(G398,Sheet2!A:D,4,0)</f>
        <v>11</v>
      </c>
    </row>
    <row r="399" spans="1:9">
      <c r="A399" s="5" t="s">
        <v>579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460</v>
      </c>
      <c r="H399" t="s">
        <v>310</v>
      </c>
      <c r="I399" s="4">
        <f>VLOOKUP(G399,Sheet2!A:D,4,0)</f>
        <v>11</v>
      </c>
    </row>
    <row r="400" spans="1:9">
      <c r="A400" s="4" t="s">
        <v>580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460</v>
      </c>
      <c r="H400" t="s">
        <v>310</v>
      </c>
      <c r="I400" s="4">
        <f>VLOOKUP(G400,Sheet2!A:D,4,0)</f>
        <v>11</v>
      </c>
    </row>
    <row r="401" spans="1:9">
      <c r="A401" s="5" t="s">
        <v>581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460</v>
      </c>
      <c r="H401" t="s">
        <v>310</v>
      </c>
      <c r="I401" s="4">
        <f>VLOOKUP(G401,Sheet2!A:D,4,0)</f>
        <v>11</v>
      </c>
    </row>
    <row r="402" spans="1:9">
      <c r="A402" s="4" t="s">
        <v>582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460</v>
      </c>
      <c r="H402" t="s">
        <v>310</v>
      </c>
      <c r="I402" s="4">
        <f>VLOOKUP(G402,Sheet2!A:D,4,0)</f>
        <v>11</v>
      </c>
    </row>
    <row r="403" spans="1:9">
      <c r="A403" s="5" t="s">
        <v>583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460</v>
      </c>
      <c r="H403" t="s">
        <v>310</v>
      </c>
      <c r="I403" s="4">
        <f>VLOOKUP(G403,Sheet2!A:D,4,0)</f>
        <v>11</v>
      </c>
    </row>
    <row r="404" spans="1:9">
      <c r="A404" s="4" t="s">
        <v>584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460</v>
      </c>
      <c r="H404" t="s">
        <v>310</v>
      </c>
      <c r="I404" s="4">
        <f>VLOOKUP(G404,Sheet2!A:D,4,0)</f>
        <v>11</v>
      </c>
    </row>
    <row r="405" spans="1:9">
      <c r="A405" s="5" t="s">
        <v>585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460</v>
      </c>
      <c r="H405" t="s">
        <v>310</v>
      </c>
      <c r="I405" s="4">
        <f>VLOOKUP(G405,Sheet2!A:D,4,0)</f>
        <v>11</v>
      </c>
    </row>
    <row r="406" spans="1:9">
      <c r="A406" s="4" t="s">
        <v>586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460</v>
      </c>
      <c r="H406" t="s">
        <v>310</v>
      </c>
      <c r="I406" s="4">
        <f>VLOOKUP(G406,Sheet2!A:D,4,0)</f>
        <v>11</v>
      </c>
    </row>
    <row r="407" spans="1:9">
      <c r="A407" s="5" t="s">
        <v>587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460</v>
      </c>
      <c r="H407" t="s">
        <v>310</v>
      </c>
      <c r="I407" s="4">
        <f>VLOOKUP(G407,Sheet2!A:D,4,0)</f>
        <v>11</v>
      </c>
    </row>
    <row r="408" spans="1:9">
      <c r="A408" s="4" t="s">
        <v>588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460</v>
      </c>
      <c r="H408" t="s">
        <v>310</v>
      </c>
      <c r="I408" s="4">
        <f>VLOOKUP(G408,Sheet2!A:D,4,0)</f>
        <v>11</v>
      </c>
    </row>
    <row r="409" spans="1:9">
      <c r="A409" s="5" t="s">
        <v>589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460</v>
      </c>
      <c r="H409" t="s">
        <v>310</v>
      </c>
      <c r="I409" s="4">
        <f>VLOOKUP(G409,Sheet2!A:D,4,0)</f>
        <v>11</v>
      </c>
    </row>
    <row r="410" spans="1:9">
      <c r="A410" s="4" t="s">
        <v>590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460</v>
      </c>
      <c r="H410" t="s">
        <v>310</v>
      </c>
      <c r="I410" s="4">
        <f>VLOOKUP(G410,Sheet2!A:D,4,0)</f>
        <v>11</v>
      </c>
    </row>
    <row r="411" spans="1:9">
      <c r="A411" s="5" t="s">
        <v>591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460</v>
      </c>
      <c r="H411" t="s">
        <v>310</v>
      </c>
      <c r="I411" s="4">
        <f>VLOOKUP(G411,Sheet2!A:D,4,0)</f>
        <v>11</v>
      </c>
    </row>
    <row r="412" spans="1:9">
      <c r="A412" s="4" t="s">
        <v>592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460</v>
      </c>
      <c r="H412" t="s">
        <v>310</v>
      </c>
      <c r="I412" s="4">
        <f>VLOOKUP(G412,Sheet2!A:D,4,0)</f>
        <v>11</v>
      </c>
    </row>
    <row r="413" spans="1:9">
      <c r="A413" s="5" t="s">
        <v>593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460</v>
      </c>
      <c r="H413" t="s">
        <v>310</v>
      </c>
      <c r="I413" s="4">
        <f>VLOOKUP(G413,Sheet2!A:D,4,0)</f>
        <v>11</v>
      </c>
    </row>
    <row r="414" spans="1:9">
      <c r="A414" s="4" t="s">
        <v>594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460</v>
      </c>
      <c r="H414" t="s">
        <v>310</v>
      </c>
      <c r="I414" s="4">
        <f>VLOOKUP(G414,Sheet2!A:D,4,0)</f>
        <v>11</v>
      </c>
    </row>
    <row r="415" spans="1:9">
      <c r="A415" s="5" t="s">
        <v>595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460</v>
      </c>
      <c r="H415" t="s">
        <v>310</v>
      </c>
      <c r="I415" s="4">
        <f>VLOOKUP(G415,Sheet2!A:D,4,0)</f>
        <v>11</v>
      </c>
    </row>
    <row r="416" spans="1:9">
      <c r="A416" s="4" t="s">
        <v>596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460</v>
      </c>
      <c r="H416" t="s">
        <v>310</v>
      </c>
      <c r="I416" s="4">
        <f>VLOOKUP(G416,Sheet2!A:D,4,0)</f>
        <v>11</v>
      </c>
    </row>
    <row r="417" spans="1:9">
      <c r="A417" s="5" t="s">
        <v>597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460</v>
      </c>
      <c r="H417" t="s">
        <v>310</v>
      </c>
      <c r="I417" s="4">
        <f>VLOOKUP(G417,Sheet2!A:D,4,0)</f>
        <v>11</v>
      </c>
    </row>
    <row r="418" spans="1:9">
      <c r="A418" s="4" t="s">
        <v>598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460</v>
      </c>
      <c r="H418" t="s">
        <v>310</v>
      </c>
      <c r="I418" s="4">
        <f>VLOOKUP(G418,Sheet2!A:D,4,0)</f>
        <v>11</v>
      </c>
    </row>
    <row r="419" spans="1:9">
      <c r="A419" s="5" t="s">
        <v>599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460</v>
      </c>
      <c r="H419" t="s">
        <v>310</v>
      </c>
      <c r="I419" s="4">
        <f>VLOOKUP(G419,Sheet2!A:D,4,0)</f>
        <v>11</v>
      </c>
    </row>
    <row r="420" spans="1:9">
      <c r="A420" s="4" t="s">
        <v>600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460</v>
      </c>
      <c r="H420" t="s">
        <v>310</v>
      </c>
      <c r="I420" s="4">
        <f>VLOOKUP(G420,Sheet2!A:D,4,0)</f>
        <v>11</v>
      </c>
    </row>
    <row r="421" spans="1:9">
      <c r="A421" s="5" t="s">
        <v>601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460</v>
      </c>
      <c r="H421" t="s">
        <v>310</v>
      </c>
      <c r="I421" s="4">
        <f>VLOOKUP(G421,Sheet2!A:D,4,0)</f>
        <v>11</v>
      </c>
    </row>
    <row r="422" spans="1:9">
      <c r="A422" s="4" t="s">
        <v>602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460</v>
      </c>
      <c r="H422" t="s">
        <v>310</v>
      </c>
      <c r="I422" s="4">
        <f>VLOOKUP(G422,Sheet2!A:D,4,0)</f>
        <v>11</v>
      </c>
    </row>
    <row r="423" spans="1:9">
      <c r="A423" s="5" t="s">
        <v>603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460</v>
      </c>
      <c r="H423" t="s">
        <v>310</v>
      </c>
      <c r="I423" s="4">
        <f>VLOOKUP(G423,Sheet2!A:D,4,0)</f>
        <v>11</v>
      </c>
    </row>
    <row r="424" spans="1:9">
      <c r="A424" s="4" t="s">
        <v>604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460</v>
      </c>
      <c r="H424" t="s">
        <v>310</v>
      </c>
      <c r="I424" s="4">
        <f>VLOOKUP(G424,Sheet2!A:D,4,0)</f>
        <v>11</v>
      </c>
    </row>
    <row r="425" spans="1:9">
      <c r="A425" s="5" t="s">
        <v>605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460</v>
      </c>
      <c r="H425" t="s">
        <v>310</v>
      </c>
      <c r="I425" s="4">
        <f>VLOOKUP(G425,Sheet2!A:D,4,0)</f>
        <v>11</v>
      </c>
    </row>
    <row r="426" spans="1:9">
      <c r="A426" s="4" t="s">
        <v>606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460</v>
      </c>
      <c r="H426" t="s">
        <v>310</v>
      </c>
      <c r="I426" s="4">
        <f>VLOOKUP(G426,Sheet2!A:D,4,0)</f>
        <v>11</v>
      </c>
    </row>
    <row r="427" spans="1:9">
      <c r="A427" s="5" t="s">
        <v>607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460</v>
      </c>
      <c r="H427" t="s">
        <v>310</v>
      </c>
      <c r="I427" s="4">
        <f>VLOOKUP(G427,Sheet2!A:D,4,0)</f>
        <v>11</v>
      </c>
    </row>
    <row r="428" spans="1:9">
      <c r="A428" s="4" t="s">
        <v>608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460</v>
      </c>
      <c r="H428" t="s">
        <v>310</v>
      </c>
      <c r="I428" s="4">
        <f>VLOOKUP(G428,Sheet2!A:D,4,0)</f>
        <v>11</v>
      </c>
    </row>
    <row r="429" spans="1:9">
      <c r="A429" s="5" t="s">
        <v>609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460</v>
      </c>
      <c r="H429" t="s">
        <v>310</v>
      </c>
      <c r="I429" s="4">
        <f>VLOOKUP(G429,Sheet2!A:D,4,0)</f>
        <v>11</v>
      </c>
    </row>
    <row r="430" spans="1:9">
      <c r="A430" s="4" t="s">
        <v>610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460</v>
      </c>
      <c r="H430" t="s">
        <v>310</v>
      </c>
      <c r="I430" s="4">
        <f>VLOOKUP(G430,Sheet2!A:D,4,0)</f>
        <v>11</v>
      </c>
    </row>
    <row r="431" spans="1:9">
      <c r="A431" s="5" t="s">
        <v>611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460</v>
      </c>
      <c r="H431" t="s">
        <v>310</v>
      </c>
      <c r="I431" s="4">
        <f>VLOOKUP(G431,Sheet2!A:D,4,0)</f>
        <v>11</v>
      </c>
    </row>
    <row r="432" spans="1:9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>
      <c r="A457" s="4" t="s">
        <v>413</v>
      </c>
      <c r="B457" s="2" t="s">
        <v>476</v>
      </c>
      <c r="C457" s="2" t="s">
        <v>477</v>
      </c>
      <c r="D457" s="4" t="s">
        <v>8</v>
      </c>
      <c r="E457" s="2" t="s">
        <v>59</v>
      </c>
      <c r="F457" s="6">
        <v>46112.40216435185</v>
      </c>
      <c r="G457" t="s">
        <v>394</v>
      </c>
      <c r="H457" t="s">
        <v>396</v>
      </c>
      <c r="I457" s="4">
        <f>VLOOKUP(G457,Sheet2!A:D,4,0)</f>
        <v>9</v>
      </c>
    </row>
    <row r="458" spans="1:9">
      <c r="A458" s="5" t="s">
        <v>414</v>
      </c>
      <c r="B458" s="3" t="s">
        <v>464</v>
      </c>
      <c r="C458" s="3" t="s">
        <v>465</v>
      </c>
      <c r="D458" s="5" t="s">
        <v>8</v>
      </c>
      <c r="E458" s="3" t="s">
        <v>18</v>
      </c>
      <c r="F458" s="7">
        <v>46112.437361111108</v>
      </c>
      <c r="G458" t="s">
        <v>394</v>
      </c>
      <c r="H458" t="s">
        <v>396</v>
      </c>
      <c r="I458" s="4">
        <f>VLOOKUP(G458,Sheet2!A:D,4,0)</f>
        <v>9</v>
      </c>
    </row>
    <row r="459" spans="1:9">
      <c r="A459" s="4" t="s">
        <v>415</v>
      </c>
      <c r="B459" s="2" t="s">
        <v>618</v>
      </c>
      <c r="C459" s="2" t="s">
        <v>619</v>
      </c>
      <c r="D459" s="4" t="s">
        <v>8</v>
      </c>
      <c r="E459" s="2" t="s">
        <v>18</v>
      </c>
      <c r="F459" s="6">
        <v>46112.461562500001</v>
      </c>
      <c r="G459" t="s">
        <v>394</v>
      </c>
      <c r="H459" t="s">
        <v>396</v>
      </c>
      <c r="I459" s="4">
        <f>VLOOKUP(G459,Sheet2!A:D,4,0)</f>
        <v>9</v>
      </c>
    </row>
    <row r="460" spans="1:9">
      <c r="A460" s="5" t="s">
        <v>416</v>
      </c>
      <c r="B460" s="3" t="s">
        <v>464</v>
      </c>
      <c r="C460" s="3" t="s">
        <v>465</v>
      </c>
      <c r="D460" s="5" t="s">
        <v>8</v>
      </c>
      <c r="E460" s="3" t="s">
        <v>18</v>
      </c>
      <c r="F460" s="7">
        <v>46112.47216435185</v>
      </c>
      <c r="G460" t="s">
        <v>394</v>
      </c>
      <c r="H460" t="s">
        <v>396</v>
      </c>
      <c r="I460" s="4">
        <f>VLOOKUP(G460,Sheet2!A:D,4,0)</f>
        <v>9</v>
      </c>
    </row>
    <row r="461" spans="1:9">
      <c r="A461" s="4" t="s">
        <v>417</v>
      </c>
      <c r="B461" s="2" t="s">
        <v>476</v>
      </c>
      <c r="C461" s="2" t="s">
        <v>477</v>
      </c>
      <c r="D461" s="4" t="s">
        <v>8</v>
      </c>
      <c r="E461" s="2" t="s">
        <v>59</v>
      </c>
      <c r="F461" s="6">
        <v>46112.559004629627</v>
      </c>
      <c r="G461" t="s">
        <v>394</v>
      </c>
      <c r="H461" t="s">
        <v>396</v>
      </c>
      <c r="I461" s="4">
        <f>VLOOKUP(G461,Sheet2!A:D,4,0)</f>
        <v>9</v>
      </c>
    </row>
    <row r="462" spans="1:9">
      <c r="A462" s="5" t="s">
        <v>418</v>
      </c>
      <c r="B462" s="3" t="s">
        <v>464</v>
      </c>
      <c r="C462" s="3" t="s">
        <v>465</v>
      </c>
      <c r="D462" s="5" t="s">
        <v>8</v>
      </c>
      <c r="E462" s="3" t="s">
        <v>18</v>
      </c>
      <c r="F462" s="7">
        <v>46112.485046296293</v>
      </c>
      <c r="G462" t="s">
        <v>394</v>
      </c>
      <c r="H462" t="s">
        <v>396</v>
      </c>
      <c r="I462" s="4">
        <f>VLOOKUP(G462,Sheet2!A:D,4,0)</f>
        <v>9</v>
      </c>
    </row>
    <row r="463" spans="1:9">
      <c r="A463" s="4" t="s">
        <v>419</v>
      </c>
      <c r="B463" s="2" t="s">
        <v>476</v>
      </c>
      <c r="C463" s="2" t="s">
        <v>477</v>
      </c>
      <c r="D463" s="4" t="s">
        <v>8</v>
      </c>
      <c r="E463" s="2" t="s">
        <v>59</v>
      </c>
      <c r="F463" s="6">
        <v>46111.490335648145</v>
      </c>
      <c r="G463" t="s">
        <v>394</v>
      </c>
      <c r="H463" t="s">
        <v>396</v>
      </c>
      <c r="I463" s="4">
        <f>VLOOKUP(G463,Sheet2!A:D,4,0)</f>
        <v>9</v>
      </c>
    </row>
    <row r="464" spans="1:9">
      <c r="A464" s="5" t="s">
        <v>420</v>
      </c>
      <c r="B464" s="3" t="s">
        <v>476</v>
      </c>
      <c r="C464" s="3" t="s">
        <v>477</v>
      </c>
      <c r="D464" s="5" t="s">
        <v>8</v>
      </c>
      <c r="E464" s="3" t="s">
        <v>59</v>
      </c>
      <c r="F464" s="7">
        <v>46112.493715277778</v>
      </c>
      <c r="G464" t="s">
        <v>394</v>
      </c>
      <c r="H464" t="s">
        <v>396</v>
      </c>
      <c r="I464" s="4">
        <f>VLOOKUP(G464,Sheet2!A:D,4,0)</f>
        <v>9</v>
      </c>
    </row>
    <row r="465" spans="1:9">
      <c r="A465" s="4" t="s">
        <v>421</v>
      </c>
      <c r="B465" s="2" t="s">
        <v>614</v>
      </c>
      <c r="C465" s="2" t="s">
        <v>615</v>
      </c>
      <c r="D465" s="4" t="s">
        <v>8</v>
      </c>
      <c r="E465" s="2" t="s">
        <v>18</v>
      </c>
      <c r="F465" s="6">
        <v>46112.426770833335</v>
      </c>
      <c r="G465" t="s">
        <v>394</v>
      </c>
      <c r="H465" t="s">
        <v>396</v>
      </c>
      <c r="I465" s="4">
        <f>VLOOKUP(G465,Sheet2!A:D,4,0)</f>
        <v>9</v>
      </c>
    </row>
    <row r="466" spans="1:9">
      <c r="A466" s="5" t="s">
        <v>422</v>
      </c>
      <c r="B466" s="3" t="s">
        <v>474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394</v>
      </c>
      <c r="H466" t="s">
        <v>396</v>
      </c>
      <c r="I466" s="4">
        <f>VLOOKUP(G466,Sheet2!A:D,4,0)</f>
        <v>9</v>
      </c>
    </row>
    <row r="467" spans="1:9">
      <c r="A467" s="4" t="s">
        <v>423</v>
      </c>
      <c r="B467" s="2" t="s">
        <v>464</v>
      </c>
      <c r="C467" s="2" t="s">
        <v>465</v>
      </c>
      <c r="D467" s="4" t="s">
        <v>8</v>
      </c>
      <c r="E467" s="2" t="s">
        <v>18</v>
      </c>
      <c r="F467" s="6">
        <v>46112.513506944444</v>
      </c>
      <c r="G467" t="s">
        <v>394</v>
      </c>
      <c r="H467" t="s">
        <v>396</v>
      </c>
      <c r="I467" s="4">
        <f>VLOOKUP(G467,Sheet2!A:D,4,0)</f>
        <v>9</v>
      </c>
    </row>
    <row r="468" spans="1:9">
      <c r="A468" s="5" t="s">
        <v>424</v>
      </c>
      <c r="B468" s="3" t="s">
        <v>464</v>
      </c>
      <c r="C468" s="3" t="s">
        <v>465</v>
      </c>
      <c r="D468" s="5" t="s">
        <v>8</v>
      </c>
      <c r="E468" s="3" t="s">
        <v>18</v>
      </c>
      <c r="F468" s="7">
        <v>46112.291574074072</v>
      </c>
      <c r="G468" t="s">
        <v>394</v>
      </c>
      <c r="H468" t="s">
        <v>396</v>
      </c>
      <c r="I468" s="4">
        <f>VLOOKUP(G468,Sheet2!A:D,4,0)</f>
        <v>9</v>
      </c>
    </row>
    <row r="469" spans="1:9">
      <c r="A469" s="4" t="s">
        <v>425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394</v>
      </c>
      <c r="H469" t="s">
        <v>396</v>
      </c>
      <c r="I469" s="4">
        <f>VLOOKUP(G469,Sheet2!A:D,4,0)</f>
        <v>9</v>
      </c>
    </row>
    <row r="470" spans="1:9">
      <c r="A470" s="5" t="s">
        <v>426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46115.665300925924</v>
      </c>
      <c r="G470" t="s">
        <v>394</v>
      </c>
      <c r="H470" t="s">
        <v>396</v>
      </c>
      <c r="I470" s="4">
        <f>VLOOKUP(G470,Sheet2!A:D,4,0)</f>
        <v>9</v>
      </c>
    </row>
    <row r="471" spans="1:9">
      <c r="A471" s="4" t="s">
        <v>427</v>
      </c>
      <c r="B471" s="2" t="s">
        <v>476</v>
      </c>
      <c r="C471" s="2" t="s">
        <v>477</v>
      </c>
      <c r="D471" s="4" t="s">
        <v>8</v>
      </c>
      <c r="E471" s="2" t="s">
        <v>59</v>
      </c>
      <c r="F471" s="6">
        <v>46112.301238425927</v>
      </c>
      <c r="G471" t="s">
        <v>394</v>
      </c>
      <c r="H471" t="s">
        <v>396</v>
      </c>
      <c r="I471" s="4">
        <f>VLOOKUP(G471,Sheet2!A:D,4,0)</f>
        <v>9</v>
      </c>
    </row>
    <row r="472" spans="1:9">
      <c r="A472" s="5" t="s">
        <v>428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46115.666666666664</v>
      </c>
      <c r="G472" t="s">
        <v>394</v>
      </c>
      <c r="H472" t="s">
        <v>396</v>
      </c>
      <c r="I472" s="4">
        <f>VLOOKUP(G472,Sheet2!A:D,4,0)</f>
        <v>9</v>
      </c>
    </row>
    <row r="473" spans="1:9">
      <c r="A473" s="4" t="s">
        <v>429</v>
      </c>
      <c r="B473" s="2" t="s">
        <v>356</v>
      </c>
      <c r="C473" s="2" t="s">
        <v>357</v>
      </c>
      <c r="D473" s="4" t="s">
        <v>8</v>
      </c>
      <c r="E473" s="2" t="s">
        <v>59</v>
      </c>
      <c r="F473" s="6">
        <v>46111.472488425927</v>
      </c>
      <c r="G473" t="s">
        <v>394</v>
      </c>
      <c r="H473" t="s">
        <v>396</v>
      </c>
      <c r="I473" s="4">
        <f>VLOOKUP(G473,Sheet2!A:D,4,0)</f>
        <v>9</v>
      </c>
    </row>
    <row r="474" spans="1:9">
      <c r="A474" s="5" t="s">
        <v>430</v>
      </c>
      <c r="B474" s="3" t="s">
        <v>476</v>
      </c>
      <c r="C474" s="3" t="s">
        <v>477</v>
      </c>
      <c r="D474" s="5" t="s">
        <v>8</v>
      </c>
      <c r="E474" s="3" t="s">
        <v>59</v>
      </c>
      <c r="F474" s="7">
        <v>46111.374791666669</v>
      </c>
      <c r="G474" t="s">
        <v>394</v>
      </c>
      <c r="H474" t="s">
        <v>396</v>
      </c>
      <c r="I474" s="4">
        <f>VLOOKUP(G474,Sheet2!A:D,4,0)</f>
        <v>9</v>
      </c>
    </row>
    <row r="475" spans="1:9">
      <c r="A475" s="4" t="s">
        <v>431</v>
      </c>
      <c r="B475" s="2" t="s">
        <v>474</v>
      </c>
      <c r="C475" s="2" t="s">
        <v>230</v>
      </c>
      <c r="D475" s="4" t="s">
        <v>8</v>
      </c>
      <c r="E475" s="2" t="s">
        <v>59</v>
      </c>
      <c r="F475" s="6">
        <v>46118.549432870372</v>
      </c>
      <c r="G475" t="s">
        <v>394</v>
      </c>
      <c r="H475" t="s">
        <v>396</v>
      </c>
      <c r="I475" s="4">
        <f>VLOOKUP(G475,Sheet2!A:D,4,0)</f>
        <v>9</v>
      </c>
    </row>
    <row r="476" spans="1:9">
      <c r="A476" s="5" t="s">
        <v>432</v>
      </c>
      <c r="B476" s="3" t="s">
        <v>466</v>
      </c>
      <c r="C476" s="3" t="s">
        <v>467</v>
      </c>
      <c r="D476" s="5" t="s">
        <v>8</v>
      </c>
      <c r="E476" s="3" t="s">
        <v>59</v>
      </c>
      <c r="F476" s="7">
        <v>46112.572743055556</v>
      </c>
      <c r="G476" t="s">
        <v>394</v>
      </c>
      <c r="H476" t="s">
        <v>396</v>
      </c>
      <c r="I476" s="4">
        <f>VLOOKUP(G476,Sheet2!A:D,4,0)</f>
        <v>9</v>
      </c>
    </row>
    <row r="477" spans="1:9">
      <c r="A477" s="4" t="s">
        <v>433</v>
      </c>
      <c r="B477" s="2" t="s">
        <v>476</v>
      </c>
      <c r="C477" s="2" t="s">
        <v>477</v>
      </c>
      <c r="D477" s="4" t="s">
        <v>8</v>
      </c>
      <c r="E477" s="2" t="s">
        <v>59</v>
      </c>
      <c r="F477" s="6">
        <v>46111.478506944448</v>
      </c>
      <c r="G477" t="s">
        <v>394</v>
      </c>
      <c r="H477" t="s">
        <v>396</v>
      </c>
      <c r="I477" s="4">
        <f>VLOOKUP(G477,Sheet2!A:D,4,0)</f>
        <v>9</v>
      </c>
    </row>
    <row r="478" spans="1:9">
      <c r="A478" s="5" t="s">
        <v>434</v>
      </c>
      <c r="B478" s="3" t="s">
        <v>464</v>
      </c>
      <c r="C478" s="3" t="s">
        <v>465</v>
      </c>
      <c r="D478" s="5" t="s">
        <v>8</v>
      </c>
      <c r="E478" s="3" t="s">
        <v>18</v>
      </c>
      <c r="F478" s="7">
        <v>46112.504247685189</v>
      </c>
      <c r="G478" t="s">
        <v>394</v>
      </c>
      <c r="H478" t="s">
        <v>396</v>
      </c>
      <c r="I478" s="4">
        <f>VLOOKUP(G478,Sheet2!A:D,4,0)</f>
        <v>9</v>
      </c>
    </row>
    <row r="479" spans="1:9">
      <c r="A479" s="4" t="s">
        <v>435</v>
      </c>
      <c r="B479" s="2" t="s">
        <v>476</v>
      </c>
      <c r="C479" s="2" t="s">
        <v>477</v>
      </c>
      <c r="D479" s="4" t="s">
        <v>8</v>
      </c>
      <c r="E479" s="2" t="s">
        <v>59</v>
      </c>
      <c r="F479" s="6">
        <v>46112.276875000003</v>
      </c>
      <c r="G479" t="s">
        <v>394</v>
      </c>
      <c r="H479" t="s">
        <v>396</v>
      </c>
      <c r="I479" s="4">
        <f>VLOOKUP(G479,Sheet2!A:D,4,0)</f>
        <v>9</v>
      </c>
    </row>
    <row r="480" spans="1:9">
      <c r="A480" s="5" t="s">
        <v>436</v>
      </c>
      <c r="B480" s="3" t="s">
        <v>625</v>
      </c>
      <c r="C480" s="3" t="s">
        <v>626</v>
      </c>
      <c r="D480" s="5" t="s">
        <v>8</v>
      </c>
      <c r="E480" s="3" t="s">
        <v>18</v>
      </c>
      <c r="F480" s="7">
        <v>46118.541574074072</v>
      </c>
      <c r="G480" t="s">
        <v>394</v>
      </c>
      <c r="H480" t="s">
        <v>396</v>
      </c>
      <c r="I480" s="4">
        <f>VLOOKUP(G480,Sheet2!A:D,4,0)</f>
        <v>9</v>
      </c>
    </row>
    <row r="481" spans="1:9">
      <c r="A481" s="4" t="s">
        <v>437</v>
      </c>
      <c r="B481" s="2" t="s">
        <v>464</v>
      </c>
      <c r="C481" s="2" t="s">
        <v>465</v>
      </c>
      <c r="D481" s="4" t="s">
        <v>8</v>
      </c>
      <c r="E481" s="2" t="s">
        <v>18</v>
      </c>
      <c r="F481" s="6">
        <v>46112.566087962965</v>
      </c>
      <c r="G481" t="s">
        <v>394</v>
      </c>
      <c r="H481" t="s">
        <v>396</v>
      </c>
      <c r="I481" s="4">
        <f>VLOOKUP(G481,Sheet2!A:D,4,0)</f>
        <v>9</v>
      </c>
    </row>
    <row r="482" spans="1:9">
      <c r="A482" s="5" t="s">
        <v>438</v>
      </c>
      <c r="B482" s="3" t="s">
        <v>466</v>
      </c>
      <c r="C482" s="3" t="s">
        <v>467</v>
      </c>
      <c r="D482" s="5" t="s">
        <v>8</v>
      </c>
      <c r="E482" s="3" t="s">
        <v>59</v>
      </c>
      <c r="F482" s="7">
        <v>46105.605856481481</v>
      </c>
      <c r="G482" t="s">
        <v>394</v>
      </c>
      <c r="H482" t="s">
        <v>396</v>
      </c>
      <c r="I482" s="4">
        <f>VLOOKUP(G482,Sheet2!A:D,4,0)</f>
        <v>9</v>
      </c>
    </row>
    <row r="483" spans="1:9">
      <c r="A483" s="4" t="s">
        <v>439</v>
      </c>
      <c r="B483" s="2" t="s">
        <v>474</v>
      </c>
      <c r="C483" s="2" t="s">
        <v>230</v>
      </c>
      <c r="D483" s="4" t="s">
        <v>8</v>
      </c>
      <c r="E483" s="2" t="s">
        <v>59</v>
      </c>
      <c r="F483" s="6">
        <v>46115.368055555555</v>
      </c>
      <c r="G483" t="s">
        <v>394</v>
      </c>
      <c r="H483" t="s">
        <v>396</v>
      </c>
      <c r="I483" s="4">
        <f>VLOOKUP(G483,Sheet2!A:D,4,0)</f>
        <v>9</v>
      </c>
    </row>
    <row r="484" spans="1:9">
      <c r="A484" s="5" t="s">
        <v>440</v>
      </c>
      <c r="B484" s="3" t="s">
        <v>612</v>
      </c>
      <c r="C484" s="3" t="s">
        <v>613</v>
      </c>
      <c r="D484" s="5" t="s">
        <v>8</v>
      </c>
      <c r="E484" s="3" t="s">
        <v>59</v>
      </c>
      <c r="F484" s="7">
        <v>46113.262048611112</v>
      </c>
      <c r="G484" t="s">
        <v>394</v>
      </c>
      <c r="H484" t="s">
        <v>396</v>
      </c>
      <c r="I484" s="4">
        <f>VLOOKUP(G484,Sheet2!A:D,4,0)</f>
        <v>9</v>
      </c>
    </row>
    <row r="485" spans="1:9">
      <c r="A485" s="4" t="s">
        <v>441</v>
      </c>
      <c r="B485" s="2" t="s">
        <v>356</v>
      </c>
      <c r="C485" s="2" t="s">
        <v>357</v>
      </c>
      <c r="D485" s="4" t="s">
        <v>8</v>
      </c>
      <c r="E485" s="2" t="s">
        <v>59</v>
      </c>
      <c r="F485" s="6">
        <v>46105.577974537038</v>
      </c>
      <c r="G485" t="s">
        <v>394</v>
      </c>
      <c r="H485" t="s">
        <v>396</v>
      </c>
      <c r="I485" s="4">
        <f>VLOOKUP(G485,Sheet2!A:D,4,0)</f>
        <v>9</v>
      </c>
    </row>
    <row r="486" spans="1:9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>
      <c r="A506" s="4" t="s">
        <v>442</v>
      </c>
      <c r="B506" s="2" t="s">
        <v>478</v>
      </c>
      <c r="C506" s="2" t="s">
        <v>479</v>
      </c>
      <c r="D506" s="4" t="s">
        <v>8</v>
      </c>
      <c r="E506" s="2" t="s">
        <v>228</v>
      </c>
      <c r="F506" s="6">
        <v>46108.450567129628</v>
      </c>
      <c r="G506" t="s">
        <v>395</v>
      </c>
      <c r="H506" t="s">
        <v>397</v>
      </c>
      <c r="I506" s="4">
        <f>VLOOKUP(G506,Sheet2!A:D,4,0)</f>
        <v>10</v>
      </c>
    </row>
    <row r="507" spans="1:9">
      <c r="A507" s="5" t="s">
        <v>443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395</v>
      </c>
      <c r="H507" t="s">
        <v>397</v>
      </c>
      <c r="I507" s="4">
        <f>VLOOKUP(G507,Sheet2!A:D,4,0)</f>
        <v>10</v>
      </c>
    </row>
    <row r="508" spans="1:9">
      <c r="A508" s="4" t="s">
        <v>444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395</v>
      </c>
      <c r="H508" t="s">
        <v>397</v>
      </c>
      <c r="I508" s="4">
        <f>VLOOKUP(G508,Sheet2!A:D,4,0)</f>
        <v>10</v>
      </c>
    </row>
    <row r="509" spans="1:9">
      <c r="A509" s="5" t="s">
        <v>445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395</v>
      </c>
      <c r="H509" t="s">
        <v>397</v>
      </c>
      <c r="I509" s="4">
        <f>VLOOKUP(G509,Sheet2!A:D,4,0)</f>
        <v>10</v>
      </c>
    </row>
    <row r="510" spans="1:9">
      <c r="A510" s="4" t="s">
        <v>446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395</v>
      </c>
      <c r="H510" t="s">
        <v>397</v>
      </c>
      <c r="I510" s="4">
        <f>VLOOKUP(G510,Sheet2!A:D,4,0)</f>
        <v>10</v>
      </c>
    </row>
    <row r="511" spans="1:9">
      <c r="A511" s="5" t="s">
        <v>447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395</v>
      </c>
      <c r="H511" t="s">
        <v>397</v>
      </c>
      <c r="I511" s="4">
        <f>VLOOKUP(G511,Sheet2!A:D,4,0)</f>
        <v>10</v>
      </c>
    </row>
    <row r="512" spans="1:9">
      <c r="A512" s="4" t="s">
        <v>448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395</v>
      </c>
      <c r="H512" t="s">
        <v>397</v>
      </c>
      <c r="I512" s="4">
        <f>VLOOKUP(G512,Sheet2!A:D,4,0)</f>
        <v>10</v>
      </c>
    </row>
    <row r="513" spans="1:9">
      <c r="A513" s="5" t="s">
        <v>449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395</v>
      </c>
      <c r="H513" t="s">
        <v>397</v>
      </c>
      <c r="I513" s="4">
        <f>VLOOKUP(G513,Sheet2!A:D,4,0)</f>
        <v>10</v>
      </c>
    </row>
    <row r="514" spans="1:9">
      <c r="A514" s="4" t="s">
        <v>450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395</v>
      </c>
      <c r="H514" t="s">
        <v>397</v>
      </c>
      <c r="I514" s="4">
        <f>VLOOKUP(G514,Sheet2!A:D,4,0)</f>
        <v>10</v>
      </c>
    </row>
    <row r="515" spans="1:9">
      <c r="A515" s="5" t="s">
        <v>451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395</v>
      </c>
      <c r="H515" t="s">
        <v>397</v>
      </c>
      <c r="I515" s="4">
        <f>VLOOKUP(G515,Sheet2!A:D,4,0)</f>
        <v>10</v>
      </c>
    </row>
    <row r="516" spans="1:9">
      <c r="A516" s="4" t="s">
        <v>452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395</v>
      </c>
      <c r="H516" t="s">
        <v>397</v>
      </c>
      <c r="I516" s="4">
        <f>VLOOKUP(G516,Sheet2!A:D,4,0)</f>
        <v>10</v>
      </c>
    </row>
    <row r="517" spans="1:9">
      <c r="A517" s="5" t="s">
        <v>453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395</v>
      </c>
      <c r="H517" t="s">
        <v>397</v>
      </c>
      <c r="I517" s="4">
        <f>VLOOKUP(G517,Sheet2!A:D,4,0)</f>
        <v>10</v>
      </c>
    </row>
    <row r="518" spans="1:9">
      <c r="A518" s="4" t="s">
        <v>454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395</v>
      </c>
      <c r="H518" t="s">
        <v>397</v>
      </c>
      <c r="I518" s="4">
        <f>VLOOKUP(G518,Sheet2!A:D,4,0)</f>
        <v>10</v>
      </c>
    </row>
    <row r="519" spans="1:9">
      <c r="A519" s="5" t="s">
        <v>455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395</v>
      </c>
      <c r="H519" t="s">
        <v>397</v>
      </c>
      <c r="I519" s="4">
        <f>VLOOKUP(G519,Sheet2!A:D,4,0)</f>
        <v>10</v>
      </c>
    </row>
    <row r="520" spans="1:9">
      <c r="A520" s="4" t="s">
        <v>456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395</v>
      </c>
      <c r="H520" t="s">
        <v>397</v>
      </c>
      <c r="I520" s="4">
        <f>VLOOKUP(G520,Sheet2!A:D,4,0)</f>
        <v>10</v>
      </c>
    </row>
  </sheetData>
  <autoFilter ref="A1:L52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>
      <selection activeCell="F29" sqref="F29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9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  <c r="I2" s="18"/>
    </row>
    <row r="3" spans="1:9">
      <c r="D3" s="9" t="s">
        <v>170</v>
      </c>
      <c r="E3" s="9" t="s">
        <v>171</v>
      </c>
      <c r="F3" s="10">
        <v>5</v>
      </c>
      <c r="G3" s="10"/>
      <c r="H3" s="17"/>
      <c r="I3" s="18"/>
    </row>
    <row r="4" spans="1:9">
      <c r="D4" s="9" t="s">
        <v>349</v>
      </c>
      <c r="E4" s="9" t="s">
        <v>350</v>
      </c>
      <c r="F4" s="10">
        <v>1</v>
      </c>
      <c r="G4" s="10"/>
      <c r="H4" s="19"/>
      <c r="I4" s="18"/>
    </row>
    <row r="5" spans="1:9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2</v>
      </c>
      <c r="G5" s="10"/>
      <c r="H5" s="19"/>
      <c r="I5" s="18"/>
    </row>
    <row r="6" spans="1:9">
      <c r="D6" s="9" t="s">
        <v>7</v>
      </c>
      <c r="E6" s="9" t="s">
        <v>9</v>
      </c>
      <c r="F6" s="10">
        <v>64</v>
      </c>
      <c r="G6" s="10"/>
      <c r="H6" s="17"/>
      <c r="I6" s="18"/>
    </row>
    <row r="7" spans="1:9">
      <c r="D7" s="9" t="s">
        <v>170</v>
      </c>
      <c r="E7" s="9" t="s">
        <v>171</v>
      </c>
      <c r="F7" s="10">
        <v>14</v>
      </c>
      <c r="G7" s="10"/>
      <c r="H7" s="17"/>
      <c r="I7" s="18"/>
    </row>
    <row r="8" spans="1:9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9">
      <c r="D9" s="9" t="s">
        <v>170</v>
      </c>
      <c r="E9" s="9" t="s">
        <v>171</v>
      </c>
      <c r="F9" s="10">
        <v>7</v>
      </c>
      <c r="G9" s="9"/>
      <c r="H9" s="9"/>
    </row>
    <row r="10" spans="1:9">
      <c r="D10" s="9" t="s">
        <v>349</v>
      </c>
      <c r="E10" s="9" t="s">
        <v>350</v>
      </c>
      <c r="F10" s="10">
        <v>7</v>
      </c>
      <c r="G10" s="10"/>
      <c r="H10" s="10"/>
    </row>
    <row r="11" spans="1:9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9">
      <c r="D12" s="13" t="s">
        <v>170</v>
      </c>
      <c r="E12" s="13" t="s">
        <v>171</v>
      </c>
      <c r="F12" s="14">
        <v>16</v>
      </c>
      <c r="G12" s="16"/>
      <c r="H12" s="10"/>
    </row>
    <row r="13" spans="1:9" ht="15.75">
      <c r="D13" s="13" t="s">
        <v>230</v>
      </c>
      <c r="E13" s="13" t="s">
        <v>228</v>
      </c>
      <c r="F13" s="14">
        <v>1</v>
      </c>
      <c r="G13" s="10"/>
      <c r="H13" s="11"/>
    </row>
    <row r="14" spans="1:9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34</v>
      </c>
      <c r="G14" s="16"/>
      <c r="H14" s="11"/>
    </row>
    <row r="15" spans="1:9">
      <c r="D15" s="9" t="s">
        <v>58</v>
      </c>
      <c r="E15" s="9" t="s">
        <v>59</v>
      </c>
      <c r="F15" s="10">
        <v>1</v>
      </c>
      <c r="H15" s="10"/>
    </row>
    <row r="16" spans="1:9">
      <c r="D16" s="9" t="s">
        <v>352</v>
      </c>
      <c r="E16" s="9" t="s">
        <v>18</v>
      </c>
      <c r="F16" s="10">
        <v>2</v>
      </c>
      <c r="G16" s="10"/>
      <c r="H16" s="10"/>
    </row>
    <row r="17" spans="1:15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26</v>
      </c>
      <c r="G17" s="15"/>
      <c r="H17" s="15"/>
    </row>
    <row r="18" spans="1:15">
      <c r="D18" s="9" t="s">
        <v>352</v>
      </c>
      <c r="E18" s="9" t="s">
        <v>18</v>
      </c>
      <c r="F18" s="10">
        <v>6</v>
      </c>
      <c r="G18" s="10"/>
      <c r="H18" s="10"/>
    </row>
    <row r="19" spans="1:15">
      <c r="D19" s="9" t="s">
        <v>170</v>
      </c>
      <c r="E19" s="9" t="s">
        <v>171</v>
      </c>
      <c r="F19" s="10">
        <v>4</v>
      </c>
      <c r="G19" s="16"/>
      <c r="H19" s="15"/>
      <c r="I19" s="16"/>
      <c r="O19" s="20"/>
    </row>
    <row r="20" spans="1:15">
      <c r="D20" s="9" t="s">
        <v>349</v>
      </c>
      <c r="E20" s="9" t="s">
        <v>350</v>
      </c>
      <c r="F20" s="10">
        <v>1</v>
      </c>
      <c r="G20" s="10"/>
      <c r="H20" s="10"/>
    </row>
    <row r="21" spans="1:15">
      <c r="A21" s="9">
        <v>7</v>
      </c>
      <c r="B21" s="9" t="s">
        <v>232</v>
      </c>
      <c r="C21" s="9" t="s">
        <v>233</v>
      </c>
      <c r="D21" s="9" t="s">
        <v>13</v>
      </c>
      <c r="E21" s="9" t="s">
        <v>14</v>
      </c>
      <c r="F21" s="10">
        <v>25</v>
      </c>
      <c r="G21" s="15"/>
      <c r="H21" s="10"/>
    </row>
    <row r="22" spans="1:15">
      <c r="D22" s="9" t="s">
        <v>58</v>
      </c>
      <c r="E22" s="9" t="s">
        <v>59</v>
      </c>
      <c r="F22" s="10">
        <v>2</v>
      </c>
      <c r="G22" s="10"/>
      <c r="H22" s="10"/>
    </row>
    <row r="23" spans="1:15">
      <c r="D23" s="9" t="s">
        <v>352</v>
      </c>
      <c r="E23" s="9" t="s">
        <v>18</v>
      </c>
      <c r="F23" s="10">
        <v>4</v>
      </c>
      <c r="G23" s="15"/>
      <c r="H23" s="10"/>
      <c r="I23" s="10"/>
      <c r="J23" s="10"/>
    </row>
    <row r="24" spans="1:15">
      <c r="D24" s="9" t="s">
        <v>170</v>
      </c>
      <c r="E24" s="9" t="s">
        <v>171</v>
      </c>
      <c r="F24" s="10">
        <v>1</v>
      </c>
      <c r="G24" s="10"/>
      <c r="H24" s="10"/>
    </row>
    <row r="25" spans="1:15">
      <c r="D25" s="9" t="s">
        <v>349</v>
      </c>
      <c r="E25" s="9" t="s">
        <v>350</v>
      </c>
      <c r="F25" s="10">
        <v>5</v>
      </c>
      <c r="G25" s="15"/>
      <c r="H25" s="15"/>
    </row>
    <row r="26" spans="1:15">
      <c r="A26" s="9">
        <v>8</v>
      </c>
      <c r="B26" s="9" t="s">
        <v>271</v>
      </c>
      <c r="C26" s="9" t="s">
        <v>233</v>
      </c>
      <c r="D26" s="9" t="s">
        <v>13</v>
      </c>
      <c r="E26" s="9" t="s">
        <v>14</v>
      </c>
      <c r="F26" s="10">
        <v>33</v>
      </c>
      <c r="G26" s="15"/>
      <c r="H26" s="10"/>
    </row>
    <row r="27" spans="1:15">
      <c r="D27" s="9" t="s">
        <v>170</v>
      </c>
      <c r="E27" s="9" t="s">
        <v>171</v>
      </c>
      <c r="F27" s="10">
        <v>3</v>
      </c>
      <c r="G27" s="10"/>
    </row>
    <row r="28" spans="1:15">
      <c r="D28" s="9" t="s">
        <v>349</v>
      </c>
      <c r="E28" s="9" t="s">
        <v>350</v>
      </c>
      <c r="F28" s="10">
        <v>1</v>
      </c>
      <c r="G28" s="15"/>
      <c r="H28" s="10"/>
    </row>
    <row r="29" spans="1:15">
      <c r="A29" s="9">
        <v>9</v>
      </c>
      <c r="B29" s="9" t="s">
        <v>394</v>
      </c>
      <c r="C29" s="9" t="s">
        <v>396</v>
      </c>
      <c r="D29" s="9" t="s">
        <v>58</v>
      </c>
      <c r="E29" s="9" t="s">
        <v>59</v>
      </c>
      <c r="F29" s="10">
        <v>2</v>
      </c>
      <c r="G29" s="9"/>
    </row>
    <row r="30" spans="1:15">
      <c r="D30" s="9" t="s">
        <v>170</v>
      </c>
      <c r="E30" s="9" t="s">
        <v>171</v>
      </c>
      <c r="F30" s="10">
        <v>1</v>
      </c>
    </row>
    <row r="31" spans="1:15">
      <c r="D31" s="9" t="s">
        <v>230</v>
      </c>
      <c r="E31" s="9" t="s">
        <v>59</v>
      </c>
      <c r="F31" s="10">
        <v>3</v>
      </c>
    </row>
    <row r="32" spans="1:15">
      <c r="D32" s="9" t="s">
        <v>357</v>
      </c>
      <c r="E32" s="9" t="s">
        <v>59</v>
      </c>
      <c r="F32" s="10">
        <v>2</v>
      </c>
      <c r="H32" s="14"/>
    </row>
    <row r="33" spans="1:7">
      <c r="D33" s="9" t="s">
        <v>613</v>
      </c>
      <c r="E33" s="9" t="s">
        <v>59</v>
      </c>
      <c r="F33" s="10">
        <v>1</v>
      </c>
      <c r="G33" s="9"/>
    </row>
    <row r="34" spans="1:7">
      <c r="D34" s="9" t="s">
        <v>477</v>
      </c>
      <c r="E34" s="9" t="s">
        <v>59</v>
      </c>
      <c r="F34" s="10">
        <v>8</v>
      </c>
    </row>
    <row r="35" spans="1:7">
      <c r="D35" s="9" t="s">
        <v>465</v>
      </c>
      <c r="E35" s="9" t="s">
        <v>18</v>
      </c>
      <c r="F35" s="10">
        <v>7</v>
      </c>
    </row>
    <row r="36" spans="1:7">
      <c r="D36" s="9" t="s">
        <v>467</v>
      </c>
      <c r="E36" s="9" t="s">
        <v>59</v>
      </c>
      <c r="F36" s="10">
        <v>2</v>
      </c>
      <c r="G36" s="9"/>
    </row>
    <row r="37" spans="1:7">
      <c r="D37" s="9" t="s">
        <v>615</v>
      </c>
      <c r="E37" s="9" t="s">
        <v>18</v>
      </c>
      <c r="F37" s="10">
        <v>1</v>
      </c>
    </row>
    <row r="38" spans="1:7">
      <c r="D38" s="9" t="s">
        <v>619</v>
      </c>
      <c r="E38" s="9" t="s">
        <v>18</v>
      </c>
      <c r="F38" s="10">
        <v>1</v>
      </c>
    </row>
    <row r="39" spans="1:7">
      <c r="D39" s="9" t="s">
        <v>626</v>
      </c>
      <c r="E39" s="9" t="s">
        <v>18</v>
      </c>
      <c r="F39" s="10">
        <v>1</v>
      </c>
    </row>
    <row r="40" spans="1:7">
      <c r="A40" s="9">
        <v>10</v>
      </c>
      <c r="B40" s="9" t="s">
        <v>395</v>
      </c>
      <c r="C40" s="9" t="s">
        <v>397</v>
      </c>
      <c r="D40" s="9" t="s">
        <v>7</v>
      </c>
      <c r="E40" s="9" t="s">
        <v>199</v>
      </c>
      <c r="F40" s="10">
        <v>14</v>
      </c>
    </row>
    <row r="41" spans="1:7">
      <c r="D41" s="9" t="s">
        <v>479</v>
      </c>
      <c r="E41" s="9" t="s">
        <v>228</v>
      </c>
      <c r="F41" s="10">
        <v>1</v>
      </c>
    </row>
    <row r="42" spans="1:7">
      <c r="A42" s="9">
        <v>12</v>
      </c>
      <c r="B42" s="9" t="s">
        <v>460</v>
      </c>
      <c r="C42" s="9" t="s">
        <v>310</v>
      </c>
      <c r="D42" s="9" t="s">
        <v>58</v>
      </c>
      <c r="E42" s="9" t="s">
        <v>59</v>
      </c>
      <c r="F42" s="10">
        <v>2</v>
      </c>
    </row>
    <row r="43" spans="1:7">
      <c r="D43" s="9" t="s">
        <v>7</v>
      </c>
      <c r="E43" s="9" t="s">
        <v>199</v>
      </c>
      <c r="F43" s="10">
        <v>66</v>
      </c>
    </row>
    <row r="44" spans="1:7">
      <c r="D44" s="9" t="s">
        <v>357</v>
      </c>
      <c r="E44" s="9" t="s">
        <v>59</v>
      </c>
      <c r="F44" s="10">
        <v>10</v>
      </c>
    </row>
    <row r="45" spans="1:7">
      <c r="D45" s="9" t="s">
        <v>477</v>
      </c>
      <c r="E45" s="9" t="s">
        <v>59</v>
      </c>
      <c r="F45" s="10">
        <v>18</v>
      </c>
    </row>
    <row r="46" spans="1:7">
      <c r="D46" s="9" t="s">
        <v>619</v>
      </c>
      <c r="E46" s="9" t="s">
        <v>18</v>
      </c>
      <c r="F46" s="10">
        <v>19</v>
      </c>
    </row>
    <row r="47" spans="1:7">
      <c r="D47" s="9" t="s">
        <v>621</v>
      </c>
      <c r="E47" s="9" t="s">
        <v>59</v>
      </c>
      <c r="F47" s="10">
        <v>4</v>
      </c>
    </row>
    <row r="48" spans="1:7">
      <c r="D48" s="9" t="s">
        <v>624</v>
      </c>
      <c r="E48" s="9" t="s">
        <v>59</v>
      </c>
      <c r="F48" s="10">
        <v>13</v>
      </c>
    </row>
    <row r="49" spans="1:6">
      <c r="A49" s="9" t="s">
        <v>226</v>
      </c>
      <c r="F49" s="10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selection activeCell="A7" sqref="A7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15.7109375" bestFit="1" customWidth="1"/>
    <col min="12" max="12" width="32.5703125" bestFit="1" customWidth="1"/>
    <col min="13" max="13" width="36.5703125" bestFit="1" customWidth="1"/>
  </cols>
  <sheetData>
    <row r="1" spans="1:13">
      <c r="A1" t="s">
        <v>398</v>
      </c>
      <c r="B1" t="s">
        <v>220</v>
      </c>
      <c r="C1" t="s">
        <v>3</v>
      </c>
      <c r="D1" t="s">
        <v>392</v>
      </c>
      <c r="E1" t="s">
        <v>399</v>
      </c>
    </row>
    <row r="2" spans="1:13">
      <c r="A2" t="s">
        <v>217</v>
      </c>
      <c r="B2" t="s">
        <v>221</v>
      </c>
      <c r="C2">
        <v>70</v>
      </c>
      <c r="D2">
        <v>1</v>
      </c>
    </row>
    <row r="3" spans="1:13">
      <c r="A3" t="s">
        <v>216</v>
      </c>
      <c r="B3" t="s">
        <v>222</v>
      </c>
      <c r="C3">
        <v>80</v>
      </c>
      <c r="D3">
        <v>2</v>
      </c>
    </row>
    <row r="4" spans="1:13">
      <c r="A4" t="s">
        <v>215</v>
      </c>
      <c r="B4" t="s">
        <v>223</v>
      </c>
      <c r="C4">
        <v>25</v>
      </c>
      <c r="D4">
        <v>3</v>
      </c>
      <c r="K4" t="s">
        <v>463</v>
      </c>
    </row>
    <row r="5" spans="1:13">
      <c r="A5" t="s">
        <v>218</v>
      </c>
      <c r="B5" t="s">
        <v>224</v>
      </c>
      <c r="C5">
        <v>20</v>
      </c>
      <c r="D5">
        <v>4</v>
      </c>
      <c r="K5" t="s">
        <v>400</v>
      </c>
      <c r="L5" t="s">
        <v>401</v>
      </c>
      <c r="M5" t="s">
        <v>410</v>
      </c>
    </row>
    <row r="6" spans="1:13">
      <c r="A6" t="s">
        <v>309</v>
      </c>
      <c r="B6" t="s">
        <v>310</v>
      </c>
      <c r="C6">
        <v>37</v>
      </c>
      <c r="D6">
        <v>5</v>
      </c>
      <c r="E6" t="s">
        <v>470</v>
      </c>
      <c r="K6" t="s">
        <v>402</v>
      </c>
      <c r="L6" t="s">
        <v>404</v>
      </c>
      <c r="M6" t="s">
        <v>411</v>
      </c>
    </row>
    <row r="7" spans="1:13">
      <c r="A7" t="s">
        <v>347</v>
      </c>
      <c r="B7" t="s">
        <v>310</v>
      </c>
      <c r="C7">
        <v>37</v>
      </c>
      <c r="D7">
        <v>6</v>
      </c>
      <c r="E7" t="s">
        <v>471</v>
      </c>
      <c r="K7" t="s">
        <v>403</v>
      </c>
      <c r="L7" t="s">
        <v>404</v>
      </c>
    </row>
    <row r="8" spans="1:13">
      <c r="A8" t="s">
        <v>232</v>
      </c>
      <c r="B8" t="s">
        <v>233</v>
      </c>
      <c r="C8">
        <v>37</v>
      </c>
      <c r="D8">
        <v>7</v>
      </c>
      <c r="E8" t="s">
        <v>468</v>
      </c>
      <c r="K8" t="s">
        <v>405</v>
      </c>
      <c r="L8" t="s">
        <v>406</v>
      </c>
    </row>
    <row r="9" spans="1:13">
      <c r="A9" t="s">
        <v>271</v>
      </c>
      <c r="B9" t="s">
        <v>233</v>
      </c>
      <c r="C9">
        <v>37</v>
      </c>
      <c r="D9">
        <v>8</v>
      </c>
      <c r="E9" t="s">
        <v>469</v>
      </c>
      <c r="K9" t="s">
        <v>407</v>
      </c>
      <c r="L9" t="s">
        <v>408</v>
      </c>
    </row>
    <row r="10" spans="1:13">
      <c r="A10" t="s">
        <v>394</v>
      </c>
      <c r="B10" t="s">
        <v>396</v>
      </c>
      <c r="C10">
        <v>29</v>
      </c>
      <c r="D10">
        <v>9</v>
      </c>
      <c r="E10" t="s">
        <v>473</v>
      </c>
      <c r="K10" t="s">
        <v>409</v>
      </c>
      <c r="L10" t="s">
        <v>412</v>
      </c>
    </row>
    <row r="11" spans="1:13">
      <c r="A11" t="s">
        <v>395</v>
      </c>
      <c r="B11" t="s">
        <v>397</v>
      </c>
      <c r="C11">
        <v>15</v>
      </c>
      <c r="D11">
        <v>10</v>
      </c>
      <c r="E11" t="s">
        <v>472</v>
      </c>
    </row>
    <row r="12" spans="1:13">
      <c r="A12" t="s">
        <v>460</v>
      </c>
      <c r="B12" t="s">
        <v>310</v>
      </c>
      <c r="C12">
        <v>124</v>
      </c>
      <c r="D12">
        <v>11</v>
      </c>
      <c r="E12" t="s">
        <v>475</v>
      </c>
      <c r="F12" t="s">
        <v>462</v>
      </c>
    </row>
    <row r="13" spans="1:13">
      <c r="A13" t="s">
        <v>459</v>
      </c>
      <c r="B13" t="s">
        <v>233</v>
      </c>
      <c r="C13">
        <v>124</v>
      </c>
      <c r="D13">
        <v>12</v>
      </c>
      <c r="E13" t="s">
        <v>616</v>
      </c>
      <c r="F13" t="s">
        <v>462</v>
      </c>
    </row>
    <row r="14" spans="1:13">
      <c r="A14" t="s">
        <v>461</v>
      </c>
      <c r="B14" t="s">
        <v>396</v>
      </c>
      <c r="C14">
        <v>36</v>
      </c>
      <c r="D14">
        <v>13</v>
      </c>
      <c r="E14" t="s">
        <v>627</v>
      </c>
      <c r="F14" t="s">
        <v>462</v>
      </c>
    </row>
    <row r="15" spans="1:13">
      <c r="A15" t="s">
        <v>617</v>
      </c>
      <c r="B15" t="s">
        <v>397</v>
      </c>
      <c r="E15" t="s">
        <v>616</v>
      </c>
    </row>
  </sheetData>
  <autoFilter ref="A1:E15">
    <filterColumn colId="1"/>
  </autoFilter>
  <sortState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2026-04-09T13:01:32Z</dcterms:modified>
</cp:coreProperties>
</file>
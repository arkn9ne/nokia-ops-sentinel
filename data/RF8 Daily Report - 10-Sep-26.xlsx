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activeTab="4"/>
  </bookViews>
  <sheets>
    <sheet name="Sheet9" sheetId="68" r:id="rId1"/>
    <sheet name="Shop Order" sheetId="1" r:id="rId2"/>
    <sheet name="Summary" sheetId="3" r:id="rId3"/>
    <sheet name="Shipped" sheetId="69" r:id="rId4"/>
    <sheet name="WO" sheetId="31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Order'!$A$1:$P$3722</definedName>
    <definedName name="_xlnm._FilterDatabase" localSheetId="4" hidden="1">WO!$A$1:$R$59</definedName>
  </definedNames>
  <calcPr calcId="125725"/>
  <pivotCaches>
    <pivotCache cacheId="8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3" i="31"/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I3678"/>
  <c r="I3679"/>
  <c r="I3680"/>
  <c r="I3681"/>
  <c r="I3682"/>
  <c r="I3683"/>
  <c r="I3684"/>
  <c r="I3685"/>
  <c r="I3686"/>
  <c r="I3687"/>
  <c r="I3688"/>
  <c r="I3689"/>
  <c r="I3690"/>
  <c r="I3691"/>
  <c r="I3692"/>
  <c r="I3693"/>
  <c r="I3694"/>
  <c r="I3695"/>
  <c r="I3696"/>
  <c r="I3697"/>
  <c r="I3698"/>
  <c r="I3699"/>
  <c r="I3700"/>
  <c r="I3701"/>
  <c r="I3702"/>
  <c r="I3703"/>
  <c r="I3704"/>
  <c r="I3705"/>
  <c r="I3706"/>
  <c r="I3707"/>
  <c r="I3708"/>
  <c r="I3709"/>
  <c r="I3710"/>
  <c r="I3711"/>
  <c r="I3712"/>
  <c r="I3713"/>
  <c r="I3714"/>
  <c r="I3715"/>
  <c r="I3716"/>
  <c r="I3717"/>
  <c r="I3718"/>
  <c r="I3719"/>
  <c r="I3720"/>
  <c r="I3721"/>
  <c r="I3722"/>
  <c r="B3" i="3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2"/>
  <c r="J2" i="1"/>
  <c r="L2" l="1"/>
  <c r="L27" i="89" l="1"/>
  <c r="L28"/>
  <c r="L29"/>
  <c r="L30"/>
  <c r="L31"/>
  <c r="L14" l="1"/>
  <c r="L16"/>
  <c r="L17"/>
  <c r="L15" l="1"/>
  <c r="L18" s="1"/>
  <c r="J6" l="1"/>
  <c r="J3"/>
  <c r="I5"/>
  <c r="J5" s="1"/>
  <c r="I4"/>
  <c r="J4" s="1"/>
  <c r="J7" l="1"/>
  <c r="J5" i="68" l="1"/>
  <c r="I2" i="1" l="1"/>
  <c r="F53" i="31"/>
  <c r="F46"/>
  <c r="E24" l="1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D11"/>
  <c r="D10"/>
  <c r="F9"/>
  <c r="E9"/>
  <c r="D9"/>
  <c r="F8"/>
  <c r="E8"/>
  <c r="D8"/>
  <c r="F7"/>
  <c r="E7"/>
  <c r="D7"/>
  <c r="F6"/>
  <c r="E6"/>
  <c r="D6"/>
  <c r="D5"/>
  <c r="D4"/>
  <c r="D3"/>
  <c r="D2"/>
  <c r="L3256" i="1" l="1"/>
  <c r="K39"/>
  <c r="K98"/>
  <c r="K171"/>
  <c r="K314"/>
  <c r="K530"/>
  <c r="K699"/>
  <c r="K1034"/>
  <c r="K50"/>
  <c r="L3112"/>
  <c r="K38"/>
  <c r="K86"/>
  <c r="K170"/>
  <c r="K291"/>
  <c r="K507"/>
  <c r="K698"/>
  <c r="K1011"/>
  <c r="K177"/>
  <c r="L1221"/>
  <c r="K33"/>
  <c r="K81"/>
  <c r="K153"/>
  <c r="K290"/>
  <c r="K506"/>
  <c r="K675"/>
  <c r="K939"/>
  <c r="K99"/>
  <c r="L759"/>
  <c r="K32"/>
  <c r="K80"/>
  <c r="K147"/>
  <c r="K267"/>
  <c r="K458"/>
  <c r="K674"/>
  <c r="K890"/>
  <c r="L758"/>
  <c r="K27"/>
  <c r="K75"/>
  <c r="K146"/>
  <c r="K266"/>
  <c r="K435"/>
  <c r="K651"/>
  <c r="K867"/>
  <c r="K1178"/>
  <c r="L471"/>
  <c r="K26"/>
  <c r="K74"/>
  <c r="K129"/>
  <c r="K243"/>
  <c r="K434"/>
  <c r="K650"/>
  <c r="K842"/>
  <c r="K362"/>
  <c r="L470"/>
  <c r="K15"/>
  <c r="K63"/>
  <c r="K128"/>
  <c r="K242"/>
  <c r="K411"/>
  <c r="K602"/>
  <c r="K819"/>
  <c r="K3600"/>
  <c r="L183"/>
  <c r="K14"/>
  <c r="K62"/>
  <c r="K123"/>
  <c r="K219"/>
  <c r="K410"/>
  <c r="K579"/>
  <c r="K818"/>
  <c r="K2794"/>
  <c r="K722"/>
  <c r="L182"/>
  <c r="K9"/>
  <c r="K57"/>
  <c r="K122"/>
  <c r="K218"/>
  <c r="K387"/>
  <c r="K578"/>
  <c r="K795"/>
  <c r="K2579"/>
  <c r="K531"/>
  <c r="L69"/>
  <c r="K8"/>
  <c r="K56"/>
  <c r="K105"/>
  <c r="K195"/>
  <c r="K386"/>
  <c r="K555"/>
  <c r="K746"/>
  <c r="K1891"/>
  <c r="L3257"/>
  <c r="L68"/>
  <c r="K3"/>
  <c r="K51"/>
  <c r="K104"/>
  <c r="K194"/>
  <c r="K363"/>
  <c r="K554"/>
  <c r="K723"/>
  <c r="K1360"/>
  <c r="L3"/>
  <c r="L45"/>
  <c r="L225"/>
  <c r="L3167"/>
  <c r="L21"/>
  <c r="L890"/>
  <c r="L626"/>
  <c r="L362"/>
  <c r="L170"/>
  <c r="L26"/>
  <c r="L963"/>
  <c r="L699"/>
  <c r="L435"/>
  <c r="K183"/>
  <c r="L39"/>
  <c r="L9"/>
  <c r="L1747"/>
  <c r="L92"/>
  <c r="L3566"/>
  <c r="L3278"/>
  <c r="L2990"/>
  <c r="L2702"/>
  <c r="L2426"/>
  <c r="K3675"/>
  <c r="L3543"/>
  <c r="L3399"/>
  <c r="L3267"/>
  <c r="L3135"/>
  <c r="L3003"/>
  <c r="L2871"/>
  <c r="L2739"/>
  <c r="L2607"/>
  <c r="L2475"/>
  <c r="L2355"/>
  <c r="L2223"/>
  <c r="K2091"/>
  <c r="L1959"/>
  <c r="L1827"/>
  <c r="L1683"/>
  <c r="L1587"/>
  <c r="L1491"/>
  <c r="L1347"/>
  <c r="L1215"/>
  <c r="L3676"/>
  <c r="L3604"/>
  <c r="K3590"/>
  <c r="K3206"/>
  <c r="K2858"/>
  <c r="K2474"/>
  <c r="L3639"/>
  <c r="K3495"/>
  <c r="K3327"/>
  <c r="K3171"/>
  <c r="K3015"/>
  <c r="K2859"/>
  <c r="K2691"/>
  <c r="K2535"/>
  <c r="L2379"/>
  <c r="K2211"/>
  <c r="K2043"/>
  <c r="K1899"/>
  <c r="K1743"/>
  <c r="K1479"/>
  <c r="K1323"/>
  <c r="K1179"/>
  <c r="K3677"/>
  <c r="K3605"/>
  <c r="L3533"/>
  <c r="K3461"/>
  <c r="L3662"/>
  <c r="K3038"/>
  <c r="K2618"/>
  <c r="K3690"/>
  <c r="K3618"/>
  <c r="K3546"/>
  <c r="K3474"/>
  <c r="K3402"/>
  <c r="K3330"/>
  <c r="K3258"/>
  <c r="K3186"/>
  <c r="K3114"/>
  <c r="K3042"/>
  <c r="K2970"/>
  <c r="K2898"/>
  <c r="K2826"/>
  <c r="K2754"/>
  <c r="K2682"/>
  <c r="K2610"/>
  <c r="K2538"/>
  <c r="K2466"/>
  <c r="K2394"/>
  <c r="K2322"/>
  <c r="K2250"/>
  <c r="K2178"/>
  <c r="K2106"/>
  <c r="K2034"/>
  <c r="K1962"/>
  <c r="K1878"/>
  <c r="K1806"/>
  <c r="K1734"/>
  <c r="K1662"/>
  <c r="K1590"/>
  <c r="K1494"/>
  <c r="K1422"/>
  <c r="L1350"/>
  <c r="L1278"/>
  <c r="K1206"/>
  <c r="K1134"/>
  <c r="L3722"/>
  <c r="K3350"/>
  <c r="L2918"/>
  <c r="K2366"/>
  <c r="K3655"/>
  <c r="K3583"/>
  <c r="K3511"/>
  <c r="K3439"/>
  <c r="L3710"/>
  <c r="K3422"/>
  <c r="K3194"/>
  <c r="K2906"/>
  <c r="K2678"/>
  <c r="L2378"/>
  <c r="K3680"/>
  <c r="K3608"/>
  <c r="K3536"/>
  <c r="K3464"/>
  <c r="K3392"/>
  <c r="K3320"/>
  <c r="K3248"/>
  <c r="K3176"/>
  <c r="K3104"/>
  <c r="K3032"/>
  <c r="K2960"/>
  <c r="K2888"/>
  <c r="K2816"/>
  <c r="K2744"/>
  <c r="K2672"/>
  <c r="K2600"/>
  <c r="K2528"/>
  <c r="K2456"/>
  <c r="K2384"/>
  <c r="K2312"/>
  <c r="K2240"/>
  <c r="K2168"/>
  <c r="K2096"/>
  <c r="K2024"/>
  <c r="K1952"/>
  <c r="K1880"/>
  <c r="L3681"/>
  <c r="L3609"/>
  <c r="L3537"/>
  <c r="L3465"/>
  <c r="L3393"/>
  <c r="L3321"/>
  <c r="L3249"/>
  <c r="L3177"/>
  <c r="L3105"/>
  <c r="L3033"/>
  <c r="L2961"/>
  <c r="L2889"/>
  <c r="L2817"/>
  <c r="L2745"/>
  <c r="L2673"/>
  <c r="L2601"/>
  <c r="L2529"/>
  <c r="L2457"/>
  <c r="L2385"/>
  <c r="L2313"/>
  <c r="L2241"/>
  <c r="L2169"/>
  <c r="L2097"/>
  <c r="L2025"/>
  <c r="L1953"/>
  <c r="L1881"/>
  <c r="L1809"/>
  <c r="L1737"/>
  <c r="L1665"/>
  <c r="L1593"/>
  <c r="L3706"/>
  <c r="L3634"/>
  <c r="L3562"/>
  <c r="L3490"/>
  <c r="L3418"/>
  <c r="L3346"/>
  <c r="L3274"/>
  <c r="L3202"/>
  <c r="L3130"/>
  <c r="L3058"/>
  <c r="L2974"/>
  <c r="L2902"/>
  <c r="L2830"/>
  <c r="L2746"/>
  <c r="L2674"/>
  <c r="K2602"/>
  <c r="L2518"/>
  <c r="L2446"/>
  <c r="L2374"/>
  <c r="L2290"/>
  <c r="L2218"/>
  <c r="L2134"/>
  <c r="L2062"/>
  <c r="L1990"/>
  <c r="L1918"/>
  <c r="L1846"/>
  <c r="L1774"/>
  <c r="L3695"/>
  <c r="L3623"/>
  <c r="L3539"/>
  <c r="L3467"/>
  <c r="L3383"/>
  <c r="L3299"/>
  <c r="L3227"/>
  <c r="L3143"/>
  <c r="L3071"/>
  <c r="L2987"/>
  <c r="L2915"/>
  <c r="L2843"/>
  <c r="L2759"/>
  <c r="L2687"/>
  <c r="L2615"/>
  <c r="L2531"/>
  <c r="L2459"/>
  <c r="L2387"/>
  <c r="L2303"/>
  <c r="L2231"/>
  <c r="L2159"/>
  <c r="L2075"/>
  <c r="L2003"/>
  <c r="L1931"/>
  <c r="L1859"/>
  <c r="L1787"/>
  <c r="L1715"/>
  <c r="L1643"/>
  <c r="K1571"/>
  <c r="L1499"/>
  <c r="L3684"/>
  <c r="L3612"/>
  <c r="L3528"/>
  <c r="L3444"/>
  <c r="L3372"/>
  <c r="L3288"/>
  <c r="L3216"/>
  <c r="L3132"/>
  <c r="L3060"/>
  <c r="L2988"/>
  <c r="L2916"/>
  <c r="L2844"/>
  <c r="L2772"/>
  <c r="L2700"/>
  <c r="L2628"/>
  <c r="L2556"/>
  <c r="L2484"/>
  <c r="L2412"/>
  <c r="L2340"/>
  <c r="L2268"/>
  <c r="K69"/>
  <c r="K249"/>
  <c r="L3311"/>
  <c r="L3168"/>
  <c r="L914"/>
  <c r="L650"/>
  <c r="L386"/>
  <c r="K182"/>
  <c r="L38"/>
  <c r="L987"/>
  <c r="L723"/>
  <c r="L459"/>
  <c r="L195"/>
  <c r="L51"/>
  <c r="L1360"/>
  <c r="L1795"/>
  <c r="L104"/>
  <c r="L3638"/>
  <c r="K3302"/>
  <c r="K3050"/>
  <c r="K2750"/>
  <c r="K2462"/>
  <c r="L3699"/>
  <c r="K3567"/>
  <c r="K3423"/>
  <c r="K3291"/>
  <c r="K3159"/>
  <c r="K3027"/>
  <c r="K2895"/>
  <c r="K2763"/>
  <c r="L2631"/>
  <c r="K2499"/>
  <c r="K2367"/>
  <c r="K2247"/>
  <c r="K2115"/>
  <c r="L1983"/>
  <c r="K1851"/>
  <c r="K1707"/>
  <c r="K1599"/>
  <c r="L1515"/>
  <c r="K1371"/>
  <c r="K1239"/>
  <c r="K3688"/>
  <c r="K3616"/>
  <c r="L3590"/>
  <c r="L3206"/>
  <c r="L2858"/>
  <c r="L2474"/>
  <c r="K3639"/>
  <c r="L3495"/>
  <c r="L3327"/>
  <c r="L3171"/>
  <c r="L3015"/>
  <c r="L2859"/>
  <c r="L2691"/>
  <c r="L2535"/>
  <c r="K2379"/>
  <c r="L2211"/>
  <c r="L2043"/>
  <c r="L1899"/>
  <c r="L1743"/>
  <c r="L1479"/>
  <c r="L1323"/>
  <c r="L1179"/>
  <c r="L3677"/>
  <c r="L3605"/>
  <c r="K3533"/>
  <c r="L3461"/>
  <c r="K3662"/>
  <c r="L3038"/>
  <c r="L2618"/>
  <c r="L3690"/>
  <c r="L3618"/>
  <c r="L3546"/>
  <c r="L3474"/>
  <c r="L3402"/>
  <c r="L3330"/>
  <c r="L3258"/>
  <c r="L3186"/>
  <c r="L3114"/>
  <c r="L3042"/>
  <c r="L2970"/>
  <c r="L2898"/>
  <c r="L2826"/>
  <c r="L2754"/>
  <c r="L2682"/>
  <c r="L2610"/>
  <c r="L2538"/>
  <c r="L2466"/>
  <c r="L2394"/>
  <c r="L2322"/>
  <c r="L2250"/>
  <c r="L2178"/>
  <c r="L2106"/>
  <c r="L2034"/>
  <c r="L1962"/>
  <c r="L1878"/>
  <c r="L1806"/>
  <c r="L1734"/>
  <c r="L1662"/>
  <c r="L1590"/>
  <c r="L1494"/>
  <c r="L1422"/>
  <c r="K1350"/>
  <c r="K1278"/>
  <c r="L1206"/>
  <c r="L1134"/>
  <c r="K3722"/>
  <c r="L3350"/>
  <c r="K2918"/>
  <c r="L2366"/>
  <c r="L3655"/>
  <c r="L3583"/>
  <c r="L3511"/>
  <c r="L3439"/>
  <c r="K3710"/>
  <c r="L3422"/>
  <c r="L3194"/>
  <c r="L2906"/>
  <c r="L2678"/>
  <c r="K2378"/>
  <c r="L3680"/>
  <c r="L3608"/>
  <c r="L3536"/>
  <c r="L3464"/>
  <c r="L3392"/>
  <c r="L3320"/>
  <c r="L3248"/>
  <c r="L3176"/>
  <c r="L3104"/>
  <c r="L3032"/>
  <c r="L2960"/>
  <c r="L2888"/>
  <c r="L2816"/>
  <c r="L2744"/>
  <c r="L2672"/>
  <c r="L2600"/>
  <c r="L2528"/>
  <c r="L2456"/>
  <c r="L2384"/>
  <c r="L2312"/>
  <c r="L2240"/>
  <c r="L2168"/>
  <c r="L2096"/>
  <c r="L2024"/>
  <c r="L1952"/>
  <c r="L1880"/>
  <c r="K3693"/>
  <c r="K3621"/>
  <c r="K3549"/>
  <c r="K3477"/>
  <c r="K3405"/>
  <c r="K3333"/>
  <c r="K3261"/>
  <c r="K3189"/>
  <c r="K3117"/>
  <c r="K3045"/>
  <c r="K2973"/>
  <c r="K2901"/>
  <c r="K2829"/>
  <c r="K2757"/>
  <c r="K2685"/>
  <c r="K2613"/>
  <c r="K2541"/>
  <c r="K2469"/>
  <c r="K2397"/>
  <c r="K2325"/>
  <c r="K2253"/>
  <c r="K2181"/>
  <c r="K2109"/>
  <c r="K2037"/>
  <c r="K1965"/>
  <c r="K1893"/>
  <c r="K1821"/>
  <c r="K1749"/>
  <c r="K1677"/>
  <c r="K1605"/>
  <c r="K3718"/>
  <c r="K3646"/>
  <c r="K3574"/>
  <c r="K3502"/>
  <c r="K3430"/>
  <c r="K3358"/>
  <c r="K3286"/>
  <c r="K3214"/>
  <c r="K3142"/>
  <c r="K3070"/>
  <c r="K2986"/>
  <c r="K2914"/>
  <c r="K2842"/>
  <c r="K2758"/>
  <c r="K2686"/>
  <c r="K2614"/>
  <c r="K2530"/>
  <c r="K2458"/>
  <c r="K2386"/>
  <c r="K2302"/>
  <c r="K2230"/>
  <c r="K2158"/>
  <c r="K2074"/>
  <c r="K2002"/>
  <c r="K1930"/>
  <c r="K1858"/>
  <c r="K1786"/>
  <c r="K3707"/>
  <c r="K3635"/>
  <c r="K3551"/>
  <c r="K3479"/>
  <c r="K3395"/>
  <c r="K3323"/>
  <c r="K3239"/>
  <c r="K3155"/>
  <c r="K3083"/>
  <c r="K2999"/>
  <c r="K2927"/>
  <c r="K2855"/>
  <c r="K2771"/>
  <c r="K2699"/>
  <c r="K2627"/>
  <c r="K2543"/>
  <c r="K2471"/>
  <c r="K2399"/>
  <c r="K2315"/>
  <c r="K2243"/>
  <c r="K2171"/>
  <c r="K2087"/>
  <c r="K2015"/>
  <c r="K1943"/>
  <c r="K1871"/>
  <c r="K1799"/>
  <c r="K1727"/>
  <c r="K1655"/>
  <c r="K1583"/>
  <c r="K1511"/>
  <c r="K3696"/>
  <c r="K3624"/>
  <c r="K3540"/>
  <c r="K3468"/>
  <c r="K3384"/>
  <c r="K3300"/>
  <c r="K3228"/>
  <c r="K3144"/>
  <c r="K3072"/>
  <c r="K3000"/>
  <c r="K2928"/>
  <c r="K2856"/>
  <c r="K2784"/>
  <c r="K2712"/>
  <c r="K2640"/>
  <c r="K2568"/>
  <c r="K2496"/>
  <c r="K2424"/>
  <c r="K2352"/>
  <c r="K2280"/>
  <c r="L93"/>
  <c r="L273"/>
  <c r="L3455"/>
  <c r="L3312"/>
  <c r="L938"/>
  <c r="L674"/>
  <c r="L410"/>
  <c r="L194"/>
  <c r="L50"/>
  <c r="L1011"/>
  <c r="L747"/>
  <c r="K471"/>
  <c r="L207"/>
  <c r="L63"/>
  <c r="K3112"/>
  <c r="L1843"/>
  <c r="L116"/>
  <c r="K3638"/>
  <c r="L3302"/>
  <c r="L3050"/>
  <c r="L2750"/>
  <c r="L2462"/>
  <c r="K3699"/>
  <c r="L3567"/>
  <c r="L3423"/>
  <c r="L3291"/>
  <c r="L3159"/>
  <c r="L3027"/>
  <c r="L2895"/>
  <c r="L2763"/>
  <c r="K2631"/>
  <c r="L2499"/>
  <c r="L2367"/>
  <c r="L2247"/>
  <c r="L2115"/>
  <c r="K1983"/>
  <c r="L1851"/>
  <c r="L1707"/>
  <c r="L1599"/>
  <c r="K1515"/>
  <c r="L1371"/>
  <c r="L1239"/>
  <c r="L3688"/>
  <c r="L3616"/>
  <c r="L3686"/>
  <c r="K3242"/>
  <c r="K2942"/>
  <c r="K2522"/>
  <c r="L3663"/>
  <c r="K3507"/>
  <c r="K3351"/>
  <c r="K3195"/>
  <c r="K3039"/>
  <c r="K2883"/>
  <c r="K2727"/>
  <c r="K2571"/>
  <c r="K2403"/>
  <c r="K2235"/>
  <c r="K2067"/>
  <c r="K1923"/>
  <c r="L1767"/>
  <c r="K1503"/>
  <c r="K1359"/>
  <c r="K1203"/>
  <c r="K3689"/>
  <c r="K3617"/>
  <c r="L3545"/>
  <c r="L3473"/>
  <c r="K1527"/>
  <c r="K3170"/>
  <c r="K2654"/>
  <c r="K3702"/>
  <c r="K3630"/>
  <c r="K3558"/>
  <c r="K3486"/>
  <c r="K3414"/>
  <c r="K3342"/>
  <c r="K3270"/>
  <c r="K3198"/>
  <c r="K3126"/>
  <c r="K3054"/>
  <c r="K2982"/>
  <c r="K2910"/>
  <c r="K2838"/>
  <c r="K2766"/>
  <c r="K2694"/>
  <c r="K2622"/>
  <c r="K2550"/>
  <c r="K2478"/>
  <c r="K2406"/>
  <c r="K2334"/>
  <c r="K2262"/>
  <c r="K2190"/>
  <c r="K2118"/>
  <c r="K2046"/>
  <c r="K1974"/>
  <c r="K1902"/>
  <c r="K1818"/>
  <c r="K1746"/>
  <c r="K1674"/>
  <c r="K1602"/>
  <c r="K1506"/>
  <c r="K1434"/>
  <c r="K1362"/>
  <c r="K1290"/>
  <c r="K1218"/>
  <c r="K1146"/>
  <c r="K1542"/>
  <c r="K3434"/>
  <c r="K3002"/>
  <c r="K2438"/>
  <c r="K3667"/>
  <c r="K3595"/>
  <c r="K3523"/>
  <c r="K3451"/>
  <c r="K1890"/>
  <c r="K3482"/>
  <c r="K3254"/>
  <c r="K2966"/>
  <c r="K2726"/>
  <c r="K2414"/>
  <c r="K3692"/>
  <c r="K3620"/>
  <c r="K3548"/>
  <c r="K3476"/>
  <c r="K3404"/>
  <c r="K3332"/>
  <c r="K3260"/>
  <c r="K3188"/>
  <c r="K3116"/>
  <c r="K3044"/>
  <c r="K2972"/>
  <c r="K2900"/>
  <c r="K2828"/>
  <c r="K2756"/>
  <c r="K2684"/>
  <c r="K2612"/>
  <c r="K2540"/>
  <c r="K2468"/>
  <c r="K2396"/>
  <c r="K2324"/>
  <c r="K2252"/>
  <c r="K2180"/>
  <c r="K2108"/>
  <c r="K2036"/>
  <c r="K1964"/>
  <c r="K1892"/>
  <c r="L3693"/>
  <c r="L3621"/>
  <c r="L3549"/>
  <c r="L3477"/>
  <c r="L3405"/>
  <c r="L3333"/>
  <c r="L3261"/>
  <c r="L3189"/>
  <c r="L3117"/>
  <c r="L3045"/>
  <c r="L2973"/>
  <c r="L2901"/>
  <c r="L2829"/>
  <c r="L2757"/>
  <c r="L2685"/>
  <c r="L2613"/>
  <c r="L2541"/>
  <c r="L2469"/>
  <c r="L2397"/>
  <c r="L2325"/>
  <c r="L2253"/>
  <c r="L2181"/>
  <c r="L2109"/>
  <c r="L2037"/>
  <c r="L1965"/>
  <c r="L1893"/>
  <c r="L1821"/>
  <c r="L1749"/>
  <c r="L1677"/>
  <c r="L1605"/>
  <c r="L3718"/>
  <c r="L3646"/>
  <c r="L3574"/>
  <c r="L3502"/>
  <c r="L3430"/>
  <c r="L3358"/>
  <c r="L3286"/>
  <c r="L3214"/>
  <c r="L3142"/>
  <c r="L3070"/>
  <c r="L2986"/>
  <c r="L2914"/>
  <c r="L2842"/>
  <c r="L2758"/>
  <c r="L2686"/>
  <c r="L2614"/>
  <c r="L2530"/>
  <c r="L2458"/>
  <c r="L2386"/>
  <c r="L2302"/>
  <c r="L2230"/>
  <c r="L2158"/>
  <c r="L2074"/>
  <c r="L2002"/>
  <c r="L1930"/>
  <c r="L1858"/>
  <c r="L1786"/>
  <c r="L3707"/>
  <c r="L3635"/>
  <c r="L3551"/>
  <c r="L3479"/>
  <c r="L3395"/>
  <c r="L3323"/>
  <c r="L3239"/>
  <c r="L3155"/>
  <c r="L3083"/>
  <c r="L2999"/>
  <c r="L2927"/>
  <c r="L2855"/>
  <c r="L2771"/>
  <c r="L2699"/>
  <c r="L2627"/>
  <c r="L2543"/>
  <c r="L2471"/>
  <c r="L2399"/>
  <c r="L2315"/>
  <c r="L2243"/>
  <c r="L2171"/>
  <c r="L2087"/>
  <c r="L2015"/>
  <c r="L1943"/>
  <c r="L1871"/>
  <c r="L1799"/>
  <c r="L1727"/>
  <c r="L1655"/>
  <c r="L1583"/>
  <c r="L1511"/>
  <c r="L3696"/>
  <c r="L3624"/>
  <c r="L3540"/>
  <c r="L3468"/>
  <c r="L3384"/>
  <c r="L3300"/>
  <c r="L3228"/>
  <c r="L3144"/>
  <c r="L3072"/>
  <c r="L3000"/>
  <c r="L2928"/>
  <c r="L2856"/>
  <c r="L2784"/>
  <c r="L2712"/>
  <c r="L2640"/>
  <c r="L2568"/>
  <c r="L2496"/>
  <c r="L2424"/>
  <c r="L2352"/>
  <c r="L2280"/>
  <c r="L105"/>
  <c r="K357"/>
  <c r="L3599"/>
  <c r="L3456"/>
  <c r="L962"/>
  <c r="L698"/>
  <c r="L434"/>
  <c r="L206"/>
  <c r="L62"/>
  <c r="L1035"/>
  <c r="K759"/>
  <c r="L483"/>
  <c r="L219"/>
  <c r="L75"/>
  <c r="K3160"/>
  <c r="L1891"/>
  <c r="L128"/>
  <c r="L3698"/>
  <c r="K3338"/>
  <c r="K3098"/>
  <c r="K2798"/>
  <c r="K2510"/>
  <c r="K2282"/>
  <c r="K3579"/>
  <c r="K3447"/>
  <c r="K3315"/>
  <c r="K3183"/>
  <c r="K3051"/>
  <c r="L2919"/>
  <c r="K2787"/>
  <c r="K2655"/>
  <c r="K2523"/>
  <c r="K2391"/>
  <c r="L2271"/>
  <c r="K2139"/>
  <c r="K2007"/>
  <c r="K1863"/>
  <c r="K1731"/>
  <c r="K1611"/>
  <c r="K1539"/>
  <c r="K1395"/>
  <c r="K1263"/>
  <c r="K3700"/>
  <c r="K3628"/>
  <c r="K3686"/>
  <c r="L3242"/>
  <c r="L2942"/>
  <c r="L2522"/>
  <c r="K3663"/>
  <c r="L3507"/>
  <c r="L3351"/>
  <c r="L3195"/>
  <c r="L3039"/>
  <c r="L2883"/>
  <c r="L2727"/>
  <c r="L2571"/>
  <c r="L2403"/>
  <c r="L2235"/>
  <c r="L2067"/>
  <c r="L1923"/>
  <c r="K1767"/>
  <c r="L1503"/>
  <c r="L1359"/>
  <c r="L1203"/>
  <c r="L3689"/>
  <c r="L3617"/>
  <c r="K3545"/>
  <c r="K3473"/>
  <c r="K3010"/>
  <c r="L3170"/>
  <c r="L2654"/>
  <c r="L3702"/>
  <c r="L3630"/>
  <c r="L3558"/>
  <c r="L3486"/>
  <c r="L3414"/>
  <c r="L3342"/>
  <c r="L3270"/>
  <c r="L3198"/>
  <c r="L3126"/>
  <c r="L3054"/>
  <c r="L2982"/>
  <c r="L2910"/>
  <c r="L2838"/>
  <c r="L2766"/>
  <c r="L2694"/>
  <c r="L2622"/>
  <c r="L2550"/>
  <c r="L2478"/>
  <c r="L2406"/>
  <c r="L2334"/>
  <c r="L2262"/>
  <c r="L2190"/>
  <c r="L2118"/>
  <c r="L2046"/>
  <c r="L1974"/>
  <c r="L1902"/>
  <c r="L1818"/>
  <c r="L1746"/>
  <c r="L1674"/>
  <c r="L1602"/>
  <c r="L1506"/>
  <c r="L1434"/>
  <c r="L1362"/>
  <c r="L1290"/>
  <c r="L1218"/>
  <c r="L1146"/>
  <c r="K3011"/>
  <c r="L3434"/>
  <c r="L3002"/>
  <c r="L2438"/>
  <c r="L3667"/>
  <c r="L3595"/>
  <c r="L3523"/>
  <c r="L3451"/>
  <c r="K3167"/>
  <c r="L3482"/>
  <c r="L3254"/>
  <c r="L2966"/>
  <c r="L2726"/>
  <c r="L2414"/>
  <c r="L3692"/>
  <c r="L3620"/>
  <c r="L3548"/>
  <c r="L3476"/>
  <c r="L3404"/>
  <c r="L3332"/>
  <c r="L3260"/>
  <c r="L3188"/>
  <c r="L3116"/>
  <c r="L3044"/>
  <c r="L2972"/>
  <c r="L2900"/>
  <c r="L2828"/>
  <c r="L2756"/>
  <c r="L2684"/>
  <c r="L2612"/>
  <c r="L2540"/>
  <c r="L2468"/>
  <c r="L2396"/>
  <c r="L2324"/>
  <c r="L2252"/>
  <c r="L2180"/>
  <c r="L2108"/>
  <c r="L2036"/>
  <c r="L1964"/>
  <c r="L1892"/>
  <c r="K3705"/>
  <c r="K3633"/>
  <c r="K3561"/>
  <c r="L3489"/>
  <c r="K3417"/>
  <c r="K3345"/>
  <c r="K3273"/>
  <c r="K3201"/>
  <c r="K3129"/>
  <c r="K3057"/>
  <c r="K2985"/>
  <c r="K2913"/>
  <c r="K2841"/>
  <c r="K2769"/>
  <c r="K2697"/>
  <c r="K2625"/>
  <c r="K2553"/>
  <c r="K2481"/>
  <c r="K2409"/>
  <c r="K2337"/>
  <c r="K2265"/>
  <c r="K2193"/>
  <c r="K2121"/>
  <c r="K2049"/>
  <c r="K1977"/>
  <c r="K1905"/>
  <c r="K1833"/>
  <c r="K1761"/>
  <c r="K1689"/>
  <c r="K1617"/>
  <c r="K2146"/>
  <c r="K3658"/>
  <c r="K3586"/>
  <c r="K3514"/>
  <c r="L3442"/>
  <c r="K3370"/>
  <c r="K3298"/>
  <c r="K3226"/>
  <c r="K3154"/>
  <c r="K3082"/>
  <c r="K2998"/>
  <c r="K2926"/>
  <c r="K2854"/>
  <c r="K2770"/>
  <c r="K2698"/>
  <c r="K2626"/>
  <c r="K2542"/>
  <c r="K2470"/>
  <c r="K2398"/>
  <c r="K2314"/>
  <c r="K2242"/>
  <c r="K2170"/>
  <c r="K2086"/>
  <c r="K2014"/>
  <c r="K1942"/>
  <c r="K1870"/>
  <c r="K1798"/>
  <c r="K3719"/>
  <c r="K3647"/>
  <c r="K3563"/>
  <c r="K3491"/>
  <c r="K3407"/>
  <c r="K3335"/>
  <c r="K3251"/>
  <c r="K3179"/>
  <c r="K3095"/>
  <c r="K3023"/>
  <c r="K2939"/>
  <c r="K2867"/>
  <c r="K2783"/>
  <c r="K2711"/>
  <c r="K2639"/>
  <c r="K2555"/>
  <c r="K2483"/>
  <c r="K2411"/>
  <c r="K2327"/>
  <c r="K2255"/>
  <c r="K2183"/>
  <c r="K2099"/>
  <c r="L2027"/>
  <c r="K1955"/>
  <c r="K1883"/>
  <c r="K1811"/>
  <c r="L1739"/>
  <c r="L1667"/>
  <c r="L1595"/>
  <c r="L1523"/>
  <c r="K3708"/>
  <c r="K3636"/>
  <c r="K3552"/>
  <c r="K3480"/>
  <c r="K3396"/>
  <c r="K3324"/>
  <c r="K3240"/>
  <c r="K3156"/>
  <c r="K3084"/>
  <c r="L3012"/>
  <c r="K2940"/>
  <c r="K2868"/>
  <c r="K2796"/>
  <c r="L2724"/>
  <c r="K2652"/>
  <c r="K2580"/>
  <c r="K2508"/>
  <c r="L2436"/>
  <c r="K2364"/>
  <c r="K2292"/>
  <c r="K2220"/>
  <c r="L129"/>
  <c r="K298"/>
  <c r="L33"/>
  <c r="L3600"/>
  <c r="L986"/>
  <c r="L722"/>
  <c r="L458"/>
  <c r="L218"/>
  <c r="L74"/>
  <c r="K1047"/>
  <c r="L771"/>
  <c r="L507"/>
  <c r="L243"/>
  <c r="L87"/>
  <c r="K3208"/>
  <c r="L1939"/>
  <c r="K140"/>
  <c r="K3698"/>
  <c r="L3338"/>
  <c r="L3098"/>
  <c r="L2798"/>
  <c r="L2510"/>
  <c r="L2282"/>
  <c r="L3579"/>
  <c r="L3447"/>
  <c r="L3315"/>
  <c r="L3183"/>
  <c r="L3051"/>
  <c r="K2919"/>
  <c r="L2787"/>
  <c r="L2655"/>
  <c r="L2523"/>
  <c r="L2391"/>
  <c r="K2271"/>
  <c r="L2139"/>
  <c r="L2007"/>
  <c r="L1863"/>
  <c r="L1731"/>
  <c r="L1611"/>
  <c r="L1539"/>
  <c r="L1395"/>
  <c r="L1263"/>
  <c r="L3700"/>
  <c r="L3628"/>
  <c r="K2795"/>
  <c r="K3398"/>
  <c r="K3026"/>
  <c r="K2594"/>
  <c r="L3687"/>
  <c r="K3531"/>
  <c r="K3375"/>
  <c r="K3219"/>
  <c r="L3063"/>
  <c r="K2907"/>
  <c r="K2751"/>
  <c r="K2595"/>
  <c r="K2427"/>
  <c r="K2259"/>
  <c r="K2103"/>
  <c r="K1947"/>
  <c r="K1791"/>
  <c r="L1623"/>
  <c r="K1383"/>
  <c r="K1227"/>
  <c r="K3701"/>
  <c r="K3629"/>
  <c r="K3557"/>
  <c r="L3485"/>
  <c r="L3413"/>
  <c r="K3314"/>
  <c r="K2690"/>
  <c r="K3714"/>
  <c r="K3642"/>
  <c r="K3570"/>
  <c r="K3498"/>
  <c r="K3426"/>
  <c r="K3354"/>
  <c r="K3282"/>
  <c r="K3210"/>
  <c r="K3138"/>
  <c r="K3066"/>
  <c r="K2994"/>
  <c r="K2922"/>
  <c r="K2850"/>
  <c r="K2778"/>
  <c r="K2706"/>
  <c r="K2634"/>
  <c r="K2562"/>
  <c r="K2490"/>
  <c r="K2418"/>
  <c r="K2346"/>
  <c r="K2274"/>
  <c r="K2202"/>
  <c r="K2130"/>
  <c r="K2058"/>
  <c r="K1986"/>
  <c r="K1914"/>
  <c r="K1830"/>
  <c r="K1758"/>
  <c r="K1686"/>
  <c r="K1614"/>
  <c r="K1518"/>
  <c r="K1446"/>
  <c r="K1374"/>
  <c r="K1302"/>
  <c r="K1230"/>
  <c r="K1158"/>
  <c r="K1086"/>
  <c r="K3506"/>
  <c r="L3062"/>
  <c r="K2534"/>
  <c r="K3679"/>
  <c r="K3607"/>
  <c r="K3535"/>
  <c r="K3463"/>
  <c r="K3391"/>
  <c r="K3530"/>
  <c r="K3290"/>
  <c r="K2978"/>
  <c r="K2786"/>
  <c r="K2450"/>
  <c r="K3704"/>
  <c r="K3632"/>
  <c r="K3560"/>
  <c r="K3488"/>
  <c r="K3416"/>
  <c r="K3344"/>
  <c r="K3272"/>
  <c r="K3200"/>
  <c r="K3128"/>
  <c r="K3056"/>
  <c r="K2984"/>
  <c r="K2912"/>
  <c r="K2840"/>
  <c r="K2768"/>
  <c r="K2696"/>
  <c r="K2624"/>
  <c r="K2552"/>
  <c r="K2480"/>
  <c r="K2408"/>
  <c r="K2336"/>
  <c r="K2264"/>
  <c r="K2192"/>
  <c r="K2120"/>
  <c r="K2048"/>
  <c r="K1976"/>
  <c r="K1904"/>
  <c r="L3705"/>
  <c r="L3633"/>
  <c r="L3561"/>
  <c r="K3489"/>
  <c r="L3417"/>
  <c r="L3345"/>
  <c r="L3273"/>
  <c r="L3201"/>
  <c r="L3129"/>
  <c r="L3057"/>
  <c r="L2985"/>
  <c r="L2913"/>
  <c r="L2841"/>
  <c r="L2769"/>
  <c r="L2697"/>
  <c r="L2625"/>
  <c r="L2553"/>
  <c r="L2481"/>
  <c r="L2409"/>
  <c r="L2337"/>
  <c r="L2265"/>
  <c r="L165"/>
  <c r="K586"/>
  <c r="L57"/>
  <c r="K299"/>
  <c r="L1010"/>
  <c r="L746"/>
  <c r="K470"/>
  <c r="L230"/>
  <c r="L86"/>
  <c r="L1059"/>
  <c r="L795"/>
  <c r="L531"/>
  <c r="L267"/>
  <c r="L99"/>
  <c r="K3256"/>
  <c r="L1987"/>
  <c r="K356"/>
  <c r="L8"/>
  <c r="K3410"/>
  <c r="K3146"/>
  <c r="K2870"/>
  <c r="K2546"/>
  <c r="K2318"/>
  <c r="L3603"/>
  <c r="K3471"/>
  <c r="K3339"/>
  <c r="K3207"/>
  <c r="K3075"/>
  <c r="K2943"/>
  <c r="K2799"/>
  <c r="K2679"/>
  <c r="K2547"/>
  <c r="K2415"/>
  <c r="K2295"/>
  <c r="K2163"/>
  <c r="K2031"/>
  <c r="K1887"/>
  <c r="K1755"/>
  <c r="K1635"/>
  <c r="K1551"/>
  <c r="K1419"/>
  <c r="K1287"/>
  <c r="K3712"/>
  <c r="K3640"/>
  <c r="L3568"/>
  <c r="L3398"/>
  <c r="L3026"/>
  <c r="L2594"/>
  <c r="K3687"/>
  <c r="L3531"/>
  <c r="L3375"/>
  <c r="L3219"/>
  <c r="K3063"/>
  <c r="L2907"/>
  <c r="L2751"/>
  <c r="L2595"/>
  <c r="L2427"/>
  <c r="L2259"/>
  <c r="L2103"/>
  <c r="L1947"/>
  <c r="L1791"/>
  <c r="K1623"/>
  <c r="L1383"/>
  <c r="L1227"/>
  <c r="L3701"/>
  <c r="L3629"/>
  <c r="L3557"/>
  <c r="K3485"/>
  <c r="K3413"/>
  <c r="L3314"/>
  <c r="L2690"/>
  <c r="L3714"/>
  <c r="L3642"/>
  <c r="L3570"/>
  <c r="L3498"/>
  <c r="L3426"/>
  <c r="L3354"/>
  <c r="L3282"/>
  <c r="L3210"/>
  <c r="L3138"/>
  <c r="L3066"/>
  <c r="L2994"/>
  <c r="L2922"/>
  <c r="L2850"/>
  <c r="L2778"/>
  <c r="L2706"/>
  <c r="L2634"/>
  <c r="L2562"/>
  <c r="L2490"/>
  <c r="L2418"/>
  <c r="L2346"/>
  <c r="L2274"/>
  <c r="L2202"/>
  <c r="L2130"/>
  <c r="L2058"/>
  <c r="L1986"/>
  <c r="L1914"/>
  <c r="L1830"/>
  <c r="L1758"/>
  <c r="L1686"/>
  <c r="L1614"/>
  <c r="L1518"/>
  <c r="L1446"/>
  <c r="L1374"/>
  <c r="L1302"/>
  <c r="L1230"/>
  <c r="L1158"/>
  <c r="L1086"/>
  <c r="L3506"/>
  <c r="K3062"/>
  <c r="L2534"/>
  <c r="L3679"/>
  <c r="L3607"/>
  <c r="L3535"/>
  <c r="L3463"/>
  <c r="L3391"/>
  <c r="L3530"/>
  <c r="L3290"/>
  <c r="L2978"/>
  <c r="L2786"/>
  <c r="L2450"/>
  <c r="L3704"/>
  <c r="L3632"/>
  <c r="L3560"/>
  <c r="L3488"/>
  <c r="L3416"/>
  <c r="L3344"/>
  <c r="L3272"/>
  <c r="L3200"/>
  <c r="L3128"/>
  <c r="L3056"/>
  <c r="L2984"/>
  <c r="L2912"/>
  <c r="L2840"/>
  <c r="L2768"/>
  <c r="L2696"/>
  <c r="L2624"/>
  <c r="L2552"/>
  <c r="L2480"/>
  <c r="L2408"/>
  <c r="L2336"/>
  <c r="L2264"/>
  <c r="L2192"/>
  <c r="L2120"/>
  <c r="L2048"/>
  <c r="L1976"/>
  <c r="L1904"/>
  <c r="K3717"/>
  <c r="K3645"/>
  <c r="K3573"/>
  <c r="K3501"/>
  <c r="K3429"/>
  <c r="K3357"/>
  <c r="K3285"/>
  <c r="K3213"/>
  <c r="K3141"/>
  <c r="K3069"/>
  <c r="K2997"/>
  <c r="K2925"/>
  <c r="K2853"/>
  <c r="K2781"/>
  <c r="K2709"/>
  <c r="K2637"/>
  <c r="K2565"/>
  <c r="K2493"/>
  <c r="K2421"/>
  <c r="K2349"/>
  <c r="L189"/>
  <c r="K874"/>
  <c r="L81"/>
  <c r="K875"/>
  <c r="L1034"/>
  <c r="K758"/>
  <c r="L482"/>
  <c r="L242"/>
  <c r="L98"/>
  <c r="L1083"/>
  <c r="L819"/>
  <c r="L555"/>
  <c r="L291"/>
  <c r="L111"/>
  <c r="K3304"/>
  <c r="L2035"/>
  <c r="K1220"/>
  <c r="L20"/>
  <c r="L3410"/>
  <c r="L3146"/>
  <c r="L2870"/>
  <c r="L2546"/>
  <c r="L2318"/>
  <c r="K3603"/>
  <c r="L3471"/>
  <c r="L3339"/>
  <c r="L3207"/>
  <c r="L3075"/>
  <c r="L2943"/>
  <c r="L2799"/>
  <c r="L2679"/>
  <c r="L2547"/>
  <c r="L2415"/>
  <c r="L2295"/>
  <c r="L2163"/>
  <c r="L2031"/>
  <c r="L1887"/>
  <c r="L1755"/>
  <c r="L1635"/>
  <c r="L1551"/>
  <c r="L1419"/>
  <c r="L1287"/>
  <c r="L3712"/>
  <c r="L3640"/>
  <c r="K3568"/>
  <c r="K3446"/>
  <c r="K3086"/>
  <c r="K2714"/>
  <c r="L3711"/>
  <c r="K3555"/>
  <c r="K3411"/>
  <c r="K3243"/>
  <c r="K3087"/>
  <c r="K2931"/>
  <c r="L2775"/>
  <c r="K2619"/>
  <c r="K2463"/>
  <c r="K2283"/>
  <c r="K2127"/>
  <c r="K1971"/>
  <c r="K1815"/>
  <c r="K1659"/>
  <c r="K1407"/>
  <c r="K1251"/>
  <c r="K3713"/>
  <c r="K3641"/>
  <c r="K3569"/>
  <c r="K3497"/>
  <c r="K3425"/>
  <c r="K3374"/>
  <c r="K2762"/>
  <c r="K2306"/>
  <c r="K3654"/>
  <c r="K3582"/>
  <c r="K3510"/>
  <c r="K3438"/>
  <c r="K3366"/>
  <c r="K3294"/>
  <c r="K3222"/>
  <c r="K3150"/>
  <c r="K3078"/>
  <c r="K3006"/>
  <c r="K2934"/>
  <c r="K2862"/>
  <c r="K2790"/>
  <c r="K2718"/>
  <c r="K2646"/>
  <c r="K2574"/>
  <c r="K2502"/>
  <c r="L2430"/>
  <c r="K2358"/>
  <c r="K2286"/>
  <c r="K2214"/>
  <c r="L2142"/>
  <c r="K2070"/>
  <c r="K1998"/>
  <c r="K1926"/>
  <c r="K1842"/>
  <c r="K1770"/>
  <c r="K1698"/>
  <c r="K1626"/>
  <c r="K1530"/>
  <c r="L1458"/>
  <c r="K1386"/>
  <c r="L1314"/>
  <c r="K1242"/>
  <c r="L1170"/>
  <c r="K1098"/>
  <c r="K3578"/>
  <c r="K3134"/>
  <c r="K2582"/>
  <c r="K3691"/>
  <c r="K3619"/>
  <c r="K3547"/>
  <c r="K3475"/>
  <c r="K3403"/>
  <c r="K3554"/>
  <c r="K3326"/>
  <c r="K3014"/>
  <c r="K2810"/>
  <c r="L2486"/>
  <c r="K3716"/>
  <c r="K3644"/>
  <c r="K3572"/>
  <c r="K3500"/>
  <c r="K3428"/>
  <c r="K3356"/>
  <c r="K3284"/>
  <c r="K3212"/>
  <c r="K3140"/>
  <c r="K3068"/>
  <c r="K2996"/>
  <c r="K2924"/>
  <c r="K2852"/>
  <c r="K2780"/>
  <c r="K2708"/>
  <c r="K2636"/>
  <c r="K2564"/>
  <c r="K2492"/>
  <c r="K2420"/>
  <c r="K2348"/>
  <c r="K2276"/>
  <c r="K2204"/>
  <c r="K2132"/>
  <c r="K2060"/>
  <c r="K1988"/>
  <c r="K1916"/>
  <c r="L3717"/>
  <c r="L3645"/>
  <c r="L3573"/>
  <c r="L3501"/>
  <c r="L3429"/>
  <c r="L3357"/>
  <c r="L3285"/>
  <c r="L3213"/>
  <c r="L3141"/>
  <c r="L3069"/>
  <c r="L2997"/>
  <c r="L2925"/>
  <c r="L2853"/>
  <c r="L2781"/>
  <c r="L2709"/>
  <c r="L2637"/>
  <c r="L2565"/>
  <c r="L2493"/>
  <c r="L2421"/>
  <c r="L2349"/>
  <c r="K213"/>
  <c r="L2146"/>
  <c r="L117"/>
  <c r="L2147"/>
  <c r="K1046"/>
  <c r="L770"/>
  <c r="L506"/>
  <c r="K254"/>
  <c r="L110"/>
  <c r="L1107"/>
  <c r="L843"/>
  <c r="L579"/>
  <c r="L315"/>
  <c r="L123"/>
  <c r="K3352"/>
  <c r="K6"/>
  <c r="L1316"/>
  <c r="L32"/>
  <c r="K3458"/>
  <c r="K3182"/>
  <c r="K2894"/>
  <c r="K2606"/>
  <c r="K2354"/>
  <c r="L3627"/>
  <c r="K3483"/>
  <c r="K3363"/>
  <c r="K3231"/>
  <c r="K3099"/>
  <c r="L2955"/>
  <c r="K2823"/>
  <c r="K2703"/>
  <c r="L2559"/>
  <c r="K2439"/>
  <c r="K2307"/>
  <c r="K2187"/>
  <c r="L2055"/>
  <c r="L1911"/>
  <c r="K1779"/>
  <c r="K1647"/>
  <c r="K1563"/>
  <c r="K1443"/>
  <c r="K1311"/>
  <c r="K1167"/>
  <c r="K3652"/>
  <c r="K3580"/>
  <c r="L3446"/>
  <c r="L3086"/>
  <c r="L2714"/>
  <c r="K3711"/>
  <c r="L3555"/>
  <c r="L3411"/>
  <c r="L3243"/>
  <c r="L3087"/>
  <c r="L2931"/>
  <c r="K2775"/>
  <c r="L2619"/>
  <c r="L2463"/>
  <c r="L2283"/>
  <c r="L2127"/>
  <c r="L1971"/>
  <c r="L1815"/>
  <c r="L1659"/>
  <c r="L1407"/>
  <c r="L1251"/>
  <c r="L3713"/>
  <c r="L3641"/>
  <c r="L3569"/>
  <c r="L3497"/>
  <c r="L3425"/>
  <c r="L3374"/>
  <c r="L2762"/>
  <c r="L2306"/>
  <c r="L3654"/>
  <c r="L3582"/>
  <c r="L3510"/>
  <c r="L3438"/>
  <c r="L3366"/>
  <c r="L3294"/>
  <c r="L3222"/>
  <c r="L3150"/>
  <c r="L3078"/>
  <c r="L3006"/>
  <c r="L2934"/>
  <c r="L2862"/>
  <c r="L2790"/>
  <c r="L2718"/>
  <c r="L2646"/>
  <c r="L2574"/>
  <c r="L2502"/>
  <c r="K2430"/>
  <c r="L2358"/>
  <c r="L2286"/>
  <c r="L2214"/>
  <c r="K2142"/>
  <c r="L2070"/>
  <c r="L1998"/>
  <c r="L1926"/>
  <c r="L1842"/>
  <c r="L1770"/>
  <c r="L1698"/>
  <c r="L1626"/>
  <c r="L1530"/>
  <c r="K1458"/>
  <c r="L1386"/>
  <c r="K1314"/>
  <c r="L1242"/>
  <c r="K1170"/>
  <c r="L1098"/>
  <c r="L3578"/>
  <c r="L3134"/>
  <c r="L2582"/>
  <c r="L3691"/>
  <c r="L3619"/>
  <c r="L3547"/>
  <c r="L3475"/>
  <c r="L3403"/>
  <c r="L3554"/>
  <c r="L3326"/>
  <c r="L3014"/>
  <c r="L2810"/>
  <c r="K2486"/>
  <c r="L3716"/>
  <c r="L3644"/>
  <c r="L3572"/>
  <c r="L3500"/>
  <c r="L3428"/>
  <c r="L3356"/>
  <c r="L3284"/>
  <c r="L3212"/>
  <c r="L3140"/>
  <c r="L3068"/>
  <c r="L2996"/>
  <c r="L2924"/>
  <c r="L2852"/>
  <c r="L2780"/>
  <c r="L2708"/>
  <c r="L2636"/>
  <c r="L2564"/>
  <c r="L2492"/>
  <c r="L2420"/>
  <c r="L2348"/>
  <c r="L2276"/>
  <c r="L2204"/>
  <c r="L2132"/>
  <c r="L2060"/>
  <c r="L1988"/>
  <c r="L1916"/>
  <c r="K3168"/>
  <c r="K3657"/>
  <c r="K3585"/>
  <c r="K3513"/>
  <c r="L3441"/>
  <c r="K3369"/>
  <c r="K3297"/>
  <c r="K3225"/>
  <c r="K3153"/>
  <c r="K3081"/>
  <c r="K3009"/>
  <c r="K2937"/>
  <c r="K2865"/>
  <c r="K2793"/>
  <c r="K2721"/>
  <c r="K2649"/>
  <c r="K2577"/>
  <c r="K2505"/>
  <c r="K2433"/>
  <c r="K2361"/>
  <c r="L237"/>
  <c r="L2362"/>
  <c r="K141"/>
  <c r="L2363"/>
  <c r="L1058"/>
  <c r="L794"/>
  <c r="L530"/>
  <c r="L266"/>
  <c r="L122"/>
  <c r="L1131"/>
  <c r="L867"/>
  <c r="L603"/>
  <c r="L339"/>
  <c r="L135"/>
  <c r="K3400"/>
  <c r="L1542"/>
  <c r="L1640"/>
  <c r="L44"/>
  <c r="L3458"/>
  <c r="L3182"/>
  <c r="L2894"/>
  <c r="L2606"/>
  <c r="L2354"/>
  <c r="K3627"/>
  <c r="L3483"/>
  <c r="L3363"/>
  <c r="L3231"/>
  <c r="L3099"/>
  <c r="K2955"/>
  <c r="L2823"/>
  <c r="L2703"/>
  <c r="K2559"/>
  <c r="L2439"/>
  <c r="L2307"/>
  <c r="L2187"/>
  <c r="K2055"/>
  <c r="K1911"/>
  <c r="L1779"/>
  <c r="L1647"/>
  <c r="L1563"/>
  <c r="L1443"/>
  <c r="L1311"/>
  <c r="L1167"/>
  <c r="L3652"/>
  <c r="L3580"/>
  <c r="K3494"/>
  <c r="K3110"/>
  <c r="L2774"/>
  <c r="K2330"/>
  <c r="K3591"/>
  <c r="K3435"/>
  <c r="K3279"/>
  <c r="K3111"/>
  <c r="K2967"/>
  <c r="K2811"/>
  <c r="K2643"/>
  <c r="L2487"/>
  <c r="K2319"/>
  <c r="K2151"/>
  <c r="K1995"/>
  <c r="K1839"/>
  <c r="L1695"/>
  <c r="K1431"/>
  <c r="K1275"/>
  <c r="K1143"/>
  <c r="K3653"/>
  <c r="K3581"/>
  <c r="K3509"/>
  <c r="K3437"/>
  <c r="K3470"/>
  <c r="L2846"/>
  <c r="K2498"/>
  <c r="K3666"/>
  <c r="K3594"/>
  <c r="K3522"/>
  <c r="K3450"/>
  <c r="K3378"/>
  <c r="K3306"/>
  <c r="K3234"/>
  <c r="K3162"/>
  <c r="K3090"/>
  <c r="K3018"/>
  <c r="K2946"/>
  <c r="K2874"/>
  <c r="K2802"/>
  <c r="K2730"/>
  <c r="K2658"/>
  <c r="K2586"/>
  <c r="K2514"/>
  <c r="K2442"/>
  <c r="K2370"/>
  <c r="K2298"/>
  <c r="K2226"/>
  <c r="K2154"/>
  <c r="K2082"/>
  <c r="K2010"/>
  <c r="K1938"/>
  <c r="L1854"/>
  <c r="K1782"/>
  <c r="K1710"/>
  <c r="L1638"/>
  <c r="K1554"/>
  <c r="K1470"/>
  <c r="K1398"/>
  <c r="K1326"/>
  <c r="K1254"/>
  <c r="K1182"/>
  <c r="K1110"/>
  <c r="L3626"/>
  <c r="K3218"/>
  <c r="L2666"/>
  <c r="K3703"/>
  <c r="K3631"/>
  <c r="K3559"/>
  <c r="K3487"/>
  <c r="K3415"/>
  <c r="L3602"/>
  <c r="K3362"/>
  <c r="K3074"/>
  <c r="K2834"/>
  <c r="L2558"/>
  <c r="K2294"/>
  <c r="K3656"/>
  <c r="K3584"/>
  <c r="K3512"/>
  <c r="K3440"/>
  <c r="K3368"/>
  <c r="K3296"/>
  <c r="K3224"/>
  <c r="K3152"/>
  <c r="K3080"/>
  <c r="K3008"/>
  <c r="K2936"/>
  <c r="K2864"/>
  <c r="K2792"/>
  <c r="K2720"/>
  <c r="K2648"/>
  <c r="K2576"/>
  <c r="K2504"/>
  <c r="K2432"/>
  <c r="K2360"/>
  <c r="K2288"/>
  <c r="K2216"/>
  <c r="K2144"/>
  <c r="K2072"/>
  <c r="K2000"/>
  <c r="K1928"/>
  <c r="K1856"/>
  <c r="L3657"/>
  <c r="L3585"/>
  <c r="L3513"/>
  <c r="K3441"/>
  <c r="L3369"/>
  <c r="L3297"/>
  <c r="L3225"/>
  <c r="L3153"/>
  <c r="L3081"/>
  <c r="L3009"/>
  <c r="L2937"/>
  <c r="L2865"/>
  <c r="L2793"/>
  <c r="L2721"/>
  <c r="L2649"/>
  <c r="L2577"/>
  <c r="L2505"/>
  <c r="L2433"/>
  <c r="L2361"/>
  <c r="L2289"/>
  <c r="L2217"/>
  <c r="L2145"/>
  <c r="L2073"/>
  <c r="L2001"/>
  <c r="L1929"/>
  <c r="L1857"/>
  <c r="L1785"/>
  <c r="L1713"/>
  <c r="L1641"/>
  <c r="L1569"/>
  <c r="L3682"/>
  <c r="L3610"/>
  <c r="L3538"/>
  <c r="L3466"/>
  <c r="L3394"/>
  <c r="L3322"/>
  <c r="L3250"/>
  <c r="L3178"/>
  <c r="L3106"/>
  <c r="L3034"/>
  <c r="L2950"/>
  <c r="L2878"/>
  <c r="L2806"/>
  <c r="L2722"/>
  <c r="L2650"/>
  <c r="L2566"/>
  <c r="L2494"/>
  <c r="L2422"/>
  <c r="L2338"/>
  <c r="L2266"/>
  <c r="L2194"/>
  <c r="L2110"/>
  <c r="L2038"/>
  <c r="L1966"/>
  <c r="L1894"/>
  <c r="L1822"/>
  <c r="L1750"/>
  <c r="L3671"/>
  <c r="L3587"/>
  <c r="L3515"/>
  <c r="L3431"/>
  <c r="L3359"/>
  <c r="L3275"/>
  <c r="L3203"/>
  <c r="L3119"/>
  <c r="L3047"/>
  <c r="L2963"/>
  <c r="L2891"/>
  <c r="L2819"/>
  <c r="L2735"/>
  <c r="L2663"/>
  <c r="L2591"/>
  <c r="L2507"/>
  <c r="L2435"/>
  <c r="L2351"/>
  <c r="L2279"/>
  <c r="L2207"/>
  <c r="L2123"/>
  <c r="L2051"/>
  <c r="L1979"/>
  <c r="L1907"/>
  <c r="L1835"/>
  <c r="L1763"/>
  <c r="L1691"/>
  <c r="L1619"/>
  <c r="L1547"/>
  <c r="K3455"/>
  <c r="L3660"/>
  <c r="L3576"/>
  <c r="L3504"/>
  <c r="L3420"/>
  <c r="L3348"/>
  <c r="L3264"/>
  <c r="L3192"/>
  <c r="L3108"/>
  <c r="L3036"/>
  <c r="L2964"/>
  <c r="L2892"/>
  <c r="L2820"/>
  <c r="L2748"/>
  <c r="L2676"/>
  <c r="L2604"/>
  <c r="L2532"/>
  <c r="L2460"/>
  <c r="L2388"/>
  <c r="L2316"/>
  <c r="L2244"/>
  <c r="L2172"/>
  <c r="L261"/>
  <c r="L2578"/>
  <c r="L153"/>
  <c r="L2579"/>
  <c r="L1082"/>
  <c r="L818"/>
  <c r="L554"/>
  <c r="L290"/>
  <c r="L134"/>
  <c r="L1527"/>
  <c r="L891"/>
  <c r="L627"/>
  <c r="L363"/>
  <c r="L147"/>
  <c r="K3484"/>
  <c r="K1566"/>
  <c r="K127"/>
  <c r="L56"/>
  <c r="K3542"/>
  <c r="K3230"/>
  <c r="L2954"/>
  <c r="K2642"/>
  <c r="K2390"/>
  <c r="L3651"/>
  <c r="K3519"/>
  <c r="K3387"/>
  <c r="K3255"/>
  <c r="K3123"/>
  <c r="K2979"/>
  <c r="L2847"/>
  <c r="K2715"/>
  <c r="K2583"/>
  <c r="K2451"/>
  <c r="K2331"/>
  <c r="L2199"/>
  <c r="K2079"/>
  <c r="K1935"/>
  <c r="L1803"/>
  <c r="K1671"/>
  <c r="K1575"/>
  <c r="K1467"/>
  <c r="L1335"/>
  <c r="K1191"/>
  <c r="K3664"/>
  <c r="K3592"/>
  <c r="L3494"/>
  <c r="L3110"/>
  <c r="K2774"/>
  <c r="L2330"/>
  <c r="L3591"/>
  <c r="L3435"/>
  <c r="L3279"/>
  <c r="L3111"/>
  <c r="L2967"/>
  <c r="L2811"/>
  <c r="L2643"/>
  <c r="K2487"/>
  <c r="L2319"/>
  <c r="L2151"/>
  <c r="L1995"/>
  <c r="L1839"/>
  <c r="K1695"/>
  <c r="L1431"/>
  <c r="L1275"/>
  <c r="L1143"/>
  <c r="L3653"/>
  <c r="L3581"/>
  <c r="L3509"/>
  <c r="L3437"/>
  <c r="L3470"/>
  <c r="K2846"/>
  <c r="L2498"/>
  <c r="L3666"/>
  <c r="L3594"/>
  <c r="L3522"/>
  <c r="L3450"/>
  <c r="L3378"/>
  <c r="L3306"/>
  <c r="L3234"/>
  <c r="L3162"/>
  <c r="L3090"/>
  <c r="L3018"/>
  <c r="L2946"/>
  <c r="L2874"/>
  <c r="L2802"/>
  <c r="L2730"/>
  <c r="L2658"/>
  <c r="L2586"/>
  <c r="L2514"/>
  <c r="L2442"/>
  <c r="L2370"/>
  <c r="L2298"/>
  <c r="L2226"/>
  <c r="L2154"/>
  <c r="L2082"/>
  <c r="L2010"/>
  <c r="L1938"/>
  <c r="K1854"/>
  <c r="L1782"/>
  <c r="L1710"/>
  <c r="K1638"/>
  <c r="L1554"/>
  <c r="L1470"/>
  <c r="L1398"/>
  <c r="L1326"/>
  <c r="L1254"/>
  <c r="L1182"/>
  <c r="L1110"/>
  <c r="K3626"/>
  <c r="L3218"/>
  <c r="K2666"/>
  <c r="L3703"/>
  <c r="L3631"/>
  <c r="L3559"/>
  <c r="L3487"/>
  <c r="L3415"/>
  <c r="K3602"/>
  <c r="L3362"/>
  <c r="L3074"/>
  <c r="L2834"/>
  <c r="K2558"/>
  <c r="L2294"/>
  <c r="L3656"/>
  <c r="L3584"/>
  <c r="L3512"/>
  <c r="L3440"/>
  <c r="L3368"/>
  <c r="L3296"/>
  <c r="L3224"/>
  <c r="L3152"/>
  <c r="L3080"/>
  <c r="L3008"/>
  <c r="L2936"/>
  <c r="L2864"/>
  <c r="L2792"/>
  <c r="L2720"/>
  <c r="L2648"/>
  <c r="L2576"/>
  <c r="L2504"/>
  <c r="L2432"/>
  <c r="L2360"/>
  <c r="L2288"/>
  <c r="L2216"/>
  <c r="L2144"/>
  <c r="L2072"/>
  <c r="L2000"/>
  <c r="L1928"/>
  <c r="L1856"/>
  <c r="K3669"/>
  <c r="K3597"/>
  <c r="L3525"/>
  <c r="K3453"/>
  <c r="K3381"/>
  <c r="K3309"/>
  <c r="K3237"/>
  <c r="K3165"/>
  <c r="K3093"/>
  <c r="K3021"/>
  <c r="L2949"/>
  <c r="K2877"/>
  <c r="K2805"/>
  <c r="K2733"/>
  <c r="L2661"/>
  <c r="K2589"/>
  <c r="K2517"/>
  <c r="K2445"/>
  <c r="L2373"/>
  <c r="K2301"/>
  <c r="K2229"/>
  <c r="K2157"/>
  <c r="L2085"/>
  <c r="K2013"/>
  <c r="K1941"/>
  <c r="K1869"/>
  <c r="L1797"/>
  <c r="K1725"/>
  <c r="L1653"/>
  <c r="K1581"/>
  <c r="K3694"/>
  <c r="K3622"/>
  <c r="K3550"/>
  <c r="K3478"/>
  <c r="K3406"/>
  <c r="K3334"/>
  <c r="K3262"/>
  <c r="K3190"/>
  <c r="K3118"/>
  <c r="K3046"/>
  <c r="K2962"/>
  <c r="K2890"/>
  <c r="K2818"/>
  <c r="K2734"/>
  <c r="K2662"/>
  <c r="K2590"/>
  <c r="K2506"/>
  <c r="K2434"/>
  <c r="K2350"/>
  <c r="K2278"/>
  <c r="K2206"/>
  <c r="K2122"/>
  <c r="K2050"/>
  <c r="K1978"/>
  <c r="K1906"/>
  <c r="K1834"/>
  <c r="K1762"/>
  <c r="K3683"/>
  <c r="K3611"/>
  <c r="K3527"/>
  <c r="K3443"/>
  <c r="K3371"/>
  <c r="K3287"/>
  <c r="K3215"/>
  <c r="K3131"/>
  <c r="K3059"/>
  <c r="K2975"/>
  <c r="K2903"/>
  <c r="K2831"/>
  <c r="K2747"/>
  <c r="K2675"/>
  <c r="L2603"/>
  <c r="K2519"/>
  <c r="K2447"/>
  <c r="K2375"/>
  <c r="K2291"/>
  <c r="K2219"/>
  <c r="K2135"/>
  <c r="K2063"/>
  <c r="K1991"/>
  <c r="L1919"/>
  <c r="K1847"/>
  <c r="K1775"/>
  <c r="K1703"/>
  <c r="L1631"/>
  <c r="K1559"/>
  <c r="L1487"/>
  <c r="K3672"/>
  <c r="K3588"/>
  <c r="K3516"/>
  <c r="K3432"/>
  <c r="K3360"/>
  <c r="K3276"/>
  <c r="K3204"/>
  <c r="K3120"/>
  <c r="K3048"/>
  <c r="K2976"/>
  <c r="L2904"/>
  <c r="L2832"/>
  <c r="K2760"/>
  <c r="K2688"/>
  <c r="L2616"/>
  <c r="L2544"/>
  <c r="L842"/>
  <c r="L651"/>
  <c r="K68"/>
  <c r="K3651"/>
  <c r="K2847"/>
  <c r="L2079"/>
  <c r="K1335"/>
  <c r="K2822"/>
  <c r="K2991"/>
  <c r="K2019"/>
  <c r="K3665"/>
  <c r="K2570"/>
  <c r="K3318"/>
  <c r="K2886"/>
  <c r="K2454"/>
  <c r="K2022"/>
  <c r="K1578"/>
  <c r="K1122"/>
  <c r="K3571"/>
  <c r="K2882"/>
  <c r="K3452"/>
  <c r="K3020"/>
  <c r="K2588"/>
  <c r="K2156"/>
  <c r="L3597"/>
  <c r="L3165"/>
  <c r="L2733"/>
  <c r="L2301"/>
  <c r="K2145"/>
  <c r="K2001"/>
  <c r="K1857"/>
  <c r="K1713"/>
  <c r="K1569"/>
  <c r="K3610"/>
  <c r="K3466"/>
  <c r="K3322"/>
  <c r="K3178"/>
  <c r="K3034"/>
  <c r="K2878"/>
  <c r="K2722"/>
  <c r="K2566"/>
  <c r="K2422"/>
  <c r="K2266"/>
  <c r="K2110"/>
  <c r="K1966"/>
  <c r="K1822"/>
  <c r="K3671"/>
  <c r="K3515"/>
  <c r="K3359"/>
  <c r="K3203"/>
  <c r="K3047"/>
  <c r="K2891"/>
  <c r="K2735"/>
  <c r="K2591"/>
  <c r="K2435"/>
  <c r="K2279"/>
  <c r="K2123"/>
  <c r="K1979"/>
  <c r="K1835"/>
  <c r="K1691"/>
  <c r="K1547"/>
  <c r="K3660"/>
  <c r="K3504"/>
  <c r="K3348"/>
  <c r="K3192"/>
  <c r="K3036"/>
  <c r="K2892"/>
  <c r="K2748"/>
  <c r="K2604"/>
  <c r="K2472"/>
  <c r="K2340"/>
  <c r="K2232"/>
  <c r="L2148"/>
  <c r="K2076"/>
  <c r="K2004"/>
  <c r="K1932"/>
  <c r="L1860"/>
  <c r="K1788"/>
  <c r="K1716"/>
  <c r="K1644"/>
  <c r="L1572"/>
  <c r="K1500"/>
  <c r="L1428"/>
  <c r="K1356"/>
  <c r="L1284"/>
  <c r="K1212"/>
  <c r="L1140"/>
  <c r="K1068"/>
  <c r="L996"/>
  <c r="K924"/>
  <c r="L852"/>
  <c r="L3697"/>
  <c r="L3625"/>
  <c r="L3553"/>
  <c r="L3481"/>
  <c r="L3409"/>
  <c r="L3337"/>
  <c r="L3265"/>
  <c r="L3193"/>
  <c r="L3121"/>
  <c r="L3049"/>
  <c r="L2977"/>
  <c r="K2905"/>
  <c r="K2833"/>
  <c r="L2761"/>
  <c r="L2689"/>
  <c r="K2617"/>
  <c r="K2545"/>
  <c r="L2473"/>
  <c r="L2401"/>
  <c r="K2329"/>
  <c r="K2257"/>
  <c r="L2185"/>
  <c r="L2113"/>
  <c r="K2041"/>
  <c r="K1969"/>
  <c r="L1897"/>
  <c r="L1825"/>
  <c r="K1753"/>
  <c r="K1681"/>
  <c r="K1609"/>
  <c r="K1537"/>
  <c r="K1465"/>
  <c r="K1393"/>
  <c r="K1321"/>
  <c r="K1249"/>
  <c r="K1177"/>
  <c r="K1105"/>
  <c r="K1033"/>
  <c r="K3377"/>
  <c r="K3305"/>
  <c r="K3221"/>
  <c r="L3149"/>
  <c r="K3077"/>
  <c r="L3005"/>
  <c r="L2933"/>
  <c r="L2861"/>
  <c r="L2789"/>
  <c r="L2717"/>
  <c r="L2645"/>
  <c r="L2573"/>
  <c r="L2501"/>
  <c r="L2429"/>
  <c r="L2357"/>
  <c r="L2285"/>
  <c r="L2213"/>
  <c r="L2141"/>
  <c r="L2069"/>
  <c r="L1997"/>
  <c r="L1925"/>
  <c r="L1853"/>
  <c r="L1781"/>
  <c r="L1709"/>
  <c r="L1637"/>
  <c r="L1565"/>
  <c r="L1493"/>
  <c r="L1421"/>
  <c r="K1038"/>
  <c r="K966"/>
  <c r="K894"/>
  <c r="K822"/>
  <c r="K750"/>
  <c r="K678"/>
  <c r="K606"/>
  <c r="K534"/>
  <c r="K462"/>
  <c r="K390"/>
  <c r="K318"/>
  <c r="K246"/>
  <c r="K174"/>
  <c r="K102"/>
  <c r="K30"/>
  <c r="L3331"/>
  <c r="L3259"/>
  <c r="L3187"/>
  <c r="L3115"/>
  <c r="L3043"/>
  <c r="L2971"/>
  <c r="L2899"/>
  <c r="L2827"/>
  <c r="L2755"/>
  <c r="L2683"/>
  <c r="L2611"/>
  <c r="L2539"/>
  <c r="L2467"/>
  <c r="L2395"/>
  <c r="L2323"/>
  <c r="L2251"/>
  <c r="L2179"/>
  <c r="L2107"/>
  <c r="L2023"/>
  <c r="L1927"/>
  <c r="L1831"/>
  <c r="L1735"/>
  <c r="L1651"/>
  <c r="L1579"/>
  <c r="L1495"/>
  <c r="L1423"/>
  <c r="K1351"/>
  <c r="K1279"/>
  <c r="L1207"/>
  <c r="L1135"/>
  <c r="L1063"/>
  <c r="K991"/>
  <c r="L919"/>
  <c r="L847"/>
  <c r="L775"/>
  <c r="K703"/>
  <c r="L631"/>
  <c r="L559"/>
  <c r="L487"/>
  <c r="K415"/>
  <c r="L343"/>
  <c r="L271"/>
  <c r="L1844"/>
  <c r="L1772"/>
  <c r="L1700"/>
  <c r="L1616"/>
  <c r="L1544"/>
  <c r="L1472"/>
  <c r="L1400"/>
  <c r="L1328"/>
  <c r="L1244"/>
  <c r="L1160"/>
  <c r="L1088"/>
  <c r="L1016"/>
  <c r="L944"/>
  <c r="L872"/>
  <c r="L800"/>
  <c r="L728"/>
  <c r="L656"/>
  <c r="L584"/>
  <c r="L1521"/>
  <c r="L1449"/>
  <c r="L1377"/>
  <c r="L1305"/>
  <c r="L1233"/>
  <c r="L1149"/>
  <c r="K1077"/>
  <c r="K1005"/>
  <c r="K933"/>
  <c r="L861"/>
  <c r="K789"/>
  <c r="K717"/>
  <c r="K645"/>
  <c r="L1702"/>
  <c r="K1630"/>
  <c r="L1558"/>
  <c r="K1486"/>
  <c r="L1414"/>
  <c r="K1342"/>
  <c r="L1270"/>
  <c r="K1198"/>
  <c r="L1126"/>
  <c r="K1054"/>
  <c r="L982"/>
  <c r="L866"/>
  <c r="L675"/>
  <c r="L80"/>
  <c r="L3675"/>
  <c r="K2871"/>
  <c r="L2091"/>
  <c r="K1347"/>
  <c r="L2822"/>
  <c r="L2991"/>
  <c r="L2019"/>
  <c r="L3665"/>
  <c r="L2570"/>
  <c r="L3318"/>
  <c r="L2886"/>
  <c r="L2454"/>
  <c r="L2022"/>
  <c r="L1578"/>
  <c r="L1122"/>
  <c r="L3571"/>
  <c r="L2882"/>
  <c r="L3452"/>
  <c r="L3020"/>
  <c r="L2588"/>
  <c r="L2156"/>
  <c r="K3609"/>
  <c r="K3177"/>
  <c r="K2745"/>
  <c r="K2313"/>
  <c r="L2157"/>
  <c r="L2013"/>
  <c r="L1869"/>
  <c r="L1725"/>
  <c r="L1581"/>
  <c r="L3622"/>
  <c r="L3478"/>
  <c r="L3334"/>
  <c r="L3190"/>
  <c r="L3046"/>
  <c r="L2890"/>
  <c r="L2734"/>
  <c r="L2590"/>
  <c r="L2434"/>
  <c r="L2278"/>
  <c r="L2122"/>
  <c r="L1978"/>
  <c r="L1834"/>
  <c r="L3683"/>
  <c r="L3527"/>
  <c r="L3371"/>
  <c r="L3215"/>
  <c r="L3059"/>
  <c r="L2903"/>
  <c r="L2747"/>
  <c r="K2603"/>
  <c r="L2447"/>
  <c r="L2291"/>
  <c r="L2135"/>
  <c r="L1991"/>
  <c r="L1847"/>
  <c r="L1703"/>
  <c r="L1559"/>
  <c r="L3672"/>
  <c r="L3516"/>
  <c r="L3360"/>
  <c r="L3204"/>
  <c r="L3048"/>
  <c r="K2904"/>
  <c r="L2760"/>
  <c r="K2616"/>
  <c r="L2472"/>
  <c r="L2364"/>
  <c r="L2232"/>
  <c r="K2148"/>
  <c r="L2076"/>
  <c r="L2004"/>
  <c r="L1932"/>
  <c r="K1860"/>
  <c r="L1788"/>
  <c r="L1716"/>
  <c r="L1644"/>
  <c r="K1572"/>
  <c r="L1500"/>
  <c r="K1428"/>
  <c r="L1356"/>
  <c r="K1284"/>
  <c r="L1212"/>
  <c r="K1140"/>
  <c r="L1068"/>
  <c r="K996"/>
  <c r="L924"/>
  <c r="K852"/>
  <c r="K3709"/>
  <c r="K3637"/>
  <c r="K3565"/>
  <c r="K3493"/>
  <c r="K3421"/>
  <c r="K3349"/>
  <c r="K3277"/>
  <c r="K3205"/>
  <c r="K3133"/>
  <c r="K3061"/>
  <c r="K2989"/>
  <c r="K2917"/>
  <c r="K2845"/>
  <c r="K2773"/>
  <c r="K2701"/>
  <c r="K2629"/>
  <c r="K2557"/>
  <c r="K2485"/>
  <c r="K2413"/>
  <c r="K2341"/>
  <c r="K2269"/>
  <c r="K2197"/>
  <c r="K2125"/>
  <c r="K2053"/>
  <c r="K1981"/>
  <c r="K1909"/>
  <c r="K1837"/>
  <c r="K1765"/>
  <c r="K1693"/>
  <c r="K1621"/>
  <c r="K1549"/>
  <c r="K1477"/>
  <c r="K1405"/>
  <c r="K1333"/>
  <c r="K1261"/>
  <c r="K1189"/>
  <c r="K1117"/>
  <c r="K1045"/>
  <c r="K3389"/>
  <c r="L3317"/>
  <c r="L3233"/>
  <c r="L3161"/>
  <c r="L3089"/>
  <c r="K3017"/>
  <c r="K2945"/>
  <c r="K2873"/>
  <c r="K2801"/>
  <c r="K2729"/>
  <c r="K2657"/>
  <c r="K2585"/>
  <c r="K2513"/>
  <c r="K2441"/>
  <c r="K2369"/>
  <c r="K2297"/>
  <c r="K2225"/>
  <c r="K2153"/>
  <c r="K2081"/>
  <c r="K2009"/>
  <c r="K1937"/>
  <c r="K1865"/>
  <c r="K1793"/>
  <c r="K1721"/>
  <c r="K1649"/>
  <c r="K1577"/>
  <c r="K1505"/>
  <c r="K1433"/>
  <c r="L1038"/>
  <c r="L966"/>
  <c r="L894"/>
  <c r="L822"/>
  <c r="L750"/>
  <c r="L678"/>
  <c r="L606"/>
  <c r="L534"/>
  <c r="L462"/>
  <c r="L390"/>
  <c r="L318"/>
  <c r="L246"/>
  <c r="L174"/>
  <c r="L102"/>
  <c r="L30"/>
  <c r="K3343"/>
  <c r="K3271"/>
  <c r="K3199"/>
  <c r="K3127"/>
  <c r="K3055"/>
  <c r="K2983"/>
  <c r="K2911"/>
  <c r="K2839"/>
  <c r="K2767"/>
  <c r="K2695"/>
  <c r="K2623"/>
  <c r="K2551"/>
  <c r="K2479"/>
  <c r="K2407"/>
  <c r="K2335"/>
  <c r="K2263"/>
  <c r="K2191"/>
  <c r="K2119"/>
  <c r="K2047"/>
  <c r="K1951"/>
  <c r="L1855"/>
  <c r="K1759"/>
  <c r="K1663"/>
  <c r="K1591"/>
  <c r="K1507"/>
  <c r="K1435"/>
  <c r="K1363"/>
  <c r="K1291"/>
  <c r="K1219"/>
  <c r="K1147"/>
  <c r="K1075"/>
  <c r="K1003"/>
  <c r="K931"/>
  <c r="K859"/>
  <c r="K787"/>
  <c r="K715"/>
  <c r="K643"/>
  <c r="K571"/>
  <c r="K499"/>
  <c r="K427"/>
  <c r="K355"/>
  <c r="K283"/>
  <c r="K211"/>
  <c r="K1784"/>
  <c r="K1712"/>
  <c r="K1628"/>
  <c r="K1556"/>
  <c r="K1484"/>
  <c r="K1412"/>
  <c r="K1340"/>
  <c r="K1256"/>
  <c r="K1172"/>
  <c r="K1100"/>
  <c r="K1028"/>
  <c r="K956"/>
  <c r="K884"/>
  <c r="K812"/>
  <c r="K740"/>
  <c r="K668"/>
  <c r="K596"/>
  <c r="K1533"/>
  <c r="K1461"/>
  <c r="K1389"/>
  <c r="K1317"/>
  <c r="K1245"/>
  <c r="K1161"/>
  <c r="K1089"/>
  <c r="K1017"/>
  <c r="K945"/>
  <c r="K873"/>
  <c r="K801"/>
  <c r="K729"/>
  <c r="K657"/>
  <c r="K1714"/>
  <c r="K1642"/>
  <c r="K1570"/>
  <c r="K1498"/>
  <c r="L1426"/>
  <c r="K1354"/>
  <c r="L1282"/>
  <c r="K1210"/>
  <c r="L1138"/>
  <c r="K1066"/>
  <c r="L994"/>
  <c r="L1178"/>
  <c r="L915"/>
  <c r="K1567"/>
  <c r="L2390"/>
  <c r="L2979"/>
  <c r="K2199"/>
  <c r="L1467"/>
  <c r="K3158"/>
  <c r="K3147"/>
  <c r="K2175"/>
  <c r="K1155"/>
  <c r="K2930"/>
  <c r="K3390"/>
  <c r="K2958"/>
  <c r="K2526"/>
  <c r="K2094"/>
  <c r="K1650"/>
  <c r="K1194"/>
  <c r="K3643"/>
  <c r="K3122"/>
  <c r="L3524"/>
  <c r="K3092"/>
  <c r="L2660"/>
  <c r="K2228"/>
  <c r="L3669"/>
  <c r="L3237"/>
  <c r="L2805"/>
  <c r="K2373"/>
  <c r="K2169"/>
  <c r="K2025"/>
  <c r="K1881"/>
  <c r="K1737"/>
  <c r="K1593"/>
  <c r="K3634"/>
  <c r="K3490"/>
  <c r="K3346"/>
  <c r="K3202"/>
  <c r="K3058"/>
  <c r="K2902"/>
  <c r="K2746"/>
  <c r="L2602"/>
  <c r="K2446"/>
  <c r="K2290"/>
  <c r="K2134"/>
  <c r="K1990"/>
  <c r="K1846"/>
  <c r="K3695"/>
  <c r="K3539"/>
  <c r="K3383"/>
  <c r="K3227"/>
  <c r="K3071"/>
  <c r="K2915"/>
  <c r="K2759"/>
  <c r="K2615"/>
  <c r="K2459"/>
  <c r="K2303"/>
  <c r="K2159"/>
  <c r="K2003"/>
  <c r="K1859"/>
  <c r="K1715"/>
  <c r="L1571"/>
  <c r="K3684"/>
  <c r="K3528"/>
  <c r="K3372"/>
  <c r="K3216"/>
  <c r="K3060"/>
  <c r="K2916"/>
  <c r="K2772"/>
  <c r="K2628"/>
  <c r="K2484"/>
  <c r="K2376"/>
  <c r="K2244"/>
  <c r="K2160"/>
  <c r="K2088"/>
  <c r="K2016"/>
  <c r="K1944"/>
  <c r="K1872"/>
  <c r="K1800"/>
  <c r="K1728"/>
  <c r="L1656"/>
  <c r="L1584"/>
  <c r="L1512"/>
  <c r="L1440"/>
  <c r="L1368"/>
  <c r="L1296"/>
  <c r="L1224"/>
  <c r="L1152"/>
  <c r="L1080"/>
  <c r="L1008"/>
  <c r="L936"/>
  <c r="L864"/>
  <c r="L3709"/>
  <c r="L3637"/>
  <c r="L3565"/>
  <c r="L3493"/>
  <c r="L3421"/>
  <c r="L3349"/>
  <c r="L3277"/>
  <c r="L3205"/>
  <c r="L3133"/>
  <c r="L3061"/>
  <c r="L2989"/>
  <c r="L2917"/>
  <c r="L2845"/>
  <c r="L2773"/>
  <c r="L2701"/>
  <c r="L2629"/>
  <c r="L2557"/>
  <c r="L2485"/>
  <c r="L2413"/>
  <c r="L2341"/>
  <c r="L2269"/>
  <c r="L2197"/>
  <c r="L2125"/>
  <c r="L2053"/>
  <c r="L1981"/>
  <c r="L1909"/>
  <c r="L1837"/>
  <c r="L1765"/>
  <c r="L1693"/>
  <c r="L1621"/>
  <c r="L1549"/>
  <c r="L1477"/>
  <c r="L1405"/>
  <c r="L1333"/>
  <c r="L1261"/>
  <c r="L1189"/>
  <c r="L1117"/>
  <c r="L1045"/>
  <c r="L3389"/>
  <c r="K3317"/>
  <c r="K3233"/>
  <c r="K3161"/>
  <c r="K3089"/>
  <c r="L3017"/>
  <c r="L2945"/>
  <c r="L2873"/>
  <c r="L2801"/>
  <c r="L2729"/>
  <c r="L2657"/>
  <c r="L2585"/>
  <c r="L2513"/>
  <c r="L2441"/>
  <c r="L2369"/>
  <c r="L2297"/>
  <c r="L2225"/>
  <c r="L2153"/>
  <c r="L2081"/>
  <c r="L2009"/>
  <c r="L1937"/>
  <c r="L1865"/>
  <c r="L1793"/>
  <c r="L1721"/>
  <c r="L1649"/>
  <c r="L1577"/>
  <c r="L1505"/>
  <c r="L1433"/>
  <c r="K1050"/>
  <c r="K978"/>
  <c r="K906"/>
  <c r="K834"/>
  <c r="K762"/>
  <c r="K690"/>
  <c r="K618"/>
  <c r="K546"/>
  <c r="K474"/>
  <c r="K402"/>
  <c r="K330"/>
  <c r="K258"/>
  <c r="K186"/>
  <c r="K114"/>
  <c r="K42"/>
  <c r="L3343"/>
  <c r="L3271"/>
  <c r="L3199"/>
  <c r="L3127"/>
  <c r="L3055"/>
  <c r="L2983"/>
  <c r="L2911"/>
  <c r="L2839"/>
  <c r="L2767"/>
  <c r="L2695"/>
  <c r="L2623"/>
  <c r="L2551"/>
  <c r="L2479"/>
  <c r="L2407"/>
  <c r="L2335"/>
  <c r="L2263"/>
  <c r="L2191"/>
  <c r="L2119"/>
  <c r="L2047"/>
  <c r="L1951"/>
  <c r="K1855"/>
  <c r="L1759"/>
  <c r="L1663"/>
  <c r="L1591"/>
  <c r="L1507"/>
  <c r="L1435"/>
  <c r="L1363"/>
  <c r="L1291"/>
  <c r="L1219"/>
  <c r="L1147"/>
  <c r="L1075"/>
  <c r="L1003"/>
  <c r="L931"/>
  <c r="L859"/>
  <c r="L787"/>
  <c r="L715"/>
  <c r="L643"/>
  <c r="L571"/>
  <c r="L499"/>
  <c r="L427"/>
  <c r="L355"/>
  <c r="L283"/>
  <c r="L211"/>
  <c r="L1784"/>
  <c r="L1712"/>
  <c r="L1628"/>
  <c r="L1556"/>
  <c r="L1484"/>
  <c r="L1412"/>
  <c r="L1340"/>
  <c r="L1256"/>
  <c r="L1172"/>
  <c r="L1100"/>
  <c r="L1028"/>
  <c r="L956"/>
  <c r="L884"/>
  <c r="L812"/>
  <c r="L740"/>
  <c r="L668"/>
  <c r="L596"/>
  <c r="L1533"/>
  <c r="L1461"/>
  <c r="L1389"/>
  <c r="L1317"/>
  <c r="L1245"/>
  <c r="L1161"/>
  <c r="L1089"/>
  <c r="L1017"/>
  <c r="L945"/>
  <c r="L873"/>
  <c r="L801"/>
  <c r="L729"/>
  <c r="L657"/>
  <c r="L1714"/>
  <c r="L1642"/>
  <c r="L1570"/>
  <c r="L1498"/>
  <c r="K1426"/>
  <c r="L1354"/>
  <c r="K1282"/>
  <c r="L1210"/>
  <c r="K1138"/>
  <c r="L1066"/>
  <c r="K994"/>
  <c r="K1910"/>
  <c r="L939"/>
  <c r="L1699"/>
  <c r="K2426"/>
  <c r="K3003"/>
  <c r="K2223"/>
  <c r="K1491"/>
  <c r="L3158"/>
  <c r="L3147"/>
  <c r="L2175"/>
  <c r="L1155"/>
  <c r="L2930"/>
  <c r="L3390"/>
  <c r="L2958"/>
  <c r="L2526"/>
  <c r="L2094"/>
  <c r="L1650"/>
  <c r="L1194"/>
  <c r="L3643"/>
  <c r="L3122"/>
  <c r="K3524"/>
  <c r="L3092"/>
  <c r="K2660"/>
  <c r="L2228"/>
  <c r="K3681"/>
  <c r="K3249"/>
  <c r="K2817"/>
  <c r="K2385"/>
  <c r="L2193"/>
  <c r="L2049"/>
  <c r="L1905"/>
  <c r="L1761"/>
  <c r="L1617"/>
  <c r="L3658"/>
  <c r="L3514"/>
  <c r="L3370"/>
  <c r="L3226"/>
  <c r="L3082"/>
  <c r="L2926"/>
  <c r="L2770"/>
  <c r="L2626"/>
  <c r="L2470"/>
  <c r="L2314"/>
  <c r="L2170"/>
  <c r="L2014"/>
  <c r="L1870"/>
  <c r="L3719"/>
  <c r="L3563"/>
  <c r="L3407"/>
  <c r="L3251"/>
  <c r="L3095"/>
  <c r="L2939"/>
  <c r="L2783"/>
  <c r="L2639"/>
  <c r="L2483"/>
  <c r="L2327"/>
  <c r="L2183"/>
  <c r="K2027"/>
  <c r="L1883"/>
  <c r="K1739"/>
  <c r="K1595"/>
  <c r="L3708"/>
  <c r="L3552"/>
  <c r="L3396"/>
  <c r="L3240"/>
  <c r="L3084"/>
  <c r="L2940"/>
  <c r="L2796"/>
  <c r="L2652"/>
  <c r="L2508"/>
  <c r="L2376"/>
  <c r="L2256"/>
  <c r="L2160"/>
  <c r="L2088"/>
  <c r="L2016"/>
  <c r="L1944"/>
  <c r="L1872"/>
  <c r="L1800"/>
  <c r="L1728"/>
  <c r="K1656"/>
  <c r="K1584"/>
  <c r="K1512"/>
  <c r="K1440"/>
  <c r="K1368"/>
  <c r="K1296"/>
  <c r="K1224"/>
  <c r="K1152"/>
  <c r="K1080"/>
  <c r="K1008"/>
  <c r="K936"/>
  <c r="K864"/>
  <c r="K3721"/>
  <c r="K3649"/>
  <c r="K3577"/>
  <c r="K3505"/>
  <c r="K3433"/>
  <c r="K3361"/>
  <c r="K3289"/>
  <c r="K3217"/>
  <c r="K3145"/>
  <c r="K3073"/>
  <c r="K3001"/>
  <c r="K2929"/>
  <c r="K2857"/>
  <c r="K2785"/>
  <c r="K2713"/>
  <c r="K2641"/>
  <c r="K2569"/>
  <c r="K2497"/>
  <c r="K2425"/>
  <c r="K2353"/>
  <c r="K2281"/>
  <c r="K2209"/>
  <c r="K2137"/>
  <c r="K2065"/>
  <c r="K1993"/>
  <c r="K1921"/>
  <c r="K1849"/>
  <c r="K1777"/>
  <c r="K1705"/>
  <c r="K1633"/>
  <c r="K1561"/>
  <c r="K1489"/>
  <c r="K1417"/>
  <c r="K1345"/>
  <c r="K1273"/>
  <c r="K1201"/>
  <c r="K1129"/>
  <c r="K1057"/>
  <c r="L3401"/>
  <c r="L3329"/>
  <c r="K3245"/>
  <c r="L3173"/>
  <c r="K3101"/>
  <c r="K3029"/>
  <c r="K2957"/>
  <c r="K2885"/>
  <c r="K2813"/>
  <c r="K2741"/>
  <c r="K2669"/>
  <c r="K2597"/>
  <c r="K2525"/>
  <c r="K2453"/>
  <c r="K2381"/>
  <c r="K2309"/>
  <c r="K2237"/>
  <c r="K2165"/>
  <c r="K2093"/>
  <c r="K2021"/>
  <c r="K1949"/>
  <c r="K1877"/>
  <c r="K1805"/>
  <c r="K1733"/>
  <c r="K1661"/>
  <c r="K1589"/>
  <c r="K1517"/>
  <c r="K1445"/>
  <c r="L1050"/>
  <c r="L978"/>
  <c r="L906"/>
  <c r="L834"/>
  <c r="L762"/>
  <c r="L690"/>
  <c r="L618"/>
  <c r="L546"/>
  <c r="L474"/>
  <c r="L402"/>
  <c r="L330"/>
  <c r="L258"/>
  <c r="L186"/>
  <c r="L114"/>
  <c r="L42"/>
  <c r="K3355"/>
  <c r="K3283"/>
  <c r="K3211"/>
  <c r="K3139"/>
  <c r="K3067"/>
  <c r="K2995"/>
  <c r="K2923"/>
  <c r="K2851"/>
  <c r="K2779"/>
  <c r="K2707"/>
  <c r="K2635"/>
  <c r="K2563"/>
  <c r="K2491"/>
  <c r="K2419"/>
  <c r="K2347"/>
  <c r="K2275"/>
  <c r="K2203"/>
  <c r="K2131"/>
  <c r="K2059"/>
  <c r="K1963"/>
  <c r="K1867"/>
  <c r="K1771"/>
  <c r="K1675"/>
  <c r="K1603"/>
  <c r="K1519"/>
  <c r="K1447"/>
  <c r="K1375"/>
  <c r="K1303"/>
  <c r="K1231"/>
  <c r="K1159"/>
  <c r="K1087"/>
  <c r="K1015"/>
  <c r="K943"/>
  <c r="K871"/>
  <c r="K799"/>
  <c r="K727"/>
  <c r="K655"/>
  <c r="K583"/>
  <c r="K511"/>
  <c r="K439"/>
  <c r="K367"/>
  <c r="K295"/>
  <c r="K223"/>
  <c r="L1796"/>
  <c r="K1724"/>
  <c r="L1652"/>
  <c r="K1568"/>
  <c r="K1496"/>
  <c r="K1424"/>
  <c r="K1352"/>
  <c r="K1268"/>
  <c r="K1184"/>
  <c r="L1112"/>
  <c r="K1040"/>
  <c r="K968"/>
  <c r="K896"/>
  <c r="L824"/>
  <c r="K752"/>
  <c r="K680"/>
  <c r="K608"/>
  <c r="K1545"/>
  <c r="K1473"/>
  <c r="K1401"/>
  <c r="K1329"/>
  <c r="K1257"/>
  <c r="K1173"/>
  <c r="K1101"/>
  <c r="K1029"/>
  <c r="K957"/>
  <c r="K885"/>
  <c r="K813"/>
  <c r="K741"/>
  <c r="K669"/>
  <c r="K1726"/>
  <c r="K1654"/>
  <c r="K1582"/>
  <c r="K1510"/>
  <c r="L2795"/>
  <c r="K2"/>
  <c r="L1890"/>
  <c r="L2642"/>
  <c r="L3123"/>
  <c r="L2331"/>
  <c r="L1575"/>
  <c r="K3518"/>
  <c r="K3303"/>
  <c r="L2343"/>
  <c r="K1299"/>
  <c r="L3614"/>
  <c r="K3462"/>
  <c r="K3030"/>
  <c r="K2598"/>
  <c r="K2166"/>
  <c r="K1722"/>
  <c r="K1266"/>
  <c r="K3715"/>
  <c r="K3386"/>
  <c r="K3596"/>
  <c r="K3164"/>
  <c r="K2732"/>
  <c r="K2300"/>
  <c r="K1868"/>
  <c r="L3309"/>
  <c r="L2877"/>
  <c r="L2445"/>
  <c r="K2205"/>
  <c r="K2061"/>
  <c r="K1917"/>
  <c r="K1773"/>
  <c r="K1629"/>
  <c r="K3670"/>
  <c r="K3526"/>
  <c r="K3382"/>
  <c r="K3238"/>
  <c r="K3094"/>
  <c r="K2938"/>
  <c r="K2782"/>
  <c r="K2638"/>
  <c r="K2482"/>
  <c r="K2326"/>
  <c r="K2182"/>
  <c r="K2026"/>
  <c r="K1882"/>
  <c r="K2147"/>
  <c r="K3575"/>
  <c r="K3419"/>
  <c r="K3263"/>
  <c r="K3107"/>
  <c r="K2951"/>
  <c r="K2807"/>
  <c r="K2651"/>
  <c r="K2495"/>
  <c r="K2339"/>
  <c r="K2195"/>
  <c r="K2039"/>
  <c r="K1895"/>
  <c r="K1751"/>
  <c r="K1607"/>
  <c r="K3720"/>
  <c r="K3564"/>
  <c r="K3408"/>
  <c r="K3252"/>
  <c r="K3096"/>
  <c r="K2952"/>
  <c r="K2808"/>
  <c r="K2664"/>
  <c r="K2520"/>
  <c r="K2388"/>
  <c r="K2256"/>
  <c r="L3011"/>
  <c r="L14"/>
  <c r="K3257"/>
  <c r="K2702"/>
  <c r="K3135"/>
  <c r="K2355"/>
  <c r="K1587"/>
  <c r="L3518"/>
  <c r="L3303"/>
  <c r="K2343"/>
  <c r="L1299"/>
  <c r="K3614"/>
  <c r="L3462"/>
  <c r="L3030"/>
  <c r="L2598"/>
  <c r="L2166"/>
  <c r="L1722"/>
  <c r="L1266"/>
  <c r="L3715"/>
  <c r="L3386"/>
  <c r="L3596"/>
  <c r="L3164"/>
  <c r="L2732"/>
  <c r="L2300"/>
  <c r="L1868"/>
  <c r="K3321"/>
  <c r="K2889"/>
  <c r="K2457"/>
  <c r="L2205"/>
  <c r="L2061"/>
  <c r="L1917"/>
  <c r="L1773"/>
  <c r="L1629"/>
  <c r="L3670"/>
  <c r="L3526"/>
  <c r="L3382"/>
  <c r="L3238"/>
  <c r="L3094"/>
  <c r="L2938"/>
  <c r="L2782"/>
  <c r="L2638"/>
  <c r="L2482"/>
  <c r="L2326"/>
  <c r="L2182"/>
  <c r="L2026"/>
  <c r="L1882"/>
  <c r="K3312"/>
  <c r="L3575"/>
  <c r="L3419"/>
  <c r="L3263"/>
  <c r="L3107"/>
  <c r="L2951"/>
  <c r="L2807"/>
  <c r="L2651"/>
  <c r="L2495"/>
  <c r="L2339"/>
  <c r="L2195"/>
  <c r="L2039"/>
  <c r="L1895"/>
  <c r="L1751"/>
  <c r="L1607"/>
  <c r="L3720"/>
  <c r="L3564"/>
  <c r="L3408"/>
  <c r="L3252"/>
  <c r="L3096"/>
  <c r="L2952"/>
  <c r="L2808"/>
  <c r="L2664"/>
  <c r="L2520"/>
  <c r="K2400"/>
  <c r="K2268"/>
  <c r="L177"/>
  <c r="L146"/>
  <c r="L15"/>
  <c r="K2954"/>
  <c r="L3255"/>
  <c r="L2451"/>
  <c r="L1671"/>
  <c r="L3592"/>
  <c r="K3459"/>
  <c r="K2511"/>
  <c r="K1455"/>
  <c r="L3449"/>
  <c r="K3534"/>
  <c r="K3102"/>
  <c r="K2670"/>
  <c r="K2238"/>
  <c r="K1794"/>
  <c r="K1338"/>
  <c r="K2738"/>
  <c r="L3650"/>
  <c r="K3668"/>
  <c r="K3236"/>
  <c r="K2804"/>
  <c r="L2372"/>
  <c r="K1940"/>
  <c r="L3381"/>
  <c r="K2949"/>
  <c r="L2517"/>
  <c r="K2217"/>
  <c r="K2073"/>
  <c r="K1929"/>
  <c r="K1785"/>
  <c r="K1641"/>
  <c r="K3682"/>
  <c r="K3538"/>
  <c r="K3394"/>
  <c r="K3250"/>
  <c r="K3106"/>
  <c r="K2950"/>
  <c r="K2806"/>
  <c r="K2650"/>
  <c r="K2494"/>
  <c r="K2338"/>
  <c r="K2194"/>
  <c r="K2038"/>
  <c r="K1894"/>
  <c r="K1750"/>
  <c r="K3587"/>
  <c r="K3431"/>
  <c r="K3275"/>
  <c r="K3119"/>
  <c r="K2963"/>
  <c r="K2819"/>
  <c r="K2663"/>
  <c r="K2507"/>
  <c r="K2351"/>
  <c r="K2207"/>
  <c r="K2051"/>
  <c r="K1907"/>
  <c r="K1763"/>
  <c r="K1619"/>
  <c r="K2362"/>
  <c r="K3576"/>
  <c r="K3420"/>
  <c r="K3264"/>
  <c r="K3108"/>
  <c r="K2964"/>
  <c r="K2820"/>
  <c r="K2676"/>
  <c r="K2532"/>
  <c r="L2400"/>
  <c r="L2292"/>
  <c r="L201"/>
  <c r="L158"/>
  <c r="L27"/>
  <c r="K2990"/>
  <c r="K3267"/>
  <c r="K2475"/>
  <c r="K1683"/>
  <c r="K3604"/>
  <c r="L3459"/>
  <c r="L2511"/>
  <c r="L1455"/>
  <c r="K3449"/>
  <c r="L3534"/>
  <c r="L3102"/>
  <c r="L2670"/>
  <c r="L2238"/>
  <c r="L1794"/>
  <c r="L1338"/>
  <c r="L2738"/>
  <c r="K3650"/>
  <c r="L3668"/>
  <c r="L3236"/>
  <c r="L2804"/>
  <c r="K2372"/>
  <c r="L1940"/>
  <c r="K3393"/>
  <c r="K2961"/>
  <c r="K2529"/>
  <c r="L2229"/>
  <c r="K2085"/>
  <c r="L1941"/>
  <c r="K1797"/>
  <c r="K1653"/>
  <c r="L3694"/>
  <c r="L3550"/>
  <c r="L3406"/>
  <c r="L3262"/>
  <c r="L3118"/>
  <c r="L2962"/>
  <c r="L2818"/>
  <c r="L2662"/>
  <c r="L2506"/>
  <c r="L2350"/>
  <c r="L2206"/>
  <c r="L2050"/>
  <c r="L1906"/>
  <c r="L1762"/>
  <c r="L3611"/>
  <c r="L3443"/>
  <c r="L3287"/>
  <c r="L3131"/>
  <c r="L2975"/>
  <c r="L2831"/>
  <c r="L2675"/>
  <c r="L2519"/>
  <c r="L2375"/>
  <c r="L2219"/>
  <c r="L2063"/>
  <c r="K1919"/>
  <c r="L1775"/>
  <c r="K1631"/>
  <c r="K1487"/>
  <c r="L3588"/>
  <c r="L3432"/>
  <c r="L3276"/>
  <c r="L3120"/>
  <c r="L2976"/>
  <c r="K2832"/>
  <c r="L2688"/>
  <c r="K2544"/>
  <c r="K2412"/>
  <c r="K2304"/>
  <c r="L2794"/>
  <c r="L314"/>
  <c r="L159"/>
  <c r="L3230"/>
  <c r="L3387"/>
  <c r="L2583"/>
  <c r="K1803"/>
  <c r="L3664"/>
  <c r="L3615"/>
  <c r="L2667"/>
  <c r="K1719"/>
  <c r="K3521"/>
  <c r="K3606"/>
  <c r="K3174"/>
  <c r="K2742"/>
  <c r="K2310"/>
  <c r="K1866"/>
  <c r="K1410"/>
  <c r="K3266"/>
  <c r="K3427"/>
  <c r="L2342"/>
  <c r="K3308"/>
  <c r="K2876"/>
  <c r="K2444"/>
  <c r="K2012"/>
  <c r="L3453"/>
  <c r="L3021"/>
  <c r="L2589"/>
  <c r="K2241"/>
  <c r="K2097"/>
  <c r="K1953"/>
  <c r="K1809"/>
  <c r="K1665"/>
  <c r="K3706"/>
  <c r="K3562"/>
  <c r="K3418"/>
  <c r="K3274"/>
  <c r="K3130"/>
  <c r="K2974"/>
  <c r="K2830"/>
  <c r="K2674"/>
  <c r="K2518"/>
  <c r="K2374"/>
  <c r="K2218"/>
  <c r="K2062"/>
  <c r="K1918"/>
  <c r="K1774"/>
  <c r="K3623"/>
  <c r="K3467"/>
  <c r="K3299"/>
  <c r="K3143"/>
  <c r="K2987"/>
  <c r="K2843"/>
  <c r="K2687"/>
  <c r="K2531"/>
  <c r="K2387"/>
  <c r="K2231"/>
  <c r="K2075"/>
  <c r="K1931"/>
  <c r="K1787"/>
  <c r="K1643"/>
  <c r="K1499"/>
  <c r="K3612"/>
  <c r="K3444"/>
  <c r="K3288"/>
  <c r="K3132"/>
  <c r="K2988"/>
  <c r="K2844"/>
  <c r="K2700"/>
  <c r="K2556"/>
  <c r="K2436"/>
  <c r="L2304"/>
  <c r="L2196"/>
  <c r="K2124"/>
  <c r="K2052"/>
  <c r="K1980"/>
  <c r="K1908"/>
  <c r="K1836"/>
  <c r="K1764"/>
  <c r="K1692"/>
  <c r="K1620"/>
  <c r="K1548"/>
  <c r="K1476"/>
  <c r="K1404"/>
  <c r="K1332"/>
  <c r="K1260"/>
  <c r="K1188"/>
  <c r="K1116"/>
  <c r="K1044"/>
  <c r="K972"/>
  <c r="K900"/>
  <c r="K828"/>
  <c r="L3673"/>
  <c r="L3601"/>
  <c r="L3529"/>
  <c r="L3457"/>
  <c r="L3385"/>
  <c r="L3313"/>
  <c r="L3241"/>
  <c r="L3169"/>
  <c r="L3097"/>
  <c r="L3025"/>
  <c r="L2953"/>
  <c r="L2881"/>
  <c r="L2809"/>
  <c r="L2737"/>
  <c r="L2665"/>
  <c r="L2593"/>
  <c r="L2521"/>
  <c r="L2449"/>
  <c r="L2377"/>
  <c r="L2305"/>
  <c r="L2233"/>
  <c r="L2161"/>
  <c r="L2089"/>
  <c r="L2017"/>
  <c r="L1945"/>
  <c r="L1873"/>
  <c r="L1801"/>
  <c r="L1729"/>
  <c r="K1657"/>
  <c r="K1585"/>
  <c r="K1513"/>
  <c r="K1441"/>
  <c r="K1369"/>
  <c r="K1297"/>
  <c r="K1225"/>
  <c r="K1153"/>
  <c r="K1081"/>
  <c r="K1009"/>
  <c r="K3353"/>
  <c r="K3281"/>
  <c r="L3197"/>
  <c r="K3125"/>
  <c r="L3053"/>
  <c r="L2981"/>
  <c r="L2909"/>
  <c r="L2837"/>
  <c r="L2765"/>
  <c r="L2693"/>
  <c r="L2621"/>
  <c r="L2549"/>
  <c r="L2477"/>
  <c r="L2405"/>
  <c r="L2333"/>
  <c r="L2261"/>
  <c r="L2189"/>
  <c r="L2117"/>
  <c r="L2045"/>
  <c r="L1973"/>
  <c r="L1901"/>
  <c r="L1829"/>
  <c r="L1757"/>
  <c r="L1685"/>
  <c r="L1613"/>
  <c r="L1541"/>
  <c r="L1469"/>
  <c r="L1567"/>
  <c r="K1014"/>
  <c r="K942"/>
  <c r="K870"/>
  <c r="K798"/>
  <c r="K726"/>
  <c r="K654"/>
  <c r="K582"/>
  <c r="K510"/>
  <c r="K438"/>
  <c r="K366"/>
  <c r="K294"/>
  <c r="K222"/>
  <c r="K150"/>
  <c r="K78"/>
  <c r="L3379"/>
  <c r="L3307"/>
  <c r="L3235"/>
  <c r="L3163"/>
  <c r="L3091"/>
  <c r="L3019"/>
  <c r="L2947"/>
  <c r="L2875"/>
  <c r="L2803"/>
  <c r="L2731"/>
  <c r="L2659"/>
  <c r="L2587"/>
  <c r="L2515"/>
  <c r="L2443"/>
  <c r="L2371"/>
  <c r="L2299"/>
  <c r="L2227"/>
  <c r="L2155"/>
  <c r="L2083"/>
  <c r="L1999"/>
  <c r="L1903"/>
  <c r="L1807"/>
  <c r="L1711"/>
  <c r="L1627"/>
  <c r="L1543"/>
  <c r="L1471"/>
  <c r="L1399"/>
  <c r="L1327"/>
  <c r="L1255"/>
  <c r="L1183"/>
  <c r="L1111"/>
  <c r="L1039"/>
  <c r="L967"/>
  <c r="L895"/>
  <c r="L823"/>
  <c r="L751"/>
  <c r="L679"/>
  <c r="L607"/>
  <c r="L535"/>
  <c r="L463"/>
  <c r="L391"/>
  <c r="L319"/>
  <c r="L247"/>
  <c r="L1820"/>
  <c r="L1748"/>
  <c r="L1676"/>
  <c r="L1592"/>
  <c r="L1520"/>
  <c r="L1448"/>
  <c r="L1376"/>
  <c r="K1292"/>
  <c r="L1208"/>
  <c r="L1136"/>
  <c r="L1064"/>
  <c r="L992"/>
  <c r="L920"/>
  <c r="L848"/>
  <c r="L776"/>
  <c r="L704"/>
  <c r="L632"/>
  <c r="L560"/>
  <c r="L1497"/>
  <c r="L1425"/>
  <c r="L1353"/>
  <c r="L1281"/>
  <c r="L1197"/>
  <c r="L1125"/>
  <c r="L1053"/>
  <c r="L981"/>
  <c r="L909"/>
  <c r="L837"/>
  <c r="L765"/>
  <c r="L693"/>
  <c r="L621"/>
  <c r="L1678"/>
  <c r="L1606"/>
  <c r="L1534"/>
  <c r="L3010"/>
  <c r="L338"/>
  <c r="L171"/>
  <c r="K3278"/>
  <c r="K3399"/>
  <c r="K2607"/>
  <c r="K1827"/>
  <c r="K3676"/>
  <c r="K3615"/>
  <c r="K2667"/>
  <c r="L1719"/>
  <c r="L3521"/>
  <c r="L3606"/>
  <c r="L3174"/>
  <c r="L2742"/>
  <c r="L2310"/>
  <c r="L1866"/>
  <c r="L1410"/>
  <c r="L3266"/>
  <c r="L3427"/>
  <c r="K2342"/>
  <c r="L3308"/>
  <c r="L2876"/>
  <c r="L2444"/>
  <c r="L2012"/>
  <c r="K3465"/>
  <c r="K3033"/>
  <c r="K2601"/>
  <c r="K2277"/>
  <c r="L2121"/>
  <c r="L1977"/>
  <c r="L1833"/>
  <c r="L1689"/>
  <c r="K3311"/>
  <c r="L3586"/>
  <c r="K3442"/>
  <c r="L3298"/>
  <c r="L3154"/>
  <c r="L2998"/>
  <c r="L2854"/>
  <c r="L2698"/>
  <c r="L2542"/>
  <c r="L2398"/>
  <c r="L2242"/>
  <c r="L2086"/>
  <c r="L1942"/>
  <c r="L1798"/>
  <c r="L3647"/>
  <c r="L3491"/>
  <c r="L3335"/>
  <c r="L3179"/>
  <c r="L3023"/>
  <c r="L2867"/>
  <c r="L2711"/>
  <c r="L2555"/>
  <c r="L2411"/>
  <c r="L2255"/>
  <c r="L2099"/>
  <c r="L1955"/>
  <c r="L1811"/>
  <c r="K1667"/>
  <c r="K1523"/>
  <c r="L3636"/>
  <c r="L3480"/>
  <c r="L3324"/>
  <c r="L3156"/>
  <c r="K3012"/>
  <c r="L2868"/>
  <c r="K2724"/>
  <c r="L2580"/>
  <c r="K2448"/>
  <c r="K2316"/>
  <c r="K2208"/>
  <c r="L2124"/>
  <c r="L2052"/>
  <c r="L1980"/>
  <c r="L1908"/>
  <c r="L1836"/>
  <c r="L1764"/>
  <c r="L1692"/>
  <c r="L1620"/>
  <c r="L1548"/>
  <c r="L1476"/>
  <c r="L1404"/>
  <c r="L1332"/>
  <c r="L1260"/>
  <c r="L1188"/>
  <c r="L1116"/>
  <c r="L1044"/>
  <c r="L972"/>
  <c r="L900"/>
  <c r="L828"/>
  <c r="K3685"/>
  <c r="K3613"/>
  <c r="K3541"/>
  <c r="K3469"/>
  <c r="K3397"/>
  <c r="K3325"/>
  <c r="K3253"/>
  <c r="K3181"/>
  <c r="K3109"/>
  <c r="K3037"/>
  <c r="K2965"/>
  <c r="K2893"/>
  <c r="K2821"/>
  <c r="K2749"/>
  <c r="K2677"/>
  <c r="K2605"/>
  <c r="K2533"/>
  <c r="K2461"/>
  <c r="K2389"/>
  <c r="K2317"/>
  <c r="K2245"/>
  <c r="K2173"/>
  <c r="K2101"/>
  <c r="K2029"/>
  <c r="K1957"/>
  <c r="K1885"/>
  <c r="K1813"/>
  <c r="K1741"/>
  <c r="K1669"/>
  <c r="K1597"/>
  <c r="K1525"/>
  <c r="K1453"/>
  <c r="K1381"/>
  <c r="K1309"/>
  <c r="K1237"/>
  <c r="K1165"/>
  <c r="K1093"/>
  <c r="K1021"/>
  <c r="L3365"/>
  <c r="K3293"/>
  <c r="L3209"/>
  <c r="L3137"/>
  <c r="K3065"/>
  <c r="K2993"/>
  <c r="K2921"/>
  <c r="K2849"/>
  <c r="K2777"/>
  <c r="K2705"/>
  <c r="K2633"/>
  <c r="K2561"/>
  <c r="K2489"/>
  <c r="K2417"/>
  <c r="K2345"/>
  <c r="K2273"/>
  <c r="K2201"/>
  <c r="K2129"/>
  <c r="K2057"/>
  <c r="K1985"/>
  <c r="K1913"/>
  <c r="K1841"/>
  <c r="K1769"/>
  <c r="K1697"/>
  <c r="K1625"/>
  <c r="K1553"/>
  <c r="K1481"/>
  <c r="K1409"/>
  <c r="L1014"/>
  <c r="L942"/>
  <c r="L870"/>
  <c r="L798"/>
  <c r="L726"/>
  <c r="L654"/>
  <c r="L582"/>
  <c r="L510"/>
  <c r="L438"/>
  <c r="L366"/>
  <c r="L294"/>
  <c r="L222"/>
  <c r="L150"/>
  <c r="L78"/>
  <c r="L1910"/>
  <c r="K3319"/>
  <c r="K3247"/>
  <c r="K3175"/>
  <c r="K3103"/>
  <c r="K3031"/>
  <c r="K2959"/>
  <c r="K2887"/>
  <c r="K2815"/>
  <c r="K2743"/>
  <c r="K2671"/>
  <c r="K2599"/>
  <c r="K2527"/>
  <c r="K2455"/>
  <c r="K2383"/>
  <c r="K2311"/>
  <c r="K2239"/>
  <c r="K2167"/>
  <c r="K2095"/>
  <c r="K2011"/>
  <c r="K1915"/>
  <c r="K1819"/>
  <c r="K1723"/>
  <c r="L1639"/>
  <c r="K1555"/>
  <c r="K1483"/>
  <c r="K1411"/>
  <c r="K1339"/>
  <c r="K1267"/>
  <c r="K1195"/>
  <c r="K1123"/>
  <c r="K1051"/>
  <c r="K979"/>
  <c r="K907"/>
  <c r="K835"/>
  <c r="K763"/>
  <c r="K691"/>
  <c r="K619"/>
  <c r="K547"/>
  <c r="K475"/>
  <c r="K403"/>
  <c r="K331"/>
  <c r="K259"/>
  <c r="K1832"/>
  <c r="K1760"/>
  <c r="K1688"/>
  <c r="K1604"/>
  <c r="K1532"/>
  <c r="K1460"/>
  <c r="K1388"/>
  <c r="K1304"/>
  <c r="K1232"/>
  <c r="K1148"/>
  <c r="L1076"/>
  <c r="L1004"/>
  <c r="L932"/>
  <c r="K860"/>
  <c r="L788"/>
  <c r="L716"/>
  <c r="L644"/>
  <c r="K572"/>
  <c r="L1509"/>
  <c r="K1437"/>
  <c r="K1365"/>
  <c r="L1293"/>
  <c r="K1209"/>
  <c r="K1137"/>
  <c r="K1065"/>
  <c r="K993"/>
  <c r="K921"/>
  <c r="K849"/>
  <c r="L2715"/>
  <c r="L3593"/>
  <c r="K1482"/>
  <c r="K2516"/>
  <c r="K2133"/>
  <c r="K3454"/>
  <c r="K2554"/>
  <c r="K3659"/>
  <c r="K2723"/>
  <c r="K1823"/>
  <c r="K3180"/>
  <c r="L2328"/>
  <c r="K2100"/>
  <c r="K1956"/>
  <c r="K1812"/>
  <c r="K1668"/>
  <c r="K1524"/>
  <c r="K1380"/>
  <c r="K1236"/>
  <c r="K1092"/>
  <c r="K948"/>
  <c r="L3721"/>
  <c r="L3577"/>
  <c r="L3433"/>
  <c r="L3289"/>
  <c r="L3145"/>
  <c r="L3001"/>
  <c r="L2857"/>
  <c r="L2713"/>
  <c r="L2569"/>
  <c r="L2425"/>
  <c r="L2281"/>
  <c r="L2137"/>
  <c r="L1993"/>
  <c r="L1849"/>
  <c r="L1705"/>
  <c r="L1561"/>
  <c r="L1417"/>
  <c r="L1273"/>
  <c r="L1129"/>
  <c r="K3401"/>
  <c r="L3245"/>
  <c r="L3101"/>
  <c r="L2957"/>
  <c r="L2813"/>
  <c r="L2669"/>
  <c r="L2525"/>
  <c r="L2381"/>
  <c r="L2237"/>
  <c r="L2093"/>
  <c r="L1949"/>
  <c r="L1805"/>
  <c r="L1661"/>
  <c r="L1517"/>
  <c r="K1062"/>
  <c r="K918"/>
  <c r="K774"/>
  <c r="K630"/>
  <c r="K486"/>
  <c r="K342"/>
  <c r="K198"/>
  <c r="K54"/>
  <c r="L3283"/>
  <c r="L3139"/>
  <c r="L2995"/>
  <c r="L2851"/>
  <c r="L2707"/>
  <c r="L2563"/>
  <c r="L2419"/>
  <c r="L2275"/>
  <c r="L2131"/>
  <c r="L1963"/>
  <c r="L1771"/>
  <c r="L1603"/>
  <c r="L1447"/>
  <c r="L1303"/>
  <c r="L1159"/>
  <c r="L1015"/>
  <c r="L871"/>
  <c r="L727"/>
  <c r="L583"/>
  <c r="L439"/>
  <c r="L295"/>
  <c r="K1796"/>
  <c r="K1652"/>
  <c r="L1496"/>
  <c r="L1352"/>
  <c r="L1184"/>
  <c r="L1040"/>
  <c r="L896"/>
  <c r="L752"/>
  <c r="L608"/>
  <c r="L1473"/>
  <c r="L1329"/>
  <c r="L1173"/>
  <c r="L1029"/>
  <c r="L885"/>
  <c r="K753"/>
  <c r="K621"/>
  <c r="L1618"/>
  <c r="L1510"/>
  <c r="K1402"/>
  <c r="K1306"/>
  <c r="K1222"/>
  <c r="K1114"/>
  <c r="K1018"/>
  <c r="K934"/>
  <c r="L850"/>
  <c r="L1451"/>
  <c r="L1379"/>
  <c r="L1307"/>
  <c r="L1235"/>
  <c r="L1163"/>
  <c r="L1091"/>
  <c r="L1019"/>
  <c r="L947"/>
  <c r="K863"/>
  <c r="K791"/>
  <c r="K719"/>
  <c r="K647"/>
  <c r="K575"/>
  <c r="L804"/>
  <c r="L732"/>
  <c r="L660"/>
  <c r="L588"/>
  <c r="L516"/>
  <c r="L444"/>
  <c r="L372"/>
  <c r="L300"/>
  <c r="L228"/>
  <c r="L156"/>
  <c r="L84"/>
  <c r="L12"/>
  <c r="L949"/>
  <c r="L877"/>
  <c r="L805"/>
  <c r="L733"/>
  <c r="L661"/>
  <c r="L589"/>
  <c r="L517"/>
  <c r="L445"/>
  <c r="L373"/>
  <c r="L301"/>
  <c r="L229"/>
  <c r="L157"/>
  <c r="L85"/>
  <c r="L13"/>
  <c r="K2222"/>
  <c r="K2150"/>
  <c r="K2078"/>
  <c r="K2006"/>
  <c r="K1934"/>
  <c r="K1850"/>
  <c r="K1778"/>
  <c r="K1706"/>
  <c r="K1634"/>
  <c r="K1562"/>
  <c r="K1490"/>
  <c r="K1418"/>
  <c r="K1346"/>
  <c r="K1274"/>
  <c r="K1202"/>
  <c r="L1118"/>
  <c r="K199"/>
  <c r="K115"/>
  <c r="K43"/>
  <c r="K548"/>
  <c r="K476"/>
  <c r="K404"/>
  <c r="K320"/>
  <c r="L248"/>
  <c r="K176"/>
  <c r="L585"/>
  <c r="L513"/>
  <c r="L441"/>
  <c r="L369"/>
  <c r="K986"/>
  <c r="K754"/>
  <c r="K682"/>
  <c r="K610"/>
  <c r="K526"/>
  <c r="K454"/>
  <c r="K382"/>
  <c r="K310"/>
  <c r="L226"/>
  <c r="L154"/>
  <c r="L82"/>
  <c r="K10"/>
  <c r="K479"/>
  <c r="L407"/>
  <c r="K335"/>
  <c r="L251"/>
  <c r="L179"/>
  <c r="L107"/>
  <c r="L35"/>
  <c r="K1070"/>
  <c r="K902"/>
  <c r="K734"/>
  <c r="K590"/>
  <c r="K422"/>
  <c r="K278"/>
  <c r="K1095"/>
  <c r="K927"/>
  <c r="K783"/>
  <c r="K615"/>
  <c r="K447"/>
  <c r="K303"/>
  <c r="K338"/>
  <c r="L3496"/>
  <c r="L3412"/>
  <c r="L3316"/>
  <c r="L3220"/>
  <c r="L3124"/>
  <c r="K3040"/>
  <c r="K2968"/>
  <c r="K2896"/>
  <c r="K2824"/>
  <c r="K2752"/>
  <c r="K2680"/>
  <c r="K2608"/>
  <c r="K2536"/>
  <c r="K2464"/>
  <c r="K2392"/>
  <c r="K2320"/>
  <c r="K2248"/>
  <c r="K2176"/>
  <c r="K2104"/>
  <c r="K2032"/>
  <c r="K1960"/>
  <c r="K1888"/>
  <c r="K1816"/>
  <c r="K1744"/>
  <c r="K1672"/>
  <c r="K1600"/>
  <c r="K1528"/>
  <c r="K1456"/>
  <c r="K1384"/>
  <c r="K1300"/>
  <c r="K1228"/>
  <c r="K1156"/>
  <c r="K1084"/>
  <c r="K1012"/>
  <c r="K940"/>
  <c r="K868"/>
  <c r="K796"/>
  <c r="K724"/>
  <c r="K652"/>
  <c r="K580"/>
  <c r="K508"/>
  <c r="K436"/>
  <c r="K627"/>
  <c r="K1361"/>
  <c r="K1289"/>
  <c r="K1217"/>
  <c r="K1145"/>
  <c r="K1073"/>
  <c r="K1001"/>
  <c r="K929"/>
  <c r="K857"/>
  <c r="K785"/>
  <c r="K713"/>
  <c r="K641"/>
  <c r="K569"/>
  <c r="K497"/>
  <c r="K425"/>
  <c r="K353"/>
  <c r="K201"/>
  <c r="K2739"/>
  <c r="K3593"/>
  <c r="L1482"/>
  <c r="L2516"/>
  <c r="L2133"/>
  <c r="L3454"/>
  <c r="L2554"/>
  <c r="L3659"/>
  <c r="L2723"/>
  <c r="L1823"/>
  <c r="L3180"/>
  <c r="K2328"/>
  <c r="L2100"/>
  <c r="L1956"/>
  <c r="L1812"/>
  <c r="L1668"/>
  <c r="L1524"/>
  <c r="L1380"/>
  <c r="L1236"/>
  <c r="L1092"/>
  <c r="L948"/>
  <c r="L1566"/>
  <c r="K3589"/>
  <c r="K3445"/>
  <c r="K3301"/>
  <c r="K3157"/>
  <c r="L3013"/>
  <c r="K2869"/>
  <c r="L2725"/>
  <c r="K2581"/>
  <c r="L2437"/>
  <c r="K2293"/>
  <c r="L2149"/>
  <c r="K2005"/>
  <c r="L1861"/>
  <c r="K1717"/>
  <c r="L1573"/>
  <c r="L1429"/>
  <c r="L1285"/>
  <c r="L1141"/>
  <c r="K2578"/>
  <c r="L3269"/>
  <c r="L3113"/>
  <c r="K2969"/>
  <c r="K2825"/>
  <c r="K2681"/>
  <c r="K2537"/>
  <c r="K2393"/>
  <c r="K2249"/>
  <c r="K2105"/>
  <c r="K1961"/>
  <c r="K1817"/>
  <c r="K1673"/>
  <c r="K1529"/>
  <c r="L1062"/>
  <c r="L918"/>
  <c r="L774"/>
  <c r="L630"/>
  <c r="L486"/>
  <c r="L342"/>
  <c r="L198"/>
  <c r="L54"/>
  <c r="K3295"/>
  <c r="K3151"/>
  <c r="K3007"/>
  <c r="K2863"/>
  <c r="K2719"/>
  <c r="K2575"/>
  <c r="L2431"/>
  <c r="K2287"/>
  <c r="L2143"/>
  <c r="K1975"/>
  <c r="K1783"/>
  <c r="K1615"/>
  <c r="L1459"/>
  <c r="L1315"/>
  <c r="L1171"/>
  <c r="K1027"/>
  <c r="L883"/>
  <c r="K739"/>
  <c r="L595"/>
  <c r="K451"/>
  <c r="L307"/>
  <c r="K1808"/>
  <c r="K1664"/>
  <c r="L1508"/>
  <c r="K1364"/>
  <c r="K1196"/>
  <c r="K1052"/>
  <c r="K908"/>
  <c r="K764"/>
  <c r="K620"/>
  <c r="K1485"/>
  <c r="K1341"/>
  <c r="K1185"/>
  <c r="K1041"/>
  <c r="K897"/>
  <c r="L753"/>
  <c r="K633"/>
  <c r="L1630"/>
  <c r="L1522"/>
  <c r="L1402"/>
  <c r="K1318"/>
  <c r="L1222"/>
  <c r="L1114"/>
  <c r="K1030"/>
  <c r="L934"/>
  <c r="K850"/>
  <c r="K1451"/>
  <c r="K1379"/>
  <c r="K1307"/>
  <c r="K1235"/>
  <c r="K1163"/>
  <c r="K1091"/>
  <c r="K1019"/>
  <c r="K947"/>
  <c r="L863"/>
  <c r="L791"/>
  <c r="L719"/>
  <c r="L647"/>
  <c r="L575"/>
  <c r="L816"/>
  <c r="L744"/>
  <c r="L672"/>
  <c r="L600"/>
  <c r="L528"/>
  <c r="L456"/>
  <c r="L384"/>
  <c r="L312"/>
  <c r="L240"/>
  <c r="L168"/>
  <c r="L96"/>
  <c r="L24"/>
  <c r="L961"/>
  <c r="L889"/>
  <c r="L817"/>
  <c r="L745"/>
  <c r="L673"/>
  <c r="L601"/>
  <c r="L529"/>
  <c r="L457"/>
  <c r="L385"/>
  <c r="L313"/>
  <c r="L241"/>
  <c r="L169"/>
  <c r="L97"/>
  <c r="L25"/>
  <c r="L2222"/>
  <c r="L2150"/>
  <c r="L2078"/>
  <c r="L2006"/>
  <c r="L1934"/>
  <c r="L1850"/>
  <c r="L1778"/>
  <c r="L1706"/>
  <c r="L1634"/>
  <c r="L1562"/>
  <c r="L1490"/>
  <c r="L1418"/>
  <c r="L1346"/>
  <c r="L1274"/>
  <c r="L1202"/>
  <c r="K1118"/>
  <c r="L199"/>
  <c r="L115"/>
  <c r="L43"/>
  <c r="L548"/>
  <c r="L476"/>
  <c r="L404"/>
  <c r="L320"/>
  <c r="K248"/>
  <c r="L176"/>
  <c r="K597"/>
  <c r="K525"/>
  <c r="K453"/>
  <c r="K381"/>
  <c r="K297"/>
  <c r="L754"/>
  <c r="L682"/>
  <c r="L610"/>
  <c r="L526"/>
  <c r="L454"/>
  <c r="L382"/>
  <c r="L310"/>
  <c r="K226"/>
  <c r="K154"/>
  <c r="K82"/>
  <c r="L10"/>
  <c r="K491"/>
  <c r="L419"/>
  <c r="K347"/>
  <c r="K263"/>
  <c r="L191"/>
  <c r="K119"/>
  <c r="L47"/>
  <c r="L1070"/>
  <c r="L902"/>
  <c r="L734"/>
  <c r="L590"/>
  <c r="L422"/>
  <c r="L278"/>
  <c r="L1095"/>
  <c r="L927"/>
  <c r="L783"/>
  <c r="L615"/>
  <c r="L447"/>
  <c r="L303"/>
  <c r="K482"/>
  <c r="K3496"/>
  <c r="K3412"/>
  <c r="K3316"/>
  <c r="K3220"/>
  <c r="K3124"/>
  <c r="L3040"/>
  <c r="L2968"/>
  <c r="L2896"/>
  <c r="L2824"/>
  <c r="L2752"/>
  <c r="L2680"/>
  <c r="L2608"/>
  <c r="L2536"/>
  <c r="L2464"/>
  <c r="L2392"/>
  <c r="L2320"/>
  <c r="L2248"/>
  <c r="L2176"/>
  <c r="L2104"/>
  <c r="L2032"/>
  <c r="L1960"/>
  <c r="L1888"/>
  <c r="L1816"/>
  <c r="L1744"/>
  <c r="L1672"/>
  <c r="L1600"/>
  <c r="L1528"/>
  <c r="L1456"/>
  <c r="L1384"/>
  <c r="L1300"/>
  <c r="L1228"/>
  <c r="L1156"/>
  <c r="L1084"/>
  <c r="L1012"/>
  <c r="L940"/>
  <c r="L868"/>
  <c r="L796"/>
  <c r="L724"/>
  <c r="L652"/>
  <c r="L580"/>
  <c r="L508"/>
  <c r="L436"/>
  <c r="K771"/>
  <c r="L1361"/>
  <c r="L1289"/>
  <c r="L1217"/>
  <c r="L1145"/>
  <c r="L1073"/>
  <c r="L1001"/>
  <c r="L929"/>
  <c r="L857"/>
  <c r="L785"/>
  <c r="L713"/>
  <c r="L641"/>
  <c r="L569"/>
  <c r="L497"/>
  <c r="L425"/>
  <c r="L353"/>
  <c r="K225"/>
  <c r="L3519"/>
  <c r="K1875"/>
  <c r="K1950"/>
  <c r="L2948"/>
  <c r="L2277"/>
  <c r="K3598"/>
  <c r="K2710"/>
  <c r="K1810"/>
  <c r="K2879"/>
  <c r="K1967"/>
  <c r="K3336"/>
  <c r="L2448"/>
  <c r="K2112"/>
  <c r="L1968"/>
  <c r="K1824"/>
  <c r="L1680"/>
  <c r="L1536"/>
  <c r="L1392"/>
  <c r="L1248"/>
  <c r="L1104"/>
  <c r="L960"/>
  <c r="K2363"/>
  <c r="L3589"/>
  <c r="L3445"/>
  <c r="L3301"/>
  <c r="L3157"/>
  <c r="K3013"/>
  <c r="L2869"/>
  <c r="K2725"/>
  <c r="L2581"/>
  <c r="K2437"/>
  <c r="L2293"/>
  <c r="K2149"/>
  <c r="L2005"/>
  <c r="K1861"/>
  <c r="L1717"/>
  <c r="K1573"/>
  <c r="K1429"/>
  <c r="K1285"/>
  <c r="K1141"/>
  <c r="K3599"/>
  <c r="K3269"/>
  <c r="K3113"/>
  <c r="L2969"/>
  <c r="L2825"/>
  <c r="L2681"/>
  <c r="L2537"/>
  <c r="L2393"/>
  <c r="L2249"/>
  <c r="L2105"/>
  <c r="L1961"/>
  <c r="L1817"/>
  <c r="L1673"/>
  <c r="L1529"/>
  <c r="K1074"/>
  <c r="K930"/>
  <c r="K786"/>
  <c r="K642"/>
  <c r="K498"/>
  <c r="K354"/>
  <c r="K210"/>
  <c r="K66"/>
  <c r="L3295"/>
  <c r="L3151"/>
  <c r="L3007"/>
  <c r="L2863"/>
  <c r="L2719"/>
  <c r="L2575"/>
  <c r="K2431"/>
  <c r="L2287"/>
  <c r="K2143"/>
  <c r="L1975"/>
  <c r="L1783"/>
  <c r="L1615"/>
  <c r="K1459"/>
  <c r="K1315"/>
  <c r="K1171"/>
  <c r="L1027"/>
  <c r="K883"/>
  <c r="L739"/>
  <c r="K595"/>
  <c r="L451"/>
  <c r="K307"/>
  <c r="L1808"/>
  <c r="L1664"/>
  <c r="K1508"/>
  <c r="L1364"/>
  <c r="L1196"/>
  <c r="L1052"/>
  <c r="L908"/>
  <c r="L764"/>
  <c r="L620"/>
  <c r="L1485"/>
  <c r="L1341"/>
  <c r="L1185"/>
  <c r="L1041"/>
  <c r="L897"/>
  <c r="K765"/>
  <c r="L633"/>
  <c r="L1654"/>
  <c r="K1522"/>
  <c r="K1414"/>
  <c r="L1318"/>
  <c r="L1234"/>
  <c r="K1126"/>
  <c r="L1030"/>
  <c r="L946"/>
  <c r="K862"/>
  <c r="K1463"/>
  <c r="K1391"/>
  <c r="K1319"/>
  <c r="K1247"/>
  <c r="K1175"/>
  <c r="K1103"/>
  <c r="K1031"/>
  <c r="K959"/>
  <c r="K887"/>
  <c r="L803"/>
  <c r="L731"/>
  <c r="L659"/>
  <c r="L587"/>
  <c r="K816"/>
  <c r="K744"/>
  <c r="K672"/>
  <c r="K600"/>
  <c r="K528"/>
  <c r="K456"/>
  <c r="K384"/>
  <c r="K312"/>
  <c r="K240"/>
  <c r="K168"/>
  <c r="K96"/>
  <c r="K24"/>
  <c r="K961"/>
  <c r="K889"/>
  <c r="K817"/>
  <c r="K745"/>
  <c r="K673"/>
  <c r="K601"/>
  <c r="K529"/>
  <c r="K457"/>
  <c r="K385"/>
  <c r="K313"/>
  <c r="K241"/>
  <c r="K169"/>
  <c r="K97"/>
  <c r="K25"/>
  <c r="K2234"/>
  <c r="K2162"/>
  <c r="L2090"/>
  <c r="K2018"/>
  <c r="K1946"/>
  <c r="K1862"/>
  <c r="K1790"/>
  <c r="K1718"/>
  <c r="K1646"/>
  <c r="K1574"/>
  <c r="K1502"/>
  <c r="K1430"/>
  <c r="K1358"/>
  <c r="K1286"/>
  <c r="K1214"/>
  <c r="K1130"/>
  <c r="L356"/>
  <c r="K139"/>
  <c r="K55"/>
  <c r="L6"/>
  <c r="K488"/>
  <c r="K416"/>
  <c r="K332"/>
  <c r="K260"/>
  <c r="K188"/>
  <c r="L597"/>
  <c r="L525"/>
  <c r="L453"/>
  <c r="L381"/>
  <c r="L297"/>
  <c r="L766"/>
  <c r="K694"/>
  <c r="L622"/>
  <c r="K538"/>
  <c r="K466"/>
  <c r="K394"/>
  <c r="K322"/>
  <c r="K238"/>
  <c r="K166"/>
  <c r="K94"/>
  <c r="K22"/>
  <c r="L491"/>
  <c r="K419"/>
  <c r="L347"/>
  <c r="L263"/>
  <c r="K191"/>
  <c r="L119"/>
  <c r="K47"/>
  <c r="K1094"/>
  <c r="K926"/>
  <c r="K782"/>
  <c r="K614"/>
  <c r="K446"/>
  <c r="K302"/>
  <c r="L1119"/>
  <c r="K951"/>
  <c r="K807"/>
  <c r="K639"/>
  <c r="K495"/>
  <c r="K327"/>
  <c r="K626"/>
  <c r="K3508"/>
  <c r="L3424"/>
  <c r="L3328"/>
  <c r="L3232"/>
  <c r="L3136"/>
  <c r="K3052"/>
  <c r="K2980"/>
  <c r="K2908"/>
  <c r="K2836"/>
  <c r="K2764"/>
  <c r="K2692"/>
  <c r="K2620"/>
  <c r="K2548"/>
  <c r="K2476"/>
  <c r="K2404"/>
  <c r="K2332"/>
  <c r="K3543"/>
  <c r="L1875"/>
  <c r="L1950"/>
  <c r="K2948"/>
  <c r="K2289"/>
  <c r="L3598"/>
  <c r="L2710"/>
  <c r="L1810"/>
  <c r="L2879"/>
  <c r="L1967"/>
  <c r="L3336"/>
  <c r="K2460"/>
  <c r="L2112"/>
  <c r="K1968"/>
  <c r="L1824"/>
  <c r="K1680"/>
  <c r="K1536"/>
  <c r="K1392"/>
  <c r="K1248"/>
  <c r="K1104"/>
  <c r="K960"/>
  <c r="K3456"/>
  <c r="K3601"/>
  <c r="K3457"/>
  <c r="K3313"/>
  <c r="K3169"/>
  <c r="K3025"/>
  <c r="K2881"/>
  <c r="K2737"/>
  <c r="K2593"/>
  <c r="K2449"/>
  <c r="K2305"/>
  <c r="K2161"/>
  <c r="K2017"/>
  <c r="K1873"/>
  <c r="K1729"/>
  <c r="L1585"/>
  <c r="L1441"/>
  <c r="L1297"/>
  <c r="L1153"/>
  <c r="L1009"/>
  <c r="L3281"/>
  <c r="L3125"/>
  <c r="K2981"/>
  <c r="K2837"/>
  <c r="K2693"/>
  <c r="K2549"/>
  <c r="K2405"/>
  <c r="K2261"/>
  <c r="K2117"/>
  <c r="K1973"/>
  <c r="K1829"/>
  <c r="K1685"/>
  <c r="K1541"/>
  <c r="L1074"/>
  <c r="L930"/>
  <c r="L786"/>
  <c r="L642"/>
  <c r="L498"/>
  <c r="L354"/>
  <c r="L210"/>
  <c r="L66"/>
  <c r="K3307"/>
  <c r="K3163"/>
  <c r="K3019"/>
  <c r="K2875"/>
  <c r="K2731"/>
  <c r="K2587"/>
  <c r="K2443"/>
  <c r="K2299"/>
  <c r="K2155"/>
  <c r="K1999"/>
  <c r="K1807"/>
  <c r="K1627"/>
  <c r="K1471"/>
  <c r="K1327"/>
  <c r="K1183"/>
  <c r="K1039"/>
  <c r="K895"/>
  <c r="K751"/>
  <c r="K607"/>
  <c r="K463"/>
  <c r="K319"/>
  <c r="K1820"/>
  <c r="K1676"/>
  <c r="K1520"/>
  <c r="K1376"/>
  <c r="K1208"/>
  <c r="K1064"/>
  <c r="K920"/>
  <c r="K776"/>
  <c r="K632"/>
  <c r="K1497"/>
  <c r="K1353"/>
  <c r="K1197"/>
  <c r="K1053"/>
  <c r="K909"/>
  <c r="K777"/>
  <c r="L645"/>
  <c r="K1666"/>
  <c r="K1534"/>
  <c r="K1438"/>
  <c r="K1330"/>
  <c r="K1234"/>
  <c r="K1150"/>
  <c r="K1042"/>
  <c r="K946"/>
  <c r="L862"/>
  <c r="L1463"/>
  <c r="L1391"/>
  <c r="L1319"/>
  <c r="L1247"/>
  <c r="L1175"/>
  <c r="L1103"/>
  <c r="L1031"/>
  <c r="L959"/>
  <c r="L887"/>
  <c r="K803"/>
  <c r="K731"/>
  <c r="K659"/>
  <c r="K587"/>
  <c r="K1316"/>
  <c r="K756"/>
  <c r="K684"/>
  <c r="K612"/>
  <c r="K540"/>
  <c r="K468"/>
  <c r="K396"/>
  <c r="K324"/>
  <c r="K252"/>
  <c r="K180"/>
  <c r="K108"/>
  <c r="K36"/>
  <c r="K973"/>
  <c r="K901"/>
  <c r="K829"/>
  <c r="K757"/>
  <c r="K685"/>
  <c r="K613"/>
  <c r="K541"/>
  <c r="K469"/>
  <c r="K397"/>
  <c r="K325"/>
  <c r="K253"/>
  <c r="K181"/>
  <c r="K109"/>
  <c r="K37"/>
  <c r="L2234"/>
  <c r="L2162"/>
  <c r="K2090"/>
  <c r="L2018"/>
  <c r="L1946"/>
  <c r="L1862"/>
  <c r="L1790"/>
  <c r="L1718"/>
  <c r="L1646"/>
  <c r="L1574"/>
  <c r="L1502"/>
  <c r="L1430"/>
  <c r="L1358"/>
  <c r="L1286"/>
  <c r="L1214"/>
  <c r="L1130"/>
  <c r="L1046"/>
  <c r="L139"/>
  <c r="L55"/>
  <c r="L357"/>
  <c r="L488"/>
  <c r="L416"/>
  <c r="L332"/>
  <c r="L260"/>
  <c r="L188"/>
  <c r="K609"/>
  <c r="L537"/>
  <c r="K465"/>
  <c r="K393"/>
  <c r="K309"/>
  <c r="K766"/>
  <c r="L694"/>
  <c r="K622"/>
  <c r="L538"/>
  <c r="L466"/>
  <c r="L394"/>
  <c r="L322"/>
  <c r="L238"/>
  <c r="L166"/>
  <c r="L94"/>
  <c r="L22"/>
  <c r="K503"/>
  <c r="K431"/>
  <c r="K359"/>
  <c r="L275"/>
  <c r="K203"/>
  <c r="L131"/>
  <c r="K59"/>
  <c r="L1094"/>
  <c r="L926"/>
  <c r="L782"/>
  <c r="L614"/>
  <c r="L446"/>
  <c r="L302"/>
  <c r="K1119"/>
  <c r="L951"/>
  <c r="L807"/>
  <c r="L639"/>
  <c r="L495"/>
  <c r="L327"/>
  <c r="K770"/>
  <c r="L3508"/>
  <c r="K3424"/>
  <c r="K3328"/>
  <c r="K3232"/>
  <c r="K3136"/>
  <c r="L3052"/>
  <c r="L2980"/>
  <c r="L2908"/>
  <c r="L2836"/>
  <c r="L2764"/>
  <c r="L2692"/>
  <c r="L2620"/>
  <c r="L2548"/>
  <c r="L2476"/>
  <c r="L2404"/>
  <c r="L2332"/>
  <c r="L2260"/>
  <c r="L2188"/>
  <c r="L2116"/>
  <c r="L2044"/>
  <c r="L1972"/>
  <c r="L1900"/>
  <c r="L1828"/>
  <c r="L1756"/>
  <c r="L1684"/>
  <c r="L1612"/>
  <c r="L1540"/>
  <c r="L1468"/>
  <c r="L1396"/>
  <c r="L1312"/>
  <c r="L1240"/>
  <c r="L1168"/>
  <c r="L1096"/>
  <c r="L1024"/>
  <c r="L952"/>
  <c r="L880"/>
  <c r="L808"/>
  <c r="L736"/>
  <c r="L664"/>
  <c r="L592"/>
  <c r="L520"/>
  <c r="L448"/>
  <c r="K1059"/>
  <c r="L1373"/>
  <c r="L1301"/>
  <c r="L1229"/>
  <c r="L1157"/>
  <c r="L1085"/>
  <c r="L3542"/>
  <c r="K2835"/>
  <c r="K2382"/>
  <c r="K3380"/>
  <c r="K2661"/>
  <c r="K1557"/>
  <c r="K2866"/>
  <c r="K1954"/>
  <c r="K3035"/>
  <c r="K2111"/>
  <c r="K3492"/>
  <c r="K2592"/>
  <c r="K2136"/>
  <c r="K1992"/>
  <c r="K1848"/>
  <c r="K1704"/>
  <c r="K1560"/>
  <c r="K1416"/>
  <c r="K1272"/>
  <c r="K1128"/>
  <c r="K984"/>
  <c r="K840"/>
  <c r="L3613"/>
  <c r="L3469"/>
  <c r="L3325"/>
  <c r="L3181"/>
  <c r="L3037"/>
  <c r="L2893"/>
  <c r="L2749"/>
  <c r="L2605"/>
  <c r="L2461"/>
  <c r="L2317"/>
  <c r="L2173"/>
  <c r="L2029"/>
  <c r="L1885"/>
  <c r="L1741"/>
  <c r="L1597"/>
  <c r="L1453"/>
  <c r="L1309"/>
  <c r="L1165"/>
  <c r="L1021"/>
  <c r="L3293"/>
  <c r="K3137"/>
  <c r="L2993"/>
  <c r="L2849"/>
  <c r="L2705"/>
  <c r="L2561"/>
  <c r="L2417"/>
  <c r="L2273"/>
  <c r="L2129"/>
  <c r="L1985"/>
  <c r="L1841"/>
  <c r="L1697"/>
  <c r="L1553"/>
  <c r="L1409"/>
  <c r="K954"/>
  <c r="K3566"/>
  <c r="L2835"/>
  <c r="L2382"/>
  <c r="L3380"/>
  <c r="K2673"/>
  <c r="L1557"/>
  <c r="L2866"/>
  <c r="L1954"/>
  <c r="L3035"/>
  <c r="L2111"/>
  <c r="L3492"/>
  <c r="L2592"/>
  <c r="L2136"/>
  <c r="L1992"/>
  <c r="L1848"/>
  <c r="L1704"/>
  <c r="L1560"/>
  <c r="L1416"/>
  <c r="L1272"/>
  <c r="L1128"/>
  <c r="L984"/>
  <c r="L840"/>
  <c r="K3625"/>
  <c r="K3481"/>
  <c r="K3337"/>
  <c r="K3193"/>
  <c r="K3049"/>
  <c r="L2905"/>
  <c r="K2761"/>
  <c r="L2617"/>
  <c r="K2473"/>
  <c r="L2329"/>
  <c r="K2185"/>
  <c r="L2041"/>
  <c r="K1897"/>
  <c r="L1753"/>
  <c r="L1609"/>
  <c r="L1465"/>
  <c r="L1321"/>
  <c r="L1177"/>
  <c r="L1033"/>
  <c r="L3305"/>
  <c r="K3149"/>
  <c r="K3005"/>
  <c r="K2861"/>
  <c r="K2717"/>
  <c r="K2573"/>
  <c r="K2429"/>
  <c r="K2285"/>
  <c r="K2141"/>
  <c r="K1997"/>
  <c r="K1853"/>
  <c r="K1709"/>
  <c r="K1565"/>
  <c r="K1421"/>
  <c r="L954"/>
  <c r="L387"/>
  <c r="K2402"/>
  <c r="K2814"/>
  <c r="L2630"/>
  <c r="L3093"/>
  <c r="K1701"/>
  <c r="K3022"/>
  <c r="K2098"/>
  <c r="K3191"/>
  <c r="K2267"/>
  <c r="K3648"/>
  <c r="K2736"/>
  <c r="K2172"/>
  <c r="K2028"/>
  <c r="K1884"/>
  <c r="K1740"/>
  <c r="K1596"/>
  <c r="K1452"/>
  <c r="K1308"/>
  <c r="K1164"/>
  <c r="K1020"/>
  <c r="K876"/>
  <c r="L3649"/>
  <c r="L3505"/>
  <c r="L3361"/>
  <c r="L3217"/>
  <c r="L3073"/>
  <c r="L2929"/>
  <c r="L2785"/>
  <c r="L2641"/>
  <c r="L2497"/>
  <c r="L2353"/>
  <c r="L2209"/>
  <c r="L2065"/>
  <c r="L1921"/>
  <c r="L1777"/>
  <c r="L1633"/>
  <c r="L1489"/>
  <c r="L1345"/>
  <c r="L1201"/>
  <c r="L1057"/>
  <c r="K3329"/>
  <c r="K3173"/>
  <c r="L3029"/>
  <c r="L2885"/>
  <c r="L2741"/>
  <c r="L2597"/>
  <c r="L2453"/>
  <c r="L2309"/>
  <c r="L2165"/>
  <c r="L2021"/>
  <c r="L1877"/>
  <c r="L1733"/>
  <c r="L1589"/>
  <c r="L1445"/>
  <c r="L990"/>
  <c r="L411"/>
  <c r="L2402"/>
  <c r="L2814"/>
  <c r="K2630"/>
  <c r="K3105"/>
  <c r="L1701"/>
  <c r="L3022"/>
  <c r="L2098"/>
  <c r="L3191"/>
  <c r="L2267"/>
  <c r="L3648"/>
  <c r="L2736"/>
  <c r="K2184"/>
  <c r="L2028"/>
  <c r="L1884"/>
  <c r="L1740"/>
  <c r="L1596"/>
  <c r="L1452"/>
  <c r="L1308"/>
  <c r="L1164"/>
  <c r="L1020"/>
  <c r="L876"/>
  <c r="K3661"/>
  <c r="K3517"/>
  <c r="K3373"/>
  <c r="K3229"/>
  <c r="K3085"/>
  <c r="K2941"/>
  <c r="K2797"/>
  <c r="K2653"/>
  <c r="K2509"/>
  <c r="K2365"/>
  <c r="K2221"/>
  <c r="K2077"/>
  <c r="K1933"/>
  <c r="K1789"/>
  <c r="K1645"/>
  <c r="K1501"/>
  <c r="K1357"/>
  <c r="K1213"/>
  <c r="K1069"/>
  <c r="K3341"/>
  <c r="L3185"/>
  <c r="K3041"/>
  <c r="K2897"/>
  <c r="K2753"/>
  <c r="K2609"/>
  <c r="K2465"/>
  <c r="K2321"/>
  <c r="K2177"/>
  <c r="K2033"/>
  <c r="K1889"/>
  <c r="K1745"/>
  <c r="K1601"/>
  <c r="K1457"/>
  <c r="K990"/>
  <c r="L578"/>
  <c r="L1191"/>
  <c r="K3246"/>
  <c r="K3499"/>
  <c r="K3525"/>
  <c r="K1845"/>
  <c r="K3166"/>
  <c r="K2254"/>
  <c r="K3347"/>
  <c r="K2423"/>
  <c r="K1535"/>
  <c r="K2880"/>
  <c r="L2184"/>
  <c r="L2040"/>
  <c r="K1896"/>
  <c r="L1752"/>
  <c r="L1608"/>
  <c r="L1464"/>
  <c r="L1320"/>
  <c r="L1176"/>
  <c r="L1032"/>
  <c r="L888"/>
  <c r="L3661"/>
  <c r="L3517"/>
  <c r="L3373"/>
  <c r="L3229"/>
  <c r="L3085"/>
  <c r="L2941"/>
  <c r="L2797"/>
  <c r="L2653"/>
  <c r="L2509"/>
  <c r="L2365"/>
  <c r="L2221"/>
  <c r="L2077"/>
  <c r="L1933"/>
  <c r="L1789"/>
  <c r="L1645"/>
  <c r="L1501"/>
  <c r="L1357"/>
  <c r="L1213"/>
  <c r="L1069"/>
  <c r="L3341"/>
  <c r="K3185"/>
  <c r="L3041"/>
  <c r="L2897"/>
  <c r="L2753"/>
  <c r="L2609"/>
  <c r="L2465"/>
  <c r="L2321"/>
  <c r="L2177"/>
  <c r="L2033"/>
  <c r="L1889"/>
  <c r="L1745"/>
  <c r="L1601"/>
  <c r="L1457"/>
  <c r="K1002"/>
  <c r="K858"/>
  <c r="K714"/>
  <c r="K570"/>
  <c r="K426"/>
  <c r="K282"/>
  <c r="K138"/>
  <c r="L3367"/>
  <c r="L3223"/>
  <c r="L3079"/>
  <c r="L2935"/>
  <c r="L2791"/>
  <c r="L2647"/>
  <c r="L2503"/>
  <c r="L2359"/>
  <c r="L2215"/>
  <c r="L2071"/>
  <c r="L1879"/>
  <c r="L1687"/>
  <c r="L1531"/>
  <c r="L1387"/>
  <c r="L1243"/>
  <c r="L1099"/>
  <c r="L955"/>
  <c r="L811"/>
  <c r="L667"/>
  <c r="L523"/>
  <c r="L379"/>
  <c r="L235"/>
  <c r="L1736"/>
  <c r="L1580"/>
  <c r="L1436"/>
  <c r="L1280"/>
  <c r="L1124"/>
  <c r="L980"/>
  <c r="L836"/>
  <c r="L692"/>
  <c r="K1987"/>
  <c r="L1413"/>
  <c r="L1269"/>
  <c r="K1113"/>
  <c r="L969"/>
  <c r="K825"/>
  <c r="K705"/>
  <c r="K1702"/>
  <c r="K1594"/>
  <c r="L1462"/>
  <c r="L1378"/>
  <c r="K1270"/>
  <c r="L1174"/>
  <c r="L1090"/>
  <c r="K982"/>
  <c r="L910"/>
  <c r="K826"/>
  <c r="L1427"/>
  <c r="K1355"/>
  <c r="L1283"/>
  <c r="K1211"/>
  <c r="L1139"/>
  <c r="K1067"/>
  <c r="L995"/>
  <c r="K923"/>
  <c r="K839"/>
  <c r="L767"/>
  <c r="K695"/>
  <c r="L623"/>
  <c r="K551"/>
  <c r="L780"/>
  <c r="K708"/>
  <c r="L636"/>
  <c r="K564"/>
  <c r="L492"/>
  <c r="K420"/>
  <c r="L348"/>
  <c r="K276"/>
  <c r="L204"/>
  <c r="K132"/>
  <c r="L60"/>
  <c r="K997"/>
  <c r="L925"/>
  <c r="K853"/>
  <c r="L781"/>
  <c r="K709"/>
  <c r="L637"/>
  <c r="K565"/>
  <c r="L493"/>
  <c r="K421"/>
  <c r="L349"/>
  <c r="K277"/>
  <c r="L205"/>
  <c r="K133"/>
  <c r="L61"/>
  <c r="L2270"/>
  <c r="L2198"/>
  <c r="K2126"/>
  <c r="L2054"/>
  <c r="L1982"/>
  <c r="K1898"/>
  <c r="K1826"/>
  <c r="K1754"/>
  <c r="K1682"/>
  <c r="K1610"/>
  <c r="K1538"/>
  <c r="K1466"/>
  <c r="K1394"/>
  <c r="K1322"/>
  <c r="K1250"/>
  <c r="K1166"/>
  <c r="L1220"/>
  <c r="K175"/>
  <c r="K91"/>
  <c r="L19"/>
  <c r="K524"/>
  <c r="K452"/>
  <c r="K380"/>
  <c r="K296"/>
  <c r="K224"/>
  <c r="K152"/>
  <c r="L561"/>
  <c r="L489"/>
  <c r="L417"/>
  <c r="L333"/>
  <c r="L802"/>
  <c r="L730"/>
  <c r="L658"/>
  <c r="K574"/>
  <c r="K502"/>
  <c r="K430"/>
  <c r="K358"/>
  <c r="L274"/>
  <c r="K202"/>
  <c r="L130"/>
  <c r="K58"/>
  <c r="L3484"/>
  <c r="L455"/>
  <c r="L383"/>
  <c r="L311"/>
  <c r="K227"/>
  <c r="K155"/>
  <c r="K83"/>
  <c r="L11"/>
  <c r="K998"/>
  <c r="K854"/>
  <c r="K686"/>
  <c r="L542"/>
  <c r="K374"/>
  <c r="K603"/>
  <c r="K1023"/>
  <c r="K879"/>
  <c r="K711"/>
  <c r="K567"/>
  <c r="K399"/>
  <c r="L255"/>
  <c r="K3544"/>
  <c r="K3460"/>
  <c r="L3376"/>
  <c r="L3280"/>
  <c r="L3184"/>
  <c r="L3088"/>
  <c r="K3016"/>
  <c r="K2944"/>
  <c r="K2872"/>
  <c r="K2800"/>
  <c r="K2728"/>
  <c r="K2656"/>
  <c r="K2584"/>
  <c r="K2512"/>
  <c r="K2440"/>
  <c r="K2368"/>
  <c r="K2296"/>
  <c r="K2224"/>
  <c r="K2152"/>
  <c r="K2080"/>
  <c r="K2008"/>
  <c r="K1936"/>
  <c r="K1864"/>
  <c r="K1792"/>
  <c r="K1720"/>
  <c r="K1648"/>
  <c r="K1576"/>
  <c r="K1504"/>
  <c r="K1432"/>
  <c r="K1348"/>
  <c r="K1276"/>
  <c r="K1204"/>
  <c r="K1132"/>
  <c r="K1060"/>
  <c r="K988"/>
  <c r="K916"/>
  <c r="K844"/>
  <c r="K772"/>
  <c r="K700"/>
  <c r="L602"/>
  <c r="K1215"/>
  <c r="L3246"/>
  <c r="L3499"/>
  <c r="K3537"/>
  <c r="L1845"/>
  <c r="L3166"/>
  <c r="L2254"/>
  <c r="L3347"/>
  <c r="L2423"/>
  <c r="L1535"/>
  <c r="L2880"/>
  <c r="K2196"/>
  <c r="K2040"/>
  <c r="L1896"/>
  <c r="K1752"/>
  <c r="K1608"/>
  <c r="K1464"/>
  <c r="K1320"/>
  <c r="K1176"/>
  <c r="K1032"/>
  <c r="K888"/>
  <c r="K3673"/>
  <c r="K3529"/>
  <c r="K3385"/>
  <c r="K3241"/>
  <c r="K3097"/>
  <c r="K2953"/>
  <c r="K2809"/>
  <c r="K2665"/>
  <c r="K2521"/>
  <c r="K2377"/>
  <c r="K2233"/>
  <c r="K2089"/>
  <c r="K1945"/>
  <c r="K1801"/>
  <c r="L1657"/>
  <c r="L1513"/>
  <c r="L1369"/>
  <c r="L1225"/>
  <c r="L1081"/>
  <c r="L3353"/>
  <c r="K3197"/>
  <c r="K3053"/>
  <c r="K2909"/>
  <c r="K2765"/>
  <c r="K2621"/>
  <c r="K2477"/>
  <c r="K2333"/>
  <c r="K2189"/>
  <c r="K2045"/>
  <c r="K1901"/>
  <c r="K1757"/>
  <c r="K1613"/>
  <c r="K1469"/>
  <c r="L1002"/>
  <c r="L858"/>
  <c r="L714"/>
  <c r="L570"/>
  <c r="L426"/>
  <c r="L282"/>
  <c r="L138"/>
  <c r="K3379"/>
  <c r="K3235"/>
  <c r="K3091"/>
  <c r="K2947"/>
  <c r="K2803"/>
  <c r="K2659"/>
  <c r="K2515"/>
  <c r="K2371"/>
  <c r="K2227"/>
  <c r="K2083"/>
  <c r="K1903"/>
  <c r="K1711"/>
  <c r="K1543"/>
  <c r="K1399"/>
  <c r="K1255"/>
  <c r="K1111"/>
  <c r="K967"/>
  <c r="K823"/>
  <c r="K679"/>
  <c r="K535"/>
  <c r="K391"/>
  <c r="K247"/>
  <c r="K1748"/>
  <c r="K1592"/>
  <c r="K1448"/>
  <c r="L1292"/>
  <c r="K1136"/>
  <c r="K992"/>
  <c r="K848"/>
  <c r="K704"/>
  <c r="K560"/>
  <c r="K1425"/>
  <c r="K1281"/>
  <c r="K1125"/>
  <c r="K981"/>
  <c r="K837"/>
  <c r="L705"/>
  <c r="L1726"/>
  <c r="L1594"/>
  <c r="K1474"/>
  <c r="K1378"/>
  <c r="K1294"/>
  <c r="K1186"/>
  <c r="K1090"/>
  <c r="K1006"/>
  <c r="K910"/>
  <c r="L826"/>
  <c r="K1427"/>
  <c r="L1355"/>
  <c r="K1283"/>
  <c r="L1211"/>
  <c r="K1139"/>
  <c r="L1067"/>
  <c r="K995"/>
  <c r="L923"/>
  <c r="L839"/>
  <c r="K767"/>
  <c r="L695"/>
  <c r="K623"/>
  <c r="L551"/>
  <c r="L792"/>
  <c r="L720"/>
  <c r="L648"/>
  <c r="L576"/>
  <c r="L504"/>
  <c r="L432"/>
  <c r="L360"/>
  <c r="L288"/>
  <c r="L216"/>
  <c r="L144"/>
  <c r="L72"/>
  <c r="L874"/>
  <c r="L937"/>
  <c r="L865"/>
  <c r="L793"/>
  <c r="L721"/>
  <c r="L649"/>
  <c r="L577"/>
  <c r="L505"/>
  <c r="L433"/>
  <c r="L361"/>
  <c r="L289"/>
  <c r="L217"/>
  <c r="L145"/>
  <c r="L73"/>
  <c r="K2270"/>
  <c r="K2198"/>
  <c r="L2126"/>
  <c r="K2054"/>
  <c r="K1982"/>
  <c r="L1898"/>
  <c r="L1826"/>
  <c r="L1754"/>
  <c r="L1682"/>
  <c r="L1610"/>
  <c r="L1538"/>
  <c r="L1466"/>
  <c r="L1394"/>
  <c r="L1322"/>
  <c r="L1250"/>
  <c r="L1166"/>
  <c r="K1843"/>
  <c r="L175"/>
  <c r="L91"/>
  <c r="K19"/>
  <c r="L524"/>
  <c r="L452"/>
  <c r="L380"/>
  <c r="L296"/>
  <c r="L224"/>
  <c r="L152"/>
  <c r="K573"/>
  <c r="L501"/>
  <c r="L429"/>
  <c r="K345"/>
  <c r="K802"/>
  <c r="K730"/>
  <c r="K658"/>
  <c r="L574"/>
  <c r="L502"/>
  <c r="L430"/>
  <c r="L358"/>
  <c r="K274"/>
  <c r="L202"/>
  <c r="K130"/>
  <c r="L58"/>
  <c r="K843"/>
  <c r="K467"/>
  <c r="K395"/>
  <c r="K323"/>
  <c r="K239"/>
  <c r="K167"/>
  <c r="K95"/>
  <c r="K23"/>
  <c r="L998"/>
  <c r="L854"/>
  <c r="L686"/>
  <c r="K542"/>
  <c r="L374"/>
  <c r="K747"/>
  <c r="L1023"/>
  <c r="L879"/>
  <c r="L711"/>
  <c r="L567"/>
  <c r="L399"/>
  <c r="K255"/>
  <c r="L3544"/>
  <c r="L3460"/>
  <c r="K3376"/>
  <c r="K3280"/>
  <c r="K3184"/>
  <c r="K3088"/>
  <c r="L3016"/>
  <c r="L2944"/>
  <c r="L2872"/>
  <c r="L2800"/>
  <c r="L2728"/>
  <c r="L2656"/>
  <c r="L2584"/>
  <c r="L2512"/>
  <c r="L2440"/>
  <c r="L2368"/>
  <c r="L2296"/>
  <c r="L2224"/>
  <c r="L2152"/>
  <c r="L2080"/>
  <c r="L2008"/>
  <c r="L1936"/>
  <c r="L1864"/>
  <c r="L1792"/>
  <c r="L1720"/>
  <c r="L1648"/>
  <c r="L1576"/>
  <c r="L1504"/>
  <c r="L1432"/>
  <c r="L1348"/>
  <c r="L1276"/>
  <c r="L1204"/>
  <c r="L1132"/>
  <c r="L1060"/>
  <c r="L988"/>
  <c r="L916"/>
  <c r="L844"/>
  <c r="L772"/>
  <c r="L700"/>
  <c r="K1989"/>
  <c r="K3024"/>
  <c r="K1488"/>
  <c r="L3541"/>
  <c r="L2677"/>
  <c r="L1813"/>
  <c r="K3365"/>
  <c r="L2489"/>
  <c r="L1625"/>
  <c r="K738"/>
  <c r="K450"/>
  <c r="K162"/>
  <c r="L3247"/>
  <c r="L2959"/>
  <c r="L2671"/>
  <c r="L2383"/>
  <c r="L2095"/>
  <c r="L1723"/>
  <c r="L1411"/>
  <c r="L1123"/>
  <c r="L835"/>
  <c r="L547"/>
  <c r="L259"/>
  <c r="L1604"/>
  <c r="L1304"/>
  <c r="K1004"/>
  <c r="K716"/>
  <c r="L1437"/>
  <c r="L1137"/>
  <c r="L849"/>
  <c r="L1738"/>
  <c r="L1474"/>
  <c r="L1294"/>
  <c r="K1102"/>
  <c r="K922"/>
  <c r="K1439"/>
  <c r="K1295"/>
  <c r="K1151"/>
  <c r="K1007"/>
  <c r="L851"/>
  <c r="L707"/>
  <c r="L563"/>
  <c r="K720"/>
  <c r="K576"/>
  <c r="K432"/>
  <c r="K288"/>
  <c r="K144"/>
  <c r="K1795"/>
  <c r="K865"/>
  <c r="K721"/>
  <c r="K577"/>
  <c r="K433"/>
  <c r="K289"/>
  <c r="K145"/>
  <c r="L875"/>
  <c r="K2138"/>
  <c r="K1994"/>
  <c r="K1838"/>
  <c r="L1694"/>
  <c r="K1550"/>
  <c r="K1406"/>
  <c r="K1262"/>
  <c r="K1106"/>
  <c r="K103"/>
  <c r="L536"/>
  <c r="K392"/>
  <c r="K236"/>
  <c r="L573"/>
  <c r="K429"/>
  <c r="K814"/>
  <c r="K670"/>
  <c r="L514"/>
  <c r="L370"/>
  <c r="K214"/>
  <c r="K70"/>
  <c r="L467"/>
  <c r="L323"/>
  <c r="L167"/>
  <c r="L23"/>
  <c r="K878"/>
  <c r="K566"/>
  <c r="K891"/>
  <c r="K903"/>
  <c r="K591"/>
  <c r="K279"/>
  <c r="L3472"/>
  <c r="K3292"/>
  <c r="K3100"/>
  <c r="K2956"/>
  <c r="K2812"/>
  <c r="K2668"/>
  <c r="K2524"/>
  <c r="K2380"/>
  <c r="L2236"/>
  <c r="K2128"/>
  <c r="K1996"/>
  <c r="K1876"/>
  <c r="K1756"/>
  <c r="L1624"/>
  <c r="L1492"/>
  <c r="L1372"/>
  <c r="K1252"/>
  <c r="K1120"/>
  <c r="K1000"/>
  <c r="K880"/>
  <c r="L748"/>
  <c r="L628"/>
  <c r="K544"/>
  <c r="K448"/>
  <c r="L3352"/>
  <c r="K1325"/>
  <c r="K1229"/>
  <c r="L1121"/>
  <c r="K1037"/>
  <c r="K953"/>
  <c r="K869"/>
  <c r="K773"/>
  <c r="K689"/>
  <c r="K605"/>
  <c r="K521"/>
  <c r="K437"/>
  <c r="K341"/>
  <c r="K158"/>
  <c r="K364"/>
  <c r="K292"/>
  <c r="K220"/>
  <c r="K148"/>
  <c r="K76"/>
  <c r="K4"/>
  <c r="K293"/>
  <c r="K221"/>
  <c r="K149"/>
  <c r="K77"/>
  <c r="K5"/>
  <c r="K881"/>
  <c r="K797"/>
  <c r="K617"/>
  <c r="K449"/>
  <c r="K230"/>
  <c r="K232"/>
  <c r="K88"/>
  <c r="K305"/>
  <c r="K161"/>
  <c r="K17"/>
  <c r="L950"/>
  <c r="L2560"/>
  <c r="L2140"/>
  <c r="K1912"/>
  <c r="K1540"/>
  <c r="L1144"/>
  <c r="K904"/>
  <c r="K472"/>
  <c r="K1253"/>
  <c r="L881"/>
  <c r="L617"/>
  <c r="L141"/>
  <c r="L160"/>
  <c r="L305"/>
  <c r="L17"/>
  <c r="K375"/>
  <c r="L1912"/>
  <c r="K1420"/>
  <c r="L784"/>
  <c r="K388"/>
  <c r="K1061"/>
  <c r="K725"/>
  <c r="K377"/>
  <c r="K172"/>
  <c r="K173"/>
  <c r="L1288"/>
  <c r="L1169"/>
  <c r="L545"/>
  <c r="L172"/>
  <c r="L173"/>
  <c r="K3209"/>
  <c r="K827"/>
  <c r="K2114"/>
  <c r="L549"/>
  <c r="K855"/>
  <c r="L2212"/>
  <c r="K736"/>
  <c r="K593"/>
  <c r="K209"/>
  <c r="L3221"/>
  <c r="L683"/>
  <c r="L1526"/>
  <c r="K455"/>
  <c r="L1989"/>
  <c r="L3024"/>
  <c r="L1488"/>
  <c r="K3553"/>
  <c r="K2689"/>
  <c r="K1825"/>
  <c r="L3377"/>
  <c r="K2501"/>
  <c r="K1637"/>
  <c r="L738"/>
  <c r="L450"/>
  <c r="L162"/>
  <c r="K3259"/>
  <c r="K2971"/>
  <c r="K2683"/>
  <c r="K2395"/>
  <c r="K2107"/>
  <c r="K1735"/>
  <c r="K1423"/>
  <c r="K1135"/>
  <c r="K847"/>
  <c r="K559"/>
  <c r="K271"/>
  <c r="K1616"/>
  <c r="K1328"/>
  <c r="K1016"/>
  <c r="K728"/>
  <c r="K1449"/>
  <c r="K1149"/>
  <c r="K861"/>
  <c r="K1738"/>
  <c r="L1486"/>
  <c r="L1306"/>
  <c r="L1102"/>
  <c r="L922"/>
  <c r="L1439"/>
  <c r="L1295"/>
  <c r="L1151"/>
  <c r="L1007"/>
  <c r="K851"/>
  <c r="K707"/>
  <c r="K563"/>
  <c r="K732"/>
  <c r="K588"/>
  <c r="K444"/>
  <c r="K300"/>
  <c r="K156"/>
  <c r="K12"/>
  <c r="K877"/>
  <c r="K733"/>
  <c r="K589"/>
  <c r="K445"/>
  <c r="K301"/>
  <c r="K157"/>
  <c r="K13"/>
  <c r="L2138"/>
  <c r="L1994"/>
  <c r="L1838"/>
  <c r="K1694"/>
  <c r="L1550"/>
  <c r="L1406"/>
  <c r="L1262"/>
  <c r="L1106"/>
  <c r="L103"/>
  <c r="K536"/>
  <c r="L392"/>
  <c r="L236"/>
  <c r="K585"/>
  <c r="K441"/>
  <c r="L814"/>
  <c r="L670"/>
  <c r="K514"/>
  <c r="K370"/>
  <c r="L214"/>
  <c r="L70"/>
  <c r="L479"/>
  <c r="L335"/>
  <c r="K179"/>
  <c r="K35"/>
  <c r="L878"/>
  <c r="L566"/>
  <c r="K1035"/>
  <c r="L903"/>
  <c r="L591"/>
  <c r="L279"/>
  <c r="K3472"/>
  <c r="L3292"/>
  <c r="L3100"/>
  <c r="L2956"/>
  <c r="L2812"/>
  <c r="L2668"/>
  <c r="L2524"/>
  <c r="L2380"/>
  <c r="K2260"/>
  <c r="L2128"/>
  <c r="L1996"/>
  <c r="L1876"/>
  <c r="K1768"/>
  <c r="K1636"/>
  <c r="K1516"/>
  <c r="K1396"/>
  <c r="L1252"/>
  <c r="L1120"/>
  <c r="L1000"/>
  <c r="K892"/>
  <c r="K760"/>
  <c r="K640"/>
  <c r="L544"/>
  <c r="K460"/>
  <c r="K339"/>
  <c r="L1325"/>
  <c r="K1241"/>
  <c r="K1133"/>
  <c r="L1037"/>
  <c r="L953"/>
  <c r="L869"/>
  <c r="L773"/>
  <c r="L689"/>
  <c r="L605"/>
  <c r="L521"/>
  <c r="L437"/>
  <c r="L341"/>
  <c r="K206"/>
  <c r="L364"/>
  <c r="L292"/>
  <c r="L220"/>
  <c r="L148"/>
  <c r="L76"/>
  <c r="L4"/>
  <c r="L293"/>
  <c r="L221"/>
  <c r="L149"/>
  <c r="L77"/>
  <c r="L5"/>
  <c r="K965"/>
  <c r="K701"/>
  <c r="K533"/>
  <c r="K365"/>
  <c r="K304"/>
  <c r="K160"/>
  <c r="K16"/>
  <c r="K233"/>
  <c r="K89"/>
  <c r="L326"/>
  <c r="L2416"/>
  <c r="L2020"/>
  <c r="K1660"/>
  <c r="L1408"/>
  <c r="K1036"/>
  <c r="K664"/>
  <c r="K915"/>
  <c r="K1157"/>
  <c r="L797"/>
  <c r="L701"/>
  <c r="L365"/>
  <c r="L304"/>
  <c r="L16"/>
  <c r="L89"/>
  <c r="K687"/>
  <c r="K2044"/>
  <c r="K1288"/>
  <c r="K676"/>
  <c r="L1253"/>
  <c r="K893"/>
  <c r="K545"/>
  <c r="K316"/>
  <c r="K28"/>
  <c r="K29"/>
  <c r="K1048"/>
  <c r="L1349"/>
  <c r="L809"/>
  <c r="L377"/>
  <c r="L100"/>
  <c r="L29"/>
  <c r="L1669"/>
  <c r="K683"/>
  <c r="K1670"/>
  <c r="K346"/>
  <c r="K231"/>
  <c r="K1852"/>
  <c r="K424"/>
  <c r="K413"/>
  <c r="L1681"/>
  <c r="L827"/>
  <c r="L1670"/>
  <c r="K190"/>
  <c r="L2084"/>
  <c r="K1679"/>
  <c r="K1632"/>
  <c r="L3685"/>
  <c r="L2821"/>
  <c r="L1957"/>
  <c r="L1093"/>
  <c r="L2633"/>
  <c r="L1769"/>
  <c r="K810"/>
  <c r="K522"/>
  <c r="K234"/>
  <c r="L3319"/>
  <c r="L3031"/>
  <c r="L2743"/>
  <c r="L2455"/>
  <c r="L2167"/>
  <c r="L1819"/>
  <c r="L1483"/>
  <c r="L1195"/>
  <c r="L907"/>
  <c r="L619"/>
  <c r="L331"/>
  <c r="L1688"/>
  <c r="L1388"/>
  <c r="K1076"/>
  <c r="K788"/>
  <c r="K1509"/>
  <c r="L1209"/>
  <c r="L921"/>
  <c r="L669"/>
  <c r="K1546"/>
  <c r="L1330"/>
  <c r="L1150"/>
  <c r="K958"/>
  <c r="K1475"/>
  <c r="K1331"/>
  <c r="K1187"/>
  <c r="K1043"/>
  <c r="K899"/>
  <c r="K743"/>
  <c r="K599"/>
  <c r="L756"/>
  <c r="L612"/>
  <c r="L468"/>
  <c r="L324"/>
  <c r="L180"/>
  <c r="L36"/>
  <c r="L901"/>
  <c r="L757"/>
  <c r="L613"/>
  <c r="L469"/>
  <c r="L325"/>
  <c r="L181"/>
  <c r="L37"/>
  <c r="K2174"/>
  <c r="K2030"/>
  <c r="K1874"/>
  <c r="K1730"/>
  <c r="K1586"/>
  <c r="K1442"/>
  <c r="K1298"/>
  <c r="K1142"/>
  <c r="K151"/>
  <c r="L1047"/>
  <c r="L428"/>
  <c r="K272"/>
  <c r="L609"/>
  <c r="L465"/>
  <c r="L309"/>
  <c r="L706"/>
  <c r="K550"/>
  <c r="K406"/>
  <c r="K250"/>
  <c r="K106"/>
  <c r="L503"/>
  <c r="L359"/>
  <c r="L203"/>
  <c r="L59"/>
  <c r="K950"/>
  <c r="K638"/>
  <c r="K326"/>
  <c r="K975"/>
  <c r="K663"/>
  <c r="K351"/>
  <c r="K3520"/>
  <c r="K3340"/>
  <c r="K3148"/>
  <c r="K2992"/>
  <c r="K2848"/>
  <c r="K2704"/>
  <c r="K2560"/>
  <c r="K2416"/>
  <c r="K2272"/>
  <c r="K2140"/>
  <c r="K2020"/>
  <c r="K1900"/>
  <c r="L1768"/>
  <c r="L1636"/>
  <c r="L1516"/>
  <c r="K1408"/>
  <c r="K1264"/>
  <c r="K1144"/>
  <c r="K1024"/>
  <c r="L892"/>
  <c r="L760"/>
  <c r="L640"/>
  <c r="K556"/>
  <c r="L460"/>
  <c r="K483"/>
  <c r="K1337"/>
  <c r="L1241"/>
  <c r="L1133"/>
  <c r="K1049"/>
  <c r="K376"/>
  <c r="L351"/>
  <c r="K784"/>
  <c r="L1049"/>
  <c r="L533"/>
  <c r="L376"/>
  <c r="L88"/>
  <c r="L161"/>
  <c r="K999"/>
  <c r="K2164"/>
  <c r="L1660"/>
  <c r="L1036"/>
  <c r="K568"/>
  <c r="K1169"/>
  <c r="K629"/>
  <c r="L213"/>
  <c r="K100"/>
  <c r="K101"/>
  <c r="L676"/>
  <c r="L1061"/>
  <c r="L629"/>
  <c r="L140"/>
  <c r="L28"/>
  <c r="L101"/>
  <c r="L2533"/>
  <c r="K1271"/>
  <c r="L121"/>
  <c r="L212"/>
  <c r="L143"/>
  <c r="L3076"/>
  <c r="K1612"/>
  <c r="K1313"/>
  <c r="K938"/>
  <c r="K137"/>
  <c r="K3409"/>
  <c r="L898"/>
  <c r="L277"/>
  <c r="K561"/>
  <c r="L518"/>
  <c r="K2084"/>
  <c r="L1679"/>
  <c r="L1632"/>
  <c r="K3697"/>
  <c r="L2833"/>
  <c r="L1969"/>
  <c r="L1105"/>
  <c r="K2645"/>
  <c r="K1781"/>
  <c r="L810"/>
  <c r="L522"/>
  <c r="L234"/>
  <c r="K3331"/>
  <c r="K3043"/>
  <c r="K2755"/>
  <c r="K2467"/>
  <c r="K2179"/>
  <c r="K1831"/>
  <c r="K1495"/>
  <c r="K1207"/>
  <c r="K919"/>
  <c r="K631"/>
  <c r="K343"/>
  <c r="K1700"/>
  <c r="K1400"/>
  <c r="K1088"/>
  <c r="K800"/>
  <c r="K1521"/>
  <c r="K1233"/>
  <c r="L933"/>
  <c r="K681"/>
  <c r="L1546"/>
  <c r="L1342"/>
  <c r="L1162"/>
  <c r="L958"/>
  <c r="L1475"/>
  <c r="L1331"/>
  <c r="L1187"/>
  <c r="L1043"/>
  <c r="L899"/>
  <c r="L743"/>
  <c r="L599"/>
  <c r="K768"/>
  <c r="K624"/>
  <c r="K480"/>
  <c r="K336"/>
  <c r="K192"/>
  <c r="K48"/>
  <c r="K913"/>
  <c r="K769"/>
  <c r="K625"/>
  <c r="K481"/>
  <c r="K337"/>
  <c r="K193"/>
  <c r="K49"/>
  <c r="L2174"/>
  <c r="L2030"/>
  <c r="L1874"/>
  <c r="L1730"/>
  <c r="L1586"/>
  <c r="L1442"/>
  <c r="L1298"/>
  <c r="L1142"/>
  <c r="L151"/>
  <c r="K962"/>
  <c r="K428"/>
  <c r="L272"/>
  <c r="L3160"/>
  <c r="K477"/>
  <c r="K321"/>
  <c r="K706"/>
  <c r="L550"/>
  <c r="L406"/>
  <c r="L250"/>
  <c r="L106"/>
  <c r="L515"/>
  <c r="L371"/>
  <c r="K215"/>
  <c r="K71"/>
  <c r="L638"/>
  <c r="L975"/>
  <c r="L663"/>
  <c r="L3520"/>
  <c r="L3340"/>
  <c r="L3148"/>
  <c r="L2992"/>
  <c r="L2848"/>
  <c r="L2704"/>
  <c r="L2272"/>
  <c r="K1780"/>
  <c r="L1264"/>
  <c r="L556"/>
  <c r="L1337"/>
  <c r="L965"/>
  <c r="L449"/>
  <c r="L232"/>
  <c r="L233"/>
  <c r="K21"/>
  <c r="L3364"/>
  <c r="K1168"/>
  <c r="L472"/>
  <c r="K977"/>
  <c r="K461"/>
  <c r="K244"/>
  <c r="K245"/>
  <c r="K45"/>
  <c r="K928"/>
  <c r="L977"/>
  <c r="L461"/>
  <c r="L244"/>
  <c r="L245"/>
  <c r="K93"/>
  <c r="L3397"/>
  <c r="K983"/>
  <c r="K1970"/>
  <c r="L405"/>
  <c r="K1010"/>
  <c r="K2932"/>
  <c r="L1336"/>
  <c r="K1205"/>
  <c r="K110"/>
  <c r="K65"/>
  <c r="L2545"/>
  <c r="L1415"/>
  <c r="L2258"/>
  <c r="L790"/>
  <c r="L855"/>
  <c r="L3674"/>
  <c r="K2567"/>
  <c r="K1776"/>
  <c r="K912"/>
  <c r="L2965"/>
  <c r="L2101"/>
  <c r="L1237"/>
  <c r="L2777"/>
  <c r="L1913"/>
  <c r="K846"/>
  <c r="K558"/>
  <c r="K270"/>
  <c r="L3355"/>
  <c r="L3067"/>
  <c r="L2779"/>
  <c r="L2491"/>
  <c r="L2203"/>
  <c r="L1867"/>
  <c r="L1519"/>
  <c r="L1231"/>
  <c r="L943"/>
  <c r="L655"/>
  <c r="L367"/>
  <c r="L1724"/>
  <c r="L1424"/>
  <c r="K1112"/>
  <c r="K824"/>
  <c r="L1545"/>
  <c r="L1257"/>
  <c r="L957"/>
  <c r="L681"/>
  <c r="K1558"/>
  <c r="K1366"/>
  <c r="K1162"/>
  <c r="K970"/>
  <c r="K1747"/>
  <c r="L1343"/>
  <c r="L1199"/>
  <c r="L1055"/>
  <c r="L911"/>
  <c r="K755"/>
  <c r="K611"/>
  <c r="L768"/>
  <c r="L624"/>
  <c r="L480"/>
  <c r="L336"/>
  <c r="L192"/>
  <c r="L48"/>
  <c r="L913"/>
  <c r="L769"/>
  <c r="L625"/>
  <c r="L481"/>
  <c r="L337"/>
  <c r="L193"/>
  <c r="L49"/>
  <c r="K2186"/>
  <c r="K2042"/>
  <c r="K1886"/>
  <c r="K1742"/>
  <c r="K1598"/>
  <c r="K1454"/>
  <c r="K1310"/>
  <c r="K1154"/>
  <c r="K163"/>
  <c r="K7"/>
  <c r="K440"/>
  <c r="K284"/>
  <c r="K963"/>
  <c r="L477"/>
  <c r="L321"/>
  <c r="K718"/>
  <c r="L562"/>
  <c r="L418"/>
  <c r="K262"/>
  <c r="K118"/>
  <c r="K515"/>
  <c r="K371"/>
  <c r="L215"/>
  <c r="L71"/>
  <c r="K974"/>
  <c r="K662"/>
  <c r="K350"/>
  <c r="L3532"/>
  <c r="L3172"/>
  <c r="K3004"/>
  <c r="K2860"/>
  <c r="K2716"/>
  <c r="K2572"/>
  <c r="K2428"/>
  <c r="K2284"/>
  <c r="L1780"/>
  <c r="K1552"/>
  <c r="L904"/>
  <c r="K1349"/>
  <c r="K809"/>
  <c r="K273"/>
  <c r="K317"/>
  <c r="K1180"/>
  <c r="K1265"/>
  <c r="L725"/>
  <c r="K87"/>
  <c r="L317"/>
  <c r="K1344"/>
  <c r="K1078"/>
  <c r="L409"/>
  <c r="K368"/>
  <c r="L830"/>
  <c r="K2356"/>
  <c r="K976"/>
  <c r="K845"/>
  <c r="K136"/>
  <c r="L1344"/>
  <c r="L1271"/>
  <c r="L2114"/>
  <c r="L490"/>
  <c r="K3674"/>
  <c r="L2567"/>
  <c r="L1776"/>
  <c r="L912"/>
  <c r="K2977"/>
  <c r="K2113"/>
  <c r="L1249"/>
  <c r="K2789"/>
  <c r="K1925"/>
  <c r="L846"/>
  <c r="L558"/>
  <c r="L270"/>
  <c r="K3367"/>
  <c r="K3079"/>
  <c r="K2791"/>
  <c r="K2503"/>
  <c r="K2215"/>
  <c r="K1879"/>
  <c r="K1531"/>
  <c r="K1243"/>
  <c r="K955"/>
  <c r="K667"/>
  <c r="K379"/>
  <c r="K1736"/>
  <c r="K1436"/>
  <c r="K1124"/>
  <c r="K836"/>
  <c r="K1699"/>
  <c r="K1269"/>
  <c r="K969"/>
  <c r="K693"/>
  <c r="L1582"/>
  <c r="L1366"/>
  <c r="K1174"/>
  <c r="L970"/>
  <c r="K2035"/>
  <c r="K1343"/>
  <c r="K1199"/>
  <c r="K1055"/>
  <c r="K911"/>
  <c r="L755"/>
  <c r="L611"/>
  <c r="K780"/>
  <c r="K636"/>
  <c r="K492"/>
  <c r="K348"/>
  <c r="K204"/>
  <c r="K60"/>
  <c r="K925"/>
  <c r="K781"/>
  <c r="K637"/>
  <c r="K493"/>
  <c r="K349"/>
  <c r="K205"/>
  <c r="K61"/>
  <c r="L2186"/>
  <c r="L2042"/>
  <c r="L1886"/>
  <c r="L1742"/>
  <c r="L1598"/>
  <c r="L1454"/>
  <c r="L1310"/>
  <c r="L1154"/>
  <c r="L163"/>
  <c r="L7"/>
  <c r="L440"/>
  <c r="L284"/>
  <c r="K1107"/>
  <c r="K489"/>
  <c r="K333"/>
  <c r="L718"/>
  <c r="K562"/>
  <c r="K418"/>
  <c r="L262"/>
  <c r="L118"/>
  <c r="L3208"/>
  <c r="K383"/>
  <c r="L227"/>
  <c r="L83"/>
  <c r="L974"/>
  <c r="L662"/>
  <c r="L350"/>
  <c r="L999"/>
  <c r="L687"/>
  <c r="L375"/>
  <c r="K3532"/>
  <c r="K3364"/>
  <c r="K3172"/>
  <c r="L3004"/>
  <c r="L2860"/>
  <c r="L2716"/>
  <c r="L2572"/>
  <c r="L2428"/>
  <c r="L2284"/>
  <c r="L2164"/>
  <c r="K2056"/>
  <c r="K1924"/>
  <c r="K1804"/>
  <c r="K1684"/>
  <c r="L1552"/>
  <c r="L1420"/>
  <c r="K808"/>
  <c r="L568"/>
  <c r="K484"/>
  <c r="L388"/>
  <c r="L893"/>
  <c r="L316"/>
  <c r="L2345"/>
  <c r="K898"/>
  <c r="L841"/>
  <c r="K1382"/>
  <c r="K490"/>
  <c r="K315"/>
  <c r="K2788"/>
  <c r="K1732"/>
  <c r="L616"/>
  <c r="K941"/>
  <c r="K280"/>
  <c r="L2220"/>
  <c r="K1462"/>
  <c r="L853"/>
  <c r="K18"/>
  <c r="K311"/>
  <c r="K3678"/>
  <c r="K3503"/>
  <c r="K1920"/>
  <c r="K1056"/>
  <c r="L3109"/>
  <c r="L2245"/>
  <c r="L1381"/>
  <c r="L2921"/>
  <c r="L2057"/>
  <c r="L882"/>
  <c r="L594"/>
  <c r="L306"/>
  <c r="K1640"/>
  <c r="L3103"/>
  <c r="L2815"/>
  <c r="L2527"/>
  <c r="L2239"/>
  <c r="L1915"/>
  <c r="L1555"/>
  <c r="L1267"/>
  <c r="L979"/>
  <c r="L691"/>
  <c r="L403"/>
  <c r="L1760"/>
  <c r="L1460"/>
  <c r="L1148"/>
  <c r="L860"/>
  <c r="L572"/>
  <c r="K1293"/>
  <c r="L993"/>
  <c r="L717"/>
  <c r="K1606"/>
  <c r="K1390"/>
  <c r="L1186"/>
  <c r="L1006"/>
  <c r="K838"/>
  <c r="K1367"/>
  <c r="K1223"/>
  <c r="K1079"/>
  <c r="K935"/>
  <c r="K779"/>
  <c r="K635"/>
  <c r="K792"/>
  <c r="K648"/>
  <c r="K504"/>
  <c r="K360"/>
  <c r="K216"/>
  <c r="K72"/>
  <c r="K937"/>
  <c r="K793"/>
  <c r="K649"/>
  <c r="K505"/>
  <c r="K361"/>
  <c r="K217"/>
  <c r="K73"/>
  <c r="K2210"/>
  <c r="K2066"/>
  <c r="K1922"/>
  <c r="L1766"/>
  <c r="L1622"/>
  <c r="K1478"/>
  <c r="L1334"/>
  <c r="K1190"/>
  <c r="K187"/>
  <c r="K31"/>
  <c r="K464"/>
  <c r="K308"/>
  <c r="K164"/>
  <c r="K501"/>
  <c r="L345"/>
  <c r="K742"/>
  <c r="K598"/>
  <c r="L442"/>
  <c r="K286"/>
  <c r="K142"/>
  <c r="K987"/>
  <c r="L395"/>
  <c r="L239"/>
  <c r="L95"/>
  <c r="K1022"/>
  <c r="K710"/>
  <c r="K398"/>
  <c r="K1071"/>
  <c r="K735"/>
  <c r="K423"/>
  <c r="K3556"/>
  <c r="K3388"/>
  <c r="K3196"/>
  <c r="K3028"/>
  <c r="K2884"/>
  <c r="K2740"/>
  <c r="K2596"/>
  <c r="K2452"/>
  <c r="K2308"/>
  <c r="K2188"/>
  <c r="L2056"/>
  <c r="L1924"/>
  <c r="L1804"/>
  <c r="K1696"/>
  <c r="K1564"/>
  <c r="K1444"/>
  <c r="K1312"/>
  <c r="L1180"/>
  <c r="L1048"/>
  <c r="L928"/>
  <c r="K820"/>
  <c r="K688"/>
  <c r="K592"/>
  <c r="L484"/>
  <c r="K400"/>
  <c r="K1373"/>
  <c r="L1265"/>
  <c r="K1181"/>
  <c r="K1085"/>
  <c r="K989"/>
  <c r="K905"/>
  <c r="K821"/>
  <c r="K737"/>
  <c r="K653"/>
  <c r="K557"/>
  <c r="K473"/>
  <c r="K389"/>
  <c r="L254"/>
  <c r="K111"/>
  <c r="K328"/>
  <c r="K256"/>
  <c r="K184"/>
  <c r="K112"/>
  <c r="K40"/>
  <c r="K329"/>
  <c r="K257"/>
  <c r="K185"/>
  <c r="K113"/>
  <c r="K41"/>
  <c r="K117"/>
  <c r="L2064"/>
  <c r="L1537"/>
  <c r="K2213"/>
  <c r="L666"/>
  <c r="L90"/>
  <c r="K2899"/>
  <c r="K2323"/>
  <c r="K1651"/>
  <c r="K1063"/>
  <c r="K1844"/>
  <c r="K1244"/>
  <c r="K656"/>
  <c r="L1077"/>
  <c r="L1450"/>
  <c r="L1054"/>
  <c r="L1403"/>
  <c r="L971"/>
  <c r="L671"/>
  <c r="K552"/>
  <c r="K264"/>
  <c r="K841"/>
  <c r="K553"/>
  <c r="K265"/>
  <c r="L2246"/>
  <c r="K1802"/>
  <c r="L1658"/>
  <c r="K500"/>
  <c r="K405"/>
  <c r="L634"/>
  <c r="L178"/>
  <c r="L443"/>
  <c r="K143"/>
  <c r="L494"/>
  <c r="K831"/>
  <c r="L3436"/>
  <c r="L2920"/>
  <c r="L2488"/>
  <c r="K2212"/>
  <c r="L1840"/>
  <c r="K1480"/>
  <c r="K1096"/>
  <c r="L832"/>
  <c r="K520"/>
  <c r="K1301"/>
  <c r="L1013"/>
  <c r="L749"/>
  <c r="L485"/>
  <c r="K207"/>
  <c r="L196"/>
  <c r="K44"/>
  <c r="L197"/>
  <c r="L53"/>
  <c r="L285"/>
  <c r="L702"/>
  <c r="L3211"/>
  <c r="L2635"/>
  <c r="L2059"/>
  <c r="L1375"/>
  <c r="L799"/>
  <c r="L223"/>
  <c r="L1268"/>
  <c r="L680"/>
  <c r="L1101"/>
  <c r="K1690"/>
  <c r="K1258"/>
  <c r="K1127"/>
  <c r="L696"/>
  <c r="L552"/>
  <c r="L264"/>
  <c r="L120"/>
  <c r="L697"/>
  <c r="L265"/>
  <c r="K1814"/>
  <c r="K1238"/>
  <c r="K79"/>
  <c r="K646"/>
  <c r="L46"/>
  <c r="L287"/>
  <c r="L543"/>
  <c r="L3268"/>
  <c r="K2500"/>
  <c r="K1984"/>
  <c r="L1216"/>
  <c r="K856"/>
  <c r="L1397"/>
  <c r="K1025"/>
  <c r="K677"/>
  <c r="K352"/>
  <c r="K64"/>
  <c r="K281"/>
  <c r="K1221"/>
  <c r="K2357"/>
  <c r="K702"/>
  <c r="K414"/>
  <c r="K3223"/>
  <c r="K2647"/>
  <c r="K2071"/>
  <c r="K1687"/>
  <c r="K1099"/>
  <c r="K523"/>
  <c r="K1580"/>
  <c r="K980"/>
  <c r="K1413"/>
  <c r="L825"/>
  <c r="L1258"/>
  <c r="L1127"/>
  <c r="L539"/>
  <c r="L564"/>
  <c r="L276"/>
  <c r="L997"/>
  <c r="L565"/>
  <c r="L133"/>
  <c r="L1814"/>
  <c r="L1238"/>
  <c r="L512"/>
  <c r="K212"/>
  <c r="L646"/>
  <c r="K46"/>
  <c r="K11"/>
  <c r="K459"/>
  <c r="L3448"/>
  <c r="L3678"/>
  <c r="L3503"/>
  <c r="L1920"/>
  <c r="L1056"/>
  <c r="K3121"/>
  <c r="L2257"/>
  <c r="L1393"/>
  <c r="K2933"/>
  <c r="K2069"/>
  <c r="K882"/>
  <c r="K594"/>
  <c r="K306"/>
  <c r="K1939"/>
  <c r="K3115"/>
  <c r="K2827"/>
  <c r="K2539"/>
  <c r="K2251"/>
  <c r="K1927"/>
  <c r="K1579"/>
  <c r="L1279"/>
  <c r="L991"/>
  <c r="L703"/>
  <c r="L415"/>
  <c r="K1772"/>
  <c r="K1472"/>
  <c r="K1160"/>
  <c r="K872"/>
  <c r="K584"/>
  <c r="K1305"/>
  <c r="L1005"/>
  <c r="L741"/>
  <c r="K1618"/>
  <c r="L1390"/>
  <c r="L1198"/>
  <c r="L1018"/>
  <c r="L838"/>
  <c r="L1367"/>
  <c r="L1223"/>
  <c r="L1079"/>
  <c r="L935"/>
  <c r="L779"/>
  <c r="L635"/>
  <c r="K804"/>
  <c r="K660"/>
  <c r="K516"/>
  <c r="K372"/>
  <c r="K228"/>
  <c r="K84"/>
  <c r="K949"/>
  <c r="K805"/>
  <c r="K661"/>
  <c r="K517"/>
  <c r="K373"/>
  <c r="K229"/>
  <c r="K85"/>
  <c r="L2210"/>
  <c r="L2066"/>
  <c r="L1922"/>
  <c r="K1766"/>
  <c r="K1622"/>
  <c r="L1478"/>
  <c r="K1334"/>
  <c r="L1190"/>
  <c r="L187"/>
  <c r="L31"/>
  <c r="L464"/>
  <c r="L308"/>
  <c r="L164"/>
  <c r="K513"/>
  <c r="K369"/>
  <c r="L742"/>
  <c r="L598"/>
  <c r="K442"/>
  <c r="L286"/>
  <c r="L142"/>
  <c r="K1131"/>
  <c r="K407"/>
  <c r="K251"/>
  <c r="K107"/>
  <c r="L1022"/>
  <c r="L710"/>
  <c r="L398"/>
  <c r="L1071"/>
  <c r="L735"/>
  <c r="L423"/>
  <c r="L3556"/>
  <c r="L3388"/>
  <c r="L3196"/>
  <c r="L3028"/>
  <c r="L2884"/>
  <c r="L2740"/>
  <c r="L2596"/>
  <c r="L2452"/>
  <c r="L2308"/>
  <c r="K2200"/>
  <c r="K2068"/>
  <c r="K1948"/>
  <c r="K1828"/>
  <c r="L1696"/>
  <c r="L1564"/>
  <c r="L1444"/>
  <c r="K1324"/>
  <c r="K1192"/>
  <c r="K1072"/>
  <c r="K952"/>
  <c r="L820"/>
  <c r="L688"/>
  <c r="K604"/>
  <c r="K496"/>
  <c r="L400"/>
  <c r="K1385"/>
  <c r="K1277"/>
  <c r="L1181"/>
  <c r="K1097"/>
  <c r="L989"/>
  <c r="L905"/>
  <c r="L821"/>
  <c r="L737"/>
  <c r="L653"/>
  <c r="L557"/>
  <c r="L473"/>
  <c r="L389"/>
  <c r="L249"/>
  <c r="K135"/>
  <c r="L328"/>
  <c r="L256"/>
  <c r="L184"/>
  <c r="L112"/>
  <c r="L40"/>
  <c r="L329"/>
  <c r="L257"/>
  <c r="L185"/>
  <c r="L113"/>
  <c r="L41"/>
  <c r="K165"/>
  <c r="K20"/>
  <c r="K197"/>
  <c r="K53"/>
  <c r="K1959"/>
  <c r="K487"/>
  <c r="K1678"/>
  <c r="L1259"/>
  <c r="L527"/>
  <c r="K120"/>
  <c r="K409"/>
  <c r="L2102"/>
  <c r="L1370"/>
  <c r="K334"/>
  <c r="L806"/>
  <c r="K1058"/>
  <c r="L2776"/>
  <c r="K1972"/>
  <c r="K1336"/>
  <c r="L712"/>
  <c r="K1397"/>
  <c r="L917"/>
  <c r="L581"/>
  <c r="L340"/>
  <c r="L124"/>
  <c r="L269"/>
  <c r="K237"/>
  <c r="L1935"/>
  <c r="K2410"/>
  <c r="K2064"/>
  <c r="K1200"/>
  <c r="L3253"/>
  <c r="L2389"/>
  <c r="L1525"/>
  <c r="L3065"/>
  <c r="L2201"/>
  <c r="K1026"/>
  <c r="K666"/>
  <c r="K378"/>
  <c r="K90"/>
  <c r="L3175"/>
  <c r="L2887"/>
  <c r="L2599"/>
  <c r="L2311"/>
  <c r="L2011"/>
  <c r="K1639"/>
  <c r="L1339"/>
  <c r="L1051"/>
  <c r="L763"/>
  <c r="L475"/>
  <c r="L1832"/>
  <c r="L1532"/>
  <c r="L1232"/>
  <c r="K932"/>
  <c r="K644"/>
  <c r="L1365"/>
  <c r="L1065"/>
  <c r="L777"/>
  <c r="L1666"/>
  <c r="L1438"/>
  <c r="K1246"/>
  <c r="L1042"/>
  <c r="K886"/>
  <c r="K1403"/>
  <c r="K1259"/>
  <c r="K1115"/>
  <c r="K971"/>
  <c r="K815"/>
  <c r="K671"/>
  <c r="K527"/>
  <c r="L684"/>
  <c r="L540"/>
  <c r="L396"/>
  <c r="L252"/>
  <c r="L108"/>
  <c r="L973"/>
  <c r="L829"/>
  <c r="L685"/>
  <c r="L541"/>
  <c r="L397"/>
  <c r="L253"/>
  <c r="L109"/>
  <c r="K2246"/>
  <c r="K2102"/>
  <c r="K1958"/>
  <c r="L1802"/>
  <c r="K1658"/>
  <c r="L1514"/>
  <c r="K1370"/>
  <c r="K1226"/>
  <c r="L3400"/>
  <c r="K67"/>
  <c r="L500"/>
  <c r="K344"/>
  <c r="K200"/>
  <c r="K537"/>
  <c r="L393"/>
  <c r="K778"/>
  <c r="K634"/>
  <c r="L478"/>
  <c r="L334"/>
  <c r="K178"/>
  <c r="K34"/>
  <c r="L431"/>
  <c r="K275"/>
  <c r="K131"/>
  <c r="L127"/>
  <c r="K806"/>
  <c r="K494"/>
  <c r="L586"/>
  <c r="L831"/>
  <c r="K519"/>
  <c r="K914"/>
  <c r="K3436"/>
  <c r="K3244"/>
  <c r="K3064"/>
  <c r="K2920"/>
  <c r="K2776"/>
  <c r="K2632"/>
  <c r="K2488"/>
  <c r="K2344"/>
  <c r="L2200"/>
  <c r="L2068"/>
  <c r="L1948"/>
  <c r="K1840"/>
  <c r="K1708"/>
  <c r="K1588"/>
  <c r="K1468"/>
  <c r="L1324"/>
  <c r="L1192"/>
  <c r="L1072"/>
  <c r="K964"/>
  <c r="K832"/>
  <c r="K712"/>
  <c r="L604"/>
  <c r="L496"/>
  <c r="K412"/>
  <c r="L1385"/>
  <c r="L1277"/>
  <c r="K1193"/>
  <c r="L1097"/>
  <c r="K1013"/>
  <c r="K917"/>
  <c r="K833"/>
  <c r="K749"/>
  <c r="K665"/>
  <c r="K581"/>
  <c r="K485"/>
  <c r="K401"/>
  <c r="L299"/>
  <c r="K159"/>
  <c r="K340"/>
  <c r="K268"/>
  <c r="K196"/>
  <c r="K124"/>
  <c r="K52"/>
  <c r="K269"/>
  <c r="K125"/>
  <c r="K189"/>
  <c r="L2410"/>
  <c r="L1200"/>
  <c r="K3265"/>
  <c r="K2401"/>
  <c r="L3077"/>
  <c r="L1026"/>
  <c r="L378"/>
  <c r="K3187"/>
  <c r="K2611"/>
  <c r="K2023"/>
  <c r="L1351"/>
  <c r="K775"/>
  <c r="K1544"/>
  <c r="K944"/>
  <c r="K1377"/>
  <c r="L789"/>
  <c r="L1246"/>
  <c r="L886"/>
  <c r="L1115"/>
  <c r="L815"/>
  <c r="K696"/>
  <c r="K408"/>
  <c r="K985"/>
  <c r="K697"/>
  <c r="K121"/>
  <c r="L1958"/>
  <c r="K1514"/>
  <c r="L1226"/>
  <c r="K1083"/>
  <c r="L67"/>
  <c r="L344"/>
  <c r="L200"/>
  <c r="K549"/>
  <c r="L778"/>
  <c r="K478"/>
  <c r="L34"/>
  <c r="K287"/>
  <c r="K866"/>
  <c r="L3304"/>
  <c r="L519"/>
  <c r="L3244"/>
  <c r="L3064"/>
  <c r="L2632"/>
  <c r="L2344"/>
  <c r="K2092"/>
  <c r="L1708"/>
  <c r="L1588"/>
  <c r="K1216"/>
  <c r="L964"/>
  <c r="K616"/>
  <c r="L412"/>
  <c r="L1193"/>
  <c r="K1109"/>
  <c r="L833"/>
  <c r="L665"/>
  <c r="L401"/>
  <c r="K794"/>
  <c r="L268"/>
  <c r="L52"/>
  <c r="L125"/>
  <c r="K3310"/>
  <c r="L1481"/>
  <c r="L414"/>
  <c r="L126"/>
  <c r="L2923"/>
  <c r="L2347"/>
  <c r="L1675"/>
  <c r="L1087"/>
  <c r="L511"/>
  <c r="L1568"/>
  <c r="L968"/>
  <c r="L1401"/>
  <c r="L813"/>
  <c r="K1450"/>
  <c r="K1415"/>
  <c r="K539"/>
  <c r="L408"/>
  <c r="L985"/>
  <c r="L553"/>
  <c r="K2258"/>
  <c r="K1526"/>
  <c r="L18"/>
  <c r="K512"/>
  <c r="K790"/>
  <c r="L190"/>
  <c r="K443"/>
  <c r="K518"/>
  <c r="K3448"/>
  <c r="K2644"/>
  <c r="L2092"/>
  <c r="L1480"/>
  <c r="K1108"/>
  <c r="K532"/>
  <c r="L1109"/>
  <c r="K761"/>
  <c r="K509"/>
  <c r="K208"/>
  <c r="K92"/>
  <c r="K261"/>
  <c r="L3310"/>
  <c r="K1493"/>
  <c r="K126"/>
  <c r="K2935"/>
  <c r="K2359"/>
  <c r="K1387"/>
  <c r="K811"/>
  <c r="K235"/>
  <c r="K1280"/>
  <c r="K692"/>
  <c r="L1113"/>
  <c r="L1690"/>
  <c r="L1078"/>
  <c r="L983"/>
  <c r="L708"/>
  <c r="L420"/>
  <c r="L132"/>
  <c r="L709"/>
  <c r="L421"/>
  <c r="L1970"/>
  <c r="L1382"/>
  <c r="L79"/>
  <c r="L368"/>
  <c r="K417"/>
  <c r="L346"/>
  <c r="L155"/>
  <c r="K830"/>
  <c r="K543"/>
  <c r="L2932"/>
  <c r="L1852"/>
  <c r="L424"/>
  <c r="L413"/>
  <c r="L65"/>
  <c r="L1984"/>
  <c r="L532"/>
  <c r="L509"/>
  <c r="L137"/>
  <c r="K3268"/>
  <c r="L1732"/>
  <c r="K2116"/>
  <c r="K628"/>
  <c r="L593"/>
  <c r="L209"/>
  <c r="K2236"/>
  <c r="K748"/>
  <c r="L677"/>
  <c r="L281"/>
  <c r="K1372"/>
  <c r="K1624"/>
  <c r="K285"/>
  <c r="L2356"/>
  <c r="L856"/>
  <c r="L761"/>
  <c r="K116"/>
  <c r="L845"/>
  <c r="L1108"/>
  <c r="L136"/>
  <c r="L1025"/>
  <c r="K3076"/>
  <c r="L1205"/>
  <c r="L1313"/>
  <c r="K1082"/>
  <c r="L2500"/>
  <c r="L976"/>
  <c r="L64"/>
  <c r="L208"/>
  <c r="K1121"/>
  <c r="L352"/>
  <c r="L2208"/>
  <c r="L2644"/>
  <c r="L941"/>
  <c r="L280"/>
  <c r="L231"/>
  <c r="L2788"/>
  <c r="K1240"/>
  <c r="K1492"/>
  <c r="K134"/>
  <c r="L298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>
  <authors>
    <author>ezhilan_enian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<sst xmlns="http://schemas.openxmlformats.org/spreadsheetml/2006/main" count="24159" uniqueCount="4052">
  <si>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</si>
  <si>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</si>
  <si>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</si>
  <si>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</si>
  <si>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</si>
  <si>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</si>
  <si>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</si>
  <si>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</si>
  <si>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</si>
  <si>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</si>
  <si>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</si>
  <si>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</si>
  <si>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</si>
  <si>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</si>
  <si>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</si>
  <si>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</si>
  <si>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</si>
  <si>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</si>
  <si>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</si>
  <si>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</si>
  <si>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</si>
  <si>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</si>
  <si>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</si>
  <si>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</si>
  <si>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</si>
  <si>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</si>
  <si>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</si>
  <si>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</si>
  <si>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</si>
  <si>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</si>
  <si>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</si>
  <si>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</si>
  <si>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</si>
  <si>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</si>
  <si>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</si>
  <si>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</si>
  <si>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</si>
  <si>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</si>
  <si>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</si>
  <si>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</si>
  <si>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</si>
  <si>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</si>
  <si>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</si>
  <si>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</si>
  <si>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</si>
  <si>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</si>
  <si>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</si>
  <si>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</si>
  <si>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</si>
  <si>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</si>
  <si>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</si>
  <si>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</si>
  <si>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</si>
  <si>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</si>
  <si>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</si>
  <si>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</si>
  <si>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</si>
  <si>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</si>
  <si>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</si>
  <si>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</si>
  <si>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</si>
  <si>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</si>
  <si>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</si>
  <si>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</si>
  <si>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</si>
  <si>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</si>
  <si>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</si>
  <si>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</si>
  <si>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</si>
  <si>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</si>
  <si>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</si>
  <si>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</si>
  <si>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</si>
  <si>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</si>
  <si>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</si>
  <si>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</si>
  <si>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</si>
  <si>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</si>
  <si>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</si>
  <si>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</si>
  <si>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</si>
  <si>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</si>
  <si>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</si>
  <si>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</si>
  <si>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</si>
  <si>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</si>
  <si>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</si>
  <si>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</si>
  <si>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</si>
  <si>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</si>
  <si>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</si>
  <si>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</si>
  <si>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</si>
  <si>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</si>
  <si>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</si>
  <si>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</si>
  <si>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</si>
  <si>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</si>
  <si>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</si>
  <si>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</si>
  <si>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</si>
  <si>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</si>
  <si>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</si>
  <si>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</si>
  <si>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</si>
  <si>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</si>
  <si>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</si>
  <si>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</si>
  <si>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</si>
  <si>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</si>
  <si>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</si>
  <si>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</si>
  <si>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</si>
  <si>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</si>
  <si>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</si>
  <si>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</si>
  <si>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</si>
  <si>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</si>
  <si>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</si>
  <si>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</si>
  <si>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</si>
  <si>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</si>
  <si>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</si>
  <si>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</si>
  <si>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</si>
  <si>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</si>
  <si>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</si>
  <si>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</si>
  <si>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</si>
  <si>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</si>
  <si>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</si>
  <si>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</si>
  <si>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</si>
  <si>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</si>
  <si>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</si>
  <si>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</si>
  <si>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</si>
  <si>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</si>
  <si>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</si>
  <si>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</si>
  <si>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</si>
  <si>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</si>
  <si>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</si>
  <si>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</si>
  <si>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</si>
  <si>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</si>
  <si>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</si>
  <si>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</si>
  <si>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</si>
  <si>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</si>
  <si>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</si>
  <si>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</si>
  <si>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</si>
  <si>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</si>
  <si>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</si>
  <si>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</si>
  <si>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</si>
  <si>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</si>
  <si>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</si>
  <si>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</si>
  <si>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</si>
  <si>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</si>
  <si>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</si>
  <si>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</si>
  <si>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</si>
  <si>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</si>
  <si>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</si>
  <si>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</si>
  <si>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</si>
  <si>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</si>
  <si>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</si>
  <si>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</si>
  <si>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</si>
  <si>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</si>
  <si>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</si>
  <si>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</si>
  <si>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</si>
  <si>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</si>
  <si>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</si>
  <si>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</si>
  <si>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</si>
  <si>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</si>
  <si>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</si>
  <si>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</si>
  <si>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</si>
  <si>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</si>
  <si>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</si>
  <si>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</si>
  <si>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</si>
  <si>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</si>
  <si>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</si>
  <si>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</si>
  <si>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</si>
  <si>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</si>
  <si>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</si>
  <si>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</si>
  <si>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</si>
  <si>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</si>
  <si>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</si>
  <si>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</si>
  <si>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</si>
  <si>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</si>
  <si>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</si>
  <si>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</si>
  <si>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</si>
  <si>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</si>
  <si>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</si>
  <si>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</si>
  <si>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</si>
  <si>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</si>
  <si>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</si>
  <si>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</si>
  <si>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</si>
  <si>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</si>
  <si>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</si>
  <si>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</si>
  <si>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</si>
  <si>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</si>
  <si>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</si>
  <si>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</si>
  <si>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</si>
  <si>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</si>
  <si>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</si>
  <si>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</si>
  <si>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</si>
  <si>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</si>
  <si>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</si>
  <si>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</si>
  <si>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</si>
  <si>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</si>
  <si>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</si>
  <si>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</si>
  <si>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</si>
  <si>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</si>
  <si>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</si>
  <si>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</si>
  <si>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</si>
  <si>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</si>
  <si>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</si>
  <si>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</si>
  <si>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</si>
  <si>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</si>
  <si>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</si>
  <si>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</si>
  <si>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</si>
  <si>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</si>
  <si>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</si>
  <si>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</si>
  <si>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</si>
  <si>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</si>
  <si>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</si>
  <si>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</si>
  <si>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</si>
  <si>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</si>
  <si>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</si>
  <si>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</si>
  <si>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</si>
  <si>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</si>
  <si>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</si>
  <si>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</si>
  <si>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</si>
  <si>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</si>
  <si>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</si>
  <si>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</si>
  <si>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</si>
  <si>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</si>
  <si>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</si>
  <si>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</si>
  <si>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</si>
  <si>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</si>
  <si>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</si>
  <si>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</si>
  <si>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</si>
  <si>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</si>
  <si>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</si>
  <si>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</si>
  <si>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</si>
  <si>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</si>
  <si>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</si>
  <si>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</si>
  <si>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</si>
  <si>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</si>
  <si>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</si>
  <si>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</si>
  <si>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</si>
  <si>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</si>
  <si>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</si>
  <si>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</si>
  <si>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</si>
  <si>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</si>
  <si>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</si>
  <si>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</si>
  <si>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</si>
  <si>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</si>
  <si>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</si>
  <si>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</si>
  <si>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</si>
  <si>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</si>
  <si>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</si>
  <si>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</si>
  <si>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</si>
  <si>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</si>
  <si>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</si>
  <si>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</si>
  <si>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</si>
  <si>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</si>
  <si>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</si>
  <si>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</si>
  <si>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</si>
  <si>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</si>
  <si>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</si>
  <si>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</si>
  <si>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</si>
  <si>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</si>
  <si>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</si>
  <si>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</si>
  <si>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</si>
  <si>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</si>
  <si>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</si>
  <si>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</si>
  <si>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</si>
  <si>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</si>
  <si>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</si>
  <si>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</si>
  <si>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</si>
  <si>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</si>
  <si>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</si>
  <si>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</si>
  <si>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</si>
  <si>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</si>
  <si>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</si>
  <si>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</si>
  <si>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</si>
  <si>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</si>
  <si>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</si>
  <si>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</si>
  <si>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</si>
  <si>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</si>
  <si>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</si>
  <si>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</si>
  <si>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</si>
  <si>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</si>
  <si>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</si>
  <si>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</si>
  <si>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</si>
  <si>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</si>
  <si>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</si>
  <si>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</si>
  <si>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</si>
  <si>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</si>
  <si>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</si>
  <si>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</si>
  <si>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</si>
  <si>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</si>
  <si>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</si>
  <si>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</si>
  <si>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</si>
  <si>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</si>
  <si>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</si>
  <si>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</si>
  <si>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</si>
  <si>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</si>
  <si>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</si>
  <si>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</si>
  <si>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</si>
  <si>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</si>
  <si>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</si>
  <si>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</si>
  <si>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</si>
  <si>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</si>
  <si>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</si>
  <si>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</si>
  <si>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</si>
  <si>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</si>
  <si>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</si>
  <si>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</si>
  <si>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</si>
  <si>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</si>
  <si>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</si>
  <si>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</si>
  <si>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</si>
  <si>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</si>
  <si>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</si>
  <si>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</si>
  <si>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</si>
  <si>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</si>
  <si>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</si>
  <si>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</si>
  <si>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</si>
  <si>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</si>
  <si>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</si>
  <si>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</si>
  <si>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</si>
  <si>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</si>
  <si>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</si>
  <si>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</si>
  <si>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</si>
  <si>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</si>
  <si>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</si>
  <si>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</si>
  <si>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</si>
  <si>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</si>
  <si>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</si>
  <si>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</si>
  <si>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</si>
  <si>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</si>
  <si>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</si>
  <si>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</si>
  <si>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</si>
  <si>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</si>
  <si>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</si>
  <si>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</si>
  <si>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</si>
  <si>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</si>
  <si>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</si>
  <si>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</si>
  <si>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</si>
  <si>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</si>
  <si>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</si>
  <si>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</si>
  <si>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</si>
  <si>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</si>
  <si>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</si>
  <si>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</si>
  <si>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</si>
  <si>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</si>
  <si>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</si>
  <si>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</si>
  <si>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</si>
  <si>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</si>
  <si>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</si>
  <si>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</si>
  <si>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</si>
  <si>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</si>
  <si>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</si>
  <si>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</si>
  <si>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</si>
  <si>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</si>
  <si>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</si>
  <si>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</si>
  <si>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</si>
  <si>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</si>
  <si>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</si>
  <si>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</si>
  <si>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</si>
  <si>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</si>
  <si>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</si>
  <si>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</si>
  <si>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</si>
  <si>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</si>
  <si>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</si>
  <si>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</si>
  <si>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</si>
  <si>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</si>
  <si>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</si>
  <si>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</si>
  <si>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</si>
  <si>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</si>
  <si>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</si>
  <si>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</si>
  <si>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</si>
  <si>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</si>
  <si>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</si>
  <si>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</si>
  <si>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</si>
  <si>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</si>
  <si>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</si>
  <si>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</si>
  <si>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</si>
  <si>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</si>
  <si>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</si>
  <si>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</si>
  <si>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</si>
  <si>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</si>
  <si>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</si>
  <si>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</si>
  <si>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</si>
  <si>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</si>
  <si>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</si>
  <si>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</si>
  <si>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</si>
  <si>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</si>
  <si>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</si>
  <si>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</si>
  <si>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</si>
  <si>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</si>
  <si>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</si>
  <si>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</si>
  <si>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</si>
  <si>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</si>
  <si>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</si>
  <si>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</si>
  <si>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</si>
  <si>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</si>
  <si>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</si>
  <si>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</si>
  <si>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</si>
  <si>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</si>
  <si>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</si>
  <si>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</si>
  <si>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</si>
  <si>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</si>
  <si>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</si>
  <si>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</si>
  <si>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</si>
  <si>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</si>
  <si>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</si>
  <si>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</si>
  <si>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</si>
  <si>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</si>
  <si>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</si>
  <si>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</si>
  <si>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</si>
  <si>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</si>
  <si>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</si>
  <si>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</si>
  <si>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</si>
  <si>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</si>
  <si>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</si>
  <si>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</si>
  <si>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</si>
  <si>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</si>
  <si>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</si>
  <si>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</si>
  <si>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</si>
  <si>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</si>
  <si>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</si>
  <si>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</si>
  <si>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</si>
  <si>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</si>
  <si>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</si>
  <si>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</si>
  <si>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</si>
  <si>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</si>
  <si>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</si>
  <si>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</si>
  <si>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</si>
  <si>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</si>
  <si>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</si>
  <si>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</si>
  <si>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</si>
  <si>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</si>
  <si>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</si>
  <si>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</si>
  <si>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</si>
  <si>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</si>
  <si>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</si>
  <si>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</si>
  <si>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</si>
  <si>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</si>
  <si>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</si>
  <si>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</si>
  <si>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</si>
  <si>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</si>
  <si>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</si>
  <si>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</si>
  <si>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</si>
  <si>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</si>
  <si>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</si>
  <si>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</si>
  <si>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</si>
  <si>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</si>
  <si>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</si>
  <si>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</si>
  <si>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</si>
  <si>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</si>
  <si>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</si>
  <si>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</si>
  <si>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</si>
  <si>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</si>
  <si>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</si>
  <si>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</si>
  <si>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</si>
  <si>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</si>
  <si>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</si>
  <si>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</si>
  <si>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</si>
  <si>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</si>
  <si>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</si>
  <si>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</si>
  <si>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</si>
  <si>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</si>
  <si>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</si>
  <si>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</si>
  <si>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</si>
  <si>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</si>
  <si>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</si>
  <si>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</si>
  <si>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</si>
  <si>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</si>
  <si>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</si>
  <si>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</si>
  <si>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</si>
  <si>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</si>
  <si>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</si>
  <si>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</si>
  <si>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</si>
  <si>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</si>
  <si>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</si>
  <si>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</si>
  <si>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</si>
  <si>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</si>
  <si>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</si>
  <si>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</si>
  <si>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</si>
  <si>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</si>
  <si>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</si>
  <si>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</si>
  <si>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</si>
  <si>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</si>
  <si>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</si>
  <si>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</si>
  <si>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</si>
  <si>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</si>
  <si>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</si>
  <si>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</si>
  <si>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</si>
  <si>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</si>
  <si>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</si>
  <si>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</si>
  <si>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</si>
  <si>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</si>
  <si>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</si>
  <si>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</si>
  <si>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</si>
  <si>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</si>
  <si>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</si>
  <si>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</si>
  <si>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</si>
  <si>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</si>
  <si>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</si>
  <si>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</si>
  <si>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</si>
  <si>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</si>
  <si>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</si>
  <si>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</si>
  <si>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</si>
  <si>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</si>
  <si>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</si>
  <si>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</si>
  <si>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</si>
  <si>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</si>
  <si>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</si>
  <si>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</si>
  <si>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</si>
  <si>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</si>
  <si>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</si>
  <si>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</si>
  <si>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</si>
  <si>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</si>
  <si>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</si>
  <si>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</si>
  <si>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</si>
  <si>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</si>
  <si>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</si>
  <si>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</si>
  <si>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</si>
  <si>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</si>
  <si>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</si>
  <si>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</si>
  <si>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</si>
  <si>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</si>
  <si>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</si>
  <si>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</si>
  <si>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</si>
  <si>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</si>
  <si>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</si>
  <si>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</si>
  <si>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</si>
  <si>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</si>
  <si>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</si>
  <si>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</si>
  <si>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</si>
  <si>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</si>
  <si>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</si>
  <si>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</si>
  <si>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</si>
  <si>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</si>
  <si>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</si>
  <si>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</si>
  <si>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</si>
  <si>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</si>
  <si>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</si>
  <si>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</si>
  <si>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</si>
  <si>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</si>
  <si>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</si>
  <si>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</si>
  <si>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</si>
  <si>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</si>
  <si>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</si>
  <si>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</si>
  <si>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</si>
  <si>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</si>
  <si>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</si>
  <si>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</si>
  <si>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</si>
  <si>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</si>
  <si>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</si>
  <si>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</si>
  <si>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</si>
  <si>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</si>
  <si>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</si>
  <si>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</si>
  <si>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</si>
  <si>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</si>
  <si>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</si>
  <si>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</si>
  <si>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</si>
  <si>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</si>
  <si>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</si>
  <si>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</si>
  <si>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</si>
  <si>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</si>
  <si>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</si>
  <si>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</si>
  <si>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</si>
  <si>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</si>
  <si>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</si>
  <si>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</si>
  <si>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</si>
  <si>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</si>
  <si>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</si>
  <si>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</si>
  <si>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</si>
  <si>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</si>
  <si>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</si>
  <si>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</si>
  <si>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</si>
  <si>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</si>
  <si>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</si>
  <si>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</si>
  <si>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</si>
  <si>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</si>
  <si>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</si>
  <si>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</si>
  <si>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</si>
  <si>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</si>
  <si>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</si>
  <si>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</si>
  <si>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</si>
  <si>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</si>
  <si>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</si>
  <si>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</si>
  <si>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</si>
  <si>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</si>
  <si>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</si>
  <si>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</si>
  <si>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</si>
  <si>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</si>
  <si>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</si>
  <si>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</si>
  <si>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</si>
  <si>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</si>
  <si>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</si>
  <si>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</si>
  <si>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</si>
  <si>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</si>
  <si>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</si>
  <si>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</si>
  <si>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</si>
  <si>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</si>
  <si>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</si>
  <si>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</si>
  <si>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</si>
  <si>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</si>
  <si>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</si>
  <si>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</si>
  <si>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</si>
  <si>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</si>
  <si>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</si>
  <si>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</si>
  <si>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</si>
  <si>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</si>
  <si>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</si>
  <si>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</si>
  <si>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</si>
  <si>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</si>
  <si>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</si>
  <si>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</si>
  <si>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</si>
  <si>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</si>
  <si>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</si>
  <si>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</si>
  <si>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</si>
  <si>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</si>
  <si>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</si>
  <si>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</si>
  <si>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</si>
  <si>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</si>
  <si>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</si>
  <si>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</si>
  <si>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</si>
  <si>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</si>
  <si>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</si>
  <si>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</si>
  <si>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</si>
  <si>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</si>
  <si>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</si>
  <si>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</si>
  <si>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</si>
  <si>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</si>
  <si>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</si>
  <si>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</si>
  <si>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</si>
  <si>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</si>
  <si>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</si>
  <si>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</si>
  <si>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</si>
  <si>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</si>
  <si>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</si>
  <si>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</si>
  <si>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</si>
  <si>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</si>
  <si>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</si>
  <si>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</si>
  <si>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</si>
  <si>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</si>
  <si>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</si>
  <si>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</si>
  <si>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</si>
  <si>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</si>
  <si>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</si>
  <si>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</si>
  <si>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</si>
  <si>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</si>
  <si>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</si>
  <si>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</si>
  <si>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</si>
  <si>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</si>
  <si>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</si>
  <si>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</si>
  <si>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</si>
  <si>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</si>
  <si>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</si>
  <si>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</si>
  <si>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</si>
  <si>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</si>
  <si>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</si>
  <si>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</si>
  <si>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</si>
  <si>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</si>
  <si>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</si>
  <si>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</si>
  <si>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</si>
  <si>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</si>
  <si>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</si>
  <si>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</si>
  <si>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</si>
  <si>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</si>
  <si>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</si>
  <si>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</si>
  <si>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</si>
  <si>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</si>
  <si>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</si>
  <si>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</si>
  <si>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</si>
  <si>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</si>
  <si>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</si>
  <si>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</si>
  <si>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</si>
  <si>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</si>
  <si>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</si>
  <si>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</si>
  <si>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</si>
  <si>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</si>
  <si>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</si>
  <si>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</si>
  <si>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</si>
  <si>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</si>
  <si>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</si>
  <si>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</si>
  <si>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</si>
  <si>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</si>
  <si>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</si>
  <si>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</si>
  <si>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</si>
  <si>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</si>
  <si>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</si>
  <si>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</si>
  <si>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</si>
  <si>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</si>
  <si>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</si>
  <si>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</si>
  <si>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</si>
  <si>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</si>
  <si>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</si>
  <si>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</si>
  <si>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</si>
  <si>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</si>
  <si>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</si>
  <si>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</si>
  <si>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</si>
  <si>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</si>
  <si>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</si>
  <si>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</si>
  <si>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</si>
  <si>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</si>
  <si>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</si>
  <si>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</si>
  <si>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</si>
  <si>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</si>
  <si>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</si>
  <si>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</si>
  <si>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</si>
  <si>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</si>
  <si>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</si>
  <si>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</si>
  <si>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</si>
  <si>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</si>
  <si>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</si>
  <si>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</si>
  <si>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</si>
  <si>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</si>
  <si>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</si>
  <si>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</si>
  <si>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</si>
  <si>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</si>
  <si>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</si>
  <si>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</si>
  <si>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</si>
  <si>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</si>
  <si>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</si>
  <si>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</si>
  <si>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</si>
  <si>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</si>
  <si>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</si>
  <si>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</si>
  <si>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</si>
  <si>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</si>
  <si>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</si>
  <si>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</si>
  <si>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</si>
  <si>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</si>
  <si>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</si>
  <si>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</si>
  <si>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</si>
  <si>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</si>
  <si>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</si>
  <si>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</si>
  <si>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</si>
  <si>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</si>
  <si>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</si>
  <si>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</si>
  <si>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</si>
  <si>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</si>
  <si>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</si>
  <si>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</si>
  <si>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</si>
  <si>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</si>
  <si>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</si>
  <si>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</si>
  <si>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</si>
  <si>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</si>
  <si>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</si>
  <si>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</si>
  <si>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</si>
  <si>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</si>
  <si>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</si>
  <si>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</si>
  <si>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</si>
  <si>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</si>
  <si>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</si>
  <si>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</si>
  <si>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</si>
  <si>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</si>
  <si>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</si>
  <si>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</si>
  <si>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</si>
  <si>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</si>
  <si>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</si>
  <si>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</si>
  <si>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</si>
  <si>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</si>
  <si>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</si>
  <si>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</si>
  <si>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</si>
  <si>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</si>
  <si>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</si>
  <si>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</si>
  <si>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</si>
  <si>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</si>
  <si>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</si>
  <si>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</si>
  <si>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</si>
  <si>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</si>
  <si>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</si>
  <si>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</si>
  <si>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</si>
  <si>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</si>
  <si>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</si>
  <si>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</si>
  <si>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</si>
  <si>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</si>
  <si>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</si>
  <si>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</si>
  <si>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</si>
  <si>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</si>
  <si>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</si>
  <si>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</si>
  <si>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</si>
  <si>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</si>
  <si>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</si>
  <si>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</si>
  <si>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</si>
  <si>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</si>
  <si>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</si>
  <si>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</si>
  <si>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</si>
  <si>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</si>
  <si>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</si>
  <si>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</si>
  <si>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</si>
  <si>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</si>
  <si>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</si>
  <si>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</si>
  <si>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</si>
  <si>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</si>
  <si>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</si>
  <si>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</si>
  <si>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</si>
  <si>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</si>
  <si>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</si>
  <si>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</si>
  <si>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</si>
  <si>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</si>
  <si>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</si>
  <si>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</si>
  <si>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</si>
  <si>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</si>
  <si>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</si>
  <si>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</si>
  <si>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</si>
  <si>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</si>
  <si>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</si>
  <si>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</si>
  <si>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</si>
  <si>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</si>
  <si>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</si>
  <si>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</si>
  <si>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</si>
  <si>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</si>
  <si>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</si>
  <si>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</si>
  <si>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</si>
  <si>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</si>
  <si>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</si>
  <si>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</si>
  <si>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</si>
  <si>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</si>
  <si>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</si>
  <si>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</si>
  <si>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</si>
  <si>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</si>
  <si>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</si>
  <si>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</si>
  <si>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</si>
  <si>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</si>
  <si>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</si>
  <si>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</si>
  <si>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</si>
  <si>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</si>
  <si>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</si>
  <si>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</si>
  <si>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</si>
  <si>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</si>
  <si>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</si>
  <si>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</si>
  <si>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</si>
  <si>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</si>
  <si>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</si>
  <si>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</si>
  <si>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</si>
  <si>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</si>
  <si>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</si>
  <si>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</si>
  <si>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</si>
  <si>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</si>
  <si>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</si>
  <si>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</si>
  <si>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</si>
  <si>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</si>
  <si>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</si>
  <si>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</si>
  <si>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</si>
  <si>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</si>
  <si>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</si>
  <si>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</si>
  <si>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</si>
  <si>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</si>
  <si>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</si>
  <si>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</si>
  <si>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</si>
  <si>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</si>
  <si>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</si>
  <si>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</si>
  <si>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</si>
  <si>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</si>
  <si>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</si>
  <si>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</si>
  <si>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</si>
  <si>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</si>
  <si>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</si>
  <si>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</si>
  <si>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</si>
  <si>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</si>
  <si>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</si>
  <si>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</si>
  <si>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</si>
  <si>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</si>
  <si>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</si>
  <si>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</si>
  <si>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</si>
  <si>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</si>
  <si>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</si>
  <si>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</si>
  <si>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</si>
  <si>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</si>
  <si>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</si>
  <si>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</si>
  <si>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</si>
  <si>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</si>
  <si>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</si>
  <si>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</si>
  <si>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</si>
  <si>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</si>
  <si>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</si>
  <si>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</si>
  <si>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</si>
  <si>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</si>
  <si>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</si>
  <si>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</si>
  <si>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</si>
  <si>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</si>
  <si>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</si>
  <si>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</si>
  <si>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</si>
  <si>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</si>
  <si>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</si>
  <si>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</si>
  <si>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</si>
  <si>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</si>
  <si>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</si>
  <si>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</si>
  <si>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</si>
  <si>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</si>
  <si>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</si>
  <si>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</si>
  <si>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</si>
  <si>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</si>
  <si>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</si>
  <si>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</si>
  <si>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</si>
  <si>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</si>
  <si>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</si>
  <si>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</si>
  <si>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</si>
  <si>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</si>
  <si>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</si>
  <si>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</si>
  <si>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</si>
  <si>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</si>
  <si>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</si>
  <si>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</si>
  <si>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</si>
  <si>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</si>
  <si>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</si>
  <si>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</si>
  <si>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</si>
  <si>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</si>
  <si>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</si>
  <si>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</si>
  <si>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</si>
  <si>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</si>
  <si>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</si>
  <si>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</si>
  <si>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</si>
  <si>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</si>
  <si>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</si>
  <si>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</si>
  <si>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</si>
  <si>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</si>
  <si>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</si>
  <si>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</si>
  <si>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</si>
  <si>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</si>
  <si>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</si>
  <si>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</si>
  <si>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</si>
  <si>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</si>
  <si>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</si>
  <si>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</si>
  <si>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</si>
  <si>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</si>
  <si>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</si>
  <si>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</si>
  <si>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</si>
  <si>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</si>
  <si>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</si>
  <si>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</si>
  <si>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</si>
  <si>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</si>
  <si>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</si>
  <si>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</si>
  <si>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</si>
  <si>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</si>
  <si>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</si>
  <si>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</si>
  <si>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</si>
  <si>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</si>
  <si>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</si>
  <si>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</si>
  <si>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</si>
  <si>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</si>
  <si>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</si>
  <si>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</si>
  <si>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</si>
  <si>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</si>
  <si>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</si>
  <si>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</si>
  <si>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</si>
  <si>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</si>
  <si>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</si>
  <si>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</si>
  <si>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</si>
  <si>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</si>
  <si>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</si>
  <si>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</si>
  <si>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</si>
  <si>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</si>
  <si>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</si>
  <si>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</si>
  <si>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</si>
  <si>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</si>
  <si>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</si>
  <si>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</si>
  <si>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</si>
  <si>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</si>
  <si>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</si>
  <si>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</si>
  <si>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</si>
  <si>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</si>
  <si>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</si>
  <si>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</si>
  <si>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</si>
  <si>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</si>
  <si>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</si>
  <si>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</si>
  <si>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</si>
  <si>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</si>
  <si>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</si>
  <si>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</si>
  <si>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</si>
  <si>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</si>
  <si>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</si>
  <si>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</si>
  <si>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</si>
  <si>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</si>
  <si>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</si>
  <si>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</si>
  <si>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</si>
  <si>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</si>
  <si>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</si>
  <si>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</si>
  <si>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</si>
  <si>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</si>
  <si>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</si>
  <si>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</si>
  <si>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</si>
  <si>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</si>
  <si>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</si>
  <si>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</si>
  <si>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</si>
  <si>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</si>
  <si>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</si>
  <si>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</si>
  <si>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</si>
  <si>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</si>
  <si>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</si>
  <si>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</si>
  <si>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</si>
  <si>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</si>
  <si>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</si>
  <si>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</si>
  <si>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</si>
  <si>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</si>
  <si>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</si>
  <si>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</si>
  <si>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</si>
  <si>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</si>
  <si>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</si>
  <si>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</si>
  <si>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</si>
  <si>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</si>
  <si>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</si>
  <si>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</si>
  <si>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</si>
  <si>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</si>
  <si>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</si>
  <si>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</si>
  <si>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</si>
  <si>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</si>
  <si>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</si>
  <si>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</si>
  <si>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</si>
  <si>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</si>
  <si>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</si>
  <si>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</si>
  <si>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</si>
  <si>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</si>
  <si>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</si>
  <si>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</si>
  <si>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</si>
  <si>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</si>
  <si>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</si>
  <si>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</si>
  <si>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</si>
  <si>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</si>
  <si>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</si>
  <si>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</si>
  <si>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</si>
  <si>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</si>
  <si>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</si>
  <si>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</si>
  <si>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</si>
  <si>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</si>
  <si>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</si>
  <si>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</si>
  <si>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</si>
  <si>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</si>
  <si>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</si>
  <si>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</si>
  <si>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</si>
  <si>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</si>
  <si>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</si>
  <si>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</si>
  <si>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</si>
  <si>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</si>
  <si>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</si>
  <si>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</si>
  <si>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</si>
  <si>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</si>
  <si>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</si>
  <si>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</si>
  <si>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</si>
  <si>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</si>
  <si>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</si>
  <si>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</si>
  <si>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</si>
  <si>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</si>
  <si>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</si>
  <si>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</si>
  <si>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</si>
  <si>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</si>
  <si>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</si>
  <si>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</si>
  <si>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</si>
  <si>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</si>
  <si>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</si>
  <si>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</si>
  <si>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</si>
  <si>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</si>
  <si>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</si>
  <si>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</si>
  <si>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</si>
  <si>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</si>
  <si>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</si>
  <si>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</si>
  <si>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</si>
  <si>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</si>
  <si>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</si>
  <si>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</si>
  <si>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</si>
  <si>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</si>
  <si>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</si>
  <si>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</si>
  <si>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</si>
  <si>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</si>
  <si>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</si>
  <si>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</si>
  <si>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</si>
  <si>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</si>
  <si>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</si>
  <si>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</si>
  <si>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</si>
  <si>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</si>
  <si>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</si>
  <si>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</si>
  <si>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</si>
  <si>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</si>
  <si>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</si>
  <si>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</si>
  <si>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</si>
  <si>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</si>
  <si>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</si>
  <si>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</si>
  <si>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</si>
  <si>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</si>
  <si>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</si>
  <si>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</si>
  <si>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</si>
  <si>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</si>
  <si>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</si>
  <si>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</si>
  <si>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</si>
  <si>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</si>
  <si>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</si>
  <si>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</si>
  <si>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</si>
  <si>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</si>
  <si>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</si>
  <si>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</si>
  <si>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</si>
  <si>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</si>
  <si>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</si>
  <si>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</si>
  <si>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</si>
  <si>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</si>
  <si>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</si>
  <si>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</si>
  <si>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</si>
  <si>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</si>
  <si>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</si>
  <si>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</si>
  <si>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</si>
  <si>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</si>
  <si>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</si>
  <si>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</si>
  <si>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</si>
  <si>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</si>
  <si>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</si>
  <si>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</si>
  <si>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</si>
  <si>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</si>
  <si>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</si>
  <si>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</si>
  <si>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</si>
  <si>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</si>
  <si>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</si>
  <si>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</si>
  <si>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</si>
  <si>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</si>
  <si>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</si>
  <si>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</si>
  <si>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</si>
  <si>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</si>
  <si>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</si>
  <si>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</si>
  <si>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</si>
  <si>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</si>
  <si>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</si>
  <si>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</si>
  <si>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</si>
  <si>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</si>
  <si>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</si>
  <si>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</si>
  <si>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</si>
  <si>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</si>
  <si>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</si>
  <si>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</si>
  <si>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</si>
  <si>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</si>
  <si>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</si>
  <si>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</si>
  <si>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</si>
  <si>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</si>
  <si>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</si>
  <si>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</si>
  <si>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</si>
  <si>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</si>
  <si>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</si>
  <si>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</si>
  <si>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</si>
  <si>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</si>
  <si>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</si>
  <si>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</si>
  <si>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</si>
  <si>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</si>
  <si>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</si>
  <si>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</si>
  <si>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</si>
  <si>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</si>
  <si>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</si>
  <si>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</si>
  <si>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</si>
  <si>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</si>
  <si>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</si>
  <si>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</si>
  <si>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</si>
  <si>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</si>
  <si>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</si>
  <si>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</si>
  <si>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</si>
  <si>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</si>
  <si>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</si>
  <si>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</si>
  <si>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</si>
  <si>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</si>
  <si>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</si>
  <si>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</si>
  <si>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</si>
  <si>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</si>
  <si>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</si>
  <si>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</si>
  <si>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</si>
  <si>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</si>
  <si>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</si>
  <si>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</si>
  <si>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</si>
  <si>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</si>
  <si>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</si>
  <si>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</si>
  <si>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</si>
  <si>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</si>
  <si>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</si>
  <si>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</si>
  <si>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</si>
  <si>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</si>
  <si>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</si>
  <si>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</si>
  <si>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</si>
  <si>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</si>
  <si>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</si>
  <si>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</si>
  <si>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</si>
  <si>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</si>
  <si>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</si>
  <si>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</si>
  <si>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</si>
  <si>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</si>
  <si>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</si>
  <si>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</si>
  <si>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</si>
  <si>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</si>
  <si>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</si>
  <si>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</si>
  <si>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</si>
  <si>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</si>
  <si>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</si>
  <si>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</si>
  <si>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</si>
  <si>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</si>
  <si>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</si>
  <si>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</si>
  <si>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</si>
  <si>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</si>
  <si>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</si>
  <si>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</si>
  <si>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</si>
  <si>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</si>
  <si>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</si>
  <si>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</si>
  <si>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</si>
  <si>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</si>
  <si>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</si>
  <si>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</si>
  <si>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</si>
  <si>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</si>
  <si>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</si>
  <si>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</si>
  <si>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</si>
  <si>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</si>
  <si>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</si>
  <si>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</si>
  <si>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</si>
  <si>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</si>
  <si>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</si>
  <si>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</si>
  <si>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</si>
  <si>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</si>
  <si>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</si>
  <si>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</si>
  <si>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</si>
  <si>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</si>
  <si>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</si>
  <si>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</si>
  <si>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</si>
  <si>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</si>
  <si>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</si>
  <si>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</si>
  <si>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</si>
  <si>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</si>
  <si>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</si>
  <si>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</si>
  <si>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</si>
  <si>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</si>
  <si>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</si>
  <si>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</si>
  <si>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</si>
  <si>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</si>
  <si>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</si>
  <si>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</si>
  <si>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</si>
  <si>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</si>
  <si>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</si>
  <si>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</si>
  <si>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</si>
  <si>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</si>
  <si>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</si>
  <si>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</si>
  <si>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</si>
  <si>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</si>
  <si>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</si>
  <si>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</si>
  <si>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</si>
  <si>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</si>
  <si>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</si>
  <si>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</si>
  <si>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</si>
  <si>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</si>
  <si>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</si>
  <si>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</si>
  <si>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</si>
  <si>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</si>
  <si>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</si>
  <si>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</si>
  <si>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</si>
  <si>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</si>
  <si>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</si>
  <si>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</si>
  <si>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</si>
  <si>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</si>
  <si>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</si>
  <si>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</si>
  <si>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</si>
  <si>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</si>
  <si>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</si>
  <si>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</si>
  <si>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</si>
  <si>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</si>
  <si>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</si>
  <si>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</si>
  <si>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</si>
  <si>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</si>
  <si>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</si>
  <si>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</si>
  <si>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</si>
  <si>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</si>
  <si>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</si>
  <si>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</si>
  <si>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</si>
  <si>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</si>
  <si>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</si>
  <si>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</si>
  <si>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</si>
  <si>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</si>
  <si>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</si>
  <si>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</si>
  <si>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</si>
  <si>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</si>
  <si>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</si>
  <si>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</si>
  <si>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</si>
  <si>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</si>
  <si>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</si>
  <si>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</si>
  <si>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</si>
  <si>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</si>
  <si>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</si>
  <si>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</si>
  <si>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</si>
  <si>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</si>
  <si>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</si>
  <si>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</si>
  <si>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</si>
  <si>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</si>
  <si>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</si>
  <si>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</si>
  <si>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</si>
  <si>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</si>
  <si>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</si>
  <si>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</si>
  <si>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</si>
  <si>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</si>
  <si>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</si>
  <si>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</si>
  <si>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</si>
  <si>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</si>
  <si>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</si>
  <si>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</si>
  <si>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</si>
  <si>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</si>
  <si>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</si>
  <si>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</si>
  <si>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</si>
  <si>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</si>
  <si>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</si>
  <si>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</si>
  <si>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</si>
  <si>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</si>
  <si>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</si>
  <si>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</si>
  <si>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</si>
  <si>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</si>
  <si>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</si>
  <si>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</si>
  <si>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</si>
  <si>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</si>
  <si>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</si>
  <si>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</si>
  <si>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</si>
  <si>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</si>
  <si>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</si>
  <si>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</si>
  <si>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</si>
  <si>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</si>
  <si>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</si>
  <si>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</si>
  <si>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</si>
  <si>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</si>
  <si>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</si>
  <si>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</si>
  <si>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</si>
  <si>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</si>
  <si>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</si>
  <si>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</si>
  <si>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</si>
  <si>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</si>
  <si>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</si>
  <si>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</si>
  <si>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</si>
  <si>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</si>
  <si>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</si>
  <si>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</si>
  <si>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</si>
  <si>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</si>
  <si>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</si>
  <si>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</si>
  <si>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</si>
  <si>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</si>
  <si>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</si>
  <si>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</si>
  <si>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</si>
  <si>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</si>
  <si>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</si>
  <si>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</si>
  <si>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</si>
  <si>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</si>
  <si>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</si>
  <si>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</si>
  <si>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</si>
  <si>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</si>
  <si>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</si>
  <si>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</si>
  <si>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</si>
  <si>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</si>
  <si>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</si>
  <si>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</si>
  <si>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</si>
  <si>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</si>
  <si>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</si>
  <si>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</si>
  <si>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</si>
  <si>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</si>
  <si>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</si>
  <si>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</si>
  <si>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</si>
  <si>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</si>
  <si>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</si>
  <si>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</si>
  <si>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</si>
  <si>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</si>
  <si>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</si>
  <si>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</si>
  <si>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</si>
  <si>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</si>
  <si>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</si>
  <si>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</si>
  <si>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</si>
  <si>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</si>
  <si>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</si>
  <si>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</si>
  <si>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</si>
  <si>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</si>
  <si>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</si>
  <si>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</si>
  <si>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</si>
  <si>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</si>
  <si>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</si>
  <si>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</si>
  <si>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</si>
  <si>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</si>
  <si>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</si>
  <si>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</si>
  <si>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</si>
  <si>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</si>
  <si>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</si>
  <si>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</si>
  <si>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</si>
  <si>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</si>
  <si>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</si>
  <si>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</si>
  <si>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</si>
  <si>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</si>
  <si>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</si>
  <si>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</si>
  <si>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</si>
  <si>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</si>
  <si>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</si>
  <si>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</si>
  <si>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</si>
  <si>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</si>
  <si>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</si>
  <si>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</si>
  <si>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</si>
  <si>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</si>
  <si>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</si>
  <si>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</si>
  <si>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</si>
  <si>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</si>
  <si>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</si>
  <si>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</si>
  <si>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</si>
  <si>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</si>
  <si>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</si>
  <si>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</si>
  <si>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</si>
  <si>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</si>
  <si>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</si>
  <si>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</si>
  <si>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</si>
  <si>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</si>
  <si>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</si>
  <si>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</si>
  <si>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</si>
  <si>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</si>
  <si>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</si>
  <si>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</si>
  <si>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</si>
  <si>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</si>
  <si>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</si>
  <si>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</si>
  <si>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</si>
  <si>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</si>
  <si>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</si>
  <si>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</si>
  <si>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</si>
  <si>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</si>
  <si>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</si>
  <si>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</si>
  <si>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</si>
  <si>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</si>
  <si>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</si>
  <si>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</si>
  <si>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</si>
  <si>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</si>
  <si>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</si>
  <si>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</si>
  <si>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</si>
  <si>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</si>
  <si>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</si>
  <si>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</si>
  <si>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</si>
  <si>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</si>
  <si>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</si>
  <si>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</si>
  <si>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</si>
  <si>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</si>
  <si>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</si>
  <si>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</si>
  <si>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</si>
  <si>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</si>
  <si>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</si>
  <si>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</si>
  <si>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</si>
  <si>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</si>
  <si>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</si>
  <si>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</si>
  <si>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</si>
  <si>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</si>
  <si>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</si>
  <si>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</si>
  <si>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</si>
  <si>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</si>
  <si>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</si>
  <si>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</si>
  <si>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</si>
  <si>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</si>
  <si>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</si>
  <si>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</si>
  <si>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</si>
  <si>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</si>
  <si>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</si>
  <si>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</si>
  <si>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</si>
  <si>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</si>
  <si>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</si>
  <si>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</si>
  <si>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</si>
  <si>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</si>
  <si>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</si>
  <si>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</si>
  <si>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</si>
  <si>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</si>
  <si>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</si>
  <si>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</si>
  <si>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</si>
  <si>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</si>
  <si>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</si>
  <si>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</si>
  <si>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</si>
  <si>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</si>
  <si>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</si>
  <si>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</si>
  <si>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</si>
  <si>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</si>
  <si>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</si>
  <si>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</si>
  <si>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</si>
  <si>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</si>
  <si>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</si>
  <si>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</si>
  <si>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</si>
  <si>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</si>
  <si>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</si>
  <si>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</si>
  <si>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</si>
  <si>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</si>
  <si>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</si>
  <si>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</si>
  <si>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</si>
  <si>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</si>
  <si>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</si>
  <si>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</si>
  <si>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</si>
  <si>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</si>
  <si>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</si>
  <si>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</si>
  <si>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</si>
  <si>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</si>
  <si>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</si>
  <si>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</si>
  <si>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</si>
  <si>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</si>
  <si>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</si>
  <si>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</si>
  <si>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</si>
  <si>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</si>
  <si>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</si>
  <si>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</si>
  <si>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</si>
  <si>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</si>
  <si>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</si>
  <si>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</si>
  <si>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</si>
  <si>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</si>
  <si>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</si>
  <si>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</si>
  <si>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</si>
  <si>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</si>
  <si>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</si>
  <si>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</si>
  <si>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</si>
  <si>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</si>
  <si>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</si>
  <si>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</si>
  <si>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</si>
  <si>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</si>
  <si>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</si>
  <si>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</si>
  <si>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</si>
  <si>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</si>
  <si>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</si>
  <si>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</si>
  <si>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</si>
  <si>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</si>
  <si>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</si>
  <si>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</si>
  <si>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</si>
  <si>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</si>
  <si>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</si>
  <si>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</si>
  <si>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</si>
  <si>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</si>
  <si>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</si>
  <si>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</si>
  <si>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</si>
  <si>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</si>
  <si>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</si>
  <si>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</si>
  <si>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</si>
  <si>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</si>
  <si>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</si>
  <si>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</si>
  <si>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</si>
  <si>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</si>
  <si>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</si>
  <si>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</si>
  <si>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</si>
  <si>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</si>
  <si>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</si>
  <si>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</si>
  <si>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</si>
  <si>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</si>
  <si>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</si>
  <si>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</si>
  <si>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</si>
  <si>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</si>
  <si>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</si>
  <si>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</si>
  <si>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</si>
  <si>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</si>
  <si>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</si>
  <si>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</si>
  <si>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</si>
  <si>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</si>
  <si>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</si>
  <si>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</si>
  <si>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</si>
  <si>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</si>
  <si>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</si>
  <si>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</si>
  <si>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</si>
  <si>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</si>
  <si>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</si>
  <si>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</si>
  <si>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</si>
  <si>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</si>
  <si>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</si>
  <si>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</si>
  <si>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</si>
  <si>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</si>
  <si>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</si>
  <si>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</si>
  <si>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</si>
  <si>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</si>
  <si>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</si>
  <si>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</si>
  <si>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</si>
  <si>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</si>
  <si>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</si>
  <si>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</si>
  <si>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</si>
  <si>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</si>
  <si>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</si>
  <si>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</si>
  <si>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</si>
  <si>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</si>
  <si>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</si>
  <si>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</si>
  <si>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</si>
  <si>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</si>
  <si>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</si>
  <si>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</si>
  <si>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</si>
  <si>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</si>
  <si>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</si>
  <si>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</si>
  <si>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</si>
  <si>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</si>
  <si>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</si>
  <si>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</si>
  <si>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</si>
  <si>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</si>
  <si>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</si>
  <si>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</si>
  <si>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</si>
  <si>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</si>
  <si>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</si>
  <si>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</si>
  <si>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</si>
  <si>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</si>
  <si>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</si>
  <si>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</si>
  <si>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</si>
  <si>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</si>
  <si>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</si>
  <si>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</si>
  <si>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</si>
  <si>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</si>
  <si>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</si>
  <si>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</si>
  <si>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</si>
  <si>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</si>
  <si>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</si>
  <si>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</si>
  <si>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</si>
  <si>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</si>
  <si>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</si>
  <si>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</si>
  <si>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</si>
  <si>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</si>
  <si>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</si>
  <si>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</si>
  <si>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</si>
  <si>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</si>
  <si>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</si>
  <si>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</si>
  <si>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</si>
  <si>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</si>
  <si>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</si>
  <si>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</si>
  <si>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</si>
  <si>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</si>
  <si>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</si>
  <si>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</si>
  <si>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</si>
  <si>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</si>
  <si>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</si>
  <si>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</si>
  <si>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</si>
  <si>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</si>
  <si>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</si>
  <si>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</si>
  <si>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</si>
  <si>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</si>
  <si>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</si>
  <si>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</si>
  <si>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</si>
  <si>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</si>
  <si>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</si>
  <si>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</si>
  <si>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</si>
  <si>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</si>
  <si>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</si>
  <si>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</si>
  <si>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</si>
  <si>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</si>
  <si>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</si>
  <si>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</si>
  <si>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</si>
  <si>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</si>
  <si>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</si>
  <si>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</si>
  <si>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</si>
  <si>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</si>
  <si>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</si>
  <si>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</si>
  <si>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</si>
  <si>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</si>
  <si>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</si>
  <si>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</si>
  <si>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</si>
  <si>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</si>
  <si>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</si>
  <si>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</si>
  <si>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</si>
  <si>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</si>
  <si>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</si>
  <si>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</si>
  <si>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</si>
  <si>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</si>
  <si>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</si>
  <si>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</si>
  <si>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</si>
  <si>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</si>
  <si>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</si>
  <si>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</si>
  <si>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</si>
  <si>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</si>
  <si>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</si>
  <si>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</si>
  <si>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</si>
  <si>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</si>
  <si>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</si>
  <si>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</si>
  <si>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</si>
  <si>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</si>
  <si>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</si>
  <si>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</si>
  <si>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</si>
  <si>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</si>
  <si>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</si>
  <si>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</si>
  <si>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</si>
  <si>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</si>
  <si>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</si>
  <si>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</si>
  <si>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</si>
  <si>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</si>
  <si>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</si>
  <si>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</si>
  <si>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</si>
  <si>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</si>
  <si>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</si>
  <si>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</si>
  <si>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</si>
  <si>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</si>
  <si>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</si>
  <si>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</si>
  <si>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</si>
  <si>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</si>
  <si>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</si>
  <si>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</si>
  <si>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</si>
  <si>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</si>
  <si>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</si>
  <si>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</si>
  <si>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</si>
  <si>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</si>
  <si>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</si>
  <si>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</si>
  <si>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</si>
  <si>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</si>
  <si>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</si>
  <si>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</si>
  <si>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</si>
  <si>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</si>
  <si>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</si>
  <si>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</si>
  <si>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</si>
  <si>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</si>
  <si>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</si>
  <si>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</si>
  <si>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</si>
  <si>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</si>
  <si>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</si>
  <si>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</si>
  <si>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</si>
  <si>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</si>
  <si>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</si>
  <si>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</si>
  <si>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</si>
  <si>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</si>
  <si>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</si>
  <si>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</si>
  <si>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</si>
  <si>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</si>
  <si>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</si>
  <si>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</si>
  <si>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</si>
  <si>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</si>
  <si>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</si>
  <si>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</si>
  <si>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</si>
  <si>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</si>
  <si>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</si>
  <si>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</si>
  <si>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</si>
  <si>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</si>
  <si>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</si>
  <si>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</si>
  <si>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</si>
  <si>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</si>
  <si>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</si>
  <si>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</si>
  <si>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</si>
  <si>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</si>
  <si>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</si>
  <si>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</si>
  <si>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</si>
  <si>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</si>
  <si>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</si>
  <si>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</si>
  <si>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</si>
  <si>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</si>
  <si>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</si>
  <si>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</si>
  <si>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</si>
  <si>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</si>
  <si>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</si>
  <si>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</si>
  <si>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</si>
  <si>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</si>
  <si>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</si>
  <si>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</si>
  <si>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</si>
  <si>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</si>
  <si>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</si>
  <si>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</si>
  <si>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</si>
  <si>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</si>
  <si>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</si>
  <si>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</si>
  <si>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</si>
  <si>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</si>
  <si>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</si>
  <si>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</si>
  <si>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</si>
  <si>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</si>
  <si>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</si>
  <si>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</si>
  <si>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</si>
  <si>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</si>
  <si>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</si>
  <si>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</si>
  <si>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</si>
  <si>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</si>
  <si>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</si>
  <si>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</si>
  <si>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</si>
  <si>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</si>
  <si>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</si>
  <si>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</si>
  <si>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</si>
  <si>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</si>
  <si>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</si>
  <si>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</si>
  <si>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</si>
  <si>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</si>
  <si>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</si>
  <si>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</si>
  <si>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</si>
  <si>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</si>
  <si>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</si>
  <si>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</si>
  <si>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</si>
  <si>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</si>
  <si>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</si>
  <si>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</si>
  <si>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</si>
  <si>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</si>
  <si>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</si>
  <si>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</si>
  <si>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</si>
  <si>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</si>
  <si>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</si>
  <si>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</si>
  <si>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</si>
  <si>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</si>
  <si>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</si>
  <si>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</si>
  <si>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</si>
  <si>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</si>
  <si>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</si>
  <si>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</si>
  <si>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</si>
  <si>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</si>
  <si>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</si>
  <si>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</si>
  <si>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</si>
  <si>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</si>
  <si>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</si>
  <si>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</si>
  <si>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</si>
  <si>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</si>
  <si>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</si>
  <si>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</si>
  <si>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</si>
  <si>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</si>
  <si>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</si>
  <si>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</si>
  <si>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</si>
  <si>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</si>
  <si>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</si>
  <si>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</si>
  <si>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</si>
  <si>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</si>
  <si>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</si>
  <si>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</si>
  <si>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</si>
  <si>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</si>
  <si>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</si>
  <si>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</si>
  <si>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</si>
  <si>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</si>
  <si>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</si>
  <si>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</si>
  <si>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</si>
  <si>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</si>
  <si>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</si>
  <si>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</si>
  <si>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</si>
  <si>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</si>
  <si>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</si>
  <si>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</si>
  <si>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</si>
  <si>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</si>
  <si>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</si>
  <si>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</si>
  <si>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</si>
  <si>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</si>
  <si>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</si>
  <si>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</si>
  <si>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</si>
  <si>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</si>
  <si>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</si>
  <si>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</si>
  <si>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</si>
  <si>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</si>
  <si>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</si>
  <si>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</si>
  <si>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</si>
  <si>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</si>
  <si>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</si>
  <si>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</si>
  <si>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</si>
  <si>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</si>
  <si>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</si>
  <si>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</si>
  <si>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</si>
  <si>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</si>
  <si>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</si>
  <si>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</si>
  <si>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</si>
  <si>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</si>
  <si>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</si>
  <si>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</si>
  <si>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</si>
  <si>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</si>
  <si>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</si>
  <si>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</si>
  <si>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</si>
  <si>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</si>
  <si>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</si>
  <si>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</si>
  <si>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</si>
  <si>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</si>
  <si>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</si>
  <si>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</si>
  <si>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</si>
  <si>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</si>
  <si>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</si>
  <si>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</si>
  <si>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</si>
  <si>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</si>
  <si>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</si>
  <si>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</si>
  <si>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</si>
  <si>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</si>
  <si>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</si>
  <si>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</si>
  <si>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</si>
  <si>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</si>
  <si>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</si>
  <si>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</si>
  <si>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</si>
  <si>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</si>
  <si>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</si>
  <si>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</si>
  <si>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</si>
  <si>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</si>
  <si>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</si>
  <si>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</si>
  <si>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</si>
  <si>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</si>
  <si>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</si>
  <si>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</si>
  <si>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</si>
  <si>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</si>
  <si>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</si>
  <si>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</si>
  <si>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</si>
  <si>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</si>
  <si>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</si>
  <si>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</si>
  <si>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</si>
  <si>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</si>
  <si>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</si>
  <si>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</si>
  <si>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</si>
  <si>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</si>
  <si>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</si>
  <si>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</si>
  <si>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</si>
  <si>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</si>
  <si>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</si>
  <si>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</si>
  <si>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</si>
  <si>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</si>
  <si>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</si>
  <si>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</si>
  <si>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</si>
  <si>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</si>
  <si>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</si>
  <si>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</si>
  <si>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</si>
  <si>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</si>
  <si>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</si>
  <si>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</si>
  <si>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</si>
  <si>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</si>
  <si>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</si>
  <si>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</si>
  <si>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</si>
  <si>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</si>
  <si>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</si>
  <si>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</si>
  <si>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</si>
  <si>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</si>
  <si>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</si>
  <si>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</si>
  <si>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</si>
  <si>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</si>
  <si>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</si>
  <si>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</si>
  <si>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</si>
  <si>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</si>
  <si>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</si>
  <si>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</si>
  <si>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</si>
  <si>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</si>
  <si>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</si>
  <si>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</si>
  <si>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</si>
  <si>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</si>
  <si>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</si>
  <si>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</si>
  <si>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</si>
  <si>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</si>
  <si>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</si>
  <si>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</si>
  <si>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</si>
  <si>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</si>
  <si>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</si>
  <si>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</si>
  <si>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</si>
  <si>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</si>
  <si>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</si>
  <si>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</si>
  <si>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</si>
  <si>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</si>
  <si>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</si>
  <si>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</si>
  <si>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</si>
  <si>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</si>
  <si>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</si>
  <si>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</si>
  <si>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</si>
  <si>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</si>
  <si>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</si>
  <si>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</si>
  <si>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</si>
  <si>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</si>
  <si>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</si>
  <si>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</si>
  <si>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</si>
  <si>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</si>
  <si>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</si>
  <si>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</si>
  <si>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</si>
  <si>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</si>
  <si>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</si>
  <si>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</si>
  <si>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</si>
  <si>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</si>
  <si>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</si>
  <si>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</si>
  <si>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</si>
  <si>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</si>
  <si>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</si>
  <si>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</si>
  <si>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</si>
  <si>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</si>
  <si>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</si>
  <si>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</si>
  <si>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</si>
  <si>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</si>
  <si>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</si>
  <si>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</si>
  <si>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</si>
  <si>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</si>
  <si>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</si>
  <si>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</si>
  <si>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</si>
  <si>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</si>
  <si>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</si>
  <si>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</si>
  <si>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</si>
  <si>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</si>
  <si>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</si>
  <si>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</si>
  <si>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</si>
  <si>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</si>
  <si>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</si>
  <si>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</si>
  <si>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</si>
  <si>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</si>
  <si>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</si>
  <si>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</si>
  <si>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</si>
  <si>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</si>
  <si>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</si>
  <si>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</si>
  <si>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</si>
  <si>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</si>
  <si>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</si>
  <si>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</si>
  <si>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</si>
  <si>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</si>
  <si>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</si>
  <si>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</si>
  <si>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</si>
  <si>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</si>
  <si>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</si>
  <si>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</si>
  <si>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</si>
  <si>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</si>
  <si>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</si>
  <si>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</si>
  <si>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</si>
  <si>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</si>
  <si>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</si>
  <si>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</si>
  <si>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</si>
  <si>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</si>
  <si>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</si>
  <si>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</si>
  <si>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</si>
  <si>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</si>
  <si>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</si>
  <si>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</si>
  <si>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</si>
  <si>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</si>
  <si>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</si>
  <si>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</si>
  <si>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</si>
  <si>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</si>
  <si>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</si>
  <si>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</si>
  <si>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</si>
  <si>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</si>
  <si>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</si>
  <si>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</si>
  <si>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</si>
  <si>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</si>
  <si>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</si>
  <si>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</si>
  <si>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</si>
  <si>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</si>
  <si>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</si>
  <si>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</si>
  <si>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</si>
  <si>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</si>
  <si>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</si>
  <si>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</si>
  <si>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</si>
  <si>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</si>
  <si>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</si>
  <si>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</si>
  <si>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</si>
  <si>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</si>
  <si>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</si>
  <si>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</si>
  <si>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</si>
  <si>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</si>
  <si>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</si>
  <si>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</si>
  <si>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</si>
  <si>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</si>
  <si>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</si>
  <si>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</si>
  <si>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</si>
  <si>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</si>
  <si>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</si>
  <si>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</si>
  <si>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</si>
  <si>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</si>
  <si>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</si>
  <si>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</si>
  <si>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</si>
  <si>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</si>
  <si>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</si>
  <si>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</si>
  <si>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</si>
  <si>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</si>
  <si>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</si>
  <si>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</si>
  <si>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</si>
  <si>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</si>
  <si>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</si>
  <si>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</si>
  <si>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</si>
  <si>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</si>
  <si>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</si>
  <si>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</si>
  <si>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</si>
  <si>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</si>
  <si>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</si>
  <si>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</si>
  <si>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</si>
  <si>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</si>
  <si>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</si>
  <si>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</si>
  <si>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</si>
  <si>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</si>
  <si>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</si>
  <si>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</si>
  <si>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</si>
  <si>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</si>
  <si>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</si>
  <si>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</si>
  <si>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</si>
  <si>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</si>
  <si>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</si>
  <si>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</si>
  <si>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</si>
  <si>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</si>
  <si>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</si>
  <si>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</si>
  <si>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</si>
  <si>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</si>
  <si>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</si>
  <si>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</si>
  <si>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</si>
  <si>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</si>
  <si>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</si>
  <si>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</si>
  <si>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</si>
  <si>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</si>
  <si>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</si>
  <si>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</si>
  <si>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</si>
  <si>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</si>
  <si>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</si>
  <si>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</si>
  <si>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</si>
  <si>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</si>
  <si>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</si>
  <si>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</si>
  <si>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</si>
  <si>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</si>
  <si>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</si>
  <si>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</si>
  <si>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</si>
  <si>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</si>
  <si>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</si>
  <si>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</si>
  <si>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</si>
  <si>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</si>
  <si>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</si>
  <si>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</si>
  <si>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</si>
  <si>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</si>
  <si>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</si>
  <si>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</si>
  <si>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</si>
  <si>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</si>
  <si>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</si>
  <si>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</si>
  <si>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</si>
  <si>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</si>
  <si>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</si>
  <si>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</si>
  <si>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</si>
  <si>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</si>
  <si>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</si>
  <si>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</si>
  <si>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</si>
  <si>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</si>
  <si>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</si>
  <si>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</si>
  <si>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</si>
  <si>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</si>
  <si>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</si>
  <si>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</si>
  <si>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</si>
  <si>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</si>
  <si>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</si>
  <si>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</si>
  <si>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</si>
  <si>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</si>
  <si>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</si>
  <si>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</si>
  <si>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</si>
  <si>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</si>
  <si>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</si>
  <si>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</si>
  <si>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</si>
  <si>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</si>
  <si>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</si>
  <si>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</si>
  <si>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</si>
  <si>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</si>
  <si>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</si>
  <si>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</si>
  <si>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</si>
  <si>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</si>
  <si>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</si>
  <si>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</si>
  <si>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</si>
  <si>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</si>
  <si>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</si>
  <si>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</si>
  <si>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</si>
  <si>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</si>
  <si>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</si>
  <si>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</si>
  <si>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</si>
  <si>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</si>
  <si>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</si>
  <si>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</si>
  <si>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</si>
  <si>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</si>
  <si>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</si>
  <si>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</si>
  <si>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</si>
  <si>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</si>
  <si>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</si>
  <si>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</si>
  <si>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</si>
  <si>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</si>
  <si>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</si>
  <si>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</si>
  <si>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</si>
  <si>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</si>
  <si>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</si>
  <si>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</si>
  <si>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</si>
  <si>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</si>
  <si>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</si>
  <si>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</si>
  <si>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</si>
  <si>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</si>
  <si>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</si>
  <si>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</si>
  <si>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</si>
  <si>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</si>
  <si>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</si>
  <si>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</si>
  <si>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</si>
  <si>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</si>
  <si>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</si>
  <si>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</si>
  <si>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</si>
  <si>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</si>
  <si>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</si>
  <si>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</si>
  <si>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</si>
  <si>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</si>
  <si>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</si>
  <si>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</si>
  <si>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</si>
  <si>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</si>
  <si>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</si>
  <si>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</si>
  <si>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</si>
  <si>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</si>
  <si>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</si>
  <si>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</si>
  <si>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</si>
  <si>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</si>
  <si>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</si>
  <si>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</si>
  <si>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</si>
  <si>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</si>
  <si>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</si>
  <si>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</si>
  <si>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</si>
  <si>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</si>
  <si>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</si>
  <si>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</si>
  <si>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</si>
  <si>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</si>
  <si>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</si>
  <si>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</si>
  <si>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</si>
  <si>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</si>
  <si>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</si>
  <si>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</si>
  <si>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</si>
  <si>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</si>
  <si>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</si>
  <si>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</si>
  <si>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</si>
  <si>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</si>
  <si>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</si>
  <si>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</si>
  <si>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</si>
  <si>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</si>
  <si>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</si>
  <si>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</si>
  <si>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</si>
  <si>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</si>
  <si>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</si>
  <si>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</si>
  <si>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</si>
  <si>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</si>
  <si>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</si>
  <si>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</si>
  <si>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</si>
  <si>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</si>
  <si>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</si>
  <si>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</si>
  <si>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</si>
  <si>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</si>
  <si>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</si>
  <si>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</si>
  <si>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</si>
  <si>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</si>
  <si>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</si>
  <si>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</si>
  <si>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</si>
  <si>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</si>
  <si>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</si>
  <si>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</si>
  <si>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</si>
  <si>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</si>
  <si>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</si>
  <si>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</si>
  <si>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</si>
  <si>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</si>
  <si>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</si>
  <si>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</si>
  <si>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</si>
  <si>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</si>
  <si>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</si>
  <si>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</si>
  <si>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</si>
  <si>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</si>
  <si>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</si>
  <si>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</si>
  <si>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</si>
  <si>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</si>
  <si>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</si>
  <si>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</si>
  <si>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</si>
  <si>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</si>
  <si>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</si>
  <si>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</si>
  <si>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</si>
  <si>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</si>
  <si>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</si>
  <si>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</si>
  <si>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</si>
  <si>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</si>
  <si>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</si>
  <si>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</si>
  <si>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</si>
  <si>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</si>
  <si>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</si>
  <si>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</si>
  <si>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</si>
  <si>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</si>
  <si>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</si>
  <si>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</si>
  <si>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</si>
  <si>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</si>
  <si>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</si>
  <si>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</si>
  <si>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</si>
  <si>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</si>
  <si>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</si>
  <si>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</si>
  <si>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</si>
  <si>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</si>
  <si>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</si>
  <si>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</si>
  <si>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</si>
  <si>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</si>
  <si>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</si>
  <si>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</si>
  <si>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</si>
  <si>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</si>
  <si>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</si>
  <si>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</si>
  <si>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</si>
  <si>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</si>
  <si>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</si>
  <si>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</si>
  <si>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</si>
  <si>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</si>
  <si>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</si>
  <si>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</si>
  <si>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</si>
  <si>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</si>
  <si>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</si>
  <si>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</si>
  <si>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</si>
  <si>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</si>
  <si>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</si>
  <si>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</si>
  <si>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</si>
  <si>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</si>
  <si>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</si>
  <si>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</si>
  <si>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</si>
  <si>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</si>
  <si>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</si>
  <si>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</si>
  <si>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</si>
  <si>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</si>
  <si>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</si>
  <si>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</si>
  <si>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</si>
  <si>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</si>
  <si>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</si>
  <si>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</si>
  <si>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</si>
  <si>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</si>
  <si>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</si>
  <si>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</si>
  <si>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</si>
  <si>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</si>
  <si>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</si>
  <si>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</si>
  <si>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</si>
  <si>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</si>
  <si>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</si>
  <si>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</si>
  <si>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</si>
  <si>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</si>
  <si>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</si>
  <si>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</si>
  <si>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</si>
  <si>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</si>
  <si>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</si>
  <si>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</si>
  <si>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</si>
  <si>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</si>
  <si>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</si>
  <si>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</si>
  <si>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</si>
  <si>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</si>
  <si>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</si>
  <si>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</si>
  <si>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</si>
  <si>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</si>
  <si>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</si>
  <si>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</si>
  <si>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</si>
  <si>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</si>
  <si>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</si>
  <si>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</si>
  <si>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</si>
  <si>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</si>
  <si>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</si>
  <si>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</si>
  <si>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</si>
  <si>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</si>
  <si>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</si>
  <si>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</si>
  <si>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</si>
  <si>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</si>
  <si>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</si>
  <si>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</si>
  <si>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</si>
  <si>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</si>
  <si>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</si>
  <si>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</si>
  <si>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</si>
  <si>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</si>
  <si>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</si>
  <si>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</si>
  <si>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</si>
  <si>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</si>
  <si>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</si>
  <si>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</si>
  <si>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</si>
  <si>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</si>
  <si>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</si>
  <si>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</si>
  <si>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</si>
  <si>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</si>
  <si>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</si>
  <si>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</si>
  <si>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</si>
  <si>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</si>
  <si>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</si>
  <si>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</si>
  <si>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</si>
  <si>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</si>
  <si>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</si>
  <si>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</si>
  <si>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</si>
  <si>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</si>
  <si>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</si>
  <si>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</si>
  <si>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</si>
  <si>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</si>
  <si>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</si>
  <si>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</si>
  <si>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</si>
  <si>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</si>
  <si>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</si>
  <si>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</si>
  <si>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</si>
  <si>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</si>
  <si>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</si>
  <si>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</si>
  <si>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</si>
  <si>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</si>
  <si>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</si>
  <si>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</si>
  <si>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</si>
  <si>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</si>
  <si>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</si>
  <si>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</si>
  <si>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</si>
  <si>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</si>
  <si>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</si>
  <si>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</si>
  <si>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</si>
  <si>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</si>
  <si>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</si>
  <si>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</si>
  <si>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</si>
  <si>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</si>
  <si>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</si>
  <si>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</si>
  <si>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</si>
  <si>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</si>
  <si>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</si>
  <si>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</si>
  <si>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</si>
  <si>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</si>
  <si>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</si>
  <si>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</si>
  <si>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</si>
  <si>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</si>
  <si>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</si>
  <si>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</si>
  <si>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</si>
  <si>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</si>
  <si>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</si>
  <si>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</si>
  <si>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</si>
  <si>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</si>
  <si>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</si>
  <si>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</si>
  <si>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</si>
  <si>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</si>
  <si>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</si>
  <si>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</si>
  <si>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</si>
  <si>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</si>
  <si>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</si>
  <si>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</si>
  <si>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</si>
  <si>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</si>
  <si>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</si>
  <si>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</si>
  <si>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</si>
  <si>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</si>
  <si>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</si>
  <si>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</si>
  <si>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</si>
  <si>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</si>
  <si>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</si>
  <si>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</si>
  <si>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</si>
  <si>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</si>
  <si>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</si>
  <si>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</si>
  <si>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</si>
  <si>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</si>
  <si>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</si>
  <si>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</si>
  <si>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</si>
  <si>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</si>
  <si>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</si>
  <si>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</si>
  <si>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</si>
  <si>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</si>
  <si>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</si>
  <si>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</si>
  <si>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</si>
  <si>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</si>
  <si>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</si>
  <si>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</si>
  <si>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</si>
  <si>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</si>
  <si>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</si>
  <si>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</si>
  <si>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</si>
  <si>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</si>
  <si>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</si>
  <si>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</si>
  <si>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</si>
  <si>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</si>
  <si>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</si>
  <si>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</si>
  <si>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</si>
  <si>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</si>
  <si>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</si>
  <si>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</si>
  <si>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</si>
  <si>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</si>
  <si>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</si>
  <si>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</si>
  <si>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</si>
  <si>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</si>
  <si>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</si>
  <si>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</si>
  <si>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</si>
  <si>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</si>
  <si>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</si>
  <si>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</si>
  <si>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</si>
  <si>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</si>
  <si>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</si>
  <si>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</si>
  <si>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</si>
  <si>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</si>
  <si>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</si>
  <si>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</si>
  <si>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</si>
  <si>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</si>
  <si>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</si>
  <si>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</si>
  <si>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</si>
  <si>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</si>
  <si>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</si>
  <si>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</si>
  <si>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</si>
  <si>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</si>
  <si>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</si>
  <si>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</si>
  <si>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</si>
  <si>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</si>
  <si>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</si>
  <si>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</si>
  <si>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</si>
  <si>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</si>
  <si>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</si>
  <si>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</si>
  <si>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</si>
  <si>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</si>
  <si>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</si>
  <si>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</si>
  <si>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</si>
  <si>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</si>
  <si>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</si>
  <si>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</si>
  <si>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</si>
  <si>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</si>
  <si>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</si>
  <si>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</si>
  <si>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</si>
  <si>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</si>
  <si>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</si>
  <si>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</si>
  <si>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</si>
  <si>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</si>
  <si>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</si>
  <si>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</si>
  <si>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</si>
  <si>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</si>
  <si>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</si>
  <si>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</si>
  <si>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</si>
  <si>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</si>
  <si>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</si>
  <si>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</si>
  <si>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</si>
  <si>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</si>
  <si>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</si>
  <si>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</si>
  <si>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</si>
  <si>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</si>
  <si>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</si>
  <si>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</si>
  <si>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</si>
  <si>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</si>
  <si>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</si>
  <si>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</si>
  <si>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</si>
  <si>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</si>
  <si>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</si>
  <si>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</si>
  <si>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</si>
  <si>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</si>
  <si>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</si>
  <si>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</si>
  <si>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</si>
  <si>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</si>
  <si>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</si>
  <si>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</si>
  <si>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</si>
  <si>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</si>
  <si>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</si>
  <si>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</si>
  <si>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</si>
  <si>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</si>
  <si>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</si>
  <si>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</si>
  <si>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</si>
  <si>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</si>
  <si>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</si>
  <si>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</si>
  <si>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</si>
  <si>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</si>
  <si>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</si>
  <si>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</si>
  <si>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</si>
  <si>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</si>
  <si>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</si>
  <si>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</si>
  <si>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</si>
  <si>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</si>
  <si>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</si>
  <si>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</si>
  <si>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</si>
  <si>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</si>
  <si>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</si>
  <si>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</si>
  <si>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</si>
  <si>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</si>
  <si>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</si>
  <si>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</si>
  <si>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</si>
  <si>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</si>
  <si>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</si>
  <si>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</si>
  <si>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</si>
  <si>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</si>
  <si>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</si>
  <si>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</si>
  <si>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</si>
  <si>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</si>
  <si>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</si>
  <si>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</si>
  <si>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</si>
  <si>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</si>
  <si>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</si>
  <si>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</si>
  <si>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</si>
  <si>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</si>
  <si>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</si>
  <si>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</si>
  <si>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</si>
  <si>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</si>
  <si>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</si>
  <si>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</si>
  <si>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</si>
  <si>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</si>
  <si>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</si>
  <si>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</si>
  <si>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</si>
  <si>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</si>
  <si>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</si>
  <si>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</si>
  <si>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</si>
  <si>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</si>
  <si>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</si>
  <si>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</si>
  <si>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</si>
  <si>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</si>
  <si>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</si>
  <si>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</si>
  <si>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</si>
  <si>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</si>
  <si>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</si>
  <si>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</si>
  <si>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</si>
  <si>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</si>
  <si>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</si>
  <si>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</si>
  <si>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</si>
  <si>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</si>
  <si>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</si>
  <si>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</si>
  <si>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</si>
  <si>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</si>
  <si>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</si>
  <si>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</si>
  <si>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</si>
  <si>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</si>
  <si>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</si>
  <si>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</si>
  <si>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</si>
  <si>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</si>
  <si>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</si>
  <si>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</si>
  <si>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</si>
  <si>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</si>
  <si>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</si>
  <si>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</si>
  <si>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</si>
  <si>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</si>
  <si>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</si>
  <si>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</si>
  <si>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</si>
  <si>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</si>
  <si>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</si>
  <si>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</si>
  <si>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</si>
  <si>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</si>
  <si>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</si>
  <si>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</si>
  <si>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</si>
  <si>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</si>
  <si>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</si>
  <si>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</si>
  <si>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</si>
  <si>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</si>
  <si>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</si>
  <si>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</si>
  <si>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</si>
  <si>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</si>
  <si>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</si>
  <si>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</si>
  <si>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</si>
  <si>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</si>
  <si>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</si>
  <si>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</si>
  <si>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</si>
  <si>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</si>
  <si>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</si>
  <si>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</si>
  <si>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</si>
  <si>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</si>
  <si>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</si>
  <si>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</si>
  <si>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</si>
  <si>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</si>
  <si>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</si>
  <si>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</si>
  <si>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</si>
  <si>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</si>
  <si>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</si>
  <si>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</si>
  <si>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</si>
  <si>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</si>
  <si>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</si>
  <si>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</si>
  <si>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</si>
  <si>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</si>
  <si>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</si>
  <si>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</si>
  <si>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</si>
  <si>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</si>
  <si>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</si>
  <si>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</si>
  <si>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</si>
  <si>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</si>
  <si>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</si>
  <si>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</si>
  <si>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</si>
  <si>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</si>
  <si>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</si>
  <si>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</si>
  <si>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</si>
  <si>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</si>
  <si>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</si>
  <si>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</si>
  <si>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</si>
  <si>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</si>
  <si>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</si>
  <si>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</si>
  <si>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</si>
  <si>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</si>
  <si>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</si>
  <si>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</si>
  <si>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</si>
  <si>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</si>
  <si>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</si>
  <si>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</si>
  <si>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</si>
  <si>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</si>
  <si>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</si>
  <si>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</si>
  <si>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</si>
  <si>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</si>
  <si>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</si>
  <si>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</si>
  <si>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</si>
  <si>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</si>
  <si>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</si>
  <si>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</si>
  <si>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</si>
  <si>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</si>
  <si>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</si>
  <si>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</si>
  <si>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</si>
  <si>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</si>
  <si>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</si>
  <si>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</si>
  <si>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</si>
  <si>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</si>
  <si>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</si>
  <si>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</si>
  <si>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</si>
  <si>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</si>
  <si>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</si>
  <si>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</si>
  <si>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</si>
  <si>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</si>
  <si>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</si>
  <si>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</si>
  <si>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</si>
  <si>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</si>
  <si>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</si>
  <si>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</si>
  <si>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</si>
  <si>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</si>
  <si>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</si>
  <si>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</si>
  <si>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</si>
  <si>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</si>
  <si>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</si>
  <si>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</si>
  <si>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</si>
  <si>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</si>
  <si>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</si>
  <si>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</si>
  <si>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</si>
  <si>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</si>
  <si>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</si>
  <si>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</si>
  <si>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</si>
  <si>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</si>
  <si>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</si>
  <si>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</si>
  <si>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</si>
  <si>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</si>
  <si>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</si>
  <si>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</si>
  <si>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</si>
  <si>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</si>
  <si>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</si>
  <si>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</si>
  <si>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</si>
  <si>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</si>
  <si>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</si>
  <si>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</si>
  <si>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</si>
  <si>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</si>
  <si>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</si>
  <si>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</si>
  <si>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</si>
  <si>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</si>
  <si>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</si>
  <si>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</si>
  <si>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</si>
  <si>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</si>
  <si>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</si>
  <si>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</si>
  <si>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</si>
  <si>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</si>
  <si>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</si>
  <si>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</si>
  <si>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</si>
  <si>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</si>
  <si>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</si>
  <si>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</si>
  <si>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</si>
  <si>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</si>
  <si>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</si>
  <si>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</si>
  <si>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</si>
  <si>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</si>
  <si>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</si>
  <si>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</si>
  <si>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</si>
  <si>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</si>
  <si>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</si>
  <si>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</si>
  <si>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</si>
  <si>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</si>
  <si>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</si>
  <si>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</si>
  <si>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</si>
  <si>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</si>
  <si>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</si>
  <si>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</si>
  <si>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</si>
  <si>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</si>
  <si>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</si>
  <si>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</si>
  <si>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</si>
  <si>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</si>
  <si>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</si>
  <si>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</si>
  <si>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</si>
  <si>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</si>
  <si>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</si>
  <si>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</si>
  <si>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</si>
  <si>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</si>
  <si>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</si>
  <si>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</si>
  <si>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</si>
  <si>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</si>
  <si>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</si>
  <si>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</si>
  <si>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</si>
  <si>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</si>
  <si>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</si>
  <si>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</si>
  <si>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</si>
  <si>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</si>
  <si>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</si>
  <si>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</si>
  <si>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</si>
  <si>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</si>
  <si>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</si>
  <si>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</si>
  <si>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</si>
  <si>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</si>
  <si>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</si>
  <si>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</si>
  <si>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</si>
  <si>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</si>
  <si>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</si>
  <si>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</si>
  <si>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</si>
  <si>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</si>
  <si>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</si>
  <si>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</si>
  <si>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</si>
  <si>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</si>
  <si>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</si>
  <si>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</si>
  <si>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</si>
  <si>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</si>
  <si>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</si>
  <si>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</si>
  <si>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</si>
  <si>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</si>
  <si>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</si>
  <si>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</si>
  <si>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</si>
  <si>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</si>
  <si>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</si>
  <si>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</si>
  <si>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</si>
  <si>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</si>
  <si>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</si>
  <si>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</si>
  <si>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</si>
  <si>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</si>
  <si>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</si>
  <si>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</si>
  <si>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</si>
  <si>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</si>
  <si>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</si>
  <si>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</si>
  <si>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</si>
  <si>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</si>
  <si>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</si>
  <si>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</si>
  <si>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</si>
  <si>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</si>
  <si>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</si>
  <si>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</si>
  <si>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</si>
  <si>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</si>
  <si>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</si>
  <si>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</si>
  <si>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</si>
  <si>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</si>
  <si>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</si>
  <si>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</si>
  <si>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</si>
  <si>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</si>
  <si>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</si>
  <si>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</si>
  <si>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</si>
  <si>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</si>
  <si>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</si>
  <si>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</si>
  <si>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</si>
  <si>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</si>
  <si>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</si>
  <si>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</si>
  <si>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</si>
  <si>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</si>
  <si>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</si>
  <si>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</si>
  <si>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</si>
  <si>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</si>
  <si>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</si>
  <si>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</si>
  <si>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</si>
  <si>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</si>
  <si>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</si>
  <si>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</si>
  <si>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</si>
  <si>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</si>
  <si>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</si>
  <si>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</si>
  <si>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</si>
  <si>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</si>
  <si>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</si>
  <si>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</si>
  <si>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</si>
  <si>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</si>
  <si>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</si>
  <si>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</si>
  <si>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</si>
  <si>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</si>
  <si>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</si>
  <si>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</si>
  <si>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</si>
  <si>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</si>
  <si>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</si>
  <si>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</si>
  <si>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</si>
  <si>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</si>
  <si>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</si>
  <si>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</si>
  <si>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</si>
  <si>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</si>
  <si>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</si>
  <si>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</si>
  <si>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</si>
  <si>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</si>
  <si>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</si>
  <si>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</si>
  <si>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</si>
  <si>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</si>
  <si>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</si>
  <si>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</si>
  <si>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</si>
  <si>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</si>
  <si>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</si>
  <si>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</si>
  <si>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</si>
  <si>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</si>
  <si>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</si>
  <si>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</si>
  <si>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</si>
  <si>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</si>
  <si>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</si>
  <si>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</si>
  <si>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</si>
  <si>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</si>
  <si>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</si>
  <si>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</si>
  <si>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</si>
  <si>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</si>
  <si>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</si>
  <si>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</si>
  <si>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</si>
  <si>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</si>
  <si>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</si>
  <si>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</si>
  <si>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</si>
  <si>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</si>
  <si>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</si>
  <si>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</si>
  <si>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</si>
  <si>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</si>
  <si>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</si>
  <si>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</si>
  <si>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</si>
  <si>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</si>
  <si>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</si>
  <si>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</si>
  <si>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</si>
  <si>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</si>
  <si>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</si>
  <si>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</si>
  <si>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</si>
  <si>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</si>
  <si>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</si>
  <si>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</si>
  <si>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</si>
  <si>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</si>
  <si>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</si>
  <si>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</si>
  <si>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</si>
  <si>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</si>
  <si>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</si>
  <si>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</si>
  <si>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</si>
  <si>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</si>
  <si>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</si>
  <si>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</si>
  <si>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</si>
  <si>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</si>
  <si>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</si>
  <si>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</si>
  <si>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</si>
  <si>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</si>
  <si>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</si>
  <si>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</si>
  <si>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</si>
  <si>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</si>
  <si>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</si>
  <si>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</si>
  <si>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</si>
  <si>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</si>
  <si>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</si>
  <si>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</si>
  <si>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</si>
  <si>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</si>
  <si>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</si>
  <si>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</si>
  <si>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</si>
  <si>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</si>
  <si>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</si>
  <si>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</si>
  <si>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</si>
  <si>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</si>
  <si>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</si>
  <si>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</si>
  <si>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</si>
  <si>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</si>
  <si>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</si>
  <si>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</si>
  <si>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</si>
  <si>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</si>
  <si>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</si>
  <si>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</si>
  <si>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</si>
  <si>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</si>
  <si>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</si>
  <si>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</si>
  <si>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</si>
  <si>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</si>
  <si>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</si>
  <si>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</si>
  <si>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</si>
  <si>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</si>
  <si>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</si>
  <si>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</si>
  <si>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</si>
  <si>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</si>
  <si>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</si>
  <si>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</si>
  <si>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</si>
  <si>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</si>
  <si>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</si>
  <si>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</si>
  <si>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</si>
  <si>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</si>
  <si>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</si>
  <si>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</si>
  <si>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</si>
  <si>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</si>
  <si>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</si>
  <si>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</si>
  <si>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</si>
  <si>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</si>
  <si>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</si>
  <si>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</si>
  <si>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</si>
  <si>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</si>
  <si>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</si>
  <si>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</si>
  <si>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</si>
  <si>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</si>
  <si>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</si>
  <si>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</si>
  <si>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</si>
  <si>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</si>
  <si>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</si>
  <si>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</si>
  <si>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</si>
  <si>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</si>
  <si>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</si>
  <si>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</si>
  <si>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</si>
  <si>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</si>
  <si>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</si>
  <si>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</si>
  <si>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</si>
  <si>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</si>
  <si>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</si>
  <si>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</si>
  <si>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</si>
  <si>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</si>
  <si>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</si>
  <si>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</si>
  <si>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</si>
  <si>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</si>
  <si>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</si>
  <si>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</si>
  <si>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</si>
  <si>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</si>
  <si>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</si>
  <si>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</si>
  <si>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</si>
  <si>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</si>
  <si>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</si>
  <si>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</si>
  <si>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</si>
  <si>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</si>
  <si>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</si>
  <si>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</si>
  <si>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</si>
  <si>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</si>
  <si>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</si>
  <si>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</si>
  <si>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</si>
  <si>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</si>
  <si>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</si>
  <si>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</si>
  <si>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</si>
  <si>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</si>
  <si>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</si>
  <si>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</si>
  <si>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</si>
  <si>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</si>
  <si>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</si>
  <si>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</si>
  <si>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</si>
  <si>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</si>
  <si>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</si>
  <si>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</si>
  <si>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</si>
  <si>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</si>
  <si>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</si>
  <si>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</si>
  <si>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</si>
  <si>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</si>
  <si>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</si>
  <si>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</si>
  <si>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</si>
  <si>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</si>
  <si>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</si>
  <si>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</si>
  <si>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</si>
  <si>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</si>
  <si>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</si>
  <si>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</si>
  <si>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</si>
  <si>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</si>
  <si>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</si>
  <si>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</si>
  <si>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</si>
  <si>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</si>
  <si>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</si>
  <si>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</si>
  <si>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</si>
  <si>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</si>
  <si>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INS2</t>
  </si>
  <si>
    <t>Inspection 2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</si>
  <si>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</si>
  <si>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</si>
  <si>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</si>
  <si>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</si>
  <si>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</si>
  <si>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</si>
  <si>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</si>
  <si>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</si>
  <si>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</si>
  <si>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</si>
  <si>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</si>
  <si>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</si>
  <si>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</si>
  <si>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</si>
  <si>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</si>
  <si>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</si>
  <si>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</si>
  <si>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</si>
  <si>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</si>
  <si>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</si>
  <si>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</si>
  <si>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</si>
  <si>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</si>
  <si>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</si>
  <si>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</si>
  <si>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</si>
  <si>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</si>
  <si>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</si>
  <si>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</si>
  <si>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</si>
  <si>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</si>
  <si>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</si>
  <si>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</si>
  <si>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</si>
  <si>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</si>
  <si>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</si>
  <si>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</si>
  <si>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</si>
  <si>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</si>
  <si>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</si>
  <si>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</si>
  <si>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</si>
  <si>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</si>
  <si>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</si>
  <si>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</si>
  <si>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</si>
  <si>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</si>
  <si>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</si>
  <si>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</si>
  <si>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</si>
  <si>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</si>
  <si>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</si>
  <si>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</si>
  <si>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</si>
  <si>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</si>
  <si>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</si>
  <si>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</si>
  <si>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</si>
  <si>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</si>
  <si>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</si>
  <si>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</si>
  <si>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</si>
  <si>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</si>
  <si>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</si>
  <si>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</si>
  <si>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</si>
  <si>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</si>
  <si>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>Ko on 9/1/2026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</si>
  <si>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</si>
  <si>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</si>
  <si>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</si>
  <si>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</si>
  <si>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</si>
  <si>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</si>
  <si>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</si>
  <si>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</si>
  <si>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</si>
  <si>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</si>
  <si>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</si>
  <si>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</si>
  <si>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</si>
  <si>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</si>
  <si>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</si>
  <si>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</si>
  <si>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</si>
  <si>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</si>
  <si>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</si>
  <si>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</si>
  <si>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</si>
  <si>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</si>
  <si>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</si>
  <si>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</si>
  <si>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</si>
  <si>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</si>
  <si>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</si>
  <si>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</si>
  <si>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</si>
  <si>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</si>
  <si>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</si>
  <si>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</si>
  <si>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</si>
  <si>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</si>
  <si>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</si>
  <si>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</si>
  <si>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</si>
  <si>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</si>
  <si>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</si>
  <si>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</si>
  <si>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</si>
  <si>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</si>
  <si>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</si>
  <si>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</si>
  <si>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</si>
  <si>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</si>
  <si>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</si>
  <si>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</si>
  <si>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</si>
  <si>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</si>
  <si>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</si>
  <si>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</si>
  <si>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</si>
  <si>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</si>
  <si>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</si>
  <si>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</si>
  <si>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</si>
  <si>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</si>
  <si>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</si>
  <si>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</si>
  <si>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</si>
  <si>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</si>
  <si>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</si>
  <si>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</si>
  <si>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</si>
  <si>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</si>
  <si>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</si>
  <si>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</si>
  <si>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</si>
  <si>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</si>
  <si>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</si>
  <si>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</si>
  <si>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</si>
  <si>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</si>
  <si>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</si>
  <si>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</si>
  <si>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</si>
  <si>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</si>
  <si>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(All)</t>
  </si>
  <si>
    <t>INS1</t>
  </si>
  <si>
    <t>Inspection 1</t>
  </si>
  <si>
    <t>Hot !!!</t>
  </si>
  <si>
    <t>Need to test</t>
  </si>
  <si>
    <t>Saki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</si>
</sst>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15" fontId="0" fillId="5" borderId="0" xfId="0" applyNumberForma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9" borderId="0" xfId="0" applyNumberFormat="1" applyFill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</cellXfs>
  <cellStyles count="2">
    <cellStyle name="Normal" xfId="0" builtinId="0"/>
    <cellStyle name="Normal 2" xfId="1"/>
  </cellStyles>
  <dxfs count="141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75.344085763893" createdVersion="3" refreshedVersion="3" minRefreshableVersion="3" recordCount="3721">
  <cacheSource type="worksheet">
    <worksheetSource ref="A1:O3722" sheet="Shop Order"/>
  </cacheSource>
  <cacheFields count="15">
    <cacheField name="Serial Number" numFmtId="0">
      <sharedItems/>
    </cacheField>
    <cacheField name="Workstation" numFmtId="0">
      <sharedItems count="27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SMT2 SMT Side 2"/>
        <s v="AOI2 AOI Inspect S2"/>
        <s v="AOR2 AOI RWK S2"/>
        <s v="SCRP Scrap"/>
        <s v="PBAI Inspect"/>
        <s v="ASY1 T/L Assembly"/>
        <s v="SMR1 RWK SMT1"/>
        <s v="1DBG Debug Test"/>
        <s v="PACK Packout"/>
        <s v="ASY3 T/L Assembly"/>
        <s v="INS2"/>
        <s v="INS1"/>
        <s v="DPNL Mech Depanel" u="1"/>
      </sharedItems>
    </cacheField>
    <cacheField name="Process" numFmtId="0">
      <sharedItems count="27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Inspect SMT2"/>
        <s v="AOI"/>
        <s v="AOR2 AOI Repair S2"/>
        <s v="Scrap"/>
        <s v="PBA Inspection"/>
        <s v="Xfr to T/L Assembly"/>
        <s v="RWK SMT1"/>
        <s v="Debug Test-1"/>
        <s v="Packout"/>
        <s v="Assembly 1-1B"/>
        <s v="Inspection 2"/>
        <s v="Inspection 1"/>
        <s v="Assembly 1 - 1B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Unit Component (60)"/>
        <s v="Shipped (40)"/>
        <s v="On The Line (20)"/>
        <s v="Finished (30)"/>
        <s v="In Repair Hold (29)"/>
        <s v="Outside Processing (26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0T07:57:49"/>
    </cacheField>
    <cacheField name="Work order" numFmtId="0">
      <sharedItems count="51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1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AXFIA"/>
        <s v="AXOA"/>
        <s v="AXOLA"/>
        <s v="AXOLBA"/>
        <e v="#N/A" u="1"/>
      </sharedItems>
    </cacheField>
    <cacheField name="Type" numFmtId="0">
      <sharedItems count="8">
        <s v="  PA Assembly"/>
        <s v="  TRX/PSU/BB Assembly"/>
        <s v="RRH"/>
        <s v="  RRH Unit"/>
        <s v="RRH Unit" u="1"/>
        <e v="#N/A" u="1"/>
        <s v="PA" u="1"/>
        <s v="TRX" u="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21">
  <r>
    <s v="YK260300123"/>
    <x v="0"/>
    <x v="0"/>
    <n v="1"/>
    <x v="0"/>
    <d v="2026-02-12T10:46:37"/>
    <x v="0"/>
    <x v="0"/>
    <x v="0"/>
    <s v="17IA14.00"/>
    <x v="0"/>
    <x v="0"/>
    <m/>
    <m/>
    <m/>
  </r>
  <r>
    <s v="YK260300124"/>
    <x v="0"/>
    <x v="0"/>
    <n v="1"/>
    <x v="0"/>
    <d v="2026-02-12T10:48:27"/>
    <x v="0"/>
    <x v="0"/>
    <x v="0"/>
    <s v="17IA14.00"/>
    <x v="0"/>
    <x v="0"/>
    <m/>
    <m/>
    <m/>
  </r>
  <r>
    <s v="YK260300125"/>
    <x v="0"/>
    <x v="0"/>
    <n v="1"/>
    <x v="0"/>
    <d v="2026-02-18T13:14:59"/>
    <x v="0"/>
    <x v="0"/>
    <x v="0"/>
    <s v="17IA14.00"/>
    <x v="0"/>
    <x v="0"/>
    <m/>
    <m/>
    <m/>
  </r>
  <r>
    <s v="YK260300126"/>
    <x v="0"/>
    <x v="0"/>
    <n v="1"/>
    <x v="0"/>
    <d v="2026-02-19T06:57:11"/>
    <x v="0"/>
    <x v="0"/>
    <x v="0"/>
    <s v="17IA14.00"/>
    <x v="0"/>
    <x v="0"/>
    <m/>
    <m/>
    <m/>
  </r>
  <r>
    <s v="YK260300127"/>
    <x v="0"/>
    <x v="0"/>
    <n v="1"/>
    <x v="0"/>
    <d v="2026-02-23T08:53:19"/>
    <x v="0"/>
    <x v="0"/>
    <x v="0"/>
    <s v="17IA14.00"/>
    <x v="0"/>
    <x v="0"/>
    <m/>
    <m/>
    <m/>
  </r>
  <r>
    <s v="YK260300128"/>
    <x v="1"/>
    <x v="1"/>
    <n v="1"/>
    <x v="1"/>
    <d v="2026-03-31T07:27:11"/>
    <x v="0"/>
    <x v="0"/>
    <x v="0"/>
    <s v="17IA14.00"/>
    <x v="0"/>
    <x v="0"/>
    <m/>
    <m/>
    <m/>
  </r>
  <r>
    <s v="YK260300129"/>
    <x v="0"/>
    <x v="0"/>
    <n v="1"/>
    <x v="0"/>
    <d v="2026-02-12T10:22:43"/>
    <x v="0"/>
    <x v="0"/>
    <x v="0"/>
    <s v="17IA14.00"/>
    <x v="0"/>
    <x v="0"/>
    <m/>
    <m/>
    <m/>
  </r>
  <r>
    <s v="YK260300130"/>
    <x v="0"/>
    <x v="0"/>
    <n v="1"/>
    <x v="0"/>
    <d v="2026-02-18T06:45:53"/>
    <x v="0"/>
    <x v="0"/>
    <x v="0"/>
    <s v="17IA14.00"/>
    <x v="0"/>
    <x v="0"/>
    <m/>
    <m/>
    <m/>
  </r>
  <r>
    <s v="YK260300131"/>
    <x v="0"/>
    <x v="0"/>
    <n v="1"/>
    <x v="0"/>
    <d v="2026-02-23T08:58:09"/>
    <x v="0"/>
    <x v="0"/>
    <x v="0"/>
    <s v="17IA14.00"/>
    <x v="0"/>
    <x v="0"/>
    <m/>
    <m/>
    <m/>
  </r>
  <r>
    <s v="YK260300132"/>
    <x v="0"/>
    <x v="0"/>
    <n v="1"/>
    <x v="0"/>
    <d v="2026-02-12T10:20:48"/>
    <x v="0"/>
    <x v="0"/>
    <x v="0"/>
    <s v="17IA14.00"/>
    <x v="0"/>
    <x v="0"/>
    <m/>
    <m/>
    <m/>
  </r>
  <r>
    <s v="YK260300133"/>
    <x v="0"/>
    <x v="0"/>
    <n v="1"/>
    <x v="0"/>
    <d v="2026-02-19T11:39:30"/>
    <x v="0"/>
    <x v="0"/>
    <x v="0"/>
    <s v="17IA14.00"/>
    <x v="0"/>
    <x v="0"/>
    <m/>
    <m/>
    <m/>
  </r>
  <r>
    <s v="YK260300134"/>
    <x v="0"/>
    <x v="0"/>
    <n v="1"/>
    <x v="0"/>
    <d v="2026-02-12T10:46:22"/>
    <x v="0"/>
    <x v="0"/>
    <x v="0"/>
    <s v="17IA14.00"/>
    <x v="0"/>
    <x v="0"/>
    <m/>
    <m/>
    <m/>
  </r>
  <r>
    <s v="YK260300135"/>
    <x v="0"/>
    <x v="0"/>
    <n v="1"/>
    <x v="0"/>
    <d v="2026-02-13T10:30:08"/>
    <x v="0"/>
    <x v="0"/>
    <x v="0"/>
    <s v="17IA14.00"/>
    <x v="0"/>
    <x v="0"/>
    <m/>
    <m/>
    <m/>
  </r>
  <r>
    <s v="YK260300136"/>
    <x v="0"/>
    <x v="0"/>
    <n v="1"/>
    <x v="0"/>
    <d v="2026-02-18T09:14:37"/>
    <x v="0"/>
    <x v="0"/>
    <x v="0"/>
    <s v="17IA14.00"/>
    <x v="0"/>
    <x v="0"/>
    <m/>
    <m/>
    <m/>
  </r>
  <r>
    <s v="YK260300137"/>
    <x v="0"/>
    <x v="0"/>
    <n v="1"/>
    <x v="0"/>
    <d v="2026-03-13T14:24:50"/>
    <x v="0"/>
    <x v="0"/>
    <x v="0"/>
    <s v="17IA14.00"/>
    <x v="0"/>
    <x v="0"/>
    <m/>
    <m/>
    <m/>
  </r>
  <r>
    <s v="YK260300138"/>
    <x v="0"/>
    <x v="0"/>
    <n v="1"/>
    <x v="0"/>
    <d v="2026-02-18T13:15:11"/>
    <x v="0"/>
    <x v="0"/>
    <x v="0"/>
    <s v="17IA14.00"/>
    <x v="0"/>
    <x v="0"/>
    <m/>
    <m/>
    <m/>
  </r>
  <r>
    <s v="YK260300139"/>
    <x v="0"/>
    <x v="0"/>
    <n v="1"/>
    <x v="0"/>
    <d v="2026-02-18T09:16:29"/>
    <x v="0"/>
    <x v="0"/>
    <x v="0"/>
    <s v="17IA14.00"/>
    <x v="0"/>
    <x v="0"/>
    <m/>
    <m/>
    <m/>
  </r>
  <r>
    <s v="YK260300140"/>
    <x v="0"/>
    <x v="0"/>
    <n v="1"/>
    <x v="0"/>
    <d v="2026-02-13T07:32:29"/>
    <x v="0"/>
    <x v="0"/>
    <x v="0"/>
    <s v="17IA14.00"/>
    <x v="0"/>
    <x v="0"/>
    <m/>
    <m/>
    <m/>
  </r>
  <r>
    <s v="YK260300141"/>
    <x v="0"/>
    <x v="0"/>
    <n v="1"/>
    <x v="0"/>
    <d v="2026-02-17T11:22:56"/>
    <x v="0"/>
    <x v="0"/>
    <x v="0"/>
    <s v="17IA14.00"/>
    <x v="0"/>
    <x v="0"/>
    <m/>
    <m/>
    <m/>
  </r>
  <r>
    <s v="YK260300142"/>
    <x v="0"/>
    <x v="0"/>
    <n v="1"/>
    <x v="0"/>
    <d v="2026-02-24T13:39:49"/>
    <x v="0"/>
    <x v="0"/>
    <x v="0"/>
    <s v="17IA14.00"/>
    <x v="0"/>
    <x v="0"/>
    <m/>
    <m/>
    <m/>
  </r>
  <r>
    <s v="YK260300143"/>
    <x v="0"/>
    <x v="0"/>
    <n v="1"/>
    <x v="0"/>
    <d v="2026-02-23T08:59:52"/>
    <x v="0"/>
    <x v="0"/>
    <x v="0"/>
    <s v="17IA14.00"/>
    <x v="0"/>
    <x v="0"/>
    <m/>
    <m/>
    <m/>
  </r>
  <r>
    <s v="YK260300144"/>
    <x v="0"/>
    <x v="0"/>
    <n v="1"/>
    <x v="0"/>
    <d v="2026-02-18T06:44:25"/>
    <x v="0"/>
    <x v="0"/>
    <x v="0"/>
    <s v="17IA14.00"/>
    <x v="0"/>
    <x v="0"/>
    <m/>
    <m/>
    <m/>
  </r>
  <r>
    <s v="YK260300145"/>
    <x v="0"/>
    <x v="0"/>
    <n v="1"/>
    <x v="0"/>
    <d v="2026-02-17T11:22:46"/>
    <x v="0"/>
    <x v="0"/>
    <x v="0"/>
    <s v="17IA14.00"/>
    <x v="0"/>
    <x v="0"/>
    <m/>
    <m/>
    <m/>
  </r>
  <r>
    <s v="YK260300146"/>
    <x v="0"/>
    <x v="0"/>
    <n v="1"/>
    <x v="0"/>
    <d v="2026-02-13T10:26:31"/>
    <x v="0"/>
    <x v="0"/>
    <x v="0"/>
    <s v="17IA14.00"/>
    <x v="0"/>
    <x v="0"/>
    <m/>
    <m/>
    <m/>
  </r>
  <r>
    <s v="YK260300147"/>
    <x v="0"/>
    <x v="0"/>
    <n v="1"/>
    <x v="0"/>
    <d v="2026-02-12T10:21:02"/>
    <x v="0"/>
    <x v="0"/>
    <x v="0"/>
    <s v="17IA14.00"/>
    <x v="0"/>
    <x v="0"/>
    <m/>
    <m/>
    <m/>
  </r>
  <r>
    <s v="YK260300148"/>
    <x v="0"/>
    <x v="0"/>
    <n v="1"/>
    <x v="0"/>
    <d v="2026-02-20T06:32:46"/>
    <x v="0"/>
    <x v="0"/>
    <x v="0"/>
    <s v="17IA14.00"/>
    <x v="0"/>
    <x v="0"/>
    <m/>
    <m/>
    <m/>
  </r>
  <r>
    <s v="YK260300149"/>
    <x v="0"/>
    <x v="0"/>
    <n v="1"/>
    <x v="0"/>
    <d v="2026-02-13T10:29:57"/>
    <x v="0"/>
    <x v="0"/>
    <x v="0"/>
    <s v="17IA14.00"/>
    <x v="0"/>
    <x v="0"/>
    <m/>
    <m/>
    <m/>
  </r>
  <r>
    <s v="YK260300150"/>
    <x v="0"/>
    <x v="0"/>
    <n v="1"/>
    <x v="0"/>
    <d v="2026-02-19T09:26:33"/>
    <x v="0"/>
    <x v="0"/>
    <x v="0"/>
    <s v="17IA14.00"/>
    <x v="0"/>
    <x v="0"/>
    <m/>
    <m/>
    <m/>
  </r>
  <r>
    <s v="YK260300151"/>
    <x v="0"/>
    <x v="0"/>
    <n v="1"/>
    <x v="0"/>
    <d v="2026-02-17T11:21:14"/>
    <x v="0"/>
    <x v="0"/>
    <x v="0"/>
    <s v="17IA14.00"/>
    <x v="0"/>
    <x v="0"/>
    <m/>
    <m/>
    <m/>
  </r>
  <r>
    <s v="YK260300152"/>
    <x v="0"/>
    <x v="0"/>
    <n v="1"/>
    <x v="0"/>
    <d v="2026-02-17T11:21:35"/>
    <x v="0"/>
    <x v="0"/>
    <x v="0"/>
    <s v="17IA14.00"/>
    <x v="0"/>
    <x v="0"/>
    <m/>
    <m/>
    <m/>
  </r>
  <r>
    <s v="YK260300153"/>
    <x v="0"/>
    <x v="0"/>
    <n v="1"/>
    <x v="0"/>
    <d v="2026-02-19T11:39:46"/>
    <x v="0"/>
    <x v="0"/>
    <x v="0"/>
    <s v="17IA14.00"/>
    <x v="0"/>
    <x v="0"/>
    <m/>
    <m/>
    <m/>
  </r>
  <r>
    <s v="YK260300154"/>
    <x v="0"/>
    <x v="0"/>
    <n v="1"/>
    <x v="0"/>
    <d v="2026-02-19T11:43:16"/>
    <x v="0"/>
    <x v="0"/>
    <x v="0"/>
    <s v="17IA14.00"/>
    <x v="0"/>
    <x v="0"/>
    <m/>
    <m/>
    <m/>
  </r>
  <r>
    <s v="YK260300155"/>
    <x v="0"/>
    <x v="0"/>
    <n v="1"/>
    <x v="0"/>
    <d v="2026-03-11T11:52:40"/>
    <x v="0"/>
    <x v="0"/>
    <x v="0"/>
    <s v="17IA14.00"/>
    <x v="0"/>
    <x v="0"/>
    <m/>
    <m/>
    <m/>
  </r>
  <r>
    <s v="YK260300156"/>
    <x v="0"/>
    <x v="0"/>
    <n v="1"/>
    <x v="0"/>
    <d v="2026-02-19T06:59:20"/>
    <x v="0"/>
    <x v="0"/>
    <x v="0"/>
    <s v="17IA14.00"/>
    <x v="0"/>
    <x v="0"/>
    <m/>
    <m/>
    <m/>
  </r>
  <r>
    <s v="YK260300157"/>
    <x v="1"/>
    <x v="1"/>
    <n v="1"/>
    <x v="1"/>
    <d v="2026-03-31T07:20:50"/>
    <x v="0"/>
    <x v="0"/>
    <x v="0"/>
    <s v="17IA14.00"/>
    <x v="0"/>
    <x v="0"/>
    <m/>
    <m/>
    <m/>
  </r>
  <r>
    <s v="YK260300158"/>
    <x v="0"/>
    <x v="0"/>
    <n v="1"/>
    <x v="0"/>
    <d v="2026-02-19T09:38:45"/>
    <x v="0"/>
    <x v="0"/>
    <x v="0"/>
    <s v="17IA14.00"/>
    <x v="0"/>
    <x v="0"/>
    <m/>
    <m/>
    <m/>
  </r>
  <r>
    <s v="YK260300159"/>
    <x v="0"/>
    <x v="0"/>
    <n v="1"/>
    <x v="0"/>
    <d v="2026-02-20T08:53:10"/>
    <x v="0"/>
    <x v="0"/>
    <x v="0"/>
    <s v="17IA14.00"/>
    <x v="0"/>
    <x v="0"/>
    <m/>
    <m/>
    <m/>
  </r>
  <r>
    <s v="YK260300160"/>
    <x v="1"/>
    <x v="1"/>
    <n v="1"/>
    <x v="1"/>
    <d v="2026-04-28T11:59:16"/>
    <x v="0"/>
    <x v="0"/>
    <x v="0"/>
    <s v="17IA14.00"/>
    <x v="0"/>
    <x v="0"/>
    <m/>
    <m/>
    <m/>
  </r>
  <r>
    <s v="YK260300161"/>
    <x v="0"/>
    <x v="0"/>
    <n v="1"/>
    <x v="0"/>
    <d v="2026-02-18T06:44:42"/>
    <x v="0"/>
    <x v="0"/>
    <x v="0"/>
    <s v="17IA14.00"/>
    <x v="0"/>
    <x v="0"/>
    <m/>
    <m/>
    <m/>
  </r>
  <r>
    <s v="YK260300162"/>
    <x v="0"/>
    <x v="0"/>
    <n v="1"/>
    <x v="0"/>
    <d v="2026-02-20T08:53:02"/>
    <x v="0"/>
    <x v="0"/>
    <x v="0"/>
    <s v="17IA14.00"/>
    <x v="0"/>
    <x v="0"/>
    <m/>
    <m/>
    <m/>
  </r>
  <r>
    <s v="YK260300163"/>
    <x v="0"/>
    <x v="0"/>
    <n v="1"/>
    <x v="0"/>
    <d v="2026-02-18T06:45:45"/>
    <x v="0"/>
    <x v="0"/>
    <x v="0"/>
    <s v="17IA14.00"/>
    <x v="0"/>
    <x v="0"/>
    <m/>
    <m/>
    <m/>
  </r>
  <r>
    <s v="YK260300164"/>
    <x v="0"/>
    <x v="0"/>
    <n v="1"/>
    <x v="0"/>
    <d v="2026-02-23T08:47:32"/>
    <x v="0"/>
    <x v="0"/>
    <x v="0"/>
    <s v="17IA14.00"/>
    <x v="0"/>
    <x v="0"/>
    <m/>
    <m/>
    <m/>
  </r>
  <r>
    <s v="YK260300165"/>
    <x v="0"/>
    <x v="0"/>
    <n v="1"/>
    <x v="0"/>
    <d v="2026-02-20T08:51:36"/>
    <x v="0"/>
    <x v="0"/>
    <x v="0"/>
    <s v="17IA14.00"/>
    <x v="0"/>
    <x v="0"/>
    <m/>
    <m/>
    <m/>
  </r>
  <r>
    <s v="YK260300166"/>
    <x v="0"/>
    <x v="0"/>
    <n v="1"/>
    <x v="0"/>
    <d v="2026-03-11T11:53:18"/>
    <x v="0"/>
    <x v="0"/>
    <x v="0"/>
    <s v="17IA14.00"/>
    <x v="0"/>
    <x v="0"/>
    <m/>
    <m/>
    <m/>
  </r>
  <r>
    <s v="YK260300167"/>
    <x v="0"/>
    <x v="0"/>
    <n v="1"/>
    <x v="0"/>
    <d v="2026-02-18T09:14:54"/>
    <x v="0"/>
    <x v="0"/>
    <x v="0"/>
    <s v="17IA14.00"/>
    <x v="0"/>
    <x v="0"/>
    <m/>
    <m/>
    <m/>
  </r>
  <r>
    <s v="YK260300168"/>
    <x v="1"/>
    <x v="1"/>
    <n v="1"/>
    <x v="1"/>
    <d v="2026-03-31T07:30:48"/>
    <x v="0"/>
    <x v="0"/>
    <x v="0"/>
    <s v="17IA14.00"/>
    <x v="0"/>
    <x v="0"/>
    <m/>
    <m/>
    <m/>
  </r>
  <r>
    <s v="YK260300169"/>
    <x v="0"/>
    <x v="0"/>
    <n v="1"/>
    <x v="0"/>
    <d v="2026-02-13T10:26:44"/>
    <x v="0"/>
    <x v="0"/>
    <x v="0"/>
    <s v="17IA14.00"/>
    <x v="0"/>
    <x v="0"/>
    <m/>
    <m/>
    <m/>
  </r>
  <r>
    <s v="YK260300170"/>
    <x v="0"/>
    <x v="0"/>
    <n v="1"/>
    <x v="0"/>
    <d v="2026-02-19T06:57:25"/>
    <x v="0"/>
    <x v="0"/>
    <x v="0"/>
    <s v="17IA14.00"/>
    <x v="0"/>
    <x v="0"/>
    <m/>
    <m/>
    <m/>
  </r>
  <r>
    <s v="YK260300171"/>
    <x v="0"/>
    <x v="0"/>
    <n v="1"/>
    <x v="0"/>
    <d v="2026-02-13T07:32:48"/>
    <x v="0"/>
    <x v="0"/>
    <x v="0"/>
    <s v="17IA14.00"/>
    <x v="0"/>
    <x v="0"/>
    <m/>
    <m/>
    <m/>
  </r>
  <r>
    <s v="YK260300172"/>
    <x v="0"/>
    <x v="0"/>
    <n v="1"/>
    <x v="0"/>
    <d v="2026-02-20T08:51:47"/>
    <x v="0"/>
    <x v="0"/>
    <x v="0"/>
    <s v="17IA14.00"/>
    <x v="0"/>
    <x v="0"/>
    <m/>
    <m/>
    <m/>
  </r>
  <r>
    <s v="YK260300173"/>
    <x v="0"/>
    <x v="0"/>
    <n v="1"/>
    <x v="0"/>
    <d v="2026-03-13T14:39:16"/>
    <x v="0"/>
    <x v="0"/>
    <x v="0"/>
    <s v="17IA14.00"/>
    <x v="0"/>
    <x v="0"/>
    <m/>
    <m/>
    <m/>
  </r>
  <r>
    <s v="YK260300174"/>
    <x v="0"/>
    <x v="0"/>
    <n v="1"/>
    <x v="0"/>
    <d v="2026-02-23T08:48:33"/>
    <x v="0"/>
    <x v="0"/>
    <x v="0"/>
    <s v="17IA14.00"/>
    <x v="0"/>
    <x v="0"/>
    <m/>
    <m/>
    <m/>
  </r>
  <r>
    <s v="YK260300175"/>
    <x v="0"/>
    <x v="0"/>
    <n v="1"/>
    <x v="0"/>
    <d v="2026-02-19T11:41:19"/>
    <x v="0"/>
    <x v="0"/>
    <x v="0"/>
    <s v="17IA14.00"/>
    <x v="0"/>
    <x v="0"/>
    <m/>
    <m/>
    <m/>
  </r>
  <r>
    <s v="YK260300176"/>
    <x v="0"/>
    <x v="0"/>
    <n v="1"/>
    <x v="0"/>
    <d v="2026-03-18T13:36:23"/>
    <x v="0"/>
    <x v="0"/>
    <x v="0"/>
    <s v="17IA14.00"/>
    <x v="0"/>
    <x v="0"/>
    <m/>
    <m/>
    <m/>
  </r>
  <r>
    <s v="YK260300177"/>
    <x v="0"/>
    <x v="0"/>
    <n v="1"/>
    <x v="0"/>
    <d v="2026-02-20T06:32:58"/>
    <x v="0"/>
    <x v="0"/>
    <x v="0"/>
    <s v="17IA14.00"/>
    <x v="0"/>
    <x v="0"/>
    <m/>
    <m/>
    <m/>
  </r>
  <r>
    <s v="YK260300178"/>
    <x v="0"/>
    <x v="0"/>
    <n v="1"/>
    <x v="0"/>
    <d v="2026-02-24T14:27:42"/>
    <x v="0"/>
    <x v="0"/>
    <x v="0"/>
    <s v="17IA14.00"/>
    <x v="0"/>
    <x v="0"/>
    <m/>
    <m/>
    <m/>
  </r>
  <r>
    <s v="YK260300179"/>
    <x v="0"/>
    <x v="0"/>
    <n v="1"/>
    <x v="0"/>
    <d v="2026-02-24T14:29:54"/>
    <x v="0"/>
    <x v="0"/>
    <x v="0"/>
    <s v="17IA14.00"/>
    <x v="0"/>
    <x v="0"/>
    <m/>
    <m/>
    <m/>
  </r>
  <r>
    <s v="YK260300180"/>
    <x v="0"/>
    <x v="0"/>
    <n v="1"/>
    <x v="0"/>
    <d v="2026-02-20T06:31:52"/>
    <x v="0"/>
    <x v="0"/>
    <x v="0"/>
    <s v="17IA14.00"/>
    <x v="0"/>
    <x v="0"/>
    <m/>
    <m/>
    <m/>
  </r>
  <r>
    <s v="YK260300181"/>
    <x v="1"/>
    <x v="1"/>
    <n v="1"/>
    <x v="1"/>
    <d v="2026-03-31T07:17:45"/>
    <x v="0"/>
    <x v="0"/>
    <x v="0"/>
    <s v="17IA14.00"/>
    <x v="0"/>
    <x v="0"/>
    <m/>
    <m/>
    <m/>
  </r>
  <r>
    <s v="YK260300182"/>
    <x v="0"/>
    <x v="0"/>
    <n v="1"/>
    <x v="0"/>
    <d v="2026-03-16T07:56:11"/>
    <x v="0"/>
    <x v="0"/>
    <x v="0"/>
    <s v="17IA14.00"/>
    <x v="0"/>
    <x v="0"/>
    <m/>
    <m/>
    <m/>
  </r>
  <r>
    <s v="YK260300183"/>
    <x v="0"/>
    <x v="0"/>
    <n v="1"/>
    <x v="0"/>
    <d v="2026-02-27T10:25:54"/>
    <x v="0"/>
    <x v="0"/>
    <x v="0"/>
    <s v="17IA14.00"/>
    <x v="0"/>
    <x v="0"/>
    <m/>
    <m/>
    <m/>
  </r>
  <r>
    <s v="YK260300184"/>
    <x v="0"/>
    <x v="0"/>
    <n v="1"/>
    <x v="0"/>
    <d v="2026-02-12T10:22:32"/>
    <x v="0"/>
    <x v="0"/>
    <x v="0"/>
    <s v="17IA14.00"/>
    <x v="0"/>
    <x v="0"/>
    <m/>
    <m/>
    <m/>
  </r>
  <r>
    <s v="YK260300185"/>
    <x v="0"/>
    <x v="0"/>
    <n v="1"/>
    <x v="0"/>
    <d v="2026-02-23T08:48:41"/>
    <x v="0"/>
    <x v="0"/>
    <x v="0"/>
    <s v="17IA14.00"/>
    <x v="0"/>
    <x v="0"/>
    <m/>
    <m/>
    <m/>
  </r>
  <r>
    <s v="YK260300186"/>
    <x v="1"/>
    <x v="1"/>
    <n v="1"/>
    <x v="1"/>
    <d v="2026-03-31T07:12:20"/>
    <x v="0"/>
    <x v="0"/>
    <x v="0"/>
    <s v="17IA14.00"/>
    <x v="0"/>
    <x v="0"/>
    <m/>
    <m/>
    <m/>
  </r>
  <r>
    <s v="YK260300187"/>
    <x v="0"/>
    <x v="0"/>
    <n v="1"/>
    <x v="0"/>
    <d v="2026-02-12T10:48:06"/>
    <x v="0"/>
    <x v="0"/>
    <x v="0"/>
    <s v="17IA14.00"/>
    <x v="0"/>
    <x v="0"/>
    <m/>
    <m/>
    <m/>
  </r>
  <r>
    <s v="YK260300188"/>
    <x v="0"/>
    <x v="0"/>
    <n v="1"/>
    <x v="0"/>
    <d v="2026-02-18T09:16:18"/>
    <x v="0"/>
    <x v="0"/>
    <x v="0"/>
    <s v="17IA14.00"/>
    <x v="0"/>
    <x v="0"/>
    <m/>
    <m/>
    <m/>
  </r>
  <r>
    <s v="YK260300189"/>
    <x v="0"/>
    <x v="0"/>
    <n v="1"/>
    <x v="0"/>
    <d v="2026-02-19T06:59:05"/>
    <x v="0"/>
    <x v="0"/>
    <x v="0"/>
    <s v="17IA14.00"/>
    <x v="0"/>
    <x v="0"/>
    <m/>
    <m/>
    <m/>
  </r>
  <r>
    <s v="YK260300190"/>
    <x v="0"/>
    <x v="0"/>
    <n v="1"/>
    <x v="0"/>
    <d v="2026-02-23T08:59:22"/>
    <x v="0"/>
    <x v="0"/>
    <x v="0"/>
    <s v="17IA14.00"/>
    <x v="0"/>
    <x v="0"/>
    <m/>
    <m/>
    <m/>
  </r>
  <r>
    <s v="YK260300201"/>
    <x v="0"/>
    <x v="0"/>
    <n v="1"/>
    <x v="0"/>
    <d v="2026-02-20T06:21:36"/>
    <x v="0"/>
    <x v="0"/>
    <x v="0"/>
    <s v="17IA14.00"/>
    <x v="0"/>
    <x v="0"/>
    <m/>
    <m/>
    <m/>
  </r>
  <r>
    <s v="YK260300202"/>
    <x v="0"/>
    <x v="0"/>
    <n v="1"/>
    <x v="0"/>
    <d v="2026-02-13T07:30:38"/>
    <x v="0"/>
    <x v="0"/>
    <x v="0"/>
    <s v="17IA14.00"/>
    <x v="0"/>
    <x v="0"/>
    <m/>
    <m/>
    <m/>
  </r>
  <r>
    <s v="YK260300043"/>
    <x v="0"/>
    <x v="0"/>
    <n v="1"/>
    <x v="0"/>
    <d v="2026-02-20T08:52:33"/>
    <x v="1"/>
    <x v="1"/>
    <x v="1"/>
    <s v="17IA14.10"/>
    <x v="0"/>
    <x v="0"/>
    <m/>
    <m/>
    <m/>
  </r>
  <r>
    <s v="YK260300044"/>
    <x v="0"/>
    <x v="0"/>
    <n v="1"/>
    <x v="0"/>
    <d v="2026-02-13T07:31:18"/>
    <x v="1"/>
    <x v="1"/>
    <x v="1"/>
    <s v="17IA14.10"/>
    <x v="0"/>
    <x v="0"/>
    <m/>
    <m/>
    <m/>
  </r>
  <r>
    <s v="YK260300045"/>
    <x v="0"/>
    <x v="0"/>
    <n v="1"/>
    <x v="0"/>
    <d v="2026-02-19T11:40:20"/>
    <x v="1"/>
    <x v="1"/>
    <x v="1"/>
    <s v="17IA14.10"/>
    <x v="0"/>
    <x v="0"/>
    <m/>
    <m/>
    <m/>
  </r>
  <r>
    <s v="YK260300046"/>
    <x v="0"/>
    <x v="0"/>
    <n v="1"/>
    <x v="0"/>
    <d v="2026-02-19T09:27:07"/>
    <x v="1"/>
    <x v="1"/>
    <x v="1"/>
    <s v="17IA14.10"/>
    <x v="0"/>
    <x v="0"/>
    <m/>
    <m/>
    <m/>
  </r>
  <r>
    <s v="YK260300047"/>
    <x v="0"/>
    <x v="0"/>
    <n v="1"/>
    <x v="0"/>
    <d v="2026-02-23T08:59:48"/>
    <x v="1"/>
    <x v="1"/>
    <x v="1"/>
    <s v="17IA14.10"/>
    <x v="0"/>
    <x v="0"/>
    <m/>
    <m/>
    <m/>
  </r>
  <r>
    <s v="YK260300048"/>
    <x v="1"/>
    <x v="1"/>
    <n v="1"/>
    <x v="1"/>
    <d v="2026-03-30T14:15:31"/>
    <x v="1"/>
    <x v="1"/>
    <x v="1"/>
    <s v="17IA14.10"/>
    <x v="0"/>
    <x v="0"/>
    <m/>
    <m/>
    <m/>
  </r>
  <r>
    <s v="YK260300049"/>
    <x v="1"/>
    <x v="1"/>
    <n v="1"/>
    <x v="1"/>
    <d v="2026-03-30T12:25:32"/>
    <x v="1"/>
    <x v="1"/>
    <x v="1"/>
    <s v="17IA14.10"/>
    <x v="0"/>
    <x v="0"/>
    <m/>
    <m/>
    <m/>
  </r>
  <r>
    <s v="YK260300050"/>
    <x v="1"/>
    <x v="1"/>
    <n v="1"/>
    <x v="1"/>
    <d v="2026-03-30T14:24:19"/>
    <x v="1"/>
    <x v="1"/>
    <x v="1"/>
    <s v="17IA14.10"/>
    <x v="0"/>
    <x v="0"/>
    <m/>
    <m/>
    <m/>
  </r>
  <r>
    <s v="YK260300051"/>
    <x v="0"/>
    <x v="0"/>
    <n v="1"/>
    <x v="0"/>
    <d v="2026-02-19T06:58:24"/>
    <x v="1"/>
    <x v="1"/>
    <x v="1"/>
    <s v="17IA14.10"/>
    <x v="0"/>
    <x v="0"/>
    <m/>
    <m/>
    <m/>
  </r>
  <r>
    <s v="YK260300052"/>
    <x v="0"/>
    <x v="0"/>
    <n v="1"/>
    <x v="0"/>
    <d v="2026-02-12T10:21:13"/>
    <x v="1"/>
    <x v="1"/>
    <x v="1"/>
    <s v="17IA14.10"/>
    <x v="0"/>
    <x v="0"/>
    <m/>
    <m/>
    <m/>
  </r>
  <r>
    <s v="YK260300053"/>
    <x v="0"/>
    <x v="0"/>
    <n v="1"/>
    <x v="0"/>
    <d v="2026-02-18T06:45:04"/>
    <x v="1"/>
    <x v="1"/>
    <x v="1"/>
    <s v="17IA14.10"/>
    <x v="0"/>
    <x v="0"/>
    <m/>
    <m/>
    <m/>
  </r>
  <r>
    <s v="YK260300054"/>
    <x v="1"/>
    <x v="1"/>
    <n v="1"/>
    <x v="1"/>
    <d v="2026-03-30T14:01:55"/>
    <x v="1"/>
    <x v="1"/>
    <x v="1"/>
    <s v="17IA14.10"/>
    <x v="0"/>
    <x v="0"/>
    <m/>
    <m/>
    <m/>
  </r>
  <r>
    <s v="YK260300055"/>
    <x v="1"/>
    <x v="1"/>
    <n v="1"/>
    <x v="1"/>
    <d v="2026-03-30T12:22:49"/>
    <x v="1"/>
    <x v="1"/>
    <x v="1"/>
    <s v="17IA14.10"/>
    <x v="0"/>
    <x v="0"/>
    <m/>
    <m/>
    <m/>
  </r>
  <r>
    <s v="YK260300056"/>
    <x v="1"/>
    <x v="1"/>
    <n v="1"/>
    <x v="1"/>
    <d v="2026-03-31T07:01:19"/>
    <x v="1"/>
    <x v="1"/>
    <x v="1"/>
    <s v="17IA14.10"/>
    <x v="0"/>
    <x v="0"/>
    <m/>
    <m/>
    <m/>
  </r>
  <r>
    <s v="YK260300057"/>
    <x v="0"/>
    <x v="0"/>
    <n v="1"/>
    <x v="0"/>
    <d v="2026-03-11T11:53:50"/>
    <x v="1"/>
    <x v="1"/>
    <x v="1"/>
    <s v="17IA14.10"/>
    <x v="0"/>
    <x v="0"/>
    <m/>
    <m/>
    <m/>
  </r>
  <r>
    <s v="YK260300058"/>
    <x v="0"/>
    <x v="0"/>
    <n v="1"/>
    <x v="0"/>
    <d v="2026-02-20T08:52:22"/>
    <x v="1"/>
    <x v="1"/>
    <x v="1"/>
    <s v="17IA14.10"/>
    <x v="0"/>
    <x v="0"/>
    <m/>
    <m/>
    <m/>
  </r>
  <r>
    <s v="YK260300059"/>
    <x v="0"/>
    <x v="0"/>
    <n v="1"/>
    <x v="0"/>
    <d v="2026-03-11T11:53:39"/>
    <x v="1"/>
    <x v="1"/>
    <x v="1"/>
    <s v="17IA14.10"/>
    <x v="0"/>
    <x v="0"/>
    <m/>
    <m/>
    <m/>
  </r>
  <r>
    <s v="YK260300060"/>
    <x v="0"/>
    <x v="0"/>
    <n v="1"/>
    <x v="0"/>
    <d v="2026-02-20T06:32:03"/>
    <x v="1"/>
    <x v="1"/>
    <x v="1"/>
    <s v="17IA14.10"/>
    <x v="0"/>
    <x v="0"/>
    <m/>
    <m/>
    <m/>
  </r>
  <r>
    <s v="YK260300061"/>
    <x v="0"/>
    <x v="0"/>
    <n v="1"/>
    <x v="0"/>
    <d v="2026-02-19T11:39:59"/>
    <x v="1"/>
    <x v="1"/>
    <x v="1"/>
    <s v="17IA14.10"/>
    <x v="0"/>
    <x v="0"/>
    <m/>
    <m/>
    <m/>
  </r>
  <r>
    <s v="YK260300062"/>
    <x v="0"/>
    <x v="0"/>
    <n v="1"/>
    <x v="0"/>
    <d v="2026-02-17T11:21:54"/>
    <x v="1"/>
    <x v="1"/>
    <x v="1"/>
    <s v="17IA14.10"/>
    <x v="0"/>
    <x v="0"/>
    <m/>
    <m/>
    <m/>
  </r>
  <r>
    <s v="YK260300063"/>
    <x v="0"/>
    <x v="0"/>
    <n v="1"/>
    <x v="0"/>
    <d v="2026-02-19T06:58:07"/>
    <x v="1"/>
    <x v="1"/>
    <x v="1"/>
    <s v="17IA14.10"/>
    <x v="0"/>
    <x v="0"/>
    <m/>
    <m/>
    <m/>
  </r>
  <r>
    <s v="YK260300064"/>
    <x v="0"/>
    <x v="0"/>
    <n v="1"/>
    <x v="0"/>
    <d v="2026-02-23T08:48:06"/>
    <x v="1"/>
    <x v="1"/>
    <x v="1"/>
    <s v="17IA14.10"/>
    <x v="0"/>
    <x v="0"/>
    <m/>
    <m/>
    <m/>
  </r>
  <r>
    <s v="YK260300065"/>
    <x v="0"/>
    <x v="0"/>
    <n v="1"/>
    <x v="0"/>
    <d v="2026-02-18T13:15:47"/>
    <x v="1"/>
    <x v="1"/>
    <x v="1"/>
    <s v="17IA14.10"/>
    <x v="0"/>
    <x v="0"/>
    <m/>
    <m/>
    <m/>
  </r>
  <r>
    <s v="YK260300066"/>
    <x v="1"/>
    <x v="1"/>
    <n v="1"/>
    <x v="1"/>
    <d v="2026-03-30T12:23:59"/>
    <x v="1"/>
    <x v="1"/>
    <x v="1"/>
    <s v="17IA14.10"/>
    <x v="0"/>
    <x v="0"/>
    <m/>
    <m/>
    <m/>
  </r>
  <r>
    <s v="YK260300067"/>
    <x v="0"/>
    <x v="0"/>
    <n v="1"/>
    <x v="0"/>
    <d v="2026-02-19T09:26:57"/>
    <x v="1"/>
    <x v="1"/>
    <x v="1"/>
    <s v="17IA14.10"/>
    <x v="0"/>
    <x v="0"/>
    <m/>
    <m/>
    <m/>
  </r>
  <r>
    <s v="YK260300068"/>
    <x v="0"/>
    <x v="0"/>
    <n v="1"/>
    <x v="0"/>
    <d v="2026-02-24T11:08:46"/>
    <x v="1"/>
    <x v="1"/>
    <x v="1"/>
    <s v="17IA14.10"/>
    <x v="0"/>
    <x v="0"/>
    <m/>
    <m/>
    <m/>
  </r>
  <r>
    <s v="YK260300069"/>
    <x v="0"/>
    <x v="0"/>
    <n v="1"/>
    <x v="0"/>
    <d v="2026-02-12T10:47:32"/>
    <x v="1"/>
    <x v="1"/>
    <x v="1"/>
    <s v="17IA14.10"/>
    <x v="0"/>
    <x v="0"/>
    <m/>
    <m/>
    <m/>
  </r>
  <r>
    <s v="YK260300070"/>
    <x v="0"/>
    <x v="0"/>
    <n v="1"/>
    <x v="0"/>
    <d v="2026-02-12T10:46:51"/>
    <x v="1"/>
    <x v="1"/>
    <x v="1"/>
    <s v="17IA14.10"/>
    <x v="0"/>
    <x v="0"/>
    <m/>
    <m/>
    <m/>
  </r>
  <r>
    <s v="YK260300071"/>
    <x v="0"/>
    <x v="0"/>
    <n v="1"/>
    <x v="0"/>
    <d v="2026-02-18T06:44:54"/>
    <x v="1"/>
    <x v="1"/>
    <x v="1"/>
    <s v="17IA14.10"/>
    <x v="0"/>
    <x v="0"/>
    <m/>
    <m/>
    <m/>
  </r>
  <r>
    <s v="YK260300072"/>
    <x v="0"/>
    <x v="0"/>
    <n v="1"/>
    <x v="0"/>
    <d v="2026-02-18T06:45:17"/>
    <x v="1"/>
    <x v="1"/>
    <x v="1"/>
    <s v="17IA14.10"/>
    <x v="0"/>
    <x v="0"/>
    <m/>
    <m/>
    <m/>
  </r>
  <r>
    <s v="YK260300073"/>
    <x v="0"/>
    <x v="0"/>
    <n v="1"/>
    <x v="0"/>
    <d v="2026-02-20T08:52:11"/>
    <x v="1"/>
    <x v="1"/>
    <x v="1"/>
    <s v="17IA14.10"/>
    <x v="0"/>
    <x v="0"/>
    <m/>
    <m/>
    <m/>
  </r>
  <r>
    <s v="YK260300074"/>
    <x v="0"/>
    <x v="0"/>
    <n v="1"/>
    <x v="0"/>
    <d v="2026-02-23T08:59:38"/>
    <x v="1"/>
    <x v="1"/>
    <x v="1"/>
    <s v="17IA14.10"/>
    <x v="0"/>
    <x v="0"/>
    <m/>
    <m/>
    <m/>
  </r>
  <r>
    <s v="YK260300075"/>
    <x v="0"/>
    <x v="0"/>
    <n v="1"/>
    <x v="0"/>
    <d v="2026-02-23T08:48:23"/>
    <x v="1"/>
    <x v="1"/>
    <x v="1"/>
    <s v="17IA14.10"/>
    <x v="0"/>
    <x v="0"/>
    <m/>
    <m/>
    <m/>
  </r>
  <r>
    <s v="YK260300076"/>
    <x v="0"/>
    <x v="0"/>
    <n v="1"/>
    <x v="0"/>
    <d v="2026-02-24T14:16:58"/>
    <x v="1"/>
    <x v="1"/>
    <x v="1"/>
    <s v="17IA14.10"/>
    <x v="0"/>
    <x v="0"/>
    <m/>
    <m/>
    <m/>
  </r>
  <r>
    <s v="YK260300077"/>
    <x v="0"/>
    <x v="0"/>
    <n v="1"/>
    <x v="0"/>
    <d v="2026-02-19T11:40:32"/>
    <x v="1"/>
    <x v="1"/>
    <x v="1"/>
    <s v="17IA14.10"/>
    <x v="0"/>
    <x v="0"/>
    <m/>
    <m/>
    <m/>
  </r>
  <r>
    <s v="YK260300078"/>
    <x v="1"/>
    <x v="1"/>
    <n v="1"/>
    <x v="1"/>
    <d v="2026-04-10T12:07:08"/>
    <x v="1"/>
    <x v="1"/>
    <x v="1"/>
    <s v="17IA14.10"/>
    <x v="0"/>
    <x v="0"/>
    <m/>
    <m/>
    <m/>
  </r>
  <r>
    <s v="YK260300079"/>
    <x v="0"/>
    <x v="0"/>
    <n v="1"/>
    <x v="0"/>
    <d v="2026-02-27T10:34:06"/>
    <x v="1"/>
    <x v="1"/>
    <x v="1"/>
    <s v="17IA14.10"/>
    <x v="0"/>
    <x v="0"/>
    <m/>
    <m/>
    <m/>
  </r>
  <r>
    <s v="YK260300080"/>
    <x v="0"/>
    <x v="0"/>
    <n v="1"/>
    <x v="0"/>
    <d v="2026-02-12T10:21:32"/>
    <x v="1"/>
    <x v="1"/>
    <x v="1"/>
    <s v="17IA14.10"/>
    <x v="0"/>
    <x v="0"/>
    <m/>
    <m/>
    <m/>
  </r>
  <r>
    <s v="YK260300081"/>
    <x v="0"/>
    <x v="0"/>
    <n v="1"/>
    <x v="0"/>
    <d v="2026-02-20T06:32:24"/>
    <x v="1"/>
    <x v="1"/>
    <x v="1"/>
    <s v="17IA14.10"/>
    <x v="0"/>
    <x v="0"/>
    <m/>
    <m/>
    <m/>
  </r>
  <r>
    <s v="YK260300082"/>
    <x v="0"/>
    <x v="0"/>
    <n v="1"/>
    <x v="0"/>
    <d v="2026-02-24T14:19:36"/>
    <x v="1"/>
    <x v="1"/>
    <x v="1"/>
    <s v="17IA14.10"/>
    <x v="0"/>
    <x v="0"/>
    <m/>
    <m/>
    <m/>
  </r>
  <r>
    <s v="YK260300083"/>
    <x v="0"/>
    <x v="0"/>
    <n v="1"/>
    <x v="0"/>
    <d v="2026-02-13T10:29:32"/>
    <x v="1"/>
    <x v="1"/>
    <x v="1"/>
    <s v="17IA14.10"/>
    <x v="0"/>
    <x v="0"/>
    <m/>
    <m/>
    <m/>
  </r>
  <r>
    <s v="YK260300084"/>
    <x v="0"/>
    <x v="0"/>
    <n v="1"/>
    <x v="0"/>
    <d v="2026-02-18T13:15:39"/>
    <x v="1"/>
    <x v="1"/>
    <x v="1"/>
    <s v="17IA14.10"/>
    <x v="0"/>
    <x v="0"/>
    <m/>
    <m/>
    <m/>
  </r>
  <r>
    <s v="YK260300085"/>
    <x v="1"/>
    <x v="1"/>
    <n v="1"/>
    <x v="1"/>
    <d v="2026-04-07T12:16:56"/>
    <x v="1"/>
    <x v="1"/>
    <x v="1"/>
    <s v="17IA14.10"/>
    <x v="0"/>
    <x v="0"/>
    <m/>
    <m/>
    <m/>
  </r>
  <r>
    <s v="YK260300086"/>
    <x v="0"/>
    <x v="0"/>
    <n v="1"/>
    <x v="0"/>
    <d v="2026-02-24T11:09:01"/>
    <x v="1"/>
    <x v="1"/>
    <x v="1"/>
    <s v="17IA14.10"/>
    <x v="0"/>
    <x v="0"/>
    <m/>
    <m/>
    <m/>
  </r>
  <r>
    <s v="YK260300087"/>
    <x v="0"/>
    <x v="0"/>
    <n v="1"/>
    <x v="0"/>
    <d v="2026-02-20T06:36:40"/>
    <x v="1"/>
    <x v="1"/>
    <x v="1"/>
    <s v="17IA14.10"/>
    <x v="0"/>
    <x v="0"/>
    <m/>
    <m/>
    <m/>
  </r>
  <r>
    <s v="YK260300088"/>
    <x v="0"/>
    <x v="0"/>
    <n v="1"/>
    <x v="0"/>
    <d v="2026-03-11T11:54:08"/>
    <x v="1"/>
    <x v="1"/>
    <x v="1"/>
    <s v="17IA14.10"/>
    <x v="0"/>
    <x v="0"/>
    <m/>
    <m/>
    <m/>
  </r>
  <r>
    <s v="YK260300089"/>
    <x v="1"/>
    <x v="1"/>
    <n v="1"/>
    <x v="1"/>
    <d v="2026-03-31T06:52:42"/>
    <x v="1"/>
    <x v="1"/>
    <x v="1"/>
    <s v="17IA14.10"/>
    <x v="0"/>
    <x v="0"/>
    <m/>
    <m/>
    <m/>
  </r>
  <r>
    <s v="YK260300090"/>
    <x v="0"/>
    <x v="0"/>
    <n v="1"/>
    <x v="0"/>
    <d v="2026-03-13T14:23:55"/>
    <x v="1"/>
    <x v="1"/>
    <x v="1"/>
    <s v="17IA14.10"/>
    <x v="0"/>
    <x v="0"/>
    <m/>
    <m/>
    <m/>
  </r>
  <r>
    <s v="YK260300091"/>
    <x v="0"/>
    <x v="0"/>
    <n v="1"/>
    <x v="0"/>
    <d v="2026-02-19T09:27:19"/>
    <x v="1"/>
    <x v="1"/>
    <x v="1"/>
    <s v="17IA14.10"/>
    <x v="0"/>
    <x v="0"/>
    <m/>
    <m/>
    <m/>
  </r>
  <r>
    <s v="YK260300092"/>
    <x v="0"/>
    <x v="0"/>
    <n v="1"/>
    <x v="0"/>
    <d v="2026-02-23T08:47:57"/>
    <x v="1"/>
    <x v="1"/>
    <x v="1"/>
    <s v="17IA14.10"/>
    <x v="0"/>
    <x v="0"/>
    <m/>
    <m/>
    <m/>
  </r>
  <r>
    <s v="YK260300093"/>
    <x v="0"/>
    <x v="0"/>
    <n v="1"/>
    <x v="0"/>
    <d v="2026-02-24T14:21:36"/>
    <x v="1"/>
    <x v="1"/>
    <x v="1"/>
    <s v="17IA14.10"/>
    <x v="0"/>
    <x v="0"/>
    <m/>
    <m/>
    <m/>
  </r>
  <r>
    <s v="YK260300094"/>
    <x v="0"/>
    <x v="0"/>
    <n v="1"/>
    <x v="0"/>
    <d v="2026-02-18T09:16:08"/>
    <x v="1"/>
    <x v="1"/>
    <x v="1"/>
    <s v="17IA14.10"/>
    <x v="0"/>
    <x v="0"/>
    <m/>
    <m/>
    <m/>
  </r>
  <r>
    <s v="YK260300095"/>
    <x v="1"/>
    <x v="1"/>
    <n v="1"/>
    <x v="1"/>
    <d v="2026-03-30T14:20:51"/>
    <x v="1"/>
    <x v="1"/>
    <x v="1"/>
    <s v="17IA14.10"/>
    <x v="0"/>
    <x v="0"/>
    <m/>
    <m/>
    <m/>
  </r>
  <r>
    <s v="YK260300096"/>
    <x v="0"/>
    <x v="0"/>
    <n v="1"/>
    <x v="0"/>
    <d v="2026-02-18T09:15:04"/>
    <x v="1"/>
    <x v="1"/>
    <x v="1"/>
    <s v="17IA14.10"/>
    <x v="0"/>
    <x v="0"/>
    <m/>
    <m/>
    <m/>
  </r>
  <r>
    <s v="YK260300097"/>
    <x v="0"/>
    <x v="0"/>
    <n v="1"/>
    <x v="0"/>
    <d v="2026-02-19T09:27:31"/>
    <x v="1"/>
    <x v="1"/>
    <x v="1"/>
    <s v="17IA14.10"/>
    <x v="0"/>
    <x v="0"/>
    <m/>
    <m/>
    <m/>
  </r>
  <r>
    <s v="YK260300098"/>
    <x v="0"/>
    <x v="0"/>
    <n v="1"/>
    <x v="0"/>
    <d v="2026-02-12T10:47:21"/>
    <x v="1"/>
    <x v="1"/>
    <x v="1"/>
    <s v="17IA14.10"/>
    <x v="0"/>
    <x v="0"/>
    <m/>
    <m/>
    <m/>
  </r>
  <r>
    <s v="YK260300099"/>
    <x v="0"/>
    <x v="0"/>
    <n v="1"/>
    <x v="0"/>
    <d v="2026-02-12T10:47:47"/>
    <x v="1"/>
    <x v="1"/>
    <x v="1"/>
    <s v="17IA14.10"/>
    <x v="0"/>
    <x v="0"/>
    <m/>
    <m/>
    <m/>
  </r>
  <r>
    <s v="YK260300100"/>
    <x v="0"/>
    <x v="0"/>
    <n v="1"/>
    <x v="0"/>
    <d v="2026-03-11T11:53:28"/>
    <x v="1"/>
    <x v="1"/>
    <x v="1"/>
    <s v="17IA14.10"/>
    <x v="0"/>
    <x v="0"/>
    <m/>
    <m/>
    <m/>
  </r>
  <r>
    <s v="YK260300101"/>
    <x v="1"/>
    <x v="1"/>
    <n v="1"/>
    <x v="1"/>
    <d v="2026-03-30T14:27:29"/>
    <x v="1"/>
    <x v="1"/>
    <x v="1"/>
    <s v="17IA14.10"/>
    <x v="0"/>
    <x v="0"/>
    <m/>
    <m/>
    <m/>
  </r>
  <r>
    <s v="YK260300102"/>
    <x v="0"/>
    <x v="0"/>
    <n v="1"/>
    <x v="0"/>
    <d v="2026-02-12T10:21:47"/>
    <x v="1"/>
    <x v="1"/>
    <x v="1"/>
    <s v="17IA14.10"/>
    <x v="0"/>
    <x v="0"/>
    <m/>
    <m/>
    <m/>
  </r>
  <r>
    <s v="YK260300103"/>
    <x v="0"/>
    <x v="0"/>
    <n v="1"/>
    <x v="0"/>
    <d v="2026-02-27T10:30:20"/>
    <x v="1"/>
    <x v="1"/>
    <x v="1"/>
    <s v="17IA14.10"/>
    <x v="0"/>
    <x v="0"/>
    <m/>
    <m/>
    <m/>
  </r>
  <r>
    <s v="YK260300104"/>
    <x v="0"/>
    <x v="0"/>
    <n v="1"/>
    <x v="0"/>
    <d v="2026-03-17T12:28:31"/>
    <x v="1"/>
    <x v="1"/>
    <x v="1"/>
    <s v="17IA14.10"/>
    <x v="0"/>
    <x v="0"/>
    <m/>
    <m/>
    <m/>
  </r>
  <r>
    <s v="YK260300105"/>
    <x v="0"/>
    <x v="0"/>
    <n v="1"/>
    <x v="0"/>
    <d v="2026-02-13T10:29:44"/>
    <x v="1"/>
    <x v="1"/>
    <x v="1"/>
    <s v="17IA14.10"/>
    <x v="0"/>
    <x v="0"/>
    <m/>
    <m/>
    <m/>
  </r>
  <r>
    <s v="YK260300106"/>
    <x v="0"/>
    <x v="0"/>
    <n v="1"/>
    <x v="0"/>
    <d v="2026-02-27T10:27:22"/>
    <x v="1"/>
    <x v="1"/>
    <x v="1"/>
    <s v="17IA14.10"/>
    <x v="0"/>
    <x v="0"/>
    <m/>
    <m/>
    <m/>
  </r>
  <r>
    <s v="YK260300107"/>
    <x v="0"/>
    <x v="0"/>
    <n v="1"/>
    <x v="0"/>
    <d v="2026-02-13T10:27:03"/>
    <x v="1"/>
    <x v="1"/>
    <x v="1"/>
    <s v="17IA14.10"/>
    <x v="0"/>
    <x v="0"/>
    <m/>
    <m/>
    <m/>
  </r>
  <r>
    <s v="YK260300108"/>
    <x v="1"/>
    <x v="1"/>
    <n v="1"/>
    <x v="1"/>
    <d v="2026-03-30T12:24:42"/>
    <x v="1"/>
    <x v="1"/>
    <x v="1"/>
    <s v="17IA14.10"/>
    <x v="0"/>
    <x v="0"/>
    <m/>
    <m/>
    <m/>
  </r>
  <r>
    <s v="YK260300109"/>
    <x v="0"/>
    <x v="0"/>
    <n v="1"/>
    <x v="0"/>
    <d v="2026-03-13T14:24:30"/>
    <x v="1"/>
    <x v="1"/>
    <x v="1"/>
    <s v="17IA14.10"/>
    <x v="0"/>
    <x v="0"/>
    <m/>
    <m/>
    <m/>
  </r>
  <r>
    <s v="YK260300110"/>
    <x v="0"/>
    <x v="0"/>
    <n v="1"/>
    <x v="0"/>
    <d v="2026-02-13T10:27:29"/>
    <x v="1"/>
    <x v="1"/>
    <x v="1"/>
    <s v="17IA14.10"/>
    <x v="0"/>
    <x v="0"/>
    <m/>
    <m/>
    <m/>
  </r>
  <r>
    <s v="YK260300111"/>
    <x v="0"/>
    <x v="0"/>
    <n v="1"/>
    <x v="0"/>
    <d v="2026-02-19T11:40:59"/>
    <x v="1"/>
    <x v="1"/>
    <x v="1"/>
    <s v="17IA14.10"/>
    <x v="0"/>
    <x v="0"/>
    <m/>
    <m/>
    <m/>
  </r>
  <r>
    <s v="YK260300112"/>
    <x v="0"/>
    <x v="0"/>
    <n v="1"/>
    <x v="0"/>
    <d v="2026-02-24T14:24:36"/>
    <x v="1"/>
    <x v="1"/>
    <x v="1"/>
    <s v="17IA14.10"/>
    <x v="0"/>
    <x v="0"/>
    <m/>
    <m/>
    <m/>
  </r>
  <r>
    <s v="YK260300113"/>
    <x v="0"/>
    <x v="0"/>
    <n v="1"/>
    <x v="0"/>
    <d v="2026-02-23T08:47:49"/>
    <x v="1"/>
    <x v="1"/>
    <x v="1"/>
    <s v="17IA14.10"/>
    <x v="0"/>
    <x v="0"/>
    <m/>
    <m/>
    <m/>
  </r>
  <r>
    <s v="YK260300114"/>
    <x v="0"/>
    <x v="0"/>
    <n v="1"/>
    <x v="0"/>
    <d v="2026-03-16T08:34:46"/>
    <x v="1"/>
    <x v="1"/>
    <x v="1"/>
    <s v="17IA14.10"/>
    <x v="0"/>
    <x v="0"/>
    <m/>
    <m/>
    <m/>
  </r>
  <r>
    <s v="YK260300115"/>
    <x v="0"/>
    <x v="0"/>
    <n v="1"/>
    <x v="0"/>
    <d v="2026-02-20T08:51:57"/>
    <x v="1"/>
    <x v="1"/>
    <x v="1"/>
    <s v="17IA14.10"/>
    <x v="0"/>
    <x v="0"/>
    <m/>
    <m/>
    <m/>
  </r>
  <r>
    <s v="YK260300116"/>
    <x v="1"/>
    <x v="1"/>
    <n v="1"/>
    <x v="1"/>
    <d v="2026-03-31T06:57:21"/>
    <x v="1"/>
    <x v="1"/>
    <x v="1"/>
    <s v="17IA14.10"/>
    <x v="0"/>
    <x v="0"/>
    <m/>
    <m/>
    <m/>
  </r>
  <r>
    <s v="YK260300117"/>
    <x v="0"/>
    <x v="0"/>
    <n v="1"/>
    <x v="0"/>
    <d v="2026-03-02T11:05:15"/>
    <x v="1"/>
    <x v="1"/>
    <x v="1"/>
    <s v="17IA14.10"/>
    <x v="0"/>
    <x v="0"/>
    <m/>
    <m/>
    <m/>
  </r>
  <r>
    <s v="YK260300118"/>
    <x v="0"/>
    <x v="0"/>
    <n v="1"/>
    <x v="0"/>
    <d v="2026-02-23T09:00:11"/>
    <x v="1"/>
    <x v="1"/>
    <x v="1"/>
    <s v="17IA14.10"/>
    <x v="0"/>
    <x v="0"/>
    <m/>
    <m/>
    <m/>
  </r>
  <r>
    <s v="YK260300119"/>
    <x v="1"/>
    <x v="1"/>
    <n v="1"/>
    <x v="1"/>
    <d v="2026-03-30T13:53:16"/>
    <x v="1"/>
    <x v="1"/>
    <x v="1"/>
    <s v="17IA14.10"/>
    <x v="0"/>
    <x v="0"/>
    <m/>
    <m/>
    <m/>
  </r>
  <r>
    <s v="YK260300120"/>
    <x v="0"/>
    <x v="0"/>
    <n v="1"/>
    <x v="0"/>
    <d v="2026-02-23T08:59:28"/>
    <x v="1"/>
    <x v="1"/>
    <x v="1"/>
    <s v="17IA14.10"/>
    <x v="0"/>
    <x v="0"/>
    <m/>
    <m/>
    <m/>
  </r>
  <r>
    <s v="YK260300121"/>
    <x v="0"/>
    <x v="0"/>
    <n v="1"/>
    <x v="0"/>
    <d v="2026-02-27T10:28:27"/>
    <x v="1"/>
    <x v="1"/>
    <x v="1"/>
    <s v="17IA14.10"/>
    <x v="0"/>
    <x v="0"/>
    <m/>
    <m/>
    <m/>
  </r>
  <r>
    <s v="YK260300122"/>
    <x v="1"/>
    <x v="1"/>
    <n v="1"/>
    <x v="1"/>
    <d v="2026-03-30T14:06:57"/>
    <x v="1"/>
    <x v="1"/>
    <x v="1"/>
    <s v="17IA14.10"/>
    <x v="0"/>
    <x v="0"/>
    <m/>
    <m/>
    <m/>
  </r>
  <r>
    <s v="YK260900001"/>
    <x v="0"/>
    <x v="0"/>
    <n v="1"/>
    <x v="0"/>
    <d v="2026-05-05T09:28:04"/>
    <x v="2"/>
    <x v="2"/>
    <x v="2"/>
    <s v="17IA14.20"/>
    <x v="0"/>
    <x v="0"/>
    <m/>
    <m/>
    <m/>
  </r>
  <r>
    <s v="YK260900002"/>
    <x v="0"/>
    <x v="0"/>
    <n v="1"/>
    <x v="0"/>
    <d v="2026-05-04T06:38:48"/>
    <x v="2"/>
    <x v="2"/>
    <x v="2"/>
    <s v="17IA14.20"/>
    <x v="0"/>
    <x v="0"/>
    <m/>
    <m/>
    <m/>
  </r>
  <r>
    <s v="YK260900003"/>
    <x v="1"/>
    <x v="1"/>
    <n v="1"/>
    <x v="1"/>
    <d v="2026-08-12T13:20:23"/>
    <x v="2"/>
    <x v="2"/>
    <x v="2"/>
    <s v="17IA14.20"/>
    <x v="0"/>
    <x v="0"/>
    <m/>
    <d v="2026-08-14T00:00:00"/>
    <m/>
  </r>
  <r>
    <s v="YK260900004"/>
    <x v="2"/>
    <x v="2"/>
    <n v="1"/>
    <x v="2"/>
    <d v="2026-04-10T09:07:03"/>
    <x v="2"/>
    <x v="2"/>
    <x v="2"/>
    <s v="17IA14.20"/>
    <x v="0"/>
    <x v="0"/>
    <m/>
    <m/>
    <m/>
  </r>
  <r>
    <s v="YK260900005"/>
    <x v="0"/>
    <x v="0"/>
    <n v="1"/>
    <x v="0"/>
    <d v="2026-05-08T09:24:05"/>
    <x v="2"/>
    <x v="2"/>
    <x v="2"/>
    <s v="17IA14.20"/>
    <x v="0"/>
    <x v="0"/>
    <m/>
    <m/>
    <m/>
  </r>
  <r>
    <s v="YK260900006"/>
    <x v="1"/>
    <x v="1"/>
    <n v="1"/>
    <x v="1"/>
    <d v="2026-08-12T13:55:58"/>
    <x v="2"/>
    <x v="2"/>
    <x v="2"/>
    <s v="17IA14.20"/>
    <x v="0"/>
    <x v="0"/>
    <m/>
    <d v="2026-08-14T00:00:00"/>
    <m/>
  </r>
  <r>
    <s v="YK260900007"/>
    <x v="0"/>
    <x v="0"/>
    <n v="1"/>
    <x v="0"/>
    <d v="2026-05-08T09:24:29"/>
    <x v="2"/>
    <x v="2"/>
    <x v="2"/>
    <s v="17IA14.20"/>
    <x v="0"/>
    <x v="0"/>
    <m/>
    <m/>
    <m/>
  </r>
  <r>
    <s v="YK260900008"/>
    <x v="1"/>
    <x v="1"/>
    <n v="1"/>
    <x v="1"/>
    <d v="2026-04-11T06:26:11"/>
    <x v="2"/>
    <x v="2"/>
    <x v="2"/>
    <s v="17IA14.20"/>
    <x v="0"/>
    <x v="0"/>
    <m/>
    <d v="2026-03-24T00:00:00"/>
    <m/>
  </r>
  <r>
    <s v="YK260900009"/>
    <x v="1"/>
    <x v="1"/>
    <n v="1"/>
    <x v="1"/>
    <d v="2026-04-11T06:26:11"/>
    <x v="2"/>
    <x v="2"/>
    <x v="2"/>
    <s v="17IA14.20"/>
    <x v="0"/>
    <x v="0"/>
    <m/>
    <d v="2026-03-24T00:00:00"/>
    <m/>
  </r>
  <r>
    <s v="YK260900010"/>
    <x v="1"/>
    <x v="1"/>
    <n v="1"/>
    <x v="1"/>
    <d v="2026-08-14T08:52:08"/>
    <x v="2"/>
    <x v="2"/>
    <x v="2"/>
    <s v="17IA14.20"/>
    <x v="0"/>
    <x v="0"/>
    <m/>
    <d v="2026-08-14T00:00:00"/>
    <m/>
  </r>
  <r>
    <s v="YK260900011"/>
    <x v="1"/>
    <x v="1"/>
    <n v="1"/>
    <x v="1"/>
    <d v="2026-04-11T06:26:11"/>
    <x v="2"/>
    <x v="2"/>
    <x v="2"/>
    <s v="17IA14.20"/>
    <x v="0"/>
    <x v="0"/>
    <m/>
    <d v="2026-03-24T00:00:00"/>
    <m/>
  </r>
  <r>
    <s v="YK260900012"/>
    <x v="1"/>
    <x v="1"/>
    <n v="1"/>
    <x v="1"/>
    <d v="2026-05-12T08:56:48"/>
    <x v="2"/>
    <x v="2"/>
    <x v="2"/>
    <s v="17IA14.20"/>
    <x v="0"/>
    <x v="0"/>
    <m/>
    <d v="2026-05-14T00:00:00"/>
    <m/>
  </r>
  <r>
    <s v="YK260900013"/>
    <x v="0"/>
    <x v="0"/>
    <n v="1"/>
    <x v="0"/>
    <d v="2026-05-11T12:07:38"/>
    <x v="2"/>
    <x v="2"/>
    <x v="2"/>
    <s v="17IA14.20"/>
    <x v="0"/>
    <x v="0"/>
    <m/>
    <m/>
    <m/>
  </r>
  <r>
    <s v="YK260900014"/>
    <x v="0"/>
    <x v="0"/>
    <n v="1"/>
    <x v="0"/>
    <d v="2026-04-28T07:27:27"/>
    <x v="2"/>
    <x v="2"/>
    <x v="2"/>
    <s v="17IA14.20"/>
    <x v="0"/>
    <x v="0"/>
    <m/>
    <m/>
    <m/>
  </r>
  <r>
    <s v="YK260900015"/>
    <x v="1"/>
    <x v="1"/>
    <n v="1"/>
    <x v="1"/>
    <d v="2026-08-12T13:53:57"/>
    <x v="2"/>
    <x v="2"/>
    <x v="2"/>
    <s v="17IA14.20"/>
    <x v="0"/>
    <x v="0"/>
    <m/>
    <d v="2026-08-14T00:00:00"/>
    <m/>
  </r>
  <r>
    <s v="YK260900016"/>
    <x v="0"/>
    <x v="0"/>
    <n v="1"/>
    <x v="0"/>
    <d v="2026-05-04T06:38:34"/>
    <x v="2"/>
    <x v="2"/>
    <x v="2"/>
    <s v="17IA14.20"/>
    <x v="0"/>
    <x v="0"/>
    <m/>
    <m/>
    <m/>
  </r>
  <r>
    <s v="YK260900017"/>
    <x v="3"/>
    <x v="3"/>
    <n v="1"/>
    <x v="3"/>
    <d v="2026-04-27T14:05:22"/>
    <x v="2"/>
    <x v="2"/>
    <x v="2"/>
    <s v="17IA14.20"/>
    <x v="0"/>
    <x v="0"/>
    <m/>
    <m/>
    <m/>
  </r>
  <r>
    <s v="YK260900018"/>
    <x v="1"/>
    <x v="1"/>
    <n v="1"/>
    <x v="1"/>
    <d v="2026-04-11T06:26:11"/>
    <x v="2"/>
    <x v="2"/>
    <x v="2"/>
    <s v="17IA14.20"/>
    <x v="0"/>
    <x v="0"/>
    <m/>
    <d v="2026-03-16T00:00:00"/>
    <m/>
  </r>
  <r>
    <s v="YK260900019"/>
    <x v="1"/>
    <x v="1"/>
    <n v="1"/>
    <x v="1"/>
    <d v="2026-08-12T13:59:14"/>
    <x v="2"/>
    <x v="2"/>
    <x v="2"/>
    <s v="17IA14.20"/>
    <x v="0"/>
    <x v="0"/>
    <m/>
    <d v="2026-08-14T00:00:00"/>
    <m/>
  </r>
  <r>
    <s v="YK260900020"/>
    <x v="0"/>
    <x v="0"/>
    <n v="1"/>
    <x v="0"/>
    <d v="2026-05-11T10:25:57"/>
    <x v="2"/>
    <x v="2"/>
    <x v="2"/>
    <s v="17IA14.20"/>
    <x v="0"/>
    <x v="0"/>
    <m/>
    <m/>
    <m/>
  </r>
  <r>
    <s v="YK260900021"/>
    <x v="2"/>
    <x v="2"/>
    <n v="1"/>
    <x v="2"/>
    <d v="2026-04-10T09:09:07"/>
    <x v="2"/>
    <x v="2"/>
    <x v="2"/>
    <s v="17IA14.20"/>
    <x v="0"/>
    <x v="0"/>
    <m/>
    <m/>
    <m/>
  </r>
  <r>
    <s v="YK260900022"/>
    <x v="1"/>
    <x v="1"/>
    <n v="1"/>
    <x v="1"/>
    <d v="2026-06-01T11:24:23"/>
    <x v="2"/>
    <x v="2"/>
    <x v="2"/>
    <s v="17IA14.20"/>
    <x v="0"/>
    <x v="0"/>
    <m/>
    <d v="2026-04-16T00:00:00"/>
    <m/>
  </r>
  <r>
    <s v="YK260900023"/>
    <x v="1"/>
    <x v="1"/>
    <n v="1"/>
    <x v="1"/>
    <d v="2026-08-14T09:37:14"/>
    <x v="2"/>
    <x v="2"/>
    <x v="2"/>
    <s v="17IA14.20"/>
    <x v="0"/>
    <x v="0"/>
    <m/>
    <d v="2026-08-14T00:00:00"/>
    <m/>
  </r>
  <r>
    <s v="YK260900024"/>
    <x v="1"/>
    <x v="1"/>
    <n v="1"/>
    <x v="1"/>
    <d v="2026-08-14T09:35:56"/>
    <x v="2"/>
    <x v="2"/>
    <x v="2"/>
    <s v="17IA14.20"/>
    <x v="0"/>
    <x v="0"/>
    <m/>
    <d v="2026-08-14T00:00:00"/>
    <m/>
  </r>
  <r>
    <s v="YK260900025"/>
    <x v="1"/>
    <x v="1"/>
    <n v="1"/>
    <x v="1"/>
    <d v="2026-08-12T13:21:14"/>
    <x v="2"/>
    <x v="2"/>
    <x v="2"/>
    <s v="17IA14.20"/>
    <x v="0"/>
    <x v="0"/>
    <m/>
    <d v="2026-08-14T00:00:00"/>
    <m/>
  </r>
  <r>
    <s v="YK260900026"/>
    <x v="1"/>
    <x v="1"/>
    <n v="1"/>
    <x v="1"/>
    <d v="2026-08-14T09:37:43"/>
    <x v="2"/>
    <x v="2"/>
    <x v="2"/>
    <s v="17IA14.20"/>
    <x v="0"/>
    <x v="0"/>
    <m/>
    <d v="2026-08-14T00:00:00"/>
    <m/>
  </r>
  <r>
    <s v="YK260900027"/>
    <x v="2"/>
    <x v="2"/>
    <n v="1"/>
    <x v="2"/>
    <d v="2026-04-10T09:09:27"/>
    <x v="2"/>
    <x v="2"/>
    <x v="2"/>
    <s v="17IA14.20"/>
    <x v="0"/>
    <x v="0"/>
    <m/>
    <m/>
    <m/>
  </r>
  <r>
    <s v="YK260900028"/>
    <x v="1"/>
    <x v="1"/>
    <n v="1"/>
    <x v="1"/>
    <d v="2026-08-12T13:25:21"/>
    <x v="2"/>
    <x v="2"/>
    <x v="2"/>
    <s v="17IA14.20"/>
    <x v="0"/>
    <x v="0"/>
    <m/>
    <d v="2026-08-14T00:00:00"/>
    <m/>
  </r>
  <r>
    <s v="YK260900029"/>
    <x v="1"/>
    <x v="1"/>
    <n v="1"/>
    <x v="1"/>
    <d v="2026-04-11T06:26:11"/>
    <x v="2"/>
    <x v="2"/>
    <x v="2"/>
    <s v="17IA14.20"/>
    <x v="0"/>
    <x v="0"/>
    <m/>
    <d v="2026-03-16T00:00:00"/>
    <m/>
  </r>
  <r>
    <s v="YK260900030"/>
    <x v="1"/>
    <x v="1"/>
    <n v="1"/>
    <x v="1"/>
    <d v="2026-04-11T06:26:11"/>
    <x v="2"/>
    <x v="2"/>
    <x v="2"/>
    <s v="17IA14.20"/>
    <x v="0"/>
    <x v="0"/>
    <m/>
    <d v="2026-03-24T00:00:00"/>
    <m/>
  </r>
  <r>
    <s v="YK260900031"/>
    <x v="1"/>
    <x v="1"/>
    <n v="1"/>
    <x v="1"/>
    <d v="2026-04-11T06:26:11"/>
    <x v="2"/>
    <x v="2"/>
    <x v="2"/>
    <s v="17IA14.20"/>
    <x v="0"/>
    <x v="0"/>
    <m/>
    <d v="2026-03-31T00:00:00"/>
    <m/>
  </r>
  <r>
    <s v="YK260900032"/>
    <x v="2"/>
    <x v="2"/>
    <n v="1"/>
    <x v="2"/>
    <d v="2026-04-03T15:41:55"/>
    <x v="2"/>
    <x v="2"/>
    <x v="2"/>
    <s v="17IA14.20"/>
    <x v="0"/>
    <x v="0"/>
    <m/>
    <m/>
    <m/>
  </r>
  <r>
    <s v="YK260900033"/>
    <x v="1"/>
    <x v="1"/>
    <n v="1"/>
    <x v="1"/>
    <d v="2026-08-14T09:38:24"/>
    <x v="2"/>
    <x v="2"/>
    <x v="2"/>
    <s v="17IA14.20"/>
    <x v="0"/>
    <x v="0"/>
    <m/>
    <d v="2026-08-14T00:00:00"/>
    <m/>
  </r>
  <r>
    <s v="YK260900034"/>
    <x v="1"/>
    <x v="1"/>
    <n v="1"/>
    <x v="1"/>
    <d v="2026-04-11T06:26:11"/>
    <x v="2"/>
    <x v="2"/>
    <x v="2"/>
    <s v="17IA14.20"/>
    <x v="0"/>
    <x v="0"/>
    <m/>
    <d v="2026-03-24T00:00:00"/>
    <m/>
  </r>
  <r>
    <s v="YK260900035"/>
    <x v="1"/>
    <x v="1"/>
    <n v="1"/>
    <x v="1"/>
    <d v="2026-08-12T13:52:46"/>
    <x v="2"/>
    <x v="2"/>
    <x v="2"/>
    <s v="17IA14.20"/>
    <x v="0"/>
    <x v="0"/>
    <m/>
    <d v="2026-08-14T00:00:00"/>
    <m/>
  </r>
  <r>
    <s v="YK260900036"/>
    <x v="1"/>
    <x v="1"/>
    <n v="1"/>
    <x v="1"/>
    <d v="2026-08-12T13:24:14"/>
    <x v="2"/>
    <x v="2"/>
    <x v="2"/>
    <s v="17IA14.20"/>
    <x v="0"/>
    <x v="0"/>
    <m/>
    <d v="2026-08-14T00:00:00"/>
    <m/>
  </r>
  <r>
    <s v="YK260900037"/>
    <x v="2"/>
    <x v="2"/>
    <n v="1"/>
    <x v="2"/>
    <d v="2026-04-03T14:30:54"/>
    <x v="2"/>
    <x v="2"/>
    <x v="2"/>
    <s v="17IA14.20"/>
    <x v="0"/>
    <x v="0"/>
    <m/>
    <m/>
    <m/>
  </r>
  <r>
    <s v="YK260900075"/>
    <x v="1"/>
    <x v="1"/>
    <n v="1"/>
    <x v="1"/>
    <d v="2026-04-11T06:26:11"/>
    <x v="3"/>
    <x v="2"/>
    <x v="3"/>
    <s v="17IA14.21"/>
    <x v="0"/>
    <x v="0"/>
    <m/>
    <d v="2026-03-16T00:00:00"/>
    <m/>
  </r>
  <r>
    <s v="YK260900076"/>
    <x v="0"/>
    <x v="0"/>
    <n v="1"/>
    <x v="0"/>
    <d v="2026-04-28T07:27:12"/>
    <x v="3"/>
    <x v="2"/>
    <x v="3"/>
    <s v="17IA14.21"/>
    <x v="0"/>
    <x v="0"/>
    <m/>
    <m/>
    <m/>
  </r>
  <r>
    <s v="YK260900077"/>
    <x v="1"/>
    <x v="1"/>
    <n v="1"/>
    <x v="1"/>
    <d v="2026-04-29T07:08:22"/>
    <x v="3"/>
    <x v="2"/>
    <x v="3"/>
    <s v="17IA14.21"/>
    <x v="0"/>
    <x v="0"/>
    <m/>
    <m/>
    <m/>
  </r>
  <r>
    <s v="YK260900078"/>
    <x v="1"/>
    <x v="1"/>
    <n v="1"/>
    <x v="1"/>
    <d v="2026-04-29T07:19:32"/>
    <x v="3"/>
    <x v="2"/>
    <x v="3"/>
    <s v="17IA14.21"/>
    <x v="0"/>
    <x v="0"/>
    <m/>
    <m/>
    <m/>
  </r>
  <r>
    <s v="YK260900079"/>
    <x v="1"/>
    <x v="1"/>
    <n v="1"/>
    <x v="1"/>
    <d v="2026-04-29T07:21:00"/>
    <x v="3"/>
    <x v="2"/>
    <x v="3"/>
    <s v="17IA14.21"/>
    <x v="0"/>
    <x v="0"/>
    <m/>
    <m/>
    <m/>
  </r>
  <r>
    <s v="YK260900080"/>
    <x v="0"/>
    <x v="0"/>
    <n v="1"/>
    <x v="0"/>
    <d v="2026-05-12T06:22:26"/>
    <x v="3"/>
    <x v="2"/>
    <x v="3"/>
    <s v="17IA14.21"/>
    <x v="0"/>
    <x v="0"/>
    <m/>
    <m/>
    <m/>
  </r>
  <r>
    <s v="YK260900081"/>
    <x v="0"/>
    <x v="0"/>
    <n v="1"/>
    <x v="0"/>
    <d v="2026-05-12T06:23:00"/>
    <x v="3"/>
    <x v="2"/>
    <x v="3"/>
    <s v="17IA14.21"/>
    <x v="0"/>
    <x v="0"/>
    <m/>
    <m/>
    <m/>
  </r>
  <r>
    <s v="YK260900082"/>
    <x v="2"/>
    <x v="2"/>
    <n v="1"/>
    <x v="2"/>
    <d v="2026-04-10T09:11:54"/>
    <x v="3"/>
    <x v="2"/>
    <x v="3"/>
    <s v="17IA14.21"/>
    <x v="0"/>
    <x v="0"/>
    <m/>
    <m/>
    <m/>
  </r>
  <r>
    <s v="YK260900083"/>
    <x v="1"/>
    <x v="1"/>
    <n v="1"/>
    <x v="1"/>
    <d v="2026-04-29T07:24:43"/>
    <x v="3"/>
    <x v="2"/>
    <x v="3"/>
    <s v="17IA14.21"/>
    <x v="0"/>
    <x v="0"/>
    <m/>
    <m/>
    <m/>
  </r>
  <r>
    <s v="YK260900084"/>
    <x v="1"/>
    <x v="1"/>
    <n v="1"/>
    <x v="1"/>
    <d v="2026-04-11T06:26:11"/>
    <x v="3"/>
    <x v="2"/>
    <x v="3"/>
    <s v="17IA14.21"/>
    <x v="0"/>
    <x v="0"/>
    <m/>
    <d v="2026-03-31T00:00:00"/>
    <m/>
  </r>
  <r>
    <s v="YK260900085"/>
    <x v="0"/>
    <x v="0"/>
    <n v="1"/>
    <x v="0"/>
    <d v="2026-05-12T09:42:21"/>
    <x v="3"/>
    <x v="2"/>
    <x v="3"/>
    <s v="17IA14.21"/>
    <x v="0"/>
    <x v="0"/>
    <m/>
    <m/>
    <m/>
  </r>
  <r>
    <s v="YK260900086"/>
    <x v="0"/>
    <x v="0"/>
    <n v="1"/>
    <x v="0"/>
    <d v="2026-05-08T09:23:37"/>
    <x v="3"/>
    <x v="2"/>
    <x v="3"/>
    <s v="17IA14.21"/>
    <x v="0"/>
    <x v="0"/>
    <m/>
    <m/>
    <m/>
  </r>
  <r>
    <s v="YK260900087"/>
    <x v="0"/>
    <x v="0"/>
    <n v="1"/>
    <x v="0"/>
    <d v="2026-05-04T06:38:19"/>
    <x v="3"/>
    <x v="2"/>
    <x v="3"/>
    <s v="17IA14.21"/>
    <x v="0"/>
    <x v="0"/>
    <m/>
    <m/>
    <m/>
  </r>
  <r>
    <s v="YK260900088"/>
    <x v="1"/>
    <x v="1"/>
    <n v="1"/>
    <x v="1"/>
    <d v="2026-04-11T06:26:11"/>
    <x v="3"/>
    <x v="2"/>
    <x v="3"/>
    <s v="17IA14.21"/>
    <x v="0"/>
    <x v="0"/>
    <m/>
    <d v="2026-03-31T00:00:00"/>
    <m/>
  </r>
  <r>
    <s v="YK260900089"/>
    <x v="1"/>
    <x v="1"/>
    <n v="1"/>
    <x v="1"/>
    <d v="2026-08-12T13:57:28"/>
    <x v="3"/>
    <x v="2"/>
    <x v="3"/>
    <s v="17IA14.21"/>
    <x v="0"/>
    <x v="0"/>
    <m/>
    <d v="2026-08-14T00:00:00"/>
    <m/>
  </r>
  <r>
    <s v="YK260900090"/>
    <x v="0"/>
    <x v="0"/>
    <n v="1"/>
    <x v="0"/>
    <d v="2026-05-05T09:27:48"/>
    <x v="3"/>
    <x v="2"/>
    <x v="3"/>
    <s v="17IA14.21"/>
    <x v="0"/>
    <x v="0"/>
    <m/>
    <m/>
    <m/>
  </r>
  <r>
    <s v="YK260900091"/>
    <x v="1"/>
    <x v="1"/>
    <n v="1"/>
    <x v="1"/>
    <d v="2026-08-12T13:37:50"/>
    <x v="3"/>
    <x v="2"/>
    <x v="3"/>
    <s v="17IA14.21"/>
    <x v="0"/>
    <x v="0"/>
    <m/>
    <d v="2026-08-14T00:00:00"/>
    <m/>
  </r>
  <r>
    <s v="YK260900092"/>
    <x v="1"/>
    <x v="1"/>
    <n v="1"/>
    <x v="1"/>
    <d v="2026-08-12T13:39:11"/>
    <x v="3"/>
    <x v="2"/>
    <x v="3"/>
    <s v="17IA14.21"/>
    <x v="0"/>
    <x v="0"/>
    <m/>
    <d v="2026-08-14T00:00:00"/>
    <m/>
  </r>
  <r>
    <s v="YK260900093"/>
    <x v="0"/>
    <x v="0"/>
    <n v="1"/>
    <x v="0"/>
    <d v="2026-05-11T12:07:02"/>
    <x v="3"/>
    <x v="2"/>
    <x v="3"/>
    <s v="17IA14.21"/>
    <x v="0"/>
    <x v="0"/>
    <m/>
    <m/>
    <m/>
  </r>
  <r>
    <s v="YK260900094"/>
    <x v="0"/>
    <x v="0"/>
    <n v="1"/>
    <x v="0"/>
    <d v="2026-05-08T11:12:32"/>
    <x v="3"/>
    <x v="2"/>
    <x v="3"/>
    <s v="17IA14.21"/>
    <x v="0"/>
    <x v="0"/>
    <m/>
    <m/>
    <m/>
  </r>
  <r>
    <s v="YK260900095"/>
    <x v="0"/>
    <x v="0"/>
    <n v="1"/>
    <x v="0"/>
    <d v="2026-04-28T07:26:55"/>
    <x v="3"/>
    <x v="2"/>
    <x v="3"/>
    <s v="17IA14.21"/>
    <x v="0"/>
    <x v="0"/>
    <m/>
    <m/>
    <m/>
  </r>
  <r>
    <s v="YK260900096"/>
    <x v="0"/>
    <x v="0"/>
    <n v="1"/>
    <x v="0"/>
    <d v="2026-05-11T12:06:41"/>
    <x v="3"/>
    <x v="2"/>
    <x v="3"/>
    <s v="17IA14.21"/>
    <x v="0"/>
    <x v="0"/>
    <m/>
    <m/>
    <m/>
  </r>
  <r>
    <s v="YK260900097"/>
    <x v="0"/>
    <x v="0"/>
    <n v="1"/>
    <x v="0"/>
    <d v="2026-05-12T09:42:46"/>
    <x v="3"/>
    <x v="2"/>
    <x v="3"/>
    <s v="17IA14.21"/>
    <x v="0"/>
    <x v="0"/>
    <m/>
    <m/>
    <m/>
  </r>
  <r>
    <s v="YK260900098"/>
    <x v="0"/>
    <x v="0"/>
    <n v="1"/>
    <x v="0"/>
    <d v="2026-05-12T06:22:43"/>
    <x v="3"/>
    <x v="2"/>
    <x v="3"/>
    <s v="17IA14.21"/>
    <x v="0"/>
    <x v="0"/>
    <m/>
    <m/>
    <m/>
  </r>
  <r>
    <s v="YK260900099"/>
    <x v="1"/>
    <x v="1"/>
    <n v="1"/>
    <x v="1"/>
    <d v="2026-04-11T06:26:11"/>
    <x v="3"/>
    <x v="2"/>
    <x v="3"/>
    <s v="17IA14.21"/>
    <x v="0"/>
    <x v="0"/>
    <m/>
    <d v="2026-03-16T00:00:00"/>
    <m/>
  </r>
  <r>
    <s v="YK260900100"/>
    <x v="1"/>
    <x v="1"/>
    <n v="1"/>
    <x v="1"/>
    <d v="2026-04-11T06:26:11"/>
    <x v="3"/>
    <x v="2"/>
    <x v="3"/>
    <s v="17IA14.21"/>
    <x v="0"/>
    <x v="0"/>
    <m/>
    <d v="2026-03-31T00:00:00"/>
    <m/>
  </r>
  <r>
    <s v="YK260900101"/>
    <x v="0"/>
    <x v="0"/>
    <n v="1"/>
    <x v="0"/>
    <d v="2026-05-15T10:26:52"/>
    <x v="3"/>
    <x v="2"/>
    <x v="3"/>
    <s v="17IA14.21"/>
    <x v="0"/>
    <x v="0"/>
    <m/>
    <m/>
    <m/>
  </r>
  <r>
    <s v="YK260900102"/>
    <x v="0"/>
    <x v="0"/>
    <n v="1"/>
    <x v="0"/>
    <d v="2026-05-07T13:26:11"/>
    <x v="3"/>
    <x v="2"/>
    <x v="3"/>
    <s v="17IA14.21"/>
    <x v="0"/>
    <x v="0"/>
    <m/>
    <m/>
    <m/>
  </r>
  <r>
    <s v="YK260900103"/>
    <x v="0"/>
    <x v="0"/>
    <n v="1"/>
    <x v="0"/>
    <d v="2026-04-28T07:27:42"/>
    <x v="3"/>
    <x v="2"/>
    <x v="3"/>
    <s v="17IA14.21"/>
    <x v="0"/>
    <x v="0"/>
    <m/>
    <m/>
    <m/>
  </r>
  <r>
    <s v="YK260900104"/>
    <x v="1"/>
    <x v="1"/>
    <n v="1"/>
    <x v="1"/>
    <d v="2026-06-01T11:25:32"/>
    <x v="3"/>
    <x v="2"/>
    <x v="3"/>
    <s v="17IA14.21"/>
    <x v="0"/>
    <x v="0"/>
    <m/>
    <d v="2026-04-16T00:00:00"/>
    <m/>
  </r>
  <r>
    <s v="YK260900105"/>
    <x v="0"/>
    <x v="0"/>
    <n v="1"/>
    <x v="0"/>
    <d v="2026-05-08T09:23:50"/>
    <x v="3"/>
    <x v="2"/>
    <x v="3"/>
    <s v="17IA14.21"/>
    <x v="0"/>
    <x v="0"/>
    <m/>
    <m/>
    <m/>
  </r>
  <r>
    <s v="YK260900106"/>
    <x v="2"/>
    <x v="2"/>
    <n v="1"/>
    <x v="2"/>
    <d v="2026-04-10T08:54:25"/>
    <x v="3"/>
    <x v="2"/>
    <x v="3"/>
    <s v="17IA14.21"/>
    <x v="0"/>
    <x v="0"/>
    <m/>
    <m/>
    <m/>
  </r>
  <r>
    <s v="YK260900107"/>
    <x v="0"/>
    <x v="0"/>
    <n v="1"/>
    <x v="0"/>
    <d v="2026-05-12T06:22:06"/>
    <x v="3"/>
    <x v="2"/>
    <x v="3"/>
    <s v="17IA14.21"/>
    <x v="0"/>
    <x v="0"/>
    <m/>
    <m/>
    <m/>
  </r>
  <r>
    <s v="YK260900108"/>
    <x v="0"/>
    <x v="0"/>
    <n v="1"/>
    <x v="0"/>
    <d v="2026-05-11T12:07:21"/>
    <x v="3"/>
    <x v="2"/>
    <x v="3"/>
    <s v="17IA14.21"/>
    <x v="0"/>
    <x v="0"/>
    <m/>
    <m/>
    <m/>
  </r>
  <r>
    <s v="YK260900109"/>
    <x v="1"/>
    <x v="1"/>
    <n v="1"/>
    <x v="1"/>
    <d v="2026-08-12T13:29:36"/>
    <x v="3"/>
    <x v="2"/>
    <x v="3"/>
    <s v="17IA14.21"/>
    <x v="0"/>
    <x v="0"/>
    <m/>
    <d v="2026-08-14T00:00:00"/>
    <m/>
  </r>
  <r>
    <s v="YK260900110"/>
    <x v="2"/>
    <x v="2"/>
    <n v="1"/>
    <x v="2"/>
    <d v="2026-04-10T08:54:25"/>
    <x v="3"/>
    <x v="2"/>
    <x v="3"/>
    <s v="17IA14.21"/>
    <x v="0"/>
    <x v="0"/>
    <m/>
    <m/>
    <m/>
  </r>
  <r>
    <s v="YK260900111"/>
    <x v="0"/>
    <x v="0"/>
    <n v="1"/>
    <x v="0"/>
    <d v="2026-05-04T06:38:02"/>
    <x v="3"/>
    <x v="2"/>
    <x v="3"/>
    <s v="17IA14.21"/>
    <x v="0"/>
    <x v="0"/>
    <m/>
    <m/>
    <m/>
  </r>
  <r>
    <s v="YK260900038"/>
    <x v="0"/>
    <x v="0"/>
    <n v="1"/>
    <x v="0"/>
    <d v="2026-05-08T07:44:31"/>
    <x v="4"/>
    <x v="3"/>
    <x v="4"/>
    <s v="17IA14.30"/>
    <x v="0"/>
    <x v="0"/>
    <m/>
    <m/>
    <m/>
  </r>
  <r>
    <s v="YK260900039"/>
    <x v="1"/>
    <x v="1"/>
    <n v="1"/>
    <x v="1"/>
    <d v="2026-08-11T06:54:28"/>
    <x v="4"/>
    <x v="3"/>
    <x v="4"/>
    <s v="17IA14.30"/>
    <x v="0"/>
    <x v="0"/>
    <m/>
    <d v="2026-08-14T00:00:00"/>
    <m/>
  </r>
  <r>
    <s v="YK260900040"/>
    <x v="1"/>
    <x v="1"/>
    <n v="1"/>
    <x v="1"/>
    <d v="2026-08-11T06:56:26"/>
    <x v="4"/>
    <x v="3"/>
    <x v="4"/>
    <s v="17IA14.30"/>
    <x v="0"/>
    <x v="0"/>
    <m/>
    <d v="2026-08-14T00:00:00"/>
    <m/>
  </r>
  <r>
    <s v="YK260900041"/>
    <x v="0"/>
    <x v="0"/>
    <n v="1"/>
    <x v="0"/>
    <d v="2026-05-04T06:37:28"/>
    <x v="4"/>
    <x v="3"/>
    <x v="4"/>
    <s v="17IA14.30"/>
    <x v="0"/>
    <x v="0"/>
    <m/>
    <m/>
    <m/>
  </r>
  <r>
    <s v="YK260900042"/>
    <x v="1"/>
    <x v="1"/>
    <n v="1"/>
    <x v="1"/>
    <d v="2026-08-11T09:07:47"/>
    <x v="4"/>
    <x v="3"/>
    <x v="4"/>
    <s v="17IA14.30"/>
    <x v="0"/>
    <x v="0"/>
    <m/>
    <d v="2026-08-14T00:00:00"/>
    <m/>
  </r>
  <r>
    <s v="YK260900043"/>
    <x v="1"/>
    <x v="1"/>
    <n v="1"/>
    <x v="1"/>
    <d v="2026-08-11T08:51:13"/>
    <x v="4"/>
    <x v="3"/>
    <x v="4"/>
    <s v="17IA14.30"/>
    <x v="0"/>
    <x v="0"/>
    <m/>
    <d v="2026-08-14T00:00:00"/>
    <m/>
  </r>
  <r>
    <s v="YK260900044"/>
    <x v="1"/>
    <x v="1"/>
    <n v="1"/>
    <x v="1"/>
    <d v="2026-08-20T10:39:00"/>
    <x v="4"/>
    <x v="3"/>
    <x v="4"/>
    <s v="17IA14.30"/>
    <x v="0"/>
    <x v="0"/>
    <m/>
    <m/>
    <m/>
  </r>
  <r>
    <s v="YK260900045"/>
    <x v="1"/>
    <x v="1"/>
    <n v="1"/>
    <x v="1"/>
    <d v="2026-08-11T08:38:11"/>
    <x v="4"/>
    <x v="3"/>
    <x v="4"/>
    <s v="17IA14.30"/>
    <x v="0"/>
    <x v="0"/>
    <m/>
    <d v="2026-08-14T00:00:00"/>
    <m/>
  </r>
  <r>
    <s v="YK260900046"/>
    <x v="0"/>
    <x v="0"/>
    <n v="1"/>
    <x v="0"/>
    <d v="2026-05-11T07:08:45"/>
    <x v="4"/>
    <x v="3"/>
    <x v="4"/>
    <s v="17IA14.30"/>
    <x v="0"/>
    <x v="0"/>
    <m/>
    <m/>
    <m/>
  </r>
  <r>
    <s v="YK260900047"/>
    <x v="2"/>
    <x v="2"/>
    <n v="1"/>
    <x v="2"/>
    <d v="2026-04-10T09:10:37"/>
    <x v="4"/>
    <x v="3"/>
    <x v="4"/>
    <s v="17IA14.30"/>
    <x v="0"/>
    <x v="0"/>
    <m/>
    <m/>
    <m/>
  </r>
  <r>
    <s v="YK260900048"/>
    <x v="2"/>
    <x v="2"/>
    <n v="1"/>
    <x v="2"/>
    <d v="2026-04-10T09:11:08"/>
    <x v="4"/>
    <x v="3"/>
    <x v="4"/>
    <s v="17IA14.30"/>
    <x v="0"/>
    <x v="0"/>
    <m/>
    <m/>
    <m/>
  </r>
  <r>
    <s v="YK260900049"/>
    <x v="0"/>
    <x v="0"/>
    <n v="1"/>
    <x v="0"/>
    <d v="2026-05-07T08:48:22"/>
    <x v="4"/>
    <x v="3"/>
    <x v="4"/>
    <s v="17IA14.30"/>
    <x v="0"/>
    <x v="0"/>
    <m/>
    <m/>
    <m/>
  </r>
  <r>
    <s v="YK260900050"/>
    <x v="1"/>
    <x v="1"/>
    <n v="1"/>
    <x v="1"/>
    <d v="2026-04-11T06:26:11"/>
    <x v="4"/>
    <x v="3"/>
    <x v="4"/>
    <s v="17IA14.30"/>
    <x v="0"/>
    <x v="0"/>
    <m/>
    <d v="2026-03-16T00:00:00"/>
    <m/>
  </r>
  <r>
    <s v="YK260900051"/>
    <x v="0"/>
    <x v="0"/>
    <n v="1"/>
    <x v="0"/>
    <d v="2026-05-12T09:43:47"/>
    <x v="4"/>
    <x v="3"/>
    <x v="4"/>
    <s v="17IA14.30"/>
    <x v="0"/>
    <x v="0"/>
    <m/>
    <m/>
    <m/>
  </r>
  <r>
    <s v="YK260900052"/>
    <x v="1"/>
    <x v="1"/>
    <n v="1"/>
    <x v="1"/>
    <d v="2026-04-11T06:26:11"/>
    <x v="4"/>
    <x v="3"/>
    <x v="4"/>
    <s v="17IA14.30"/>
    <x v="0"/>
    <x v="0"/>
    <m/>
    <d v="2026-03-16T00:00:00"/>
    <m/>
  </r>
  <r>
    <s v="YK260900053"/>
    <x v="1"/>
    <x v="1"/>
    <n v="1"/>
    <x v="1"/>
    <d v="2026-04-11T06:26:11"/>
    <x v="4"/>
    <x v="3"/>
    <x v="4"/>
    <s v="17IA14.30"/>
    <x v="0"/>
    <x v="0"/>
    <m/>
    <d v="2026-03-16T00:00:00"/>
    <m/>
  </r>
  <r>
    <s v="YK260900054"/>
    <x v="1"/>
    <x v="1"/>
    <n v="1"/>
    <x v="1"/>
    <d v="2026-05-27T13:40:37"/>
    <x v="4"/>
    <x v="3"/>
    <x v="4"/>
    <s v="17IA14.30"/>
    <x v="0"/>
    <x v="0"/>
    <m/>
    <d v="2026-05-27T00:00:00"/>
    <m/>
  </r>
  <r>
    <s v="YK260900055"/>
    <x v="1"/>
    <x v="1"/>
    <n v="1"/>
    <x v="1"/>
    <d v="2026-08-11T09:09:23"/>
    <x v="4"/>
    <x v="3"/>
    <x v="4"/>
    <s v="17IA14.30"/>
    <x v="0"/>
    <x v="0"/>
    <m/>
    <d v="2026-08-14T00:00:00"/>
    <m/>
  </r>
  <r>
    <s v="YK260900056"/>
    <x v="0"/>
    <x v="0"/>
    <n v="1"/>
    <x v="0"/>
    <d v="2026-05-07T13:25:12"/>
    <x v="4"/>
    <x v="3"/>
    <x v="4"/>
    <s v="17IA14.30"/>
    <x v="0"/>
    <x v="0"/>
    <m/>
    <m/>
    <m/>
  </r>
  <r>
    <s v="YK260900057"/>
    <x v="1"/>
    <x v="1"/>
    <n v="1"/>
    <x v="1"/>
    <d v="2026-08-11T08:28:16"/>
    <x v="4"/>
    <x v="3"/>
    <x v="4"/>
    <s v="17IA14.30"/>
    <x v="0"/>
    <x v="0"/>
    <m/>
    <d v="2026-08-14T00:00:00"/>
    <m/>
  </r>
  <r>
    <s v="YK260900058"/>
    <x v="1"/>
    <x v="1"/>
    <n v="1"/>
    <x v="1"/>
    <d v="2026-08-11T09:06:18"/>
    <x v="4"/>
    <x v="3"/>
    <x v="4"/>
    <s v="17IA14.30"/>
    <x v="0"/>
    <x v="0"/>
    <m/>
    <d v="2026-08-14T00:00:00"/>
    <m/>
  </r>
  <r>
    <s v="YK260900059"/>
    <x v="0"/>
    <x v="0"/>
    <n v="1"/>
    <x v="0"/>
    <d v="2026-05-08T11:12:03"/>
    <x v="4"/>
    <x v="3"/>
    <x v="4"/>
    <s v="17IA14.30"/>
    <x v="0"/>
    <x v="0"/>
    <m/>
    <m/>
    <m/>
  </r>
  <r>
    <s v="YK260900060"/>
    <x v="1"/>
    <x v="1"/>
    <n v="1"/>
    <x v="1"/>
    <d v="2026-08-11T08:49:28"/>
    <x v="4"/>
    <x v="3"/>
    <x v="4"/>
    <s v="17IA14.30"/>
    <x v="0"/>
    <x v="0"/>
    <m/>
    <d v="2026-08-14T00:00:00"/>
    <m/>
  </r>
  <r>
    <s v="YK260900061"/>
    <x v="0"/>
    <x v="0"/>
    <n v="1"/>
    <x v="0"/>
    <d v="2026-05-05T09:26:57"/>
    <x v="4"/>
    <x v="3"/>
    <x v="4"/>
    <s v="17IA14.30"/>
    <x v="0"/>
    <x v="0"/>
    <m/>
    <m/>
    <m/>
  </r>
  <r>
    <s v="YK260900062"/>
    <x v="1"/>
    <x v="1"/>
    <n v="1"/>
    <x v="1"/>
    <d v="2026-04-11T06:26:11"/>
    <x v="4"/>
    <x v="3"/>
    <x v="4"/>
    <s v="17IA14.30"/>
    <x v="0"/>
    <x v="0"/>
    <m/>
    <d v="2026-03-16T00:00:00"/>
    <m/>
  </r>
  <r>
    <s v="YK260900063"/>
    <x v="1"/>
    <x v="1"/>
    <n v="1"/>
    <x v="1"/>
    <d v="2026-04-11T06:26:11"/>
    <x v="4"/>
    <x v="3"/>
    <x v="4"/>
    <s v="17IA14.30"/>
    <x v="0"/>
    <x v="0"/>
    <m/>
    <d v="2026-03-16T00:00:00"/>
    <m/>
  </r>
  <r>
    <s v="YK260900064"/>
    <x v="1"/>
    <x v="1"/>
    <n v="1"/>
    <x v="1"/>
    <d v="2026-08-11T06:53:42"/>
    <x v="4"/>
    <x v="3"/>
    <x v="4"/>
    <s v="17IA14.30"/>
    <x v="0"/>
    <x v="0"/>
    <m/>
    <d v="2026-08-14T00:00:00"/>
    <m/>
  </r>
  <r>
    <s v="YK260900065"/>
    <x v="1"/>
    <x v="1"/>
    <n v="1"/>
    <x v="1"/>
    <d v="2026-08-11T08:52:41"/>
    <x v="4"/>
    <x v="3"/>
    <x v="4"/>
    <s v="17IA14.30"/>
    <x v="0"/>
    <x v="0"/>
    <m/>
    <d v="2026-08-14T00:00:00"/>
    <m/>
  </r>
  <r>
    <s v="YK260900066"/>
    <x v="1"/>
    <x v="1"/>
    <n v="1"/>
    <x v="1"/>
    <d v="2026-08-11T09:06:51"/>
    <x v="4"/>
    <x v="3"/>
    <x v="4"/>
    <s v="17IA14.30"/>
    <x v="0"/>
    <x v="0"/>
    <m/>
    <d v="2026-08-14T00:00:00"/>
    <m/>
  </r>
  <r>
    <s v="YK260900067"/>
    <x v="1"/>
    <x v="1"/>
    <n v="1"/>
    <x v="1"/>
    <d v="2026-05-27T11:14:05"/>
    <x v="4"/>
    <x v="3"/>
    <x v="4"/>
    <s v="17IA14.30"/>
    <x v="0"/>
    <x v="0"/>
    <m/>
    <d v="2026-05-27T00:00:00"/>
    <m/>
  </r>
  <r>
    <s v="YK260900068"/>
    <x v="0"/>
    <x v="0"/>
    <n v="1"/>
    <x v="0"/>
    <d v="2026-05-08T07:46:39"/>
    <x v="4"/>
    <x v="3"/>
    <x v="4"/>
    <s v="17IA14.30"/>
    <x v="0"/>
    <x v="0"/>
    <m/>
    <m/>
    <m/>
  </r>
  <r>
    <s v="YK260900069"/>
    <x v="1"/>
    <x v="1"/>
    <n v="1"/>
    <x v="1"/>
    <d v="2026-08-11T08:34:00"/>
    <x v="4"/>
    <x v="3"/>
    <x v="4"/>
    <s v="17IA14.30"/>
    <x v="0"/>
    <x v="0"/>
    <m/>
    <d v="2026-08-14T00:00:00"/>
    <m/>
  </r>
  <r>
    <s v="YK260900070"/>
    <x v="1"/>
    <x v="1"/>
    <n v="1"/>
    <x v="1"/>
    <d v="2026-08-14T08:25:57"/>
    <x v="4"/>
    <x v="3"/>
    <x v="4"/>
    <s v="17IA14.30"/>
    <x v="0"/>
    <x v="0"/>
    <m/>
    <d v="2026-08-14T00:00:00"/>
    <m/>
  </r>
  <r>
    <s v="YK260900071"/>
    <x v="0"/>
    <x v="0"/>
    <n v="1"/>
    <x v="0"/>
    <d v="2026-05-04T06:39:13"/>
    <x v="4"/>
    <x v="3"/>
    <x v="4"/>
    <s v="17IA14.30"/>
    <x v="0"/>
    <x v="0"/>
    <m/>
    <m/>
    <m/>
  </r>
  <r>
    <s v="YK260900072"/>
    <x v="1"/>
    <x v="1"/>
    <n v="1"/>
    <x v="1"/>
    <d v="2026-08-11T06:52:49"/>
    <x v="4"/>
    <x v="3"/>
    <x v="4"/>
    <s v="17IA14.30"/>
    <x v="0"/>
    <x v="0"/>
    <m/>
    <d v="2026-08-14T00:00:00"/>
    <m/>
  </r>
  <r>
    <s v="YK260900073"/>
    <x v="0"/>
    <x v="0"/>
    <n v="1"/>
    <x v="0"/>
    <d v="2026-05-05T08:59:56"/>
    <x v="4"/>
    <x v="3"/>
    <x v="4"/>
    <s v="17IA14.30"/>
    <x v="0"/>
    <x v="0"/>
    <m/>
    <m/>
    <m/>
  </r>
  <r>
    <s v="YK260900074"/>
    <x v="1"/>
    <x v="1"/>
    <n v="1"/>
    <x v="1"/>
    <d v="2026-05-27T10:00:19"/>
    <x v="4"/>
    <x v="3"/>
    <x v="4"/>
    <s v="17IA14.30"/>
    <x v="0"/>
    <x v="0"/>
    <m/>
    <d v="2026-05-27T00:00:00"/>
    <m/>
  </r>
  <r>
    <s v="YK261100763"/>
    <x v="1"/>
    <x v="1"/>
    <n v="1"/>
    <x v="1"/>
    <d v="2026-08-11T08:29:29"/>
    <x v="5"/>
    <x v="3"/>
    <x v="5"/>
    <s v="17IA14.31"/>
    <x v="0"/>
    <x v="0"/>
    <m/>
    <d v="2026-08-14T00:00:00"/>
    <m/>
  </r>
  <r>
    <s v="YK261100764"/>
    <x v="1"/>
    <x v="1"/>
    <n v="1"/>
    <x v="1"/>
    <d v="2026-08-11T07:14:20"/>
    <x v="5"/>
    <x v="3"/>
    <x v="5"/>
    <s v="17IA14.31"/>
    <x v="0"/>
    <x v="0"/>
    <m/>
    <d v="2026-08-14T00:00:00"/>
    <m/>
  </r>
  <r>
    <s v="YK261100765"/>
    <x v="1"/>
    <x v="1"/>
    <n v="1"/>
    <x v="1"/>
    <d v="2026-05-12T08:55:12"/>
    <x v="5"/>
    <x v="3"/>
    <x v="5"/>
    <s v="17IA14.31"/>
    <x v="0"/>
    <x v="0"/>
    <m/>
    <d v="2026-05-14T00:00:00"/>
    <m/>
  </r>
  <r>
    <s v="YK261100766"/>
    <x v="0"/>
    <x v="0"/>
    <n v="1"/>
    <x v="0"/>
    <d v="2026-05-12T06:21:24"/>
    <x v="5"/>
    <x v="3"/>
    <x v="5"/>
    <s v="17IA14.31"/>
    <x v="0"/>
    <x v="0"/>
    <m/>
    <m/>
    <m/>
  </r>
  <r>
    <s v="YK261100767"/>
    <x v="0"/>
    <x v="0"/>
    <n v="1"/>
    <x v="0"/>
    <d v="2026-05-11T12:06:22"/>
    <x v="5"/>
    <x v="3"/>
    <x v="5"/>
    <s v="17IA14.31"/>
    <x v="0"/>
    <x v="0"/>
    <m/>
    <m/>
    <m/>
  </r>
  <r>
    <s v="YK261100768"/>
    <x v="0"/>
    <x v="0"/>
    <n v="1"/>
    <x v="0"/>
    <d v="2026-05-11T10:27:18"/>
    <x v="5"/>
    <x v="3"/>
    <x v="5"/>
    <s v="17IA14.31"/>
    <x v="0"/>
    <x v="0"/>
    <m/>
    <m/>
    <m/>
  </r>
  <r>
    <s v="YK261100769"/>
    <x v="0"/>
    <x v="0"/>
    <n v="1"/>
    <x v="0"/>
    <d v="2026-05-11T12:08:17"/>
    <x v="5"/>
    <x v="3"/>
    <x v="5"/>
    <s v="17IA14.31"/>
    <x v="0"/>
    <x v="0"/>
    <m/>
    <m/>
    <m/>
  </r>
  <r>
    <s v="YK261100770"/>
    <x v="1"/>
    <x v="1"/>
    <n v="1"/>
    <x v="1"/>
    <d v="2026-08-11T08:37:12"/>
    <x v="5"/>
    <x v="3"/>
    <x v="5"/>
    <s v="17IA14.31"/>
    <x v="0"/>
    <x v="0"/>
    <m/>
    <d v="2026-08-14T00:00:00"/>
    <m/>
  </r>
  <r>
    <s v="YK261100771"/>
    <x v="0"/>
    <x v="0"/>
    <n v="1"/>
    <x v="0"/>
    <d v="2026-05-04T06:39:55"/>
    <x v="5"/>
    <x v="3"/>
    <x v="5"/>
    <s v="17IA14.31"/>
    <x v="0"/>
    <x v="0"/>
    <m/>
    <m/>
    <m/>
  </r>
  <r>
    <s v="YK261100772"/>
    <x v="0"/>
    <x v="0"/>
    <n v="1"/>
    <x v="0"/>
    <d v="2026-05-05T09:28:36"/>
    <x v="5"/>
    <x v="3"/>
    <x v="5"/>
    <s v="17IA14.31"/>
    <x v="0"/>
    <x v="0"/>
    <m/>
    <m/>
    <m/>
  </r>
  <r>
    <s v="YK261100773"/>
    <x v="1"/>
    <x v="1"/>
    <n v="1"/>
    <x v="1"/>
    <d v="2026-08-11T09:21:07"/>
    <x v="5"/>
    <x v="3"/>
    <x v="5"/>
    <s v="17IA14.31"/>
    <x v="0"/>
    <x v="0"/>
    <m/>
    <d v="2026-08-14T00:00:00"/>
    <m/>
  </r>
  <r>
    <s v="YK261100774"/>
    <x v="1"/>
    <x v="1"/>
    <n v="1"/>
    <x v="1"/>
    <d v="2026-08-11T09:09:05"/>
    <x v="5"/>
    <x v="3"/>
    <x v="5"/>
    <s v="17IA14.31"/>
    <x v="0"/>
    <x v="0"/>
    <m/>
    <d v="2026-08-14T00:00:00"/>
    <m/>
  </r>
  <r>
    <s v="YK261100775"/>
    <x v="0"/>
    <x v="0"/>
    <n v="1"/>
    <x v="0"/>
    <d v="2026-05-06T10:39:58"/>
    <x v="5"/>
    <x v="3"/>
    <x v="5"/>
    <s v="17IA14.31"/>
    <x v="0"/>
    <x v="0"/>
    <m/>
    <m/>
    <m/>
  </r>
  <r>
    <s v="YK261100776"/>
    <x v="1"/>
    <x v="1"/>
    <n v="1"/>
    <x v="1"/>
    <d v="2026-08-11T08:49:59"/>
    <x v="5"/>
    <x v="3"/>
    <x v="5"/>
    <s v="17IA14.31"/>
    <x v="0"/>
    <x v="0"/>
    <m/>
    <d v="2026-08-14T00:00:00"/>
    <m/>
  </r>
  <r>
    <s v="YK261100777"/>
    <x v="1"/>
    <x v="1"/>
    <n v="1"/>
    <x v="1"/>
    <d v="2026-08-11T08:50:27"/>
    <x v="5"/>
    <x v="3"/>
    <x v="5"/>
    <s v="17IA14.31"/>
    <x v="0"/>
    <x v="0"/>
    <m/>
    <d v="2026-08-14T00:00:00"/>
    <m/>
  </r>
  <r>
    <s v="YK261100778"/>
    <x v="0"/>
    <x v="0"/>
    <n v="1"/>
    <x v="0"/>
    <d v="2026-05-11T12:07:55"/>
    <x v="5"/>
    <x v="3"/>
    <x v="5"/>
    <s v="17IA14.31"/>
    <x v="0"/>
    <x v="0"/>
    <m/>
    <m/>
    <m/>
  </r>
  <r>
    <s v="YK261100779"/>
    <x v="1"/>
    <x v="1"/>
    <n v="1"/>
    <x v="1"/>
    <d v="2026-04-11T06:26:11"/>
    <x v="5"/>
    <x v="3"/>
    <x v="5"/>
    <s v="17IA14.31"/>
    <x v="0"/>
    <x v="0"/>
    <m/>
    <d v="2026-03-31T00:00:00"/>
    <m/>
  </r>
  <r>
    <s v="YK261100780"/>
    <x v="1"/>
    <x v="1"/>
    <n v="1"/>
    <x v="1"/>
    <d v="2026-08-11T08:53:04"/>
    <x v="5"/>
    <x v="3"/>
    <x v="5"/>
    <s v="17IA14.31"/>
    <x v="0"/>
    <x v="0"/>
    <m/>
    <d v="2026-08-14T00:00:00"/>
    <m/>
  </r>
  <r>
    <s v="YK261100781"/>
    <x v="0"/>
    <x v="0"/>
    <n v="1"/>
    <x v="0"/>
    <d v="2026-05-06T10:40:33"/>
    <x v="5"/>
    <x v="3"/>
    <x v="5"/>
    <s v="17IA14.31"/>
    <x v="0"/>
    <x v="0"/>
    <m/>
    <m/>
    <m/>
  </r>
  <r>
    <s v="YK261100782"/>
    <x v="0"/>
    <x v="0"/>
    <n v="1"/>
    <x v="0"/>
    <d v="2026-04-28T07:28:12"/>
    <x v="5"/>
    <x v="3"/>
    <x v="5"/>
    <s v="17IA14.31"/>
    <x v="0"/>
    <x v="0"/>
    <m/>
    <m/>
    <m/>
  </r>
  <r>
    <s v="YK261100783"/>
    <x v="1"/>
    <x v="1"/>
    <n v="1"/>
    <x v="1"/>
    <d v="2026-04-11T06:26:11"/>
    <x v="5"/>
    <x v="3"/>
    <x v="5"/>
    <s v="17IA14.31"/>
    <x v="0"/>
    <x v="0"/>
    <m/>
    <d v="2026-03-31T00:00:00"/>
    <m/>
  </r>
  <r>
    <s v="YK261100784"/>
    <x v="0"/>
    <x v="0"/>
    <n v="1"/>
    <x v="0"/>
    <d v="2026-05-04T06:37:44"/>
    <x v="5"/>
    <x v="3"/>
    <x v="5"/>
    <s v="17IA14.31"/>
    <x v="0"/>
    <x v="0"/>
    <m/>
    <m/>
    <m/>
  </r>
  <r>
    <s v="YK261100785"/>
    <x v="1"/>
    <x v="1"/>
    <n v="1"/>
    <x v="1"/>
    <d v="2026-05-27T11:16:30"/>
    <x v="5"/>
    <x v="3"/>
    <x v="5"/>
    <s v="17IA14.31"/>
    <x v="0"/>
    <x v="0"/>
    <m/>
    <d v="2026-05-27T00:00:00"/>
    <m/>
  </r>
  <r>
    <s v="YK261100786"/>
    <x v="1"/>
    <x v="1"/>
    <n v="1"/>
    <x v="1"/>
    <d v="2026-08-12T12:07:35"/>
    <x v="5"/>
    <x v="3"/>
    <x v="5"/>
    <s v="17IA14.31"/>
    <x v="0"/>
    <x v="0"/>
    <m/>
    <d v="2026-08-20T00:00:00"/>
    <m/>
  </r>
  <r>
    <s v="YK261100787"/>
    <x v="1"/>
    <x v="1"/>
    <n v="1"/>
    <x v="1"/>
    <d v="2026-08-11T08:45:43"/>
    <x v="5"/>
    <x v="3"/>
    <x v="5"/>
    <s v="17IA14.31"/>
    <x v="0"/>
    <x v="0"/>
    <m/>
    <d v="2026-08-14T00:00:00"/>
    <m/>
  </r>
  <r>
    <s v="YK261100788"/>
    <x v="1"/>
    <x v="1"/>
    <n v="1"/>
    <x v="1"/>
    <d v="2026-08-11T09:07:21"/>
    <x v="5"/>
    <x v="3"/>
    <x v="5"/>
    <s v="17IA14.31"/>
    <x v="0"/>
    <x v="0"/>
    <m/>
    <d v="2026-08-14T00:00:00"/>
    <m/>
  </r>
  <r>
    <s v="YK261100789"/>
    <x v="1"/>
    <x v="1"/>
    <n v="1"/>
    <x v="1"/>
    <d v="2026-08-11T08:36:15"/>
    <x v="5"/>
    <x v="3"/>
    <x v="5"/>
    <s v="17IA14.31"/>
    <x v="0"/>
    <x v="0"/>
    <m/>
    <d v="2026-08-14T00:00:00"/>
    <m/>
  </r>
  <r>
    <s v="YK261100790"/>
    <x v="0"/>
    <x v="0"/>
    <n v="1"/>
    <x v="0"/>
    <d v="2026-05-08T11:14:04"/>
    <x v="5"/>
    <x v="3"/>
    <x v="5"/>
    <s v="17IA14.31"/>
    <x v="0"/>
    <x v="0"/>
    <m/>
    <m/>
    <m/>
  </r>
  <r>
    <s v="YK261100791"/>
    <x v="1"/>
    <x v="1"/>
    <n v="1"/>
    <x v="1"/>
    <d v="2026-05-27T11:17:43"/>
    <x v="5"/>
    <x v="3"/>
    <x v="5"/>
    <s v="17IA14.31"/>
    <x v="0"/>
    <x v="0"/>
    <m/>
    <d v="2026-05-27T00:00:00"/>
    <m/>
  </r>
  <r>
    <s v="YK261100792"/>
    <x v="2"/>
    <x v="2"/>
    <n v="1"/>
    <x v="2"/>
    <d v="2026-04-10T09:13:03"/>
    <x v="5"/>
    <x v="3"/>
    <x v="5"/>
    <s v="17IA14.31"/>
    <x v="0"/>
    <x v="0"/>
    <m/>
    <m/>
    <m/>
  </r>
  <r>
    <s v="YK261100793"/>
    <x v="1"/>
    <x v="1"/>
    <n v="1"/>
    <x v="1"/>
    <d v="2026-04-11T06:26:11"/>
    <x v="5"/>
    <x v="3"/>
    <x v="5"/>
    <s v="17IA14.31"/>
    <x v="0"/>
    <x v="0"/>
    <m/>
    <d v="2026-03-31T00:00:00"/>
    <m/>
  </r>
  <r>
    <s v="YK261100794"/>
    <x v="1"/>
    <x v="1"/>
    <n v="1"/>
    <x v="1"/>
    <d v="2026-08-11T09:21:33"/>
    <x v="5"/>
    <x v="3"/>
    <x v="5"/>
    <s v="17IA14.31"/>
    <x v="0"/>
    <x v="0"/>
    <m/>
    <d v="2026-08-14T00:00:00"/>
    <m/>
  </r>
  <r>
    <s v="YK261100795"/>
    <x v="1"/>
    <x v="1"/>
    <n v="1"/>
    <x v="1"/>
    <d v="2026-05-12T08:56:06"/>
    <x v="5"/>
    <x v="3"/>
    <x v="5"/>
    <s v="17IA14.31"/>
    <x v="0"/>
    <x v="0"/>
    <m/>
    <d v="2026-05-14T00:00:00"/>
    <m/>
  </r>
  <r>
    <s v="YK261100796"/>
    <x v="1"/>
    <x v="1"/>
    <n v="1"/>
    <x v="1"/>
    <d v="2026-04-11T06:26:11"/>
    <x v="5"/>
    <x v="3"/>
    <x v="5"/>
    <s v="17IA14.31"/>
    <x v="0"/>
    <x v="0"/>
    <m/>
    <d v="2026-03-31T00:00:00"/>
    <m/>
  </r>
  <r>
    <s v="YK261100797"/>
    <x v="1"/>
    <x v="1"/>
    <n v="1"/>
    <x v="1"/>
    <d v="2026-08-11T07:09:25"/>
    <x v="5"/>
    <x v="3"/>
    <x v="5"/>
    <s v="17IA14.31"/>
    <x v="0"/>
    <x v="0"/>
    <m/>
    <d v="2026-08-14T00:00:00"/>
    <m/>
  </r>
  <r>
    <s v="YK261100798"/>
    <x v="1"/>
    <x v="1"/>
    <n v="1"/>
    <x v="1"/>
    <d v="2026-08-11T06:49:31"/>
    <x v="5"/>
    <x v="3"/>
    <x v="5"/>
    <s v="17IA14.31"/>
    <x v="0"/>
    <x v="0"/>
    <m/>
    <d v="2026-08-14T00:00:00"/>
    <m/>
  </r>
  <r>
    <s v="YK261100799"/>
    <x v="1"/>
    <x v="1"/>
    <n v="1"/>
    <x v="1"/>
    <d v="2026-08-20T10:34:42"/>
    <x v="5"/>
    <x v="3"/>
    <x v="5"/>
    <s v="17IA14.31"/>
    <x v="0"/>
    <x v="0"/>
    <m/>
    <m/>
    <m/>
  </r>
  <r>
    <s v="YK261600001"/>
    <x v="1"/>
    <x v="1"/>
    <n v="1"/>
    <x v="1"/>
    <d v="2026-08-12T13:05:42"/>
    <x v="6"/>
    <x v="2"/>
    <x v="6"/>
    <s v="17IA14.40"/>
    <x v="0"/>
    <x v="0"/>
    <m/>
    <d v="2026-08-20T00:00:00"/>
    <m/>
  </r>
  <r>
    <s v="YK261600002"/>
    <x v="0"/>
    <x v="0"/>
    <n v="1"/>
    <x v="0"/>
    <d v="2026-05-08T11:13:30"/>
    <x v="6"/>
    <x v="2"/>
    <x v="6"/>
    <s v="17IA14.40"/>
    <x v="0"/>
    <x v="0"/>
    <m/>
    <m/>
    <m/>
  </r>
  <r>
    <s v="YK261600003"/>
    <x v="0"/>
    <x v="0"/>
    <n v="1"/>
    <x v="0"/>
    <d v="2026-05-07T13:27:03"/>
    <x v="6"/>
    <x v="2"/>
    <x v="6"/>
    <s v="17IA14.40"/>
    <x v="0"/>
    <x v="0"/>
    <m/>
    <m/>
    <m/>
  </r>
  <r>
    <s v="YK261600004"/>
    <x v="0"/>
    <x v="0"/>
    <n v="1"/>
    <x v="0"/>
    <d v="2026-05-08T11:12:50"/>
    <x v="6"/>
    <x v="2"/>
    <x v="6"/>
    <s v="17IA14.40"/>
    <x v="0"/>
    <x v="0"/>
    <m/>
    <m/>
    <m/>
  </r>
  <r>
    <s v="YK261600005"/>
    <x v="0"/>
    <x v="0"/>
    <n v="1"/>
    <x v="0"/>
    <d v="2026-05-08T11:13:07"/>
    <x v="6"/>
    <x v="2"/>
    <x v="6"/>
    <s v="17IA14.40"/>
    <x v="0"/>
    <x v="0"/>
    <m/>
    <m/>
    <m/>
  </r>
  <r>
    <s v="YK261600006"/>
    <x v="1"/>
    <x v="1"/>
    <n v="1"/>
    <x v="1"/>
    <d v="2026-08-12T13:11:26"/>
    <x v="6"/>
    <x v="2"/>
    <x v="6"/>
    <s v="17IA14.40"/>
    <x v="0"/>
    <x v="0"/>
    <m/>
    <d v="2026-08-20T00:00:00"/>
    <m/>
  </r>
  <r>
    <s v="YK261600007"/>
    <x v="1"/>
    <x v="1"/>
    <n v="1"/>
    <x v="1"/>
    <d v="2026-08-12T13:11:59"/>
    <x v="6"/>
    <x v="2"/>
    <x v="6"/>
    <s v="17IA14.40"/>
    <x v="0"/>
    <x v="0"/>
    <m/>
    <d v="2026-08-20T00:00:00"/>
    <m/>
  </r>
  <r>
    <s v="YK261600008"/>
    <x v="0"/>
    <x v="0"/>
    <n v="1"/>
    <x v="0"/>
    <d v="2026-05-07T13:26:25"/>
    <x v="6"/>
    <x v="2"/>
    <x v="6"/>
    <s v="17IA14.40"/>
    <x v="0"/>
    <x v="0"/>
    <m/>
    <m/>
    <m/>
  </r>
  <r>
    <s v="YK261600009"/>
    <x v="0"/>
    <x v="0"/>
    <n v="1"/>
    <x v="0"/>
    <d v="2026-05-05T08:58:24"/>
    <x v="6"/>
    <x v="2"/>
    <x v="6"/>
    <s v="17IA14.40"/>
    <x v="0"/>
    <x v="0"/>
    <m/>
    <m/>
    <m/>
  </r>
  <r>
    <s v="YK261600010"/>
    <x v="0"/>
    <x v="0"/>
    <n v="1"/>
    <x v="0"/>
    <d v="2026-05-06T10:40:23"/>
    <x v="6"/>
    <x v="2"/>
    <x v="6"/>
    <s v="17IA14.40"/>
    <x v="0"/>
    <x v="0"/>
    <m/>
    <m/>
    <m/>
  </r>
  <r>
    <s v="YK261600011"/>
    <x v="0"/>
    <x v="0"/>
    <n v="1"/>
    <x v="0"/>
    <d v="2026-05-06T10:40:18"/>
    <x v="6"/>
    <x v="2"/>
    <x v="6"/>
    <s v="17IA14.40"/>
    <x v="0"/>
    <x v="0"/>
    <m/>
    <m/>
    <m/>
  </r>
  <r>
    <s v="YK261600012"/>
    <x v="1"/>
    <x v="1"/>
    <n v="1"/>
    <x v="1"/>
    <d v="2026-08-11T09:28:06"/>
    <x v="6"/>
    <x v="2"/>
    <x v="6"/>
    <s v="17IA14.40"/>
    <x v="0"/>
    <x v="0"/>
    <m/>
    <d v="2026-08-14T00:00:00"/>
    <m/>
  </r>
  <r>
    <s v="YK261600013"/>
    <x v="1"/>
    <x v="1"/>
    <n v="1"/>
    <x v="1"/>
    <d v="2026-08-12T13:28:20"/>
    <x v="6"/>
    <x v="2"/>
    <x v="6"/>
    <s v="17IA14.40"/>
    <x v="0"/>
    <x v="0"/>
    <m/>
    <d v="2026-08-14T00:00:00"/>
    <m/>
  </r>
  <r>
    <s v="YK261600014"/>
    <x v="1"/>
    <x v="1"/>
    <n v="1"/>
    <x v="1"/>
    <d v="2026-08-14T08:53:50"/>
    <x v="6"/>
    <x v="2"/>
    <x v="6"/>
    <s v="17IA14.40"/>
    <x v="0"/>
    <x v="0"/>
    <m/>
    <d v="2026-08-14T00:00:00"/>
    <m/>
  </r>
  <r>
    <s v="YK261600015"/>
    <x v="0"/>
    <x v="0"/>
    <n v="1"/>
    <x v="0"/>
    <d v="2026-05-06T11:16:31"/>
    <x v="6"/>
    <x v="2"/>
    <x v="6"/>
    <s v="17IA14.40"/>
    <x v="0"/>
    <x v="0"/>
    <m/>
    <m/>
    <m/>
  </r>
  <r>
    <s v="YK261600016"/>
    <x v="0"/>
    <x v="0"/>
    <n v="1"/>
    <x v="0"/>
    <d v="2026-05-11T07:07:30"/>
    <x v="6"/>
    <x v="2"/>
    <x v="6"/>
    <s v="17IA14.40"/>
    <x v="0"/>
    <x v="0"/>
    <m/>
    <m/>
    <m/>
  </r>
  <r>
    <s v="YK261600017"/>
    <x v="1"/>
    <x v="1"/>
    <n v="1"/>
    <x v="1"/>
    <d v="2026-08-12T13:08:37"/>
    <x v="6"/>
    <x v="2"/>
    <x v="6"/>
    <s v="17IA14.40"/>
    <x v="0"/>
    <x v="0"/>
    <m/>
    <d v="2026-08-20T00:00:00"/>
    <m/>
  </r>
  <r>
    <s v="YK261600018"/>
    <x v="0"/>
    <x v="0"/>
    <n v="1"/>
    <x v="0"/>
    <d v="2026-05-05T08:58:43"/>
    <x v="6"/>
    <x v="2"/>
    <x v="6"/>
    <s v="17IA14.40"/>
    <x v="0"/>
    <x v="0"/>
    <m/>
    <m/>
    <m/>
  </r>
  <r>
    <s v="YK261600019"/>
    <x v="1"/>
    <x v="1"/>
    <n v="1"/>
    <x v="1"/>
    <d v="2026-08-12T13:03:39"/>
    <x v="6"/>
    <x v="2"/>
    <x v="6"/>
    <s v="17IA14.40"/>
    <x v="0"/>
    <x v="0"/>
    <m/>
    <d v="2026-08-20T00:00:00"/>
    <m/>
  </r>
  <r>
    <s v="YK261600020"/>
    <x v="1"/>
    <x v="1"/>
    <n v="1"/>
    <x v="1"/>
    <d v="2026-08-12T13:09:10"/>
    <x v="6"/>
    <x v="2"/>
    <x v="6"/>
    <s v="17IA14.40"/>
    <x v="0"/>
    <x v="0"/>
    <m/>
    <d v="2026-08-20T00:00:00"/>
    <m/>
  </r>
  <r>
    <s v="YK261600021"/>
    <x v="1"/>
    <x v="1"/>
    <n v="1"/>
    <x v="1"/>
    <d v="2026-08-14T09:34:13"/>
    <x v="6"/>
    <x v="2"/>
    <x v="6"/>
    <s v="17IA14.40"/>
    <x v="0"/>
    <x v="0"/>
    <m/>
    <d v="2026-08-14T00:00:00"/>
    <m/>
  </r>
  <r>
    <s v="YK261600022"/>
    <x v="1"/>
    <x v="1"/>
    <n v="1"/>
    <x v="1"/>
    <d v="2026-05-12T08:52:25"/>
    <x v="6"/>
    <x v="2"/>
    <x v="6"/>
    <s v="17IA14.40"/>
    <x v="0"/>
    <x v="0"/>
    <m/>
    <d v="2026-05-14T00:00:00"/>
    <m/>
  </r>
  <r>
    <s v="YK261600023"/>
    <x v="1"/>
    <x v="1"/>
    <n v="1"/>
    <x v="1"/>
    <d v="2026-08-12T13:43:28"/>
    <x v="6"/>
    <x v="2"/>
    <x v="6"/>
    <s v="17IA14.40"/>
    <x v="0"/>
    <x v="0"/>
    <m/>
    <d v="2026-08-14T00:00:00"/>
    <m/>
  </r>
  <r>
    <s v="YK261600024"/>
    <x v="1"/>
    <x v="1"/>
    <n v="1"/>
    <x v="1"/>
    <d v="2026-08-14T07:50:31"/>
    <x v="6"/>
    <x v="2"/>
    <x v="6"/>
    <s v="17IA14.40"/>
    <x v="0"/>
    <x v="0"/>
    <m/>
    <d v="2026-08-14T00:00:00"/>
    <m/>
  </r>
  <r>
    <s v="YK261600025"/>
    <x v="1"/>
    <x v="1"/>
    <n v="1"/>
    <x v="1"/>
    <d v="2026-08-14T09:08:08"/>
    <x v="6"/>
    <x v="2"/>
    <x v="6"/>
    <s v="17IA14.40"/>
    <x v="0"/>
    <x v="0"/>
    <m/>
    <d v="2026-08-14T00:00:00"/>
    <m/>
  </r>
  <r>
    <s v="YK261600026"/>
    <x v="1"/>
    <x v="1"/>
    <n v="1"/>
    <x v="1"/>
    <d v="2026-08-14T09:14:21"/>
    <x v="6"/>
    <x v="2"/>
    <x v="6"/>
    <s v="17IA14.40"/>
    <x v="0"/>
    <x v="0"/>
    <m/>
    <d v="2026-08-14T00:00:00"/>
    <m/>
  </r>
  <r>
    <s v="YK261600027"/>
    <x v="1"/>
    <x v="1"/>
    <n v="1"/>
    <x v="1"/>
    <d v="2026-08-14T09:34:46"/>
    <x v="6"/>
    <x v="2"/>
    <x v="6"/>
    <s v="17IA14.40"/>
    <x v="0"/>
    <x v="0"/>
    <m/>
    <d v="2026-08-14T00:00:00"/>
    <m/>
  </r>
  <r>
    <s v="YK261600028"/>
    <x v="0"/>
    <x v="0"/>
    <n v="1"/>
    <x v="0"/>
    <d v="2026-05-11T10:25:37"/>
    <x v="6"/>
    <x v="2"/>
    <x v="6"/>
    <s v="17IA14.40"/>
    <x v="0"/>
    <x v="0"/>
    <m/>
    <m/>
    <m/>
  </r>
  <r>
    <s v="YK261600029"/>
    <x v="1"/>
    <x v="1"/>
    <n v="1"/>
    <x v="1"/>
    <d v="2026-08-14T09:41:13"/>
    <x v="6"/>
    <x v="2"/>
    <x v="6"/>
    <s v="17IA14.40"/>
    <x v="0"/>
    <x v="0"/>
    <m/>
    <d v="2026-08-14T00:00:00"/>
    <m/>
  </r>
  <r>
    <s v="YK261600030"/>
    <x v="1"/>
    <x v="1"/>
    <n v="1"/>
    <x v="1"/>
    <d v="2026-08-11T14:09:43"/>
    <x v="6"/>
    <x v="2"/>
    <x v="6"/>
    <s v="17IA14.40"/>
    <x v="0"/>
    <x v="0"/>
    <m/>
    <d v="2026-08-14T00:00:00"/>
    <m/>
  </r>
  <r>
    <s v="YK261600031"/>
    <x v="1"/>
    <x v="1"/>
    <n v="1"/>
    <x v="1"/>
    <d v="2026-08-12T13:04:10"/>
    <x v="6"/>
    <x v="2"/>
    <x v="6"/>
    <s v="17IA14.40"/>
    <x v="0"/>
    <x v="0"/>
    <m/>
    <d v="2026-08-20T00:00:00"/>
    <m/>
  </r>
  <r>
    <s v="YK261600032"/>
    <x v="1"/>
    <x v="1"/>
    <n v="1"/>
    <x v="1"/>
    <d v="2026-08-14T09:35:06"/>
    <x v="6"/>
    <x v="2"/>
    <x v="6"/>
    <s v="17IA14.40"/>
    <x v="0"/>
    <x v="0"/>
    <m/>
    <d v="2026-08-14T00:00:00"/>
    <m/>
  </r>
  <r>
    <s v="YK261600033"/>
    <x v="1"/>
    <x v="1"/>
    <n v="1"/>
    <x v="1"/>
    <d v="2026-08-14T09:09:10"/>
    <x v="6"/>
    <x v="2"/>
    <x v="6"/>
    <s v="17IA14.40"/>
    <x v="0"/>
    <x v="0"/>
    <m/>
    <d v="2026-08-14T00:00:00"/>
    <m/>
  </r>
  <r>
    <s v="YK261600034"/>
    <x v="1"/>
    <x v="1"/>
    <n v="1"/>
    <x v="1"/>
    <d v="2026-08-12T14:24:12"/>
    <x v="6"/>
    <x v="2"/>
    <x v="6"/>
    <s v="17IA14.40"/>
    <x v="0"/>
    <x v="0"/>
    <m/>
    <d v="2026-08-14T00:00:00"/>
    <m/>
  </r>
  <r>
    <s v="YK261600035"/>
    <x v="1"/>
    <x v="1"/>
    <n v="1"/>
    <x v="1"/>
    <d v="2026-08-14T09:00:14"/>
    <x v="6"/>
    <x v="2"/>
    <x v="6"/>
    <s v="17IA14.40"/>
    <x v="0"/>
    <x v="0"/>
    <m/>
    <d v="2026-08-14T00:00:00"/>
    <m/>
  </r>
  <r>
    <s v="YK261600036"/>
    <x v="1"/>
    <x v="1"/>
    <n v="1"/>
    <x v="1"/>
    <d v="2026-08-14T07:49:14"/>
    <x v="6"/>
    <x v="2"/>
    <x v="6"/>
    <s v="17IA14.40"/>
    <x v="0"/>
    <x v="0"/>
    <m/>
    <d v="2026-08-14T00:00:00"/>
    <m/>
  </r>
  <r>
    <s v="YK261600037"/>
    <x v="1"/>
    <x v="1"/>
    <n v="1"/>
    <x v="1"/>
    <d v="2026-08-11T14:08:22"/>
    <x v="6"/>
    <x v="2"/>
    <x v="6"/>
    <s v="17IA14.40"/>
    <x v="0"/>
    <x v="0"/>
    <m/>
    <d v="2026-08-14T00:00:00"/>
    <m/>
  </r>
  <r>
    <s v="YK261600038"/>
    <x v="0"/>
    <x v="0"/>
    <n v="1"/>
    <x v="0"/>
    <d v="2026-05-15T12:20:01"/>
    <x v="6"/>
    <x v="2"/>
    <x v="6"/>
    <s v="17IA14.40"/>
    <x v="0"/>
    <x v="0"/>
    <m/>
    <m/>
    <m/>
  </r>
  <r>
    <s v="YK261600039"/>
    <x v="0"/>
    <x v="0"/>
    <n v="1"/>
    <x v="0"/>
    <d v="2026-05-08T07:45:21"/>
    <x v="6"/>
    <x v="2"/>
    <x v="6"/>
    <s v="17IA14.40"/>
    <x v="0"/>
    <x v="0"/>
    <m/>
    <m/>
    <m/>
  </r>
  <r>
    <s v="YK261600040"/>
    <x v="0"/>
    <x v="0"/>
    <n v="1"/>
    <x v="0"/>
    <d v="2026-05-05T09:27:28"/>
    <x v="6"/>
    <x v="2"/>
    <x v="6"/>
    <s v="17IA14.40"/>
    <x v="0"/>
    <x v="0"/>
    <m/>
    <m/>
    <m/>
  </r>
  <r>
    <s v="YK261600041"/>
    <x v="1"/>
    <x v="1"/>
    <n v="1"/>
    <x v="1"/>
    <d v="2026-07-02T09:54:44"/>
    <x v="6"/>
    <x v="2"/>
    <x v="6"/>
    <s v="17IA14.40"/>
    <x v="0"/>
    <x v="0"/>
    <m/>
    <d v="2026-05-27T00:00:00"/>
    <m/>
  </r>
  <r>
    <s v="YK261600042"/>
    <x v="1"/>
    <x v="1"/>
    <n v="1"/>
    <x v="1"/>
    <d v="2026-08-12T14:26:00"/>
    <x v="6"/>
    <x v="2"/>
    <x v="6"/>
    <s v="17IA14.40"/>
    <x v="0"/>
    <x v="0"/>
    <m/>
    <d v="2026-08-14T00:00:00"/>
    <m/>
  </r>
  <r>
    <s v="YK261600043"/>
    <x v="1"/>
    <x v="1"/>
    <n v="1"/>
    <x v="1"/>
    <d v="2026-08-14T09:15:52"/>
    <x v="6"/>
    <x v="2"/>
    <x v="6"/>
    <s v="17IA14.40"/>
    <x v="0"/>
    <x v="0"/>
    <m/>
    <d v="2026-08-14T00:00:00"/>
    <m/>
  </r>
  <r>
    <s v="YK261600044"/>
    <x v="1"/>
    <x v="1"/>
    <n v="1"/>
    <x v="1"/>
    <d v="2026-08-11T14:07:22"/>
    <x v="6"/>
    <x v="2"/>
    <x v="6"/>
    <s v="17IA14.40"/>
    <x v="0"/>
    <x v="0"/>
    <m/>
    <d v="2026-08-14T00:00:00"/>
    <m/>
  </r>
  <r>
    <s v="YK261600045"/>
    <x v="1"/>
    <x v="1"/>
    <n v="1"/>
    <x v="1"/>
    <d v="2026-08-14T09:13:13"/>
    <x v="6"/>
    <x v="2"/>
    <x v="6"/>
    <s v="17IA14.40"/>
    <x v="0"/>
    <x v="0"/>
    <m/>
    <d v="2026-08-14T00:00:00"/>
    <m/>
  </r>
  <r>
    <s v="YK261600046"/>
    <x v="1"/>
    <x v="1"/>
    <n v="1"/>
    <x v="1"/>
    <d v="2026-08-14T07:57:39"/>
    <x v="6"/>
    <x v="2"/>
    <x v="6"/>
    <s v="17IA14.40"/>
    <x v="0"/>
    <x v="0"/>
    <m/>
    <d v="2026-08-14T00:00:00"/>
    <m/>
  </r>
  <r>
    <s v="YK261600047"/>
    <x v="1"/>
    <x v="1"/>
    <n v="1"/>
    <x v="1"/>
    <d v="2026-08-14T09:12:48"/>
    <x v="6"/>
    <x v="2"/>
    <x v="6"/>
    <s v="17IA14.40"/>
    <x v="0"/>
    <x v="0"/>
    <m/>
    <d v="2026-08-14T00:00:00"/>
    <m/>
  </r>
  <r>
    <s v="YK261600048"/>
    <x v="1"/>
    <x v="1"/>
    <n v="1"/>
    <x v="1"/>
    <d v="2026-08-11T09:38:07"/>
    <x v="6"/>
    <x v="2"/>
    <x v="6"/>
    <s v="17IA14.40"/>
    <x v="0"/>
    <x v="0"/>
    <m/>
    <d v="2026-08-14T00:00:00"/>
    <m/>
  </r>
  <r>
    <s v="YK261600049"/>
    <x v="1"/>
    <x v="1"/>
    <n v="1"/>
    <x v="1"/>
    <d v="2026-08-11T09:35:00"/>
    <x v="6"/>
    <x v="2"/>
    <x v="6"/>
    <s v="17IA14.40"/>
    <x v="0"/>
    <x v="0"/>
    <m/>
    <d v="2026-08-14T00:00:00"/>
    <m/>
  </r>
  <r>
    <s v="YK261600050"/>
    <x v="1"/>
    <x v="1"/>
    <n v="1"/>
    <x v="1"/>
    <d v="2026-08-14T09:10:01"/>
    <x v="6"/>
    <x v="2"/>
    <x v="6"/>
    <s v="17IA14.40"/>
    <x v="0"/>
    <x v="0"/>
    <m/>
    <d v="2026-08-14T00:00:00"/>
    <m/>
  </r>
  <r>
    <s v="YK261600051"/>
    <x v="1"/>
    <x v="1"/>
    <n v="1"/>
    <x v="1"/>
    <d v="2026-08-14T07:56:00"/>
    <x v="6"/>
    <x v="2"/>
    <x v="6"/>
    <s v="17IA14.40"/>
    <x v="0"/>
    <x v="0"/>
    <m/>
    <d v="2026-08-14T00:00:00"/>
    <m/>
  </r>
  <r>
    <s v="YK261600052"/>
    <x v="0"/>
    <x v="0"/>
    <n v="1"/>
    <x v="0"/>
    <d v="2026-05-07T08:50:43"/>
    <x v="6"/>
    <x v="2"/>
    <x v="6"/>
    <s v="17IA14.40"/>
    <x v="0"/>
    <x v="0"/>
    <m/>
    <m/>
    <m/>
  </r>
  <r>
    <s v="YK261600053"/>
    <x v="1"/>
    <x v="1"/>
    <n v="1"/>
    <x v="1"/>
    <d v="2026-08-14T09:30:37"/>
    <x v="6"/>
    <x v="2"/>
    <x v="6"/>
    <s v="17IA14.40"/>
    <x v="0"/>
    <x v="0"/>
    <m/>
    <d v="2026-08-14T00:00:00"/>
    <m/>
  </r>
  <r>
    <s v="YK261600054"/>
    <x v="1"/>
    <x v="1"/>
    <n v="1"/>
    <x v="1"/>
    <d v="2026-08-11T14:11:20"/>
    <x v="6"/>
    <x v="2"/>
    <x v="6"/>
    <s v="17IA14.40"/>
    <x v="0"/>
    <x v="0"/>
    <m/>
    <d v="2026-08-14T00:00:00"/>
    <m/>
  </r>
  <r>
    <s v="YK261600055"/>
    <x v="1"/>
    <x v="1"/>
    <n v="1"/>
    <x v="1"/>
    <d v="2026-08-12T14:27:46"/>
    <x v="6"/>
    <x v="2"/>
    <x v="6"/>
    <s v="17IA14.40"/>
    <x v="0"/>
    <x v="0"/>
    <m/>
    <d v="2026-08-14T00:00:00"/>
    <m/>
  </r>
  <r>
    <s v="YK261600056"/>
    <x v="0"/>
    <x v="0"/>
    <n v="1"/>
    <x v="0"/>
    <d v="2026-05-07T13:26:45"/>
    <x v="6"/>
    <x v="2"/>
    <x v="6"/>
    <s v="17IA14.40"/>
    <x v="0"/>
    <x v="0"/>
    <m/>
    <m/>
    <m/>
  </r>
  <r>
    <s v="YK261600057"/>
    <x v="1"/>
    <x v="1"/>
    <n v="1"/>
    <x v="1"/>
    <d v="2026-08-12T13:41:16"/>
    <x v="6"/>
    <x v="2"/>
    <x v="6"/>
    <s v="17IA14.40"/>
    <x v="0"/>
    <x v="0"/>
    <m/>
    <d v="2026-08-14T00:00:00"/>
    <m/>
  </r>
  <r>
    <s v="YK261600058"/>
    <x v="0"/>
    <x v="0"/>
    <n v="1"/>
    <x v="0"/>
    <d v="2026-05-05T08:59:09"/>
    <x v="6"/>
    <x v="2"/>
    <x v="6"/>
    <s v="17IA14.40"/>
    <x v="0"/>
    <x v="0"/>
    <m/>
    <m/>
    <m/>
  </r>
  <r>
    <s v="YK261600059"/>
    <x v="1"/>
    <x v="1"/>
    <n v="1"/>
    <x v="1"/>
    <d v="2026-08-11T09:30:57"/>
    <x v="6"/>
    <x v="2"/>
    <x v="6"/>
    <s v="17IA14.40"/>
    <x v="0"/>
    <x v="0"/>
    <m/>
    <d v="2026-08-14T00:00:00"/>
    <m/>
  </r>
  <r>
    <s v="YK261600060"/>
    <x v="1"/>
    <x v="1"/>
    <n v="1"/>
    <x v="1"/>
    <d v="2026-08-12T13:05:10"/>
    <x v="6"/>
    <x v="2"/>
    <x v="6"/>
    <s v="17IA14.40"/>
    <x v="0"/>
    <x v="0"/>
    <m/>
    <d v="2026-08-20T00:00:00"/>
    <m/>
  </r>
  <r>
    <s v="YK261600061"/>
    <x v="1"/>
    <x v="1"/>
    <n v="1"/>
    <x v="1"/>
    <d v="2026-08-12T13:36:15"/>
    <x v="6"/>
    <x v="2"/>
    <x v="6"/>
    <s v="17IA14.40"/>
    <x v="0"/>
    <x v="0"/>
    <m/>
    <d v="2026-08-14T00:00:00"/>
    <m/>
  </r>
  <r>
    <s v="YK261600062"/>
    <x v="0"/>
    <x v="0"/>
    <n v="1"/>
    <x v="0"/>
    <d v="2026-05-08T07:45:39"/>
    <x v="6"/>
    <x v="2"/>
    <x v="6"/>
    <s v="17IA14.40"/>
    <x v="0"/>
    <x v="0"/>
    <m/>
    <m/>
    <m/>
  </r>
  <r>
    <s v="YK261600063"/>
    <x v="1"/>
    <x v="1"/>
    <n v="1"/>
    <x v="1"/>
    <d v="2026-08-14T09:28:04"/>
    <x v="6"/>
    <x v="2"/>
    <x v="6"/>
    <s v="17IA14.40"/>
    <x v="0"/>
    <x v="0"/>
    <m/>
    <d v="2026-08-14T00:00:00"/>
    <m/>
  </r>
  <r>
    <s v="YK261600064"/>
    <x v="0"/>
    <x v="0"/>
    <n v="1"/>
    <x v="0"/>
    <d v="2026-05-11T07:08:09"/>
    <x v="6"/>
    <x v="2"/>
    <x v="6"/>
    <s v="17IA14.40"/>
    <x v="0"/>
    <x v="0"/>
    <m/>
    <m/>
    <m/>
  </r>
  <r>
    <s v="YK261600065"/>
    <x v="1"/>
    <x v="1"/>
    <n v="1"/>
    <x v="1"/>
    <d v="2026-08-12T13:02:09"/>
    <x v="6"/>
    <x v="2"/>
    <x v="6"/>
    <s v="17IA14.40"/>
    <x v="0"/>
    <x v="0"/>
    <m/>
    <d v="2026-08-20T00:00:00"/>
    <m/>
  </r>
  <r>
    <s v="YK261600066"/>
    <x v="1"/>
    <x v="1"/>
    <n v="1"/>
    <x v="1"/>
    <d v="2026-08-12T13:10:28"/>
    <x v="6"/>
    <x v="2"/>
    <x v="6"/>
    <s v="17IA14.40"/>
    <x v="0"/>
    <x v="0"/>
    <m/>
    <d v="2026-08-20T00:00:00"/>
    <m/>
  </r>
  <r>
    <s v="YK261600067"/>
    <x v="0"/>
    <x v="0"/>
    <n v="1"/>
    <x v="0"/>
    <d v="2026-05-07T08:49:53"/>
    <x v="6"/>
    <x v="2"/>
    <x v="6"/>
    <s v="17IA14.40"/>
    <x v="0"/>
    <x v="0"/>
    <m/>
    <m/>
    <m/>
  </r>
  <r>
    <s v="YK261600068"/>
    <x v="0"/>
    <x v="0"/>
    <n v="1"/>
    <x v="0"/>
    <d v="2026-05-11T10:26:37"/>
    <x v="6"/>
    <x v="2"/>
    <x v="6"/>
    <s v="17IA14.40"/>
    <x v="0"/>
    <x v="0"/>
    <m/>
    <m/>
    <m/>
  </r>
  <r>
    <s v="YK261600069"/>
    <x v="1"/>
    <x v="1"/>
    <n v="1"/>
    <x v="1"/>
    <d v="2026-08-14T08:47:47"/>
    <x v="6"/>
    <x v="2"/>
    <x v="6"/>
    <s v="17IA14.40"/>
    <x v="0"/>
    <x v="0"/>
    <m/>
    <d v="2026-08-14T00:00:00"/>
    <m/>
  </r>
  <r>
    <s v="YK261600070"/>
    <x v="1"/>
    <x v="1"/>
    <n v="1"/>
    <x v="1"/>
    <d v="2026-08-14T09:06:29"/>
    <x v="6"/>
    <x v="2"/>
    <x v="6"/>
    <s v="17IA14.40"/>
    <x v="0"/>
    <x v="0"/>
    <m/>
    <d v="2026-08-14T00:00:00"/>
    <m/>
  </r>
  <r>
    <s v="YK261600071"/>
    <x v="1"/>
    <x v="1"/>
    <n v="1"/>
    <x v="1"/>
    <d v="2026-08-14T09:18:43"/>
    <x v="6"/>
    <x v="2"/>
    <x v="6"/>
    <s v="17IA14.40"/>
    <x v="0"/>
    <x v="0"/>
    <m/>
    <d v="2026-08-14T00:00:00"/>
    <m/>
  </r>
  <r>
    <s v="YK261600072"/>
    <x v="1"/>
    <x v="1"/>
    <n v="1"/>
    <x v="1"/>
    <d v="2026-08-14T08:56:35"/>
    <x v="6"/>
    <x v="2"/>
    <x v="6"/>
    <s v="17IA14.40"/>
    <x v="0"/>
    <x v="0"/>
    <m/>
    <d v="2026-08-14T00:00:00"/>
    <m/>
  </r>
  <r>
    <s v="YK261600073"/>
    <x v="1"/>
    <x v="1"/>
    <n v="1"/>
    <x v="1"/>
    <d v="2026-08-12T12:27:22"/>
    <x v="6"/>
    <x v="2"/>
    <x v="6"/>
    <s v="17IA14.40"/>
    <x v="0"/>
    <x v="0"/>
    <m/>
    <d v="2026-08-20T00:00:00"/>
    <m/>
  </r>
  <r>
    <s v="YK261600074"/>
    <x v="0"/>
    <x v="0"/>
    <n v="1"/>
    <x v="0"/>
    <d v="2026-05-11T09:32:33"/>
    <x v="6"/>
    <x v="2"/>
    <x v="6"/>
    <s v="17IA14.40"/>
    <x v="0"/>
    <x v="0"/>
    <m/>
    <m/>
    <m/>
  </r>
  <r>
    <s v="YK261600075"/>
    <x v="1"/>
    <x v="1"/>
    <n v="1"/>
    <x v="1"/>
    <d v="2026-08-12T12:28:48"/>
    <x v="6"/>
    <x v="2"/>
    <x v="6"/>
    <s v="17IA14.40"/>
    <x v="0"/>
    <x v="0"/>
    <m/>
    <d v="2026-08-20T00:00:00"/>
    <m/>
  </r>
  <r>
    <s v="YK261600076"/>
    <x v="1"/>
    <x v="1"/>
    <n v="1"/>
    <x v="1"/>
    <d v="2026-08-14T08:46:32"/>
    <x v="6"/>
    <x v="2"/>
    <x v="6"/>
    <s v="17IA14.40"/>
    <x v="0"/>
    <x v="0"/>
    <m/>
    <d v="2026-08-14T00:00:00"/>
    <m/>
  </r>
  <r>
    <s v="YK261600077"/>
    <x v="1"/>
    <x v="1"/>
    <n v="1"/>
    <x v="1"/>
    <d v="2026-08-12T13:07:14"/>
    <x v="6"/>
    <x v="2"/>
    <x v="6"/>
    <s v="17IA14.40"/>
    <x v="0"/>
    <x v="0"/>
    <m/>
    <d v="2026-08-20T00:00:00"/>
    <m/>
  </r>
  <r>
    <s v="YK261600078"/>
    <x v="1"/>
    <x v="1"/>
    <n v="1"/>
    <x v="1"/>
    <d v="2026-08-12T13:27:43"/>
    <x v="6"/>
    <x v="2"/>
    <x v="6"/>
    <s v="17IA14.40"/>
    <x v="0"/>
    <x v="0"/>
    <m/>
    <d v="2026-08-14T00:00:00"/>
    <m/>
  </r>
  <r>
    <s v="YK261600079"/>
    <x v="1"/>
    <x v="1"/>
    <n v="1"/>
    <x v="1"/>
    <d v="2026-08-11T09:33:45"/>
    <x v="6"/>
    <x v="2"/>
    <x v="6"/>
    <s v="17IA14.40"/>
    <x v="0"/>
    <x v="0"/>
    <m/>
    <d v="2026-08-14T00:00:00"/>
    <m/>
  </r>
  <r>
    <s v="YK261600080"/>
    <x v="1"/>
    <x v="1"/>
    <n v="1"/>
    <x v="1"/>
    <d v="2026-08-14T07:47:51"/>
    <x v="6"/>
    <x v="2"/>
    <x v="6"/>
    <s v="17IA14.40"/>
    <x v="0"/>
    <x v="0"/>
    <m/>
    <d v="2026-08-14T00:00:00"/>
    <m/>
  </r>
  <r>
    <s v="YK261600081"/>
    <x v="1"/>
    <x v="1"/>
    <n v="1"/>
    <x v="1"/>
    <d v="2026-07-02T09:56:06"/>
    <x v="6"/>
    <x v="2"/>
    <x v="6"/>
    <s v="17IA14.40"/>
    <x v="0"/>
    <x v="0"/>
    <m/>
    <d v="2026-05-27T00:00:00"/>
    <m/>
  </r>
  <r>
    <s v="YK261600082"/>
    <x v="1"/>
    <x v="1"/>
    <n v="1"/>
    <x v="1"/>
    <d v="2026-08-14T09:33:48"/>
    <x v="6"/>
    <x v="2"/>
    <x v="6"/>
    <s v="17IA14.40"/>
    <x v="0"/>
    <x v="0"/>
    <m/>
    <d v="2026-08-14T00:00:00"/>
    <m/>
  </r>
  <r>
    <s v="YK261600083"/>
    <x v="1"/>
    <x v="1"/>
    <n v="1"/>
    <x v="1"/>
    <d v="2026-08-14T08:53:04"/>
    <x v="6"/>
    <x v="2"/>
    <x v="6"/>
    <s v="17IA14.40"/>
    <x v="0"/>
    <x v="0"/>
    <m/>
    <d v="2026-08-14T00:00:00"/>
    <m/>
  </r>
  <r>
    <s v="YK261600084"/>
    <x v="1"/>
    <x v="1"/>
    <n v="1"/>
    <x v="1"/>
    <d v="2026-08-12T13:44:12"/>
    <x v="6"/>
    <x v="2"/>
    <x v="6"/>
    <s v="17IA14.40"/>
    <x v="0"/>
    <x v="0"/>
    <m/>
    <d v="2026-08-14T00:00:00"/>
    <m/>
  </r>
  <r>
    <s v="YK261600085"/>
    <x v="0"/>
    <x v="0"/>
    <n v="1"/>
    <x v="0"/>
    <d v="2026-05-11T07:07:49"/>
    <x v="6"/>
    <x v="2"/>
    <x v="6"/>
    <s v="17IA14.40"/>
    <x v="0"/>
    <x v="0"/>
    <m/>
    <m/>
    <m/>
  </r>
  <r>
    <s v="YK261600086"/>
    <x v="1"/>
    <x v="1"/>
    <n v="1"/>
    <x v="1"/>
    <d v="2026-07-02T09:58:33"/>
    <x v="6"/>
    <x v="2"/>
    <x v="6"/>
    <s v="17IA14.40"/>
    <x v="0"/>
    <x v="0"/>
    <m/>
    <d v="2026-05-27T00:00:00"/>
    <m/>
  </r>
  <r>
    <s v="YK261600087"/>
    <x v="1"/>
    <x v="1"/>
    <n v="1"/>
    <x v="1"/>
    <d v="2026-08-12T13:02:49"/>
    <x v="6"/>
    <x v="2"/>
    <x v="6"/>
    <s v="17IA14.40"/>
    <x v="0"/>
    <x v="0"/>
    <m/>
    <d v="2026-08-20T00:00:00"/>
    <m/>
  </r>
  <r>
    <s v="YK261600088"/>
    <x v="0"/>
    <x v="0"/>
    <n v="1"/>
    <x v="0"/>
    <d v="2026-05-08T07:46:03"/>
    <x v="6"/>
    <x v="2"/>
    <x v="6"/>
    <s v="17IA14.40"/>
    <x v="0"/>
    <x v="0"/>
    <m/>
    <m/>
    <m/>
  </r>
  <r>
    <s v="YK261600089"/>
    <x v="1"/>
    <x v="1"/>
    <n v="1"/>
    <x v="1"/>
    <d v="2026-08-14T08:57:26"/>
    <x v="6"/>
    <x v="2"/>
    <x v="6"/>
    <s v="17IA14.40"/>
    <x v="0"/>
    <x v="0"/>
    <m/>
    <d v="2026-08-14T00:00:00"/>
    <m/>
  </r>
  <r>
    <s v="YK261600090"/>
    <x v="1"/>
    <x v="1"/>
    <n v="1"/>
    <x v="1"/>
    <d v="2026-08-12T13:07:57"/>
    <x v="6"/>
    <x v="2"/>
    <x v="6"/>
    <s v="17IA14.40"/>
    <x v="0"/>
    <x v="0"/>
    <m/>
    <d v="2026-08-20T00:00:00"/>
    <m/>
  </r>
  <r>
    <s v="YK261600091"/>
    <x v="1"/>
    <x v="1"/>
    <n v="1"/>
    <x v="1"/>
    <d v="2026-08-12T13:13:06"/>
    <x v="6"/>
    <x v="2"/>
    <x v="6"/>
    <s v="17IA14.40"/>
    <x v="0"/>
    <x v="0"/>
    <m/>
    <d v="2026-08-20T00:00:00"/>
    <m/>
  </r>
  <r>
    <s v="YK261600092"/>
    <x v="1"/>
    <x v="1"/>
    <n v="1"/>
    <x v="1"/>
    <d v="2026-08-14T09:31:06"/>
    <x v="6"/>
    <x v="2"/>
    <x v="6"/>
    <s v="17IA14.40"/>
    <x v="0"/>
    <x v="0"/>
    <m/>
    <d v="2026-08-14T00:00:00"/>
    <m/>
  </r>
  <r>
    <s v="YK261600093"/>
    <x v="1"/>
    <x v="1"/>
    <n v="1"/>
    <x v="1"/>
    <d v="2026-08-12T13:12:34"/>
    <x v="6"/>
    <x v="2"/>
    <x v="6"/>
    <s v="17IA14.40"/>
    <x v="0"/>
    <x v="0"/>
    <m/>
    <d v="2026-08-20T00:00:00"/>
    <m/>
  </r>
  <r>
    <s v="YK261600094"/>
    <x v="1"/>
    <x v="1"/>
    <n v="1"/>
    <x v="1"/>
    <d v="2026-08-14T08:54:27"/>
    <x v="6"/>
    <x v="2"/>
    <x v="6"/>
    <s v="17IA14.40"/>
    <x v="0"/>
    <x v="0"/>
    <m/>
    <d v="2026-08-14T00:00:00"/>
    <m/>
  </r>
  <r>
    <s v="YK261600095"/>
    <x v="1"/>
    <x v="1"/>
    <n v="1"/>
    <x v="1"/>
    <d v="2026-08-12T13:26:49"/>
    <x v="6"/>
    <x v="2"/>
    <x v="6"/>
    <s v="17IA14.40"/>
    <x v="0"/>
    <x v="0"/>
    <m/>
    <d v="2026-08-14T00:00:00"/>
    <m/>
  </r>
  <r>
    <s v="YK261600096"/>
    <x v="0"/>
    <x v="0"/>
    <n v="1"/>
    <x v="0"/>
    <d v="2026-05-05T08:59:35"/>
    <x v="6"/>
    <x v="2"/>
    <x v="6"/>
    <s v="17IA14.40"/>
    <x v="0"/>
    <x v="0"/>
    <m/>
    <m/>
    <m/>
  </r>
  <r>
    <s v="YK261600097"/>
    <x v="1"/>
    <x v="1"/>
    <n v="1"/>
    <x v="1"/>
    <d v="2026-08-11T14:15:27"/>
    <x v="6"/>
    <x v="2"/>
    <x v="6"/>
    <s v="17IA14.40"/>
    <x v="0"/>
    <x v="0"/>
    <m/>
    <d v="2026-08-14T00:00:00"/>
    <m/>
  </r>
  <r>
    <s v="YK261600098"/>
    <x v="1"/>
    <x v="1"/>
    <n v="1"/>
    <x v="1"/>
    <d v="2026-08-14T09:03:13"/>
    <x v="6"/>
    <x v="2"/>
    <x v="6"/>
    <s v="17IA14.40"/>
    <x v="0"/>
    <x v="0"/>
    <m/>
    <d v="2026-08-14T00:00:00"/>
    <m/>
  </r>
  <r>
    <s v="YK261600099"/>
    <x v="1"/>
    <x v="1"/>
    <n v="1"/>
    <x v="1"/>
    <d v="2026-08-11T14:14:30"/>
    <x v="6"/>
    <x v="2"/>
    <x v="6"/>
    <s v="17IA14.40"/>
    <x v="0"/>
    <x v="0"/>
    <m/>
    <d v="2026-08-14T00:00:00"/>
    <m/>
  </r>
  <r>
    <s v="YK261600100"/>
    <x v="0"/>
    <x v="0"/>
    <n v="1"/>
    <x v="0"/>
    <d v="2026-05-06T10:40:14"/>
    <x v="6"/>
    <x v="2"/>
    <x v="6"/>
    <s v="17IA14.40"/>
    <x v="0"/>
    <x v="0"/>
    <m/>
    <m/>
    <m/>
  </r>
  <r>
    <s v="YK261600101"/>
    <x v="1"/>
    <x v="1"/>
    <n v="1"/>
    <x v="1"/>
    <d v="2026-08-14T08:47:01"/>
    <x v="6"/>
    <x v="2"/>
    <x v="6"/>
    <s v="17IA14.40"/>
    <x v="0"/>
    <x v="0"/>
    <m/>
    <d v="2026-08-14T00:00:00"/>
    <m/>
  </r>
  <r>
    <s v="YK261600102"/>
    <x v="1"/>
    <x v="1"/>
    <n v="1"/>
    <x v="1"/>
    <d v="2026-08-14T09:19:33"/>
    <x v="6"/>
    <x v="2"/>
    <x v="6"/>
    <s v="17IA14.40"/>
    <x v="0"/>
    <x v="0"/>
    <m/>
    <d v="2026-08-14T00:00:00"/>
    <m/>
  </r>
  <r>
    <s v="YK261600103"/>
    <x v="1"/>
    <x v="1"/>
    <n v="1"/>
    <x v="1"/>
    <d v="2026-08-14T09:30:14"/>
    <x v="6"/>
    <x v="2"/>
    <x v="6"/>
    <s v="17IA14.40"/>
    <x v="0"/>
    <x v="0"/>
    <m/>
    <d v="2026-08-14T00:00:00"/>
    <m/>
  </r>
  <r>
    <s v="YK261600104"/>
    <x v="1"/>
    <x v="1"/>
    <n v="1"/>
    <x v="1"/>
    <d v="2026-08-14T09:10:24"/>
    <x v="6"/>
    <x v="2"/>
    <x v="6"/>
    <s v="17IA14.40"/>
    <x v="0"/>
    <x v="0"/>
    <m/>
    <d v="2026-08-14T00:00:00"/>
    <m/>
  </r>
  <r>
    <s v="YK261600105"/>
    <x v="1"/>
    <x v="1"/>
    <n v="1"/>
    <x v="1"/>
    <d v="2026-08-12T12:31:05"/>
    <x v="6"/>
    <x v="2"/>
    <x v="6"/>
    <s v="17IA14.40"/>
    <x v="0"/>
    <x v="0"/>
    <m/>
    <d v="2026-08-14T00:00:00"/>
    <m/>
  </r>
  <r>
    <s v="YK261600106"/>
    <x v="1"/>
    <x v="1"/>
    <n v="1"/>
    <x v="1"/>
    <d v="2026-08-14T09:29:34"/>
    <x v="6"/>
    <x v="2"/>
    <x v="6"/>
    <s v="17IA14.40"/>
    <x v="0"/>
    <x v="0"/>
    <m/>
    <d v="2026-08-14T00:00:00"/>
    <m/>
  </r>
  <r>
    <s v="YK261600107"/>
    <x v="1"/>
    <x v="1"/>
    <n v="1"/>
    <x v="1"/>
    <d v="2026-08-14T09:26:39"/>
    <x v="6"/>
    <x v="2"/>
    <x v="6"/>
    <s v="17IA14.40"/>
    <x v="0"/>
    <x v="0"/>
    <m/>
    <d v="2026-08-14T00:00:00"/>
    <m/>
  </r>
  <r>
    <s v="YK261600108"/>
    <x v="1"/>
    <x v="1"/>
    <n v="1"/>
    <x v="1"/>
    <d v="2026-07-02T09:44:57"/>
    <x v="6"/>
    <x v="2"/>
    <x v="6"/>
    <s v="17IA14.40"/>
    <x v="0"/>
    <x v="0"/>
    <m/>
    <d v="2026-05-27T00:00:00"/>
    <m/>
  </r>
  <r>
    <s v="YK261600109"/>
    <x v="0"/>
    <x v="0"/>
    <n v="1"/>
    <x v="0"/>
    <d v="2026-05-07T08:49:17"/>
    <x v="6"/>
    <x v="2"/>
    <x v="6"/>
    <s v="17IA14.40"/>
    <x v="0"/>
    <x v="0"/>
    <m/>
    <m/>
    <m/>
  </r>
  <r>
    <s v="YK261600110"/>
    <x v="1"/>
    <x v="1"/>
    <n v="1"/>
    <x v="1"/>
    <d v="2026-08-11T14:18:32"/>
    <x v="6"/>
    <x v="2"/>
    <x v="6"/>
    <s v="17IA14.40"/>
    <x v="0"/>
    <x v="0"/>
    <m/>
    <d v="2026-08-14T00:00:00"/>
    <m/>
  </r>
  <r>
    <s v="YK261600111"/>
    <x v="0"/>
    <x v="0"/>
    <n v="1"/>
    <x v="0"/>
    <d v="2026-05-07T08:50:23"/>
    <x v="6"/>
    <x v="2"/>
    <x v="6"/>
    <s v="17IA14.40"/>
    <x v="0"/>
    <x v="0"/>
    <m/>
    <m/>
    <m/>
  </r>
  <r>
    <s v="YK261600112"/>
    <x v="1"/>
    <x v="1"/>
    <n v="1"/>
    <x v="1"/>
    <d v="2026-08-14T09:31:26"/>
    <x v="6"/>
    <x v="2"/>
    <x v="6"/>
    <s v="17IA14.40"/>
    <x v="0"/>
    <x v="0"/>
    <m/>
    <d v="2026-08-14T00:00:00"/>
    <m/>
  </r>
  <r>
    <s v="YK261600113"/>
    <x v="1"/>
    <x v="1"/>
    <n v="1"/>
    <x v="1"/>
    <d v="2026-08-12T13:26:08"/>
    <x v="6"/>
    <x v="2"/>
    <x v="6"/>
    <s v="17IA14.40"/>
    <x v="0"/>
    <x v="0"/>
    <m/>
    <d v="2026-08-14T00:00:00"/>
    <m/>
  </r>
  <r>
    <s v="YK261600114"/>
    <x v="1"/>
    <x v="1"/>
    <n v="1"/>
    <x v="1"/>
    <d v="2026-08-11T09:25:50"/>
    <x v="6"/>
    <x v="2"/>
    <x v="6"/>
    <s v="17IA14.40"/>
    <x v="0"/>
    <x v="0"/>
    <m/>
    <d v="2026-08-14T00:00:00"/>
    <m/>
  </r>
  <r>
    <s v="YK261600115"/>
    <x v="1"/>
    <x v="1"/>
    <n v="1"/>
    <x v="1"/>
    <d v="2026-08-12T13:09:45"/>
    <x v="6"/>
    <x v="2"/>
    <x v="6"/>
    <s v="17IA14.40"/>
    <x v="0"/>
    <x v="0"/>
    <m/>
    <d v="2026-08-20T00:00:00"/>
    <m/>
  </r>
  <r>
    <s v="YK261600116"/>
    <x v="0"/>
    <x v="0"/>
    <n v="1"/>
    <x v="0"/>
    <d v="2026-05-05T09:27:13"/>
    <x v="6"/>
    <x v="2"/>
    <x v="6"/>
    <s v="17IA14.40"/>
    <x v="0"/>
    <x v="0"/>
    <m/>
    <m/>
    <m/>
  </r>
  <r>
    <s v="YK261600117"/>
    <x v="1"/>
    <x v="1"/>
    <n v="1"/>
    <x v="1"/>
    <d v="2026-08-11T14:17:24"/>
    <x v="6"/>
    <x v="2"/>
    <x v="6"/>
    <s v="17IA14.40"/>
    <x v="0"/>
    <x v="0"/>
    <m/>
    <d v="2026-08-14T00:00:00"/>
    <m/>
  </r>
  <r>
    <s v="YK261600118"/>
    <x v="1"/>
    <x v="1"/>
    <n v="1"/>
    <x v="1"/>
    <d v="2026-08-14T09:15:25"/>
    <x v="6"/>
    <x v="2"/>
    <x v="6"/>
    <s v="17IA14.40"/>
    <x v="0"/>
    <x v="0"/>
    <m/>
    <d v="2026-08-14T00:00:00"/>
    <m/>
  </r>
  <r>
    <s v="YK261600119"/>
    <x v="1"/>
    <x v="1"/>
    <n v="1"/>
    <x v="1"/>
    <d v="2026-08-11T14:16:15"/>
    <x v="6"/>
    <x v="2"/>
    <x v="6"/>
    <s v="17IA14.40"/>
    <x v="0"/>
    <x v="0"/>
    <m/>
    <d v="2026-08-14T00:00:00"/>
    <m/>
  </r>
  <r>
    <s v="YK261600120"/>
    <x v="1"/>
    <x v="1"/>
    <n v="1"/>
    <x v="1"/>
    <d v="2026-08-11T14:13:41"/>
    <x v="6"/>
    <x v="2"/>
    <x v="6"/>
    <s v="17IA14.40"/>
    <x v="0"/>
    <x v="0"/>
    <m/>
    <d v="2026-08-14T00:00:00"/>
    <m/>
  </r>
  <r>
    <s v="YK261600121"/>
    <x v="1"/>
    <x v="1"/>
    <n v="1"/>
    <x v="1"/>
    <d v="2026-08-11T09:29:28"/>
    <x v="6"/>
    <x v="2"/>
    <x v="6"/>
    <s v="17IA14.40"/>
    <x v="0"/>
    <x v="0"/>
    <m/>
    <d v="2026-08-14T00:00:00"/>
    <m/>
  </r>
  <r>
    <s v="YK261600122"/>
    <x v="1"/>
    <x v="1"/>
    <n v="1"/>
    <x v="1"/>
    <d v="2026-08-12T14:26:56"/>
    <x v="6"/>
    <x v="2"/>
    <x v="6"/>
    <s v="17IA14.40"/>
    <x v="0"/>
    <x v="0"/>
    <m/>
    <d v="2026-08-14T00:00:00"/>
    <m/>
  </r>
  <r>
    <s v="YK261600123"/>
    <x v="1"/>
    <x v="1"/>
    <n v="1"/>
    <x v="1"/>
    <d v="2026-08-11T09:24:47"/>
    <x v="6"/>
    <x v="2"/>
    <x v="6"/>
    <s v="17IA14.40"/>
    <x v="0"/>
    <x v="0"/>
    <m/>
    <d v="2026-08-14T00:00:00"/>
    <m/>
  </r>
  <r>
    <s v="YK261600124"/>
    <x v="1"/>
    <x v="1"/>
    <n v="1"/>
    <x v="1"/>
    <d v="2026-08-14T08:59:09"/>
    <x v="6"/>
    <x v="2"/>
    <x v="6"/>
    <s v="17IA14.40"/>
    <x v="0"/>
    <x v="0"/>
    <m/>
    <d v="2026-08-14T00:00:00"/>
    <m/>
  </r>
  <r>
    <s v="YK261600125"/>
    <x v="0"/>
    <x v="0"/>
    <n v="1"/>
    <x v="0"/>
    <d v="2026-05-11T07:08:28"/>
    <x v="6"/>
    <x v="2"/>
    <x v="6"/>
    <s v="17IA14.40"/>
    <x v="0"/>
    <x v="0"/>
    <m/>
    <m/>
    <m/>
  </r>
  <r>
    <s v="YK261600126"/>
    <x v="1"/>
    <x v="1"/>
    <n v="1"/>
    <x v="1"/>
    <d v="2026-08-12T12:28:02"/>
    <x v="6"/>
    <x v="2"/>
    <x v="6"/>
    <s v="17IA14.40"/>
    <x v="0"/>
    <x v="0"/>
    <m/>
    <d v="2026-08-20T00:00:00"/>
    <m/>
  </r>
  <r>
    <s v="YK261600127"/>
    <x v="1"/>
    <x v="1"/>
    <n v="1"/>
    <x v="1"/>
    <d v="2026-08-14T09:29:09"/>
    <x v="6"/>
    <x v="2"/>
    <x v="6"/>
    <s v="17IA14.40"/>
    <x v="0"/>
    <x v="0"/>
    <m/>
    <d v="2026-08-14T00:00:00"/>
    <m/>
  </r>
  <r>
    <s v="YK261600128"/>
    <x v="0"/>
    <x v="0"/>
    <n v="1"/>
    <x v="0"/>
    <d v="2026-05-12T12:31:19"/>
    <x v="6"/>
    <x v="2"/>
    <x v="6"/>
    <s v="17IA14.40"/>
    <x v="0"/>
    <x v="0"/>
    <m/>
    <m/>
    <m/>
  </r>
  <r>
    <s v="YK261600129"/>
    <x v="1"/>
    <x v="1"/>
    <n v="1"/>
    <x v="1"/>
    <d v="2026-08-12T13:51:16"/>
    <x v="6"/>
    <x v="2"/>
    <x v="6"/>
    <s v="17IA14.40"/>
    <x v="0"/>
    <x v="0"/>
    <m/>
    <d v="2026-08-14T00:00:00"/>
    <m/>
  </r>
  <r>
    <s v="YK261600130"/>
    <x v="1"/>
    <x v="1"/>
    <n v="1"/>
    <x v="1"/>
    <d v="2026-08-14T09:20:39"/>
    <x v="6"/>
    <x v="2"/>
    <x v="6"/>
    <s v="17IA14.40"/>
    <x v="0"/>
    <x v="0"/>
    <m/>
    <d v="2026-08-14T00:00:00"/>
    <m/>
  </r>
  <r>
    <s v="YK261600131"/>
    <x v="1"/>
    <x v="1"/>
    <n v="1"/>
    <x v="1"/>
    <d v="2026-08-14T09:16:26"/>
    <x v="6"/>
    <x v="2"/>
    <x v="6"/>
    <s v="17IA14.40"/>
    <x v="0"/>
    <x v="0"/>
    <m/>
    <d v="2026-08-14T00:00:00"/>
    <m/>
  </r>
  <r>
    <s v="YK261600132"/>
    <x v="1"/>
    <x v="1"/>
    <n v="1"/>
    <x v="1"/>
    <d v="2026-08-11T14:12:10"/>
    <x v="6"/>
    <x v="2"/>
    <x v="6"/>
    <s v="17IA14.40"/>
    <x v="0"/>
    <x v="0"/>
    <m/>
    <d v="2026-08-14T00:00:00"/>
    <m/>
  </r>
  <r>
    <s v="YK261400001"/>
    <x v="1"/>
    <x v="1"/>
    <n v="1"/>
    <x v="1"/>
    <d v="2026-08-11T07:57:43"/>
    <x v="7"/>
    <x v="3"/>
    <x v="7"/>
    <s v="17IA14.50"/>
    <x v="0"/>
    <x v="0"/>
    <m/>
    <d v="2026-08-14T00:00:00"/>
    <m/>
  </r>
  <r>
    <s v="YK261400002"/>
    <x v="1"/>
    <x v="1"/>
    <n v="1"/>
    <x v="1"/>
    <d v="2026-04-08T07:30:05"/>
    <x v="7"/>
    <x v="3"/>
    <x v="7"/>
    <s v="17IA14.50"/>
    <x v="0"/>
    <x v="0"/>
    <m/>
    <d v="2026-04-07T00:00:00"/>
    <m/>
  </r>
  <r>
    <s v="YK261400003"/>
    <x v="1"/>
    <x v="1"/>
    <n v="1"/>
    <x v="1"/>
    <d v="2026-08-11T07:56:53"/>
    <x v="7"/>
    <x v="3"/>
    <x v="7"/>
    <s v="17IA14.50"/>
    <x v="0"/>
    <x v="0"/>
    <m/>
    <d v="2026-08-14T00:00:00"/>
    <m/>
  </r>
  <r>
    <s v="YK261400004"/>
    <x v="3"/>
    <x v="3"/>
    <n v="1"/>
    <x v="3"/>
    <d v="2026-05-04T11:25:00"/>
    <x v="7"/>
    <x v="3"/>
    <x v="7"/>
    <s v="17IA14.50"/>
    <x v="0"/>
    <x v="0"/>
    <s v="Update to shipped"/>
    <d v="2026-08-14T00:00:00"/>
    <m/>
  </r>
  <r>
    <s v="YK261400005"/>
    <x v="0"/>
    <x v="0"/>
    <n v="1"/>
    <x v="0"/>
    <d v="2026-05-12T13:17:01"/>
    <x v="7"/>
    <x v="3"/>
    <x v="7"/>
    <s v="17IA14.50"/>
    <x v="0"/>
    <x v="0"/>
    <m/>
    <m/>
    <m/>
  </r>
  <r>
    <s v="YK261400006"/>
    <x v="1"/>
    <x v="1"/>
    <n v="1"/>
    <x v="1"/>
    <d v="2026-08-11T07:03:13"/>
    <x v="7"/>
    <x v="3"/>
    <x v="7"/>
    <s v="17IA14.50"/>
    <x v="0"/>
    <x v="0"/>
    <m/>
    <d v="2026-08-14T00:00:00"/>
    <m/>
  </r>
  <r>
    <s v="YK261400007"/>
    <x v="1"/>
    <x v="1"/>
    <n v="1"/>
    <x v="1"/>
    <d v="2026-08-11T08:27:50"/>
    <x v="7"/>
    <x v="3"/>
    <x v="7"/>
    <s v="17IA14.50"/>
    <x v="0"/>
    <x v="0"/>
    <m/>
    <d v="2026-08-14T00:00:00"/>
    <m/>
  </r>
  <r>
    <s v="YK261400008"/>
    <x v="1"/>
    <x v="1"/>
    <n v="1"/>
    <x v="1"/>
    <d v="2026-08-11T09:19:47"/>
    <x v="7"/>
    <x v="3"/>
    <x v="7"/>
    <s v="17IA14.50"/>
    <x v="0"/>
    <x v="0"/>
    <m/>
    <d v="2026-08-14T00:00:00"/>
    <m/>
  </r>
  <r>
    <s v="YK261400009"/>
    <x v="1"/>
    <x v="1"/>
    <n v="1"/>
    <x v="1"/>
    <d v="2026-04-07T12:25:59"/>
    <x v="7"/>
    <x v="3"/>
    <x v="7"/>
    <s v="17IA14.50"/>
    <x v="0"/>
    <x v="0"/>
    <m/>
    <d v="2026-04-07T00:00:00"/>
    <m/>
  </r>
  <r>
    <s v="YK261400010"/>
    <x v="0"/>
    <x v="0"/>
    <n v="1"/>
    <x v="0"/>
    <d v="2026-05-06T10:40:04"/>
    <x v="7"/>
    <x v="3"/>
    <x v="7"/>
    <s v="17IA14.50"/>
    <x v="0"/>
    <x v="0"/>
    <m/>
    <m/>
    <m/>
  </r>
  <r>
    <s v="YK261400011"/>
    <x v="0"/>
    <x v="0"/>
    <n v="1"/>
    <x v="0"/>
    <d v="2026-05-12T06:21:01"/>
    <x v="7"/>
    <x v="3"/>
    <x v="7"/>
    <s v="17IA14.50"/>
    <x v="0"/>
    <x v="0"/>
    <m/>
    <m/>
    <m/>
  </r>
  <r>
    <s v="YK261400012"/>
    <x v="1"/>
    <x v="1"/>
    <n v="1"/>
    <x v="1"/>
    <d v="2026-04-07T12:26:49"/>
    <x v="7"/>
    <x v="3"/>
    <x v="7"/>
    <s v="17IA14.50"/>
    <x v="0"/>
    <x v="0"/>
    <m/>
    <d v="2026-04-07T00:00:00"/>
    <m/>
  </r>
  <r>
    <s v="YK261400013"/>
    <x v="1"/>
    <x v="1"/>
    <n v="1"/>
    <x v="1"/>
    <d v="2026-08-11T09:23:13"/>
    <x v="7"/>
    <x v="3"/>
    <x v="7"/>
    <s v="17IA14.50"/>
    <x v="0"/>
    <x v="0"/>
    <m/>
    <d v="2026-08-14T00:00:00"/>
    <m/>
  </r>
  <r>
    <s v="YK261400014"/>
    <x v="3"/>
    <x v="3"/>
    <n v="1"/>
    <x v="3"/>
    <d v="2026-06-16T06:01:01"/>
    <x v="7"/>
    <x v="3"/>
    <x v="7"/>
    <s v="17IA14.50"/>
    <x v="0"/>
    <x v="0"/>
    <m/>
    <m/>
    <m/>
  </r>
  <r>
    <s v="YK261400015"/>
    <x v="1"/>
    <x v="1"/>
    <n v="1"/>
    <x v="1"/>
    <d v="2026-08-11T08:55:36"/>
    <x v="7"/>
    <x v="3"/>
    <x v="7"/>
    <s v="17IA14.50"/>
    <x v="0"/>
    <x v="0"/>
    <m/>
    <d v="2026-08-14T00:00:00"/>
    <m/>
  </r>
  <r>
    <s v="YK261400016"/>
    <x v="0"/>
    <x v="0"/>
    <n v="1"/>
    <x v="0"/>
    <d v="2026-05-08T07:44:59"/>
    <x v="7"/>
    <x v="3"/>
    <x v="7"/>
    <s v="17IA14.50"/>
    <x v="0"/>
    <x v="0"/>
    <m/>
    <m/>
    <m/>
  </r>
  <r>
    <s v="YK261400017"/>
    <x v="1"/>
    <x v="1"/>
    <n v="1"/>
    <x v="1"/>
    <d v="2026-08-12T12:24:19"/>
    <x v="7"/>
    <x v="3"/>
    <x v="7"/>
    <s v="17IA14.50"/>
    <x v="0"/>
    <x v="0"/>
    <m/>
    <d v="2026-08-20T00:00:00"/>
    <m/>
  </r>
  <r>
    <s v="YK261400018"/>
    <x v="1"/>
    <x v="1"/>
    <n v="1"/>
    <x v="1"/>
    <d v="2026-08-11T09:05:14"/>
    <x v="7"/>
    <x v="3"/>
    <x v="7"/>
    <s v="17IA14.50"/>
    <x v="0"/>
    <x v="0"/>
    <m/>
    <d v="2026-08-14T00:00:00"/>
    <m/>
  </r>
  <r>
    <s v="YK261400019"/>
    <x v="1"/>
    <x v="1"/>
    <n v="1"/>
    <x v="1"/>
    <d v="2026-08-12T12:20:05"/>
    <x v="7"/>
    <x v="3"/>
    <x v="7"/>
    <s v="17IA14.50"/>
    <x v="0"/>
    <x v="0"/>
    <m/>
    <d v="2026-08-20T00:00:00"/>
    <m/>
  </r>
  <r>
    <s v="YK261400020"/>
    <x v="1"/>
    <x v="1"/>
    <n v="1"/>
    <x v="1"/>
    <d v="2026-08-12T12:17:26"/>
    <x v="7"/>
    <x v="3"/>
    <x v="7"/>
    <s v="17IA14.50"/>
    <x v="0"/>
    <x v="0"/>
    <m/>
    <d v="2026-08-20T00:00:00"/>
    <m/>
  </r>
  <r>
    <s v="YK261400021"/>
    <x v="2"/>
    <x v="2"/>
    <n v="1"/>
    <x v="2"/>
    <d v="2026-04-22T06:29:39"/>
    <x v="7"/>
    <x v="3"/>
    <x v="7"/>
    <s v="17IA14.50"/>
    <x v="0"/>
    <x v="0"/>
    <m/>
    <m/>
    <m/>
  </r>
  <r>
    <s v="YK261400022"/>
    <x v="1"/>
    <x v="1"/>
    <n v="1"/>
    <x v="1"/>
    <d v="2026-04-07T12:25:28"/>
    <x v="7"/>
    <x v="3"/>
    <x v="7"/>
    <s v="17IA14.50"/>
    <x v="0"/>
    <x v="0"/>
    <m/>
    <d v="2026-04-07T00:00:00"/>
    <m/>
  </r>
  <r>
    <s v="YK261400023"/>
    <x v="1"/>
    <x v="1"/>
    <n v="1"/>
    <x v="1"/>
    <d v="2026-08-11T08:22:25"/>
    <x v="7"/>
    <x v="3"/>
    <x v="7"/>
    <s v="17IA14.50"/>
    <x v="0"/>
    <x v="0"/>
    <m/>
    <d v="2026-08-14T00:00:00"/>
    <m/>
  </r>
  <r>
    <s v="YK261400024"/>
    <x v="0"/>
    <x v="0"/>
    <n v="1"/>
    <x v="0"/>
    <d v="2026-05-05T08:57:43"/>
    <x v="7"/>
    <x v="3"/>
    <x v="7"/>
    <s v="17IA14.50"/>
    <x v="0"/>
    <x v="0"/>
    <m/>
    <m/>
    <m/>
  </r>
  <r>
    <s v="YK261400025"/>
    <x v="1"/>
    <x v="1"/>
    <n v="1"/>
    <x v="1"/>
    <d v="2026-08-11T09:05:47"/>
    <x v="7"/>
    <x v="3"/>
    <x v="7"/>
    <s v="17IA14.50"/>
    <x v="0"/>
    <x v="0"/>
    <m/>
    <d v="2026-08-14T00:00:00"/>
    <m/>
  </r>
  <r>
    <s v="YK261400026"/>
    <x v="1"/>
    <x v="1"/>
    <n v="1"/>
    <x v="1"/>
    <d v="2026-08-11T08:33:25"/>
    <x v="7"/>
    <x v="3"/>
    <x v="7"/>
    <s v="17IA14.50"/>
    <x v="0"/>
    <x v="0"/>
    <m/>
    <d v="2026-08-14T00:00:00"/>
    <m/>
  </r>
  <r>
    <s v="YK261400027"/>
    <x v="1"/>
    <x v="1"/>
    <n v="1"/>
    <x v="1"/>
    <d v="2026-08-11T07:53:48"/>
    <x v="7"/>
    <x v="3"/>
    <x v="7"/>
    <s v="17IA14.50"/>
    <x v="0"/>
    <x v="0"/>
    <m/>
    <d v="2026-08-14T00:00:00"/>
    <m/>
  </r>
  <r>
    <s v="YK261400028"/>
    <x v="1"/>
    <x v="1"/>
    <n v="1"/>
    <x v="1"/>
    <d v="2026-04-07T12:27:57"/>
    <x v="7"/>
    <x v="3"/>
    <x v="7"/>
    <s v="17IA14.50"/>
    <x v="0"/>
    <x v="0"/>
    <m/>
    <d v="2026-04-07T00:00:00"/>
    <m/>
  </r>
  <r>
    <s v="YK261400029"/>
    <x v="0"/>
    <x v="0"/>
    <n v="1"/>
    <x v="0"/>
    <d v="2026-05-05T09:00:12"/>
    <x v="7"/>
    <x v="3"/>
    <x v="7"/>
    <s v="17IA14.50"/>
    <x v="0"/>
    <x v="0"/>
    <m/>
    <m/>
    <m/>
  </r>
  <r>
    <s v="YK261400030"/>
    <x v="3"/>
    <x v="3"/>
    <n v="1"/>
    <x v="3"/>
    <d v="2026-04-10T06:59:57"/>
    <x v="7"/>
    <x v="3"/>
    <x v="7"/>
    <s v="17IA14.50"/>
    <x v="0"/>
    <x v="0"/>
    <m/>
    <m/>
    <m/>
  </r>
  <r>
    <s v="YK261400031"/>
    <x v="1"/>
    <x v="1"/>
    <n v="1"/>
    <x v="1"/>
    <d v="2026-08-11T07:58:21"/>
    <x v="7"/>
    <x v="3"/>
    <x v="7"/>
    <s v="17IA14.50"/>
    <x v="0"/>
    <x v="0"/>
    <m/>
    <d v="2026-08-14T00:00:00"/>
    <m/>
  </r>
  <r>
    <s v="YK261400032"/>
    <x v="0"/>
    <x v="0"/>
    <n v="1"/>
    <x v="0"/>
    <d v="2026-05-05T08:58:01"/>
    <x v="7"/>
    <x v="3"/>
    <x v="7"/>
    <s v="17IA14.50"/>
    <x v="0"/>
    <x v="0"/>
    <m/>
    <m/>
    <m/>
  </r>
  <r>
    <s v="YK261400033"/>
    <x v="1"/>
    <x v="1"/>
    <n v="1"/>
    <x v="1"/>
    <d v="2026-05-27T11:18:56"/>
    <x v="7"/>
    <x v="3"/>
    <x v="7"/>
    <s v="17IA14.50"/>
    <x v="0"/>
    <x v="0"/>
    <m/>
    <d v="2026-05-27T00:00:00"/>
    <m/>
  </r>
  <r>
    <s v="YK261400034"/>
    <x v="3"/>
    <x v="3"/>
    <n v="1"/>
    <x v="3"/>
    <d v="2026-04-10T07:08:09"/>
    <x v="7"/>
    <x v="3"/>
    <x v="7"/>
    <s v="17IA14.50"/>
    <x v="0"/>
    <x v="0"/>
    <m/>
    <m/>
    <m/>
  </r>
  <r>
    <s v="YK261400035"/>
    <x v="1"/>
    <x v="1"/>
    <n v="1"/>
    <x v="1"/>
    <d v="2026-08-11T07:13:10"/>
    <x v="7"/>
    <x v="3"/>
    <x v="7"/>
    <s v="17IA14.50"/>
    <x v="0"/>
    <x v="0"/>
    <m/>
    <d v="2026-08-14T00:00:00"/>
    <m/>
  </r>
  <r>
    <s v="YK261400036"/>
    <x v="0"/>
    <x v="0"/>
    <n v="1"/>
    <x v="0"/>
    <d v="2026-05-12T09:38:30"/>
    <x v="7"/>
    <x v="3"/>
    <x v="7"/>
    <s v="17IA14.50"/>
    <x v="0"/>
    <x v="0"/>
    <m/>
    <m/>
    <m/>
  </r>
  <r>
    <s v="YK261400037"/>
    <x v="0"/>
    <x v="0"/>
    <n v="1"/>
    <x v="0"/>
    <d v="2026-05-11T07:07:08"/>
    <x v="7"/>
    <x v="3"/>
    <x v="7"/>
    <s v="17IA14.50"/>
    <x v="0"/>
    <x v="0"/>
    <m/>
    <m/>
    <m/>
  </r>
  <r>
    <s v="YK261400038"/>
    <x v="0"/>
    <x v="0"/>
    <n v="1"/>
    <x v="0"/>
    <d v="2026-05-12T06:23:36"/>
    <x v="7"/>
    <x v="3"/>
    <x v="7"/>
    <s v="17IA14.50"/>
    <x v="0"/>
    <x v="0"/>
    <m/>
    <m/>
    <m/>
  </r>
  <r>
    <s v="YK261400039"/>
    <x v="1"/>
    <x v="1"/>
    <n v="1"/>
    <x v="1"/>
    <d v="2026-08-11T06:57:23"/>
    <x v="7"/>
    <x v="3"/>
    <x v="7"/>
    <s v="17IA14.50"/>
    <x v="0"/>
    <x v="0"/>
    <m/>
    <d v="2026-08-14T00:00:00"/>
    <m/>
  </r>
  <r>
    <s v="YK261400040"/>
    <x v="1"/>
    <x v="1"/>
    <n v="1"/>
    <x v="1"/>
    <d v="2026-08-11T09:22:24"/>
    <x v="7"/>
    <x v="3"/>
    <x v="7"/>
    <s v="17IA14.50"/>
    <x v="0"/>
    <x v="0"/>
    <m/>
    <d v="2026-08-14T00:00:00"/>
    <m/>
  </r>
  <r>
    <s v="YK261400041"/>
    <x v="1"/>
    <x v="1"/>
    <n v="1"/>
    <x v="1"/>
    <d v="2026-08-11T08:53:47"/>
    <x v="7"/>
    <x v="3"/>
    <x v="7"/>
    <s v="17IA14.50"/>
    <x v="0"/>
    <x v="0"/>
    <m/>
    <d v="2026-08-14T00:00:00"/>
    <m/>
  </r>
  <r>
    <s v="YK261400042"/>
    <x v="0"/>
    <x v="0"/>
    <n v="1"/>
    <x v="0"/>
    <d v="2026-05-12T06:23:19"/>
    <x v="7"/>
    <x v="3"/>
    <x v="7"/>
    <s v="17IA14.50"/>
    <x v="0"/>
    <x v="0"/>
    <m/>
    <m/>
    <m/>
  </r>
  <r>
    <s v="YK261400043"/>
    <x v="0"/>
    <x v="0"/>
    <n v="1"/>
    <x v="0"/>
    <d v="2026-05-07T08:48:53"/>
    <x v="7"/>
    <x v="3"/>
    <x v="7"/>
    <s v="17IA14.50"/>
    <x v="0"/>
    <x v="0"/>
    <m/>
    <m/>
    <m/>
  </r>
  <r>
    <s v="YK261400044"/>
    <x v="0"/>
    <x v="0"/>
    <n v="1"/>
    <x v="0"/>
    <d v="2026-05-06T10:40:28"/>
    <x v="7"/>
    <x v="3"/>
    <x v="7"/>
    <s v="17IA14.50"/>
    <x v="0"/>
    <x v="0"/>
    <m/>
    <m/>
    <m/>
  </r>
  <r>
    <s v="YK261400045"/>
    <x v="1"/>
    <x v="1"/>
    <n v="1"/>
    <x v="1"/>
    <d v="2026-08-11T08:58:18"/>
    <x v="7"/>
    <x v="3"/>
    <x v="7"/>
    <s v="17IA14.50"/>
    <x v="0"/>
    <x v="0"/>
    <m/>
    <d v="2026-08-14T00:00:00"/>
    <m/>
  </r>
  <r>
    <s v="YK261400046"/>
    <x v="1"/>
    <x v="1"/>
    <n v="1"/>
    <x v="1"/>
    <d v="2026-08-11T07:04:59"/>
    <x v="7"/>
    <x v="3"/>
    <x v="7"/>
    <s v="17IA14.50"/>
    <x v="0"/>
    <x v="0"/>
    <m/>
    <d v="2026-08-14T00:00:00"/>
    <m/>
  </r>
  <r>
    <s v="YK261400047"/>
    <x v="1"/>
    <x v="1"/>
    <n v="1"/>
    <x v="1"/>
    <d v="2026-08-12T12:19:23"/>
    <x v="7"/>
    <x v="3"/>
    <x v="7"/>
    <s v="17IA14.50"/>
    <x v="0"/>
    <x v="0"/>
    <m/>
    <d v="2026-08-20T00:00:00"/>
    <m/>
  </r>
  <r>
    <s v="YK261400048"/>
    <x v="0"/>
    <x v="0"/>
    <n v="1"/>
    <x v="0"/>
    <d v="2026-05-07T08:51:03"/>
    <x v="7"/>
    <x v="3"/>
    <x v="7"/>
    <s v="17IA14.50"/>
    <x v="0"/>
    <x v="0"/>
    <m/>
    <m/>
    <m/>
  </r>
  <r>
    <s v="YK261400049"/>
    <x v="0"/>
    <x v="0"/>
    <n v="1"/>
    <x v="0"/>
    <d v="2026-05-08T07:46:56"/>
    <x v="7"/>
    <x v="3"/>
    <x v="7"/>
    <s v="17IA14.50"/>
    <x v="0"/>
    <x v="0"/>
    <m/>
    <m/>
    <m/>
  </r>
  <r>
    <s v="YK261400050"/>
    <x v="1"/>
    <x v="1"/>
    <n v="1"/>
    <x v="1"/>
    <d v="2026-08-12T12:10:49"/>
    <x v="7"/>
    <x v="3"/>
    <x v="7"/>
    <s v="17IA14.50"/>
    <x v="0"/>
    <x v="0"/>
    <m/>
    <d v="2026-08-20T00:00:00"/>
    <m/>
  </r>
  <r>
    <s v="YK261400051"/>
    <x v="2"/>
    <x v="2"/>
    <n v="1"/>
    <x v="2"/>
    <d v="2026-04-09T15:17:59"/>
    <x v="7"/>
    <x v="3"/>
    <x v="7"/>
    <s v="17IA14.50"/>
    <x v="0"/>
    <x v="0"/>
    <m/>
    <m/>
    <m/>
  </r>
  <r>
    <s v="YK261400052"/>
    <x v="1"/>
    <x v="1"/>
    <n v="1"/>
    <x v="1"/>
    <d v="2026-08-12T12:25:22"/>
    <x v="7"/>
    <x v="3"/>
    <x v="7"/>
    <s v="17IA14.50"/>
    <x v="0"/>
    <x v="0"/>
    <m/>
    <d v="2026-08-20T00:00:00"/>
    <m/>
  </r>
  <r>
    <s v="YK261400053"/>
    <x v="0"/>
    <x v="0"/>
    <n v="1"/>
    <x v="0"/>
    <d v="2026-05-11T10:24:42"/>
    <x v="7"/>
    <x v="3"/>
    <x v="7"/>
    <s v="17IA14.50"/>
    <x v="0"/>
    <x v="0"/>
    <m/>
    <m/>
    <m/>
  </r>
  <r>
    <s v="YK261400054"/>
    <x v="1"/>
    <x v="1"/>
    <n v="1"/>
    <x v="1"/>
    <d v="2026-08-11T07:57:18"/>
    <x v="7"/>
    <x v="3"/>
    <x v="7"/>
    <s v="17IA14.50"/>
    <x v="0"/>
    <x v="0"/>
    <m/>
    <d v="2026-08-14T00:00:00"/>
    <m/>
  </r>
  <r>
    <s v="YK261400055"/>
    <x v="0"/>
    <x v="0"/>
    <n v="1"/>
    <x v="0"/>
    <d v="2026-05-05T09:28:19"/>
    <x v="7"/>
    <x v="3"/>
    <x v="7"/>
    <s v="17IA14.50"/>
    <x v="0"/>
    <x v="0"/>
    <m/>
    <m/>
    <m/>
  </r>
  <r>
    <s v="YK261400056"/>
    <x v="2"/>
    <x v="2"/>
    <n v="1"/>
    <x v="2"/>
    <d v="2026-04-11T05:48:14"/>
    <x v="7"/>
    <x v="3"/>
    <x v="7"/>
    <s v="17IA14.50"/>
    <x v="0"/>
    <x v="0"/>
    <s v="Update to shipped"/>
    <d v="2026-08-20T00:00:00"/>
    <m/>
  </r>
  <r>
    <s v="YK261400057"/>
    <x v="3"/>
    <x v="3"/>
    <n v="1"/>
    <x v="3"/>
    <d v="2026-04-10T06:42:03"/>
    <x v="7"/>
    <x v="3"/>
    <x v="7"/>
    <s v="17IA14.50"/>
    <x v="0"/>
    <x v="0"/>
    <m/>
    <m/>
    <m/>
  </r>
  <r>
    <s v="YK261400058"/>
    <x v="0"/>
    <x v="0"/>
    <n v="1"/>
    <x v="0"/>
    <d v="2026-05-07T08:51:59"/>
    <x v="7"/>
    <x v="3"/>
    <x v="7"/>
    <s v="17IA14.50"/>
    <x v="0"/>
    <x v="0"/>
    <m/>
    <m/>
    <m/>
  </r>
  <r>
    <s v="YK261400059"/>
    <x v="1"/>
    <x v="1"/>
    <n v="1"/>
    <x v="1"/>
    <d v="2026-08-12T12:11:37"/>
    <x v="7"/>
    <x v="3"/>
    <x v="7"/>
    <s v="17IA14.50"/>
    <x v="0"/>
    <x v="0"/>
    <m/>
    <d v="2026-08-20T00:00:00"/>
    <m/>
  </r>
  <r>
    <s v="YK261400060"/>
    <x v="0"/>
    <x v="0"/>
    <n v="1"/>
    <x v="0"/>
    <d v="2026-05-12T09:41:57"/>
    <x v="7"/>
    <x v="3"/>
    <x v="7"/>
    <s v="17IA14.50"/>
    <x v="0"/>
    <x v="0"/>
    <m/>
    <m/>
    <m/>
  </r>
  <r>
    <s v="YK261400061"/>
    <x v="0"/>
    <x v="0"/>
    <n v="1"/>
    <x v="0"/>
    <d v="2026-05-11T12:06:03"/>
    <x v="7"/>
    <x v="3"/>
    <x v="7"/>
    <s v="17IA14.50"/>
    <x v="0"/>
    <x v="0"/>
    <m/>
    <m/>
    <m/>
  </r>
  <r>
    <s v="YK261400062"/>
    <x v="0"/>
    <x v="0"/>
    <n v="1"/>
    <x v="0"/>
    <d v="2026-05-08T09:21:45"/>
    <x v="7"/>
    <x v="3"/>
    <x v="7"/>
    <s v="17IA14.50"/>
    <x v="0"/>
    <x v="0"/>
    <m/>
    <m/>
    <m/>
  </r>
  <r>
    <s v="YK261400063"/>
    <x v="2"/>
    <x v="2"/>
    <n v="1"/>
    <x v="2"/>
    <d v="2026-04-23T11:43:23"/>
    <x v="7"/>
    <x v="3"/>
    <x v="7"/>
    <s v="17IA14.50"/>
    <x v="0"/>
    <x v="0"/>
    <m/>
    <m/>
    <m/>
  </r>
  <r>
    <s v="YK261400064"/>
    <x v="1"/>
    <x v="1"/>
    <n v="1"/>
    <x v="1"/>
    <d v="2026-08-11T08:54:09"/>
    <x v="7"/>
    <x v="3"/>
    <x v="7"/>
    <s v="17IA14.50"/>
    <x v="0"/>
    <x v="0"/>
    <m/>
    <d v="2026-08-14T00:00:00"/>
    <m/>
  </r>
  <r>
    <s v="YK261400065"/>
    <x v="3"/>
    <x v="3"/>
    <n v="1"/>
    <x v="3"/>
    <d v="2026-04-10T06:48:59"/>
    <x v="7"/>
    <x v="3"/>
    <x v="7"/>
    <s v="17IA14.50"/>
    <x v="0"/>
    <x v="0"/>
    <m/>
    <m/>
    <m/>
  </r>
  <r>
    <s v="YK261400066"/>
    <x v="0"/>
    <x v="0"/>
    <n v="1"/>
    <x v="0"/>
    <d v="2026-05-15T11:01:02"/>
    <x v="7"/>
    <x v="3"/>
    <x v="7"/>
    <s v="17IA14.50"/>
    <x v="0"/>
    <x v="0"/>
    <m/>
    <m/>
    <m/>
  </r>
  <r>
    <s v="YK261400067"/>
    <x v="0"/>
    <x v="0"/>
    <n v="1"/>
    <x v="0"/>
    <d v="2026-05-14T11:23:10"/>
    <x v="7"/>
    <x v="3"/>
    <x v="7"/>
    <s v="17IA14.50"/>
    <x v="0"/>
    <x v="0"/>
    <m/>
    <m/>
    <m/>
  </r>
  <r>
    <s v="YK261400068"/>
    <x v="0"/>
    <x v="0"/>
    <n v="1"/>
    <x v="0"/>
    <d v="2026-05-07T13:27:43"/>
    <x v="7"/>
    <x v="3"/>
    <x v="7"/>
    <s v="17IA14.50"/>
    <x v="0"/>
    <x v="0"/>
    <m/>
    <m/>
    <m/>
  </r>
  <r>
    <s v="YK261400069"/>
    <x v="0"/>
    <x v="0"/>
    <n v="1"/>
    <x v="0"/>
    <d v="2026-05-07T13:25:56"/>
    <x v="7"/>
    <x v="3"/>
    <x v="7"/>
    <s v="17IA14.50"/>
    <x v="0"/>
    <x v="0"/>
    <m/>
    <m/>
    <m/>
  </r>
  <r>
    <s v="YK261400070"/>
    <x v="0"/>
    <x v="0"/>
    <n v="1"/>
    <x v="0"/>
    <d v="2026-05-08T09:23:24"/>
    <x v="7"/>
    <x v="3"/>
    <x v="7"/>
    <s v="17IA14.50"/>
    <x v="0"/>
    <x v="0"/>
    <m/>
    <m/>
    <m/>
  </r>
  <r>
    <s v="YK261400071"/>
    <x v="0"/>
    <x v="0"/>
    <n v="1"/>
    <x v="0"/>
    <d v="2026-04-28T07:27:59"/>
    <x v="7"/>
    <x v="3"/>
    <x v="7"/>
    <s v="17IA14.50"/>
    <x v="0"/>
    <x v="0"/>
    <m/>
    <m/>
    <m/>
  </r>
  <r>
    <s v="YK261400072"/>
    <x v="0"/>
    <x v="0"/>
    <n v="1"/>
    <x v="0"/>
    <d v="2026-05-11T10:26:57"/>
    <x v="7"/>
    <x v="3"/>
    <x v="7"/>
    <s v="17IA14.50"/>
    <x v="0"/>
    <x v="0"/>
    <m/>
    <m/>
    <m/>
  </r>
  <r>
    <s v="YK261400073"/>
    <x v="0"/>
    <x v="0"/>
    <n v="1"/>
    <x v="0"/>
    <d v="2026-05-14T12:07:57"/>
    <x v="7"/>
    <x v="3"/>
    <x v="7"/>
    <s v="17IA14.50"/>
    <x v="0"/>
    <x v="0"/>
    <m/>
    <m/>
    <m/>
  </r>
  <r>
    <s v="YK261400074"/>
    <x v="1"/>
    <x v="1"/>
    <n v="1"/>
    <x v="1"/>
    <d v="2026-08-11T07:10:26"/>
    <x v="7"/>
    <x v="3"/>
    <x v="7"/>
    <s v="17IA14.50"/>
    <x v="0"/>
    <x v="0"/>
    <m/>
    <d v="2026-08-14T00:00:00"/>
    <m/>
  </r>
  <r>
    <s v="YK261400075"/>
    <x v="0"/>
    <x v="0"/>
    <n v="1"/>
    <x v="0"/>
    <d v="2026-04-28T07:25:20"/>
    <x v="7"/>
    <x v="3"/>
    <x v="7"/>
    <s v="17IA14.50"/>
    <x v="0"/>
    <x v="0"/>
    <m/>
    <m/>
    <m/>
  </r>
  <r>
    <s v="YK261400076"/>
    <x v="1"/>
    <x v="1"/>
    <n v="1"/>
    <x v="1"/>
    <d v="2026-08-11T07:52:30"/>
    <x v="7"/>
    <x v="3"/>
    <x v="7"/>
    <s v="17IA14.50"/>
    <x v="0"/>
    <x v="0"/>
    <m/>
    <d v="2026-08-14T00:00:00"/>
    <m/>
  </r>
  <r>
    <s v="YK261400077"/>
    <x v="1"/>
    <x v="1"/>
    <n v="1"/>
    <x v="1"/>
    <d v="2026-08-11T09:10:37"/>
    <x v="7"/>
    <x v="3"/>
    <x v="7"/>
    <s v="17IA14.50"/>
    <x v="0"/>
    <x v="0"/>
    <m/>
    <d v="2026-08-14T00:00:00"/>
    <m/>
  </r>
  <r>
    <s v="YK261400078"/>
    <x v="1"/>
    <x v="1"/>
    <n v="1"/>
    <x v="1"/>
    <d v="2026-08-12T12:16:06"/>
    <x v="7"/>
    <x v="3"/>
    <x v="7"/>
    <s v="17IA14.50"/>
    <x v="0"/>
    <x v="0"/>
    <m/>
    <d v="2026-08-20T00:00:00"/>
    <m/>
  </r>
  <r>
    <s v="YK261400079"/>
    <x v="0"/>
    <x v="0"/>
    <n v="1"/>
    <x v="0"/>
    <d v="2026-05-12T13:50:50"/>
    <x v="7"/>
    <x v="3"/>
    <x v="7"/>
    <s v="17IA14.50"/>
    <x v="0"/>
    <x v="0"/>
    <m/>
    <m/>
    <m/>
  </r>
  <r>
    <s v="YK261400080"/>
    <x v="1"/>
    <x v="1"/>
    <n v="1"/>
    <x v="1"/>
    <d v="2026-08-11T08:57:05"/>
    <x v="7"/>
    <x v="3"/>
    <x v="7"/>
    <s v="17IA14.50"/>
    <x v="0"/>
    <x v="0"/>
    <m/>
    <d v="2026-08-14T00:00:00"/>
    <m/>
  </r>
  <r>
    <s v="YK261400081"/>
    <x v="1"/>
    <x v="1"/>
    <n v="1"/>
    <x v="1"/>
    <d v="2026-08-12T12:13:04"/>
    <x v="7"/>
    <x v="3"/>
    <x v="7"/>
    <s v="17IA14.50"/>
    <x v="0"/>
    <x v="0"/>
    <m/>
    <d v="2026-08-20T00:00:00"/>
    <m/>
  </r>
  <r>
    <s v="YK261400082"/>
    <x v="1"/>
    <x v="1"/>
    <n v="1"/>
    <x v="1"/>
    <d v="2026-08-12T12:24:47"/>
    <x v="7"/>
    <x v="3"/>
    <x v="7"/>
    <s v="17IA14.50"/>
    <x v="0"/>
    <x v="0"/>
    <m/>
    <d v="2026-08-20T00:00:00"/>
    <m/>
  </r>
  <r>
    <s v="YK261400083"/>
    <x v="0"/>
    <x v="0"/>
    <n v="1"/>
    <x v="0"/>
    <d v="2026-05-12T13:51:17"/>
    <x v="7"/>
    <x v="3"/>
    <x v="7"/>
    <s v="17IA14.50"/>
    <x v="0"/>
    <x v="0"/>
    <m/>
    <m/>
    <m/>
  </r>
  <r>
    <s v="YK261400084"/>
    <x v="0"/>
    <x v="0"/>
    <n v="1"/>
    <x v="0"/>
    <d v="2026-04-28T07:24:52"/>
    <x v="7"/>
    <x v="3"/>
    <x v="7"/>
    <s v="17IA14.50"/>
    <x v="0"/>
    <x v="0"/>
    <m/>
    <m/>
    <m/>
  </r>
  <r>
    <s v="YK261400085"/>
    <x v="1"/>
    <x v="1"/>
    <n v="1"/>
    <x v="1"/>
    <d v="2026-08-12T12:16:49"/>
    <x v="7"/>
    <x v="3"/>
    <x v="7"/>
    <s v="17IA14.50"/>
    <x v="0"/>
    <x v="0"/>
    <m/>
    <d v="2026-08-20T00:00:00"/>
    <m/>
  </r>
  <r>
    <s v="YK261400086"/>
    <x v="0"/>
    <x v="0"/>
    <n v="1"/>
    <x v="0"/>
    <d v="2026-05-07T13:27:26"/>
    <x v="7"/>
    <x v="3"/>
    <x v="7"/>
    <s v="17IA14.50"/>
    <x v="0"/>
    <x v="0"/>
    <m/>
    <m/>
    <m/>
  </r>
  <r>
    <s v="YK261400087"/>
    <x v="1"/>
    <x v="1"/>
    <n v="1"/>
    <x v="1"/>
    <d v="2026-08-11T08:35:23"/>
    <x v="7"/>
    <x v="3"/>
    <x v="7"/>
    <s v="17IA14.50"/>
    <x v="0"/>
    <x v="0"/>
    <m/>
    <d v="2026-08-14T00:00:00"/>
    <m/>
  </r>
  <r>
    <s v="YK261400088"/>
    <x v="1"/>
    <x v="1"/>
    <n v="1"/>
    <x v="1"/>
    <d v="2026-08-12T12:12:25"/>
    <x v="7"/>
    <x v="3"/>
    <x v="7"/>
    <s v="17IA14.50"/>
    <x v="0"/>
    <x v="0"/>
    <m/>
    <d v="2026-08-20T00:00:00"/>
    <m/>
  </r>
  <r>
    <s v="YK261400089"/>
    <x v="1"/>
    <x v="1"/>
    <n v="1"/>
    <x v="1"/>
    <d v="2026-08-12T12:22:16"/>
    <x v="7"/>
    <x v="3"/>
    <x v="7"/>
    <s v="17IA14.50"/>
    <x v="0"/>
    <x v="0"/>
    <m/>
    <d v="2026-08-20T00:00:00"/>
    <m/>
  </r>
  <r>
    <s v="YK261400090"/>
    <x v="0"/>
    <x v="0"/>
    <n v="1"/>
    <x v="0"/>
    <d v="2026-05-11T10:25:10"/>
    <x v="7"/>
    <x v="3"/>
    <x v="7"/>
    <s v="17IA14.50"/>
    <x v="0"/>
    <x v="0"/>
    <m/>
    <m/>
    <m/>
  </r>
  <r>
    <s v="YK261400091"/>
    <x v="1"/>
    <x v="1"/>
    <n v="1"/>
    <x v="1"/>
    <d v="2026-08-12T12:23:44"/>
    <x v="7"/>
    <x v="3"/>
    <x v="7"/>
    <s v="17IA14.50"/>
    <x v="0"/>
    <x v="0"/>
    <m/>
    <d v="2026-08-20T00:00:00"/>
    <m/>
  </r>
  <r>
    <s v="YK261400092"/>
    <x v="2"/>
    <x v="2"/>
    <n v="1"/>
    <x v="2"/>
    <d v="2026-04-22T10:54:16"/>
    <x v="7"/>
    <x v="3"/>
    <x v="7"/>
    <s v="17IA14.50"/>
    <x v="0"/>
    <x v="0"/>
    <s v="Update to shipped"/>
    <d v="2026-08-14T00:00:00"/>
    <m/>
  </r>
  <r>
    <s v="YK261400093"/>
    <x v="0"/>
    <x v="0"/>
    <n v="1"/>
    <x v="0"/>
    <d v="2026-05-11T07:09:09"/>
    <x v="7"/>
    <x v="3"/>
    <x v="7"/>
    <s v="17IA14.50"/>
    <x v="0"/>
    <x v="0"/>
    <m/>
    <m/>
    <m/>
  </r>
  <r>
    <s v="YK261400094"/>
    <x v="1"/>
    <x v="1"/>
    <n v="1"/>
    <x v="1"/>
    <d v="2026-08-11T08:32:47"/>
    <x v="7"/>
    <x v="3"/>
    <x v="7"/>
    <s v="17IA14.50"/>
    <x v="0"/>
    <x v="0"/>
    <m/>
    <d v="2026-08-14T00:00:00"/>
    <m/>
  </r>
  <r>
    <s v="YK261400095"/>
    <x v="3"/>
    <x v="3"/>
    <n v="1"/>
    <x v="3"/>
    <d v="2026-04-15T08:29:51"/>
    <x v="7"/>
    <x v="3"/>
    <x v="7"/>
    <s v="17IA14.50"/>
    <x v="0"/>
    <x v="0"/>
    <m/>
    <m/>
    <m/>
  </r>
  <r>
    <s v="YK261400096"/>
    <x v="1"/>
    <x v="1"/>
    <n v="1"/>
    <x v="1"/>
    <d v="2026-08-11T08:35:52"/>
    <x v="7"/>
    <x v="3"/>
    <x v="7"/>
    <s v="17IA14.50"/>
    <x v="0"/>
    <x v="0"/>
    <m/>
    <d v="2026-08-14T00:00:00"/>
    <m/>
  </r>
  <r>
    <s v="YK261400097"/>
    <x v="1"/>
    <x v="1"/>
    <n v="1"/>
    <x v="1"/>
    <d v="2026-05-27T11:20:36"/>
    <x v="7"/>
    <x v="3"/>
    <x v="7"/>
    <s v="17IA14.50"/>
    <x v="0"/>
    <x v="0"/>
    <m/>
    <d v="2026-05-27T00:00:00"/>
    <m/>
  </r>
  <r>
    <s v="YK261400098"/>
    <x v="1"/>
    <x v="1"/>
    <n v="1"/>
    <x v="1"/>
    <d v="2026-08-11T09:19:18"/>
    <x v="7"/>
    <x v="3"/>
    <x v="7"/>
    <s v="17IA14.50"/>
    <x v="0"/>
    <x v="0"/>
    <m/>
    <d v="2026-08-14T00:00:00"/>
    <m/>
  </r>
  <r>
    <s v="YK261400099"/>
    <x v="1"/>
    <x v="1"/>
    <n v="1"/>
    <x v="1"/>
    <d v="2026-08-11T08:55:11"/>
    <x v="7"/>
    <x v="3"/>
    <x v="7"/>
    <s v="17IA14.50"/>
    <x v="0"/>
    <x v="0"/>
    <m/>
    <d v="2026-08-14T00:00:00"/>
    <m/>
  </r>
  <r>
    <s v="YK261400100"/>
    <x v="1"/>
    <x v="1"/>
    <n v="1"/>
    <x v="1"/>
    <d v="2026-08-11T09:11:01"/>
    <x v="7"/>
    <x v="3"/>
    <x v="7"/>
    <s v="17IA14.50"/>
    <x v="0"/>
    <x v="0"/>
    <m/>
    <d v="2026-08-14T00:00:00"/>
    <m/>
  </r>
  <r>
    <s v="YK261400101"/>
    <x v="1"/>
    <x v="1"/>
    <n v="1"/>
    <x v="1"/>
    <d v="2026-05-27T11:22:50"/>
    <x v="7"/>
    <x v="3"/>
    <x v="7"/>
    <s v="17IA14.50"/>
    <x v="0"/>
    <x v="0"/>
    <m/>
    <d v="2026-05-27T00:00:00"/>
    <m/>
  </r>
  <r>
    <s v="YK261400102"/>
    <x v="1"/>
    <x v="1"/>
    <n v="1"/>
    <x v="1"/>
    <d v="2026-08-12T12:26:26"/>
    <x v="7"/>
    <x v="3"/>
    <x v="7"/>
    <s v="17IA14.50"/>
    <x v="0"/>
    <x v="0"/>
    <m/>
    <d v="2026-08-20T00:00:00"/>
    <m/>
  </r>
  <r>
    <s v="YK261400103"/>
    <x v="1"/>
    <x v="1"/>
    <n v="1"/>
    <x v="1"/>
    <d v="2026-08-12T12:26:03"/>
    <x v="7"/>
    <x v="3"/>
    <x v="7"/>
    <s v="17IA14.50"/>
    <x v="0"/>
    <x v="0"/>
    <m/>
    <d v="2026-08-20T00:00:00"/>
    <m/>
  </r>
  <r>
    <s v="YK261400104"/>
    <x v="1"/>
    <x v="1"/>
    <n v="1"/>
    <x v="1"/>
    <d v="2026-08-11T09:11:50"/>
    <x v="7"/>
    <x v="3"/>
    <x v="7"/>
    <s v="17IA14.50"/>
    <x v="0"/>
    <x v="0"/>
    <m/>
    <d v="2026-08-14T00:00:00"/>
    <m/>
  </r>
  <r>
    <s v="YK261400105"/>
    <x v="4"/>
    <x v="4"/>
    <n v="1"/>
    <x v="4"/>
    <d v="2026-05-15T10:59:52"/>
    <x v="7"/>
    <x v="3"/>
    <x v="7"/>
    <s v="17IA14.50"/>
    <x v="0"/>
    <x v="0"/>
    <s v="Update to shipped"/>
    <d v="2026-08-20T00:00:00"/>
    <m/>
  </r>
  <r>
    <s v="YK261400106"/>
    <x v="0"/>
    <x v="0"/>
    <n v="1"/>
    <x v="0"/>
    <d v="2026-05-11T07:06:46"/>
    <x v="7"/>
    <x v="3"/>
    <x v="7"/>
    <s v="17IA14.50"/>
    <x v="0"/>
    <x v="0"/>
    <m/>
    <m/>
    <m/>
  </r>
  <r>
    <s v="YK261400107"/>
    <x v="1"/>
    <x v="1"/>
    <n v="1"/>
    <x v="1"/>
    <d v="2026-08-11T07:52:54"/>
    <x v="7"/>
    <x v="3"/>
    <x v="7"/>
    <s v="17IA14.50"/>
    <x v="0"/>
    <x v="0"/>
    <m/>
    <d v="2026-08-14T00:00:00"/>
    <m/>
  </r>
  <r>
    <s v="YK261400108"/>
    <x v="1"/>
    <x v="1"/>
    <n v="1"/>
    <x v="1"/>
    <d v="2026-08-11T08:59:08"/>
    <x v="7"/>
    <x v="3"/>
    <x v="7"/>
    <s v="17IA14.50"/>
    <x v="0"/>
    <x v="0"/>
    <m/>
    <d v="2026-08-14T00:00:00"/>
    <m/>
  </r>
  <r>
    <s v="YK261400109"/>
    <x v="1"/>
    <x v="1"/>
    <n v="1"/>
    <x v="1"/>
    <d v="2026-08-11T09:09:59"/>
    <x v="7"/>
    <x v="3"/>
    <x v="7"/>
    <s v="17IA14.50"/>
    <x v="0"/>
    <x v="0"/>
    <m/>
    <d v="2026-08-14T00:00:00"/>
    <m/>
  </r>
  <r>
    <s v="YK261400110"/>
    <x v="1"/>
    <x v="1"/>
    <n v="1"/>
    <x v="1"/>
    <d v="2026-08-11T06:43:26"/>
    <x v="7"/>
    <x v="3"/>
    <x v="7"/>
    <s v="17IA14.50"/>
    <x v="0"/>
    <x v="0"/>
    <m/>
    <d v="2026-08-14T00:00:00"/>
    <m/>
  </r>
  <r>
    <s v="YK261400111"/>
    <x v="1"/>
    <x v="1"/>
    <n v="1"/>
    <x v="1"/>
    <d v="2026-08-11T07:56:16"/>
    <x v="7"/>
    <x v="3"/>
    <x v="7"/>
    <s v="17IA14.50"/>
    <x v="0"/>
    <x v="0"/>
    <m/>
    <d v="2026-08-14T00:00:00"/>
    <m/>
  </r>
  <r>
    <s v="YK261400112"/>
    <x v="1"/>
    <x v="1"/>
    <n v="1"/>
    <x v="1"/>
    <d v="2026-08-11T07:51:56"/>
    <x v="7"/>
    <x v="3"/>
    <x v="7"/>
    <s v="17IA14.50"/>
    <x v="0"/>
    <x v="0"/>
    <m/>
    <d v="2026-08-14T00:00:00"/>
    <m/>
  </r>
  <r>
    <s v="YK261400113"/>
    <x v="1"/>
    <x v="1"/>
    <n v="1"/>
    <x v="1"/>
    <d v="2026-08-11T06:58:02"/>
    <x v="7"/>
    <x v="3"/>
    <x v="7"/>
    <s v="17IA14.50"/>
    <x v="0"/>
    <x v="0"/>
    <m/>
    <d v="2026-08-14T00:00:00"/>
    <m/>
  </r>
  <r>
    <s v="YK261400114"/>
    <x v="1"/>
    <x v="1"/>
    <n v="1"/>
    <x v="1"/>
    <d v="2026-08-11T06:59:20"/>
    <x v="7"/>
    <x v="3"/>
    <x v="7"/>
    <s v="17IA14.50"/>
    <x v="0"/>
    <x v="0"/>
    <m/>
    <d v="2026-08-14T00:00:00"/>
    <m/>
  </r>
  <r>
    <s v="YK261400115"/>
    <x v="1"/>
    <x v="1"/>
    <n v="1"/>
    <x v="1"/>
    <d v="2026-08-11T06:59:50"/>
    <x v="7"/>
    <x v="3"/>
    <x v="7"/>
    <s v="17IA14.50"/>
    <x v="0"/>
    <x v="0"/>
    <m/>
    <d v="2026-08-14T00:00:00"/>
    <m/>
  </r>
  <r>
    <s v="YK261400116"/>
    <x v="1"/>
    <x v="1"/>
    <n v="1"/>
    <x v="1"/>
    <d v="2026-08-11T09:00:06"/>
    <x v="7"/>
    <x v="3"/>
    <x v="7"/>
    <s v="17IA14.50"/>
    <x v="0"/>
    <x v="0"/>
    <m/>
    <d v="2026-08-14T00:00:00"/>
    <m/>
  </r>
  <r>
    <s v="YK261400117"/>
    <x v="1"/>
    <x v="1"/>
    <n v="1"/>
    <x v="1"/>
    <d v="2026-08-11T07:02:33"/>
    <x v="7"/>
    <x v="3"/>
    <x v="7"/>
    <s v="17IA14.50"/>
    <x v="0"/>
    <x v="0"/>
    <m/>
    <d v="2026-08-14T00:00:00"/>
    <m/>
  </r>
  <r>
    <s v="YK261400118"/>
    <x v="1"/>
    <x v="1"/>
    <n v="1"/>
    <x v="1"/>
    <d v="2026-08-11T06:55:39"/>
    <x v="7"/>
    <x v="3"/>
    <x v="7"/>
    <s v="17IA14.50"/>
    <x v="0"/>
    <x v="0"/>
    <m/>
    <d v="2026-08-14T00:00:00"/>
    <m/>
  </r>
  <r>
    <s v="YK261400119"/>
    <x v="1"/>
    <x v="1"/>
    <n v="1"/>
    <x v="1"/>
    <d v="2026-08-11T07:04:03"/>
    <x v="7"/>
    <x v="3"/>
    <x v="7"/>
    <s v="17IA14.50"/>
    <x v="0"/>
    <x v="0"/>
    <m/>
    <d v="2026-08-14T00:00:00"/>
    <m/>
  </r>
  <r>
    <s v="YK261400120"/>
    <x v="1"/>
    <x v="1"/>
    <n v="1"/>
    <x v="1"/>
    <d v="2026-08-11T06:44:58"/>
    <x v="7"/>
    <x v="3"/>
    <x v="7"/>
    <s v="17IA14.50"/>
    <x v="0"/>
    <x v="0"/>
    <m/>
    <d v="2026-08-14T00:00:00"/>
    <m/>
  </r>
  <r>
    <s v="YK261400121"/>
    <x v="1"/>
    <x v="1"/>
    <n v="1"/>
    <x v="1"/>
    <d v="2026-05-27T11:23:51"/>
    <x v="7"/>
    <x v="3"/>
    <x v="7"/>
    <s v="17IA14.50"/>
    <x v="0"/>
    <x v="0"/>
    <m/>
    <d v="2026-05-27T00:00:00"/>
    <m/>
  </r>
  <r>
    <s v="YK261400122"/>
    <x v="1"/>
    <x v="1"/>
    <n v="1"/>
    <x v="1"/>
    <d v="2026-08-11T08:56:37"/>
    <x v="7"/>
    <x v="3"/>
    <x v="7"/>
    <s v="17IA14.50"/>
    <x v="0"/>
    <x v="0"/>
    <m/>
    <d v="2026-08-14T00:00:00"/>
    <m/>
  </r>
  <r>
    <s v="YK261400123"/>
    <x v="1"/>
    <x v="1"/>
    <n v="1"/>
    <x v="1"/>
    <d v="2026-08-12T12:23:02"/>
    <x v="7"/>
    <x v="3"/>
    <x v="7"/>
    <s v="17IA14.50"/>
    <x v="0"/>
    <x v="0"/>
    <m/>
    <d v="2026-08-20T00:00:00"/>
    <m/>
  </r>
  <r>
    <s v="YK261400124"/>
    <x v="1"/>
    <x v="1"/>
    <n v="1"/>
    <x v="1"/>
    <d v="2026-08-11T06:58:41"/>
    <x v="7"/>
    <x v="3"/>
    <x v="7"/>
    <s v="17IA14.50"/>
    <x v="0"/>
    <x v="0"/>
    <m/>
    <d v="2026-08-14T00:00:00"/>
    <m/>
  </r>
  <r>
    <s v="YK261400125"/>
    <x v="1"/>
    <x v="1"/>
    <n v="1"/>
    <x v="1"/>
    <d v="2026-08-11T07:00:19"/>
    <x v="7"/>
    <x v="3"/>
    <x v="7"/>
    <s v="17IA14.50"/>
    <x v="0"/>
    <x v="0"/>
    <m/>
    <d v="2026-08-14T00:00:00"/>
    <m/>
  </r>
  <r>
    <s v="YK261400126"/>
    <x v="1"/>
    <x v="1"/>
    <n v="1"/>
    <x v="1"/>
    <d v="2026-08-11T07:55:44"/>
    <x v="7"/>
    <x v="3"/>
    <x v="7"/>
    <s v="17IA14.50"/>
    <x v="0"/>
    <x v="0"/>
    <m/>
    <d v="2026-08-14T00:00:00"/>
    <m/>
  </r>
  <r>
    <s v="YK261400127"/>
    <x v="1"/>
    <x v="1"/>
    <n v="1"/>
    <x v="1"/>
    <d v="2026-08-11T08:21:31"/>
    <x v="7"/>
    <x v="3"/>
    <x v="7"/>
    <s v="17IA14.50"/>
    <x v="0"/>
    <x v="0"/>
    <m/>
    <d v="2026-08-14T00:00:00"/>
    <m/>
  </r>
  <r>
    <s v="YK261400128"/>
    <x v="3"/>
    <x v="3"/>
    <n v="1"/>
    <x v="3"/>
    <d v="2026-04-15T08:56:25"/>
    <x v="7"/>
    <x v="3"/>
    <x v="7"/>
    <s v="17IA14.50"/>
    <x v="0"/>
    <x v="0"/>
    <s v="Update to shipped"/>
    <d v="2026-08-14T00:00:00"/>
    <m/>
  </r>
  <r>
    <s v="YK261400129"/>
    <x v="1"/>
    <x v="1"/>
    <n v="1"/>
    <x v="1"/>
    <d v="2026-08-11T06:51:36"/>
    <x v="7"/>
    <x v="3"/>
    <x v="7"/>
    <s v="17IA14.50"/>
    <x v="0"/>
    <x v="0"/>
    <m/>
    <d v="2026-08-14T00:00:00"/>
    <m/>
  </r>
  <r>
    <s v="YK261400130"/>
    <x v="1"/>
    <x v="1"/>
    <n v="1"/>
    <x v="1"/>
    <d v="2026-08-11T06:46:55"/>
    <x v="7"/>
    <x v="3"/>
    <x v="7"/>
    <s v="17IA14.50"/>
    <x v="0"/>
    <x v="0"/>
    <m/>
    <d v="2026-08-14T00:00:00"/>
    <m/>
  </r>
  <r>
    <s v="YK261400131"/>
    <x v="1"/>
    <x v="1"/>
    <n v="1"/>
    <x v="1"/>
    <d v="2026-08-12T12:20:57"/>
    <x v="7"/>
    <x v="3"/>
    <x v="7"/>
    <s v="17IA14.50"/>
    <x v="0"/>
    <x v="0"/>
    <m/>
    <d v="2026-08-20T00:00:00"/>
    <m/>
  </r>
  <r>
    <s v="YK261400132"/>
    <x v="1"/>
    <x v="1"/>
    <n v="1"/>
    <x v="1"/>
    <d v="2026-08-11T07:55:03"/>
    <x v="7"/>
    <x v="3"/>
    <x v="7"/>
    <s v="17IA14.50"/>
    <x v="0"/>
    <x v="0"/>
    <m/>
    <d v="2026-08-14T00:00:00"/>
    <m/>
  </r>
  <r>
    <s v="YK262701275"/>
    <x v="3"/>
    <x v="3"/>
    <n v="1"/>
    <x v="3"/>
    <d v="2026-08-19T14:26:39"/>
    <x v="8"/>
    <x v="4"/>
    <x v="8"/>
    <s v="17IA14.60"/>
    <x v="0"/>
    <x v="0"/>
    <m/>
    <m/>
    <m/>
  </r>
  <r>
    <s v="YK262701276"/>
    <x v="3"/>
    <x v="3"/>
    <n v="1"/>
    <x v="3"/>
    <d v="2026-08-10T11:11:05"/>
    <x v="8"/>
    <x v="4"/>
    <x v="8"/>
    <s v="17IA14.60"/>
    <x v="0"/>
    <x v="0"/>
    <m/>
    <m/>
    <m/>
  </r>
  <r>
    <s v="YK262701277"/>
    <x v="5"/>
    <x v="5"/>
    <n v="1"/>
    <x v="5"/>
    <d v="2026-09-03T12:30:21"/>
    <x v="8"/>
    <x v="4"/>
    <x v="8"/>
    <s v="17IA14.60"/>
    <x v="0"/>
    <x v="0"/>
    <m/>
    <m/>
    <m/>
  </r>
  <r>
    <s v="YK262701278"/>
    <x v="3"/>
    <x v="3"/>
    <n v="1"/>
    <x v="3"/>
    <d v="2026-08-10T10:31:47"/>
    <x v="8"/>
    <x v="4"/>
    <x v="8"/>
    <s v="17IA14.60"/>
    <x v="0"/>
    <x v="0"/>
    <m/>
    <m/>
    <m/>
  </r>
  <r>
    <s v="YK262701279"/>
    <x v="3"/>
    <x v="3"/>
    <n v="1"/>
    <x v="3"/>
    <d v="2026-08-07T15:50:20"/>
    <x v="8"/>
    <x v="4"/>
    <x v="8"/>
    <s v="17IA14.60"/>
    <x v="0"/>
    <x v="0"/>
    <m/>
    <m/>
    <m/>
  </r>
  <r>
    <s v="YK262701280"/>
    <x v="3"/>
    <x v="3"/>
    <n v="1"/>
    <x v="3"/>
    <d v="2026-08-10T10:03:36"/>
    <x v="8"/>
    <x v="4"/>
    <x v="8"/>
    <s v="17IA14.60"/>
    <x v="0"/>
    <x v="0"/>
    <m/>
    <m/>
    <m/>
  </r>
  <r>
    <s v="YK262701281"/>
    <x v="3"/>
    <x v="3"/>
    <n v="1"/>
    <x v="3"/>
    <d v="2026-08-07T16:14:02"/>
    <x v="8"/>
    <x v="4"/>
    <x v="8"/>
    <s v="17IA14.60"/>
    <x v="0"/>
    <x v="0"/>
    <m/>
    <m/>
    <m/>
  </r>
  <r>
    <s v="YK262701282"/>
    <x v="3"/>
    <x v="3"/>
    <n v="1"/>
    <x v="3"/>
    <d v="2026-08-07T15:42:57"/>
    <x v="8"/>
    <x v="4"/>
    <x v="8"/>
    <s v="17IA14.60"/>
    <x v="0"/>
    <x v="0"/>
    <m/>
    <m/>
    <m/>
  </r>
  <r>
    <s v="YK262701283"/>
    <x v="3"/>
    <x v="3"/>
    <n v="1"/>
    <x v="3"/>
    <d v="2026-08-12T08:32:50"/>
    <x v="8"/>
    <x v="4"/>
    <x v="8"/>
    <s v="17IA14.60"/>
    <x v="0"/>
    <x v="0"/>
    <m/>
    <m/>
    <m/>
  </r>
  <r>
    <s v="YK262701284"/>
    <x v="3"/>
    <x v="3"/>
    <n v="1"/>
    <x v="3"/>
    <d v="2026-08-07T15:30:14"/>
    <x v="8"/>
    <x v="4"/>
    <x v="8"/>
    <s v="17IA14.60"/>
    <x v="0"/>
    <x v="0"/>
    <m/>
    <m/>
    <m/>
  </r>
  <r>
    <s v="YK262701285"/>
    <x v="2"/>
    <x v="2"/>
    <n v="1"/>
    <x v="2"/>
    <d v="2026-09-08T07:53:39"/>
    <x v="8"/>
    <x v="4"/>
    <x v="8"/>
    <s v="17IA14.60"/>
    <x v="0"/>
    <x v="0"/>
    <m/>
    <m/>
    <m/>
  </r>
  <r>
    <s v="YK262701286"/>
    <x v="3"/>
    <x v="3"/>
    <n v="1"/>
    <x v="3"/>
    <d v="2026-08-07T16:08:02"/>
    <x v="8"/>
    <x v="4"/>
    <x v="8"/>
    <s v="17IA14.60"/>
    <x v="0"/>
    <x v="0"/>
    <m/>
    <m/>
    <m/>
  </r>
  <r>
    <s v="YK262701287"/>
    <x v="3"/>
    <x v="3"/>
    <n v="1"/>
    <x v="3"/>
    <d v="2026-08-07T15:36:15"/>
    <x v="8"/>
    <x v="4"/>
    <x v="8"/>
    <s v="17IA14.60"/>
    <x v="0"/>
    <x v="0"/>
    <m/>
    <m/>
    <m/>
  </r>
  <r>
    <s v="YK262701288"/>
    <x v="3"/>
    <x v="3"/>
    <n v="1"/>
    <x v="3"/>
    <d v="2026-08-07T16:02:06"/>
    <x v="8"/>
    <x v="4"/>
    <x v="8"/>
    <s v="17IA14.60"/>
    <x v="0"/>
    <x v="0"/>
    <m/>
    <m/>
    <m/>
  </r>
  <r>
    <s v="YK262701289"/>
    <x v="0"/>
    <x v="0"/>
    <n v="1"/>
    <x v="0"/>
    <d v="2026-08-25T15:07:10"/>
    <x v="8"/>
    <x v="4"/>
    <x v="8"/>
    <s v="17IA14.60"/>
    <x v="0"/>
    <x v="0"/>
    <m/>
    <m/>
    <m/>
  </r>
  <r>
    <s v="YK262701290"/>
    <x v="3"/>
    <x v="3"/>
    <n v="1"/>
    <x v="3"/>
    <d v="2026-08-11T10:54:51"/>
    <x v="8"/>
    <x v="4"/>
    <x v="8"/>
    <s v="17IA14.60"/>
    <x v="0"/>
    <x v="0"/>
    <m/>
    <m/>
    <m/>
  </r>
  <r>
    <s v="YK262701291"/>
    <x v="0"/>
    <x v="0"/>
    <n v="1"/>
    <x v="0"/>
    <d v="2026-08-25T11:05:20"/>
    <x v="8"/>
    <x v="4"/>
    <x v="8"/>
    <s v="17IA14.60"/>
    <x v="0"/>
    <x v="0"/>
    <m/>
    <m/>
    <m/>
  </r>
  <r>
    <s v="YK262701292"/>
    <x v="3"/>
    <x v="3"/>
    <n v="1"/>
    <x v="3"/>
    <d v="2026-08-06T13:33:57"/>
    <x v="8"/>
    <x v="4"/>
    <x v="8"/>
    <s v="17IA14.60"/>
    <x v="0"/>
    <x v="0"/>
    <m/>
    <m/>
    <m/>
  </r>
  <r>
    <s v="YK262701293"/>
    <x v="3"/>
    <x v="3"/>
    <n v="1"/>
    <x v="3"/>
    <d v="2026-08-11T10:49:20"/>
    <x v="8"/>
    <x v="4"/>
    <x v="8"/>
    <s v="17IA14.60"/>
    <x v="0"/>
    <x v="0"/>
    <m/>
    <m/>
    <m/>
  </r>
  <r>
    <s v="YK262701294"/>
    <x v="3"/>
    <x v="3"/>
    <n v="1"/>
    <x v="3"/>
    <d v="2026-08-06T21:23:30"/>
    <x v="8"/>
    <x v="4"/>
    <x v="8"/>
    <s v="17IA14.60"/>
    <x v="0"/>
    <x v="0"/>
    <m/>
    <m/>
    <m/>
  </r>
  <r>
    <s v="YK262701295"/>
    <x v="0"/>
    <x v="0"/>
    <n v="1"/>
    <x v="0"/>
    <d v="2026-08-25T11:05:14"/>
    <x v="8"/>
    <x v="4"/>
    <x v="8"/>
    <s v="17IA14.60"/>
    <x v="0"/>
    <x v="0"/>
    <m/>
    <m/>
    <m/>
  </r>
  <r>
    <s v="YK262701296"/>
    <x v="3"/>
    <x v="3"/>
    <n v="1"/>
    <x v="3"/>
    <d v="2026-08-06T21:35:04"/>
    <x v="8"/>
    <x v="4"/>
    <x v="8"/>
    <s v="17IA14.60"/>
    <x v="0"/>
    <x v="0"/>
    <m/>
    <m/>
    <m/>
  </r>
  <r>
    <s v="YK262701297"/>
    <x v="0"/>
    <x v="0"/>
    <n v="1"/>
    <x v="0"/>
    <d v="2026-08-25T11:05:10"/>
    <x v="8"/>
    <x v="4"/>
    <x v="8"/>
    <s v="17IA14.60"/>
    <x v="0"/>
    <x v="0"/>
    <m/>
    <m/>
    <m/>
  </r>
  <r>
    <s v="YK262701298"/>
    <x v="3"/>
    <x v="3"/>
    <n v="1"/>
    <x v="3"/>
    <d v="2026-08-06T20:57:03"/>
    <x v="8"/>
    <x v="4"/>
    <x v="8"/>
    <s v="17IA14.60"/>
    <x v="0"/>
    <x v="0"/>
    <m/>
    <m/>
    <m/>
  </r>
  <r>
    <s v="YK262701299"/>
    <x v="3"/>
    <x v="3"/>
    <n v="1"/>
    <x v="3"/>
    <d v="2026-08-10T10:58:25"/>
    <x v="8"/>
    <x v="4"/>
    <x v="8"/>
    <s v="17IA14.60"/>
    <x v="0"/>
    <x v="0"/>
    <m/>
    <m/>
    <m/>
  </r>
  <r>
    <s v="YK262701300"/>
    <x v="0"/>
    <x v="0"/>
    <n v="1"/>
    <x v="0"/>
    <d v="2026-08-25T11:05:19"/>
    <x v="8"/>
    <x v="4"/>
    <x v="8"/>
    <s v="17IA14.60"/>
    <x v="0"/>
    <x v="0"/>
    <m/>
    <m/>
    <m/>
  </r>
  <r>
    <s v="YK262701301"/>
    <x v="3"/>
    <x v="3"/>
    <n v="1"/>
    <x v="3"/>
    <d v="2026-08-19T13:40:32"/>
    <x v="8"/>
    <x v="4"/>
    <x v="8"/>
    <s v="17IA14.60"/>
    <x v="0"/>
    <x v="0"/>
    <m/>
    <m/>
    <m/>
  </r>
  <r>
    <s v="YK262701302"/>
    <x v="3"/>
    <x v="3"/>
    <n v="1"/>
    <x v="3"/>
    <d v="2026-08-10T10:37:38"/>
    <x v="8"/>
    <x v="4"/>
    <x v="8"/>
    <s v="17IA14.60"/>
    <x v="0"/>
    <x v="0"/>
    <m/>
    <m/>
    <m/>
  </r>
  <r>
    <s v="YK262701303"/>
    <x v="1"/>
    <x v="1"/>
    <n v="1"/>
    <x v="1"/>
    <d v="2026-08-07T13:57:55"/>
    <x v="8"/>
    <x v="4"/>
    <x v="8"/>
    <s v="17IA14.60"/>
    <x v="0"/>
    <x v="0"/>
    <m/>
    <d v="2026-08-07T00:00:00"/>
    <m/>
  </r>
  <r>
    <s v="YK262701304"/>
    <x v="1"/>
    <x v="1"/>
    <n v="1"/>
    <x v="1"/>
    <d v="2026-08-07T13:59:57"/>
    <x v="8"/>
    <x v="4"/>
    <x v="8"/>
    <s v="17IA14.60"/>
    <x v="0"/>
    <x v="0"/>
    <m/>
    <d v="2026-08-07T00:00:00"/>
    <m/>
  </r>
  <r>
    <s v="YK262701305"/>
    <x v="1"/>
    <x v="1"/>
    <n v="1"/>
    <x v="1"/>
    <d v="2026-08-07T14:00:18"/>
    <x v="8"/>
    <x v="4"/>
    <x v="8"/>
    <s v="17IA14.60"/>
    <x v="0"/>
    <x v="0"/>
    <m/>
    <d v="2026-08-07T00:00:00"/>
    <m/>
  </r>
  <r>
    <s v="YK262701306"/>
    <x v="2"/>
    <x v="2"/>
    <n v="1"/>
    <x v="2"/>
    <d v="2026-09-08T07:54:55"/>
    <x v="8"/>
    <x v="4"/>
    <x v="8"/>
    <s v="17IA14.60"/>
    <x v="0"/>
    <x v="0"/>
    <m/>
    <m/>
    <m/>
  </r>
  <r>
    <s v="YK262701307"/>
    <x v="1"/>
    <x v="1"/>
    <n v="1"/>
    <x v="1"/>
    <d v="2026-08-07T14:04:47"/>
    <x v="8"/>
    <x v="4"/>
    <x v="8"/>
    <s v="17IA14.60"/>
    <x v="0"/>
    <x v="0"/>
    <m/>
    <d v="2026-08-07T00:00:00"/>
    <m/>
  </r>
  <r>
    <s v="YK262701308"/>
    <x v="1"/>
    <x v="1"/>
    <n v="1"/>
    <x v="1"/>
    <d v="2026-08-07T13:58:32"/>
    <x v="8"/>
    <x v="4"/>
    <x v="8"/>
    <s v="17IA14.60"/>
    <x v="0"/>
    <x v="0"/>
    <m/>
    <d v="2026-08-07T00:00:00"/>
    <m/>
  </r>
  <r>
    <s v="YK262701309"/>
    <x v="1"/>
    <x v="1"/>
    <n v="1"/>
    <x v="1"/>
    <d v="2026-08-07T13:59:25"/>
    <x v="8"/>
    <x v="4"/>
    <x v="8"/>
    <s v="17IA14.60"/>
    <x v="0"/>
    <x v="0"/>
    <m/>
    <d v="2026-08-07T00:00:00"/>
    <m/>
  </r>
  <r>
    <s v="YK262701310"/>
    <x v="3"/>
    <x v="3"/>
    <n v="1"/>
    <x v="3"/>
    <d v="2026-08-10T09:57:46"/>
    <x v="8"/>
    <x v="4"/>
    <x v="8"/>
    <s v="17IA14.60"/>
    <x v="0"/>
    <x v="0"/>
    <m/>
    <m/>
    <m/>
  </r>
  <r>
    <s v="YK262701311"/>
    <x v="3"/>
    <x v="3"/>
    <n v="1"/>
    <x v="3"/>
    <d v="2026-08-07T09:33:04"/>
    <x v="8"/>
    <x v="4"/>
    <x v="8"/>
    <s v="17IA14.60"/>
    <x v="0"/>
    <x v="0"/>
    <m/>
    <m/>
    <m/>
  </r>
  <r>
    <s v="YK262701312"/>
    <x v="3"/>
    <x v="3"/>
    <n v="1"/>
    <x v="3"/>
    <d v="2026-08-06T14:58:06"/>
    <x v="8"/>
    <x v="4"/>
    <x v="8"/>
    <s v="17IA14.60"/>
    <x v="0"/>
    <x v="0"/>
    <m/>
    <m/>
    <m/>
  </r>
  <r>
    <s v="YK262701313"/>
    <x v="6"/>
    <x v="6"/>
    <n v="1"/>
    <x v="6"/>
    <d v="2026-09-07T14:44:45"/>
    <x v="8"/>
    <x v="4"/>
    <x v="8"/>
    <s v="17IA14.60"/>
    <x v="0"/>
    <x v="0"/>
    <m/>
    <m/>
    <m/>
  </r>
  <r>
    <s v="YK262701314"/>
    <x v="3"/>
    <x v="3"/>
    <n v="1"/>
    <x v="3"/>
    <d v="2026-08-06T21:02:42"/>
    <x v="8"/>
    <x v="4"/>
    <x v="8"/>
    <s v="17IA14.60"/>
    <x v="0"/>
    <x v="0"/>
    <m/>
    <m/>
    <m/>
  </r>
  <r>
    <s v="YK262701315"/>
    <x v="3"/>
    <x v="3"/>
    <n v="1"/>
    <x v="3"/>
    <d v="2026-08-06T20:49:04"/>
    <x v="8"/>
    <x v="4"/>
    <x v="8"/>
    <s v="17IA14.60"/>
    <x v="0"/>
    <x v="0"/>
    <m/>
    <m/>
    <m/>
  </r>
  <r>
    <s v="YK262701316"/>
    <x v="3"/>
    <x v="3"/>
    <n v="1"/>
    <x v="3"/>
    <d v="2026-08-19T14:05:45"/>
    <x v="8"/>
    <x v="4"/>
    <x v="8"/>
    <s v="17IA14.60"/>
    <x v="0"/>
    <x v="0"/>
    <m/>
    <m/>
    <m/>
  </r>
  <r>
    <s v="YK262701317"/>
    <x v="0"/>
    <x v="0"/>
    <n v="1"/>
    <x v="0"/>
    <d v="2026-08-25T11:05:27"/>
    <x v="8"/>
    <x v="4"/>
    <x v="8"/>
    <s v="17IA14.60"/>
    <x v="0"/>
    <x v="0"/>
    <m/>
    <m/>
    <m/>
  </r>
  <r>
    <s v="YK262701318"/>
    <x v="3"/>
    <x v="3"/>
    <n v="1"/>
    <x v="3"/>
    <d v="2026-08-11T10:38:22"/>
    <x v="8"/>
    <x v="4"/>
    <x v="8"/>
    <s v="17IA14.60"/>
    <x v="0"/>
    <x v="0"/>
    <m/>
    <m/>
    <m/>
  </r>
  <r>
    <s v="YK262701319"/>
    <x v="1"/>
    <x v="1"/>
    <n v="1"/>
    <x v="1"/>
    <d v="2026-08-07T14:02:31"/>
    <x v="8"/>
    <x v="4"/>
    <x v="8"/>
    <s v="17IA14.60"/>
    <x v="0"/>
    <x v="0"/>
    <m/>
    <d v="2026-08-07T00:00:00"/>
    <m/>
  </r>
  <r>
    <s v="YK262701320"/>
    <x v="1"/>
    <x v="1"/>
    <n v="1"/>
    <x v="1"/>
    <d v="2026-08-07T13:57:06"/>
    <x v="8"/>
    <x v="4"/>
    <x v="8"/>
    <s v="17IA14.60"/>
    <x v="0"/>
    <x v="0"/>
    <m/>
    <d v="2026-08-07T00:00:00"/>
    <m/>
  </r>
  <r>
    <s v="YK262701321"/>
    <x v="3"/>
    <x v="3"/>
    <n v="1"/>
    <x v="3"/>
    <d v="2026-08-11T11:07:24"/>
    <x v="8"/>
    <x v="4"/>
    <x v="8"/>
    <s v="17IA14.60"/>
    <x v="0"/>
    <x v="0"/>
    <m/>
    <m/>
    <m/>
  </r>
  <r>
    <s v="YK262701322"/>
    <x v="0"/>
    <x v="0"/>
    <n v="1"/>
    <x v="0"/>
    <d v="2026-08-25T14:51:46"/>
    <x v="8"/>
    <x v="4"/>
    <x v="8"/>
    <s v="17IA14.60"/>
    <x v="0"/>
    <x v="0"/>
    <m/>
    <m/>
    <m/>
  </r>
  <r>
    <s v="YK262701323"/>
    <x v="3"/>
    <x v="3"/>
    <n v="1"/>
    <x v="3"/>
    <d v="2026-08-19T14:10:42"/>
    <x v="8"/>
    <x v="4"/>
    <x v="8"/>
    <s v="17IA14.60"/>
    <x v="0"/>
    <x v="0"/>
    <m/>
    <m/>
    <m/>
  </r>
  <r>
    <s v="YK262701324"/>
    <x v="3"/>
    <x v="3"/>
    <n v="1"/>
    <x v="3"/>
    <d v="2026-08-07T16:19:56"/>
    <x v="8"/>
    <x v="4"/>
    <x v="8"/>
    <s v="17IA14.60"/>
    <x v="0"/>
    <x v="0"/>
    <m/>
    <m/>
    <m/>
  </r>
  <r>
    <s v="YK262701325"/>
    <x v="3"/>
    <x v="3"/>
    <n v="1"/>
    <x v="3"/>
    <d v="2026-08-06T20:00:18"/>
    <x v="8"/>
    <x v="4"/>
    <x v="8"/>
    <s v="17IA14.60"/>
    <x v="0"/>
    <x v="0"/>
    <m/>
    <m/>
    <m/>
  </r>
  <r>
    <s v="YK262701326"/>
    <x v="3"/>
    <x v="3"/>
    <n v="1"/>
    <x v="3"/>
    <d v="2026-08-26T13:05:29"/>
    <x v="8"/>
    <x v="4"/>
    <x v="8"/>
    <s v="17IA14.60"/>
    <x v="0"/>
    <x v="0"/>
    <m/>
    <m/>
    <m/>
  </r>
  <r>
    <s v="YK262701327"/>
    <x v="7"/>
    <x v="7"/>
    <n v="1"/>
    <x v="2"/>
    <d v="2026-08-28T09:39:15"/>
    <x v="8"/>
    <x v="4"/>
    <x v="8"/>
    <s v="17IA14.60"/>
    <x v="0"/>
    <x v="0"/>
    <m/>
    <m/>
    <m/>
  </r>
  <r>
    <s v="YK262701328"/>
    <x v="0"/>
    <x v="0"/>
    <n v="1"/>
    <x v="0"/>
    <d v="2026-08-25T14:52:41"/>
    <x v="8"/>
    <x v="4"/>
    <x v="8"/>
    <s v="17IA14.60"/>
    <x v="0"/>
    <x v="0"/>
    <m/>
    <m/>
    <m/>
  </r>
  <r>
    <s v="YK262701329"/>
    <x v="3"/>
    <x v="3"/>
    <n v="1"/>
    <x v="3"/>
    <d v="2026-08-06T13:48:59"/>
    <x v="8"/>
    <x v="4"/>
    <x v="8"/>
    <s v="17IA14.60"/>
    <x v="0"/>
    <x v="0"/>
    <m/>
    <m/>
    <m/>
  </r>
  <r>
    <s v="YK262701330"/>
    <x v="3"/>
    <x v="3"/>
    <n v="1"/>
    <x v="3"/>
    <d v="2026-08-06T13:38:41"/>
    <x v="8"/>
    <x v="4"/>
    <x v="8"/>
    <s v="17IA14.60"/>
    <x v="0"/>
    <x v="0"/>
    <m/>
    <m/>
    <m/>
  </r>
  <r>
    <s v="YK262701331"/>
    <x v="3"/>
    <x v="3"/>
    <n v="1"/>
    <x v="3"/>
    <d v="2026-08-06T21:29:46"/>
    <x v="8"/>
    <x v="4"/>
    <x v="8"/>
    <s v="17IA14.60"/>
    <x v="0"/>
    <x v="0"/>
    <m/>
    <m/>
    <m/>
  </r>
  <r>
    <s v="YK262701332"/>
    <x v="3"/>
    <x v="3"/>
    <n v="1"/>
    <x v="3"/>
    <d v="2026-08-07T15:56:25"/>
    <x v="8"/>
    <x v="4"/>
    <x v="8"/>
    <s v="17IA14.60"/>
    <x v="0"/>
    <x v="0"/>
    <m/>
    <m/>
    <m/>
  </r>
  <r>
    <s v="YK262701333"/>
    <x v="3"/>
    <x v="3"/>
    <n v="1"/>
    <x v="3"/>
    <d v="2026-08-07T15:23:58"/>
    <x v="8"/>
    <x v="4"/>
    <x v="8"/>
    <s v="17IA14.60"/>
    <x v="0"/>
    <x v="0"/>
    <m/>
    <m/>
    <m/>
  </r>
  <r>
    <s v="YK262701334"/>
    <x v="1"/>
    <x v="1"/>
    <n v="1"/>
    <x v="1"/>
    <d v="2026-08-07T14:01:18"/>
    <x v="8"/>
    <x v="4"/>
    <x v="8"/>
    <s v="17IA14.60"/>
    <x v="0"/>
    <x v="0"/>
    <m/>
    <d v="2026-08-07T00:00:00"/>
    <m/>
  </r>
  <r>
    <s v="YK262701335"/>
    <x v="3"/>
    <x v="3"/>
    <n v="1"/>
    <x v="3"/>
    <d v="2026-08-07T09:38:33"/>
    <x v="8"/>
    <x v="4"/>
    <x v="8"/>
    <s v="17IA14.60"/>
    <x v="0"/>
    <x v="0"/>
    <m/>
    <m/>
    <m/>
  </r>
  <r>
    <s v="YK262701336"/>
    <x v="1"/>
    <x v="1"/>
    <n v="1"/>
    <x v="1"/>
    <d v="2026-08-07T14:03:09"/>
    <x v="8"/>
    <x v="4"/>
    <x v="8"/>
    <s v="17IA14.60"/>
    <x v="0"/>
    <x v="0"/>
    <m/>
    <d v="2026-08-07T00:00:00"/>
    <m/>
  </r>
  <r>
    <s v="YK262701337"/>
    <x v="0"/>
    <x v="0"/>
    <n v="1"/>
    <x v="0"/>
    <d v="2026-08-25T11:05:38"/>
    <x v="8"/>
    <x v="4"/>
    <x v="8"/>
    <s v="17IA14.60"/>
    <x v="0"/>
    <x v="0"/>
    <m/>
    <m/>
    <m/>
  </r>
  <r>
    <s v="YK262701338"/>
    <x v="0"/>
    <x v="0"/>
    <n v="1"/>
    <x v="0"/>
    <d v="2026-08-25T11:05:42"/>
    <x v="8"/>
    <x v="4"/>
    <x v="8"/>
    <s v="17IA14.60"/>
    <x v="0"/>
    <x v="0"/>
    <m/>
    <m/>
    <m/>
  </r>
  <r>
    <s v="YK262701339"/>
    <x v="0"/>
    <x v="0"/>
    <n v="1"/>
    <x v="0"/>
    <d v="2026-08-25T15:07:23"/>
    <x v="8"/>
    <x v="4"/>
    <x v="8"/>
    <s v="17IA14.60"/>
    <x v="0"/>
    <x v="0"/>
    <m/>
    <m/>
    <m/>
  </r>
  <r>
    <s v="YK262701340"/>
    <x v="0"/>
    <x v="0"/>
    <n v="1"/>
    <x v="0"/>
    <d v="2026-08-25T11:05:29"/>
    <x v="8"/>
    <x v="4"/>
    <x v="8"/>
    <s v="17IA14.60"/>
    <x v="0"/>
    <x v="0"/>
    <m/>
    <m/>
    <m/>
  </r>
  <r>
    <s v="YK262701341"/>
    <x v="3"/>
    <x v="3"/>
    <n v="1"/>
    <x v="3"/>
    <d v="2026-08-06T21:54:15"/>
    <x v="8"/>
    <x v="4"/>
    <x v="8"/>
    <s v="17IA14.60"/>
    <x v="0"/>
    <x v="0"/>
    <m/>
    <m/>
    <m/>
  </r>
  <r>
    <s v="YK262701342"/>
    <x v="6"/>
    <x v="6"/>
    <n v="1"/>
    <x v="6"/>
    <d v="2026-09-07T14:00:53"/>
    <x v="8"/>
    <x v="4"/>
    <x v="8"/>
    <s v="17IA14.60"/>
    <x v="0"/>
    <x v="0"/>
    <m/>
    <m/>
    <m/>
  </r>
  <r>
    <s v="YK262701343"/>
    <x v="3"/>
    <x v="3"/>
    <n v="1"/>
    <x v="3"/>
    <d v="2026-08-20T07:26:19"/>
    <x v="8"/>
    <x v="4"/>
    <x v="8"/>
    <s v="17IA14.60"/>
    <x v="0"/>
    <x v="0"/>
    <m/>
    <m/>
    <m/>
  </r>
  <r>
    <s v="YK262701344"/>
    <x v="3"/>
    <x v="3"/>
    <n v="1"/>
    <x v="3"/>
    <d v="2026-08-11T11:00:34"/>
    <x v="8"/>
    <x v="4"/>
    <x v="8"/>
    <s v="17IA14.60"/>
    <x v="0"/>
    <x v="0"/>
    <m/>
    <m/>
    <m/>
  </r>
  <r>
    <s v="YK262701345"/>
    <x v="3"/>
    <x v="3"/>
    <n v="1"/>
    <x v="3"/>
    <d v="2026-08-06T21:41:43"/>
    <x v="8"/>
    <x v="4"/>
    <x v="8"/>
    <s v="17IA14.60"/>
    <x v="0"/>
    <x v="0"/>
    <m/>
    <m/>
    <m/>
  </r>
  <r>
    <s v="YK262701346"/>
    <x v="3"/>
    <x v="3"/>
    <n v="1"/>
    <x v="3"/>
    <d v="2026-08-11T10:44:07"/>
    <x v="8"/>
    <x v="4"/>
    <x v="8"/>
    <s v="17IA14.60"/>
    <x v="0"/>
    <x v="0"/>
    <m/>
    <m/>
    <m/>
  </r>
  <r>
    <s v="YK262701347"/>
    <x v="3"/>
    <x v="3"/>
    <n v="1"/>
    <x v="3"/>
    <d v="2026-08-11T11:49:03"/>
    <x v="8"/>
    <x v="4"/>
    <x v="8"/>
    <s v="17IA14.60"/>
    <x v="0"/>
    <x v="0"/>
    <m/>
    <m/>
    <m/>
  </r>
  <r>
    <s v="YK262701348"/>
    <x v="3"/>
    <x v="3"/>
    <n v="1"/>
    <x v="3"/>
    <d v="2026-09-01T10:54:20"/>
    <x v="8"/>
    <x v="4"/>
    <x v="8"/>
    <s v="17IA14.60"/>
    <x v="0"/>
    <x v="0"/>
    <m/>
    <m/>
    <m/>
  </r>
  <r>
    <s v="YK262800001"/>
    <x v="2"/>
    <x v="2"/>
    <n v="1"/>
    <x v="2"/>
    <d v="2026-09-10T06:48:42"/>
    <x v="9"/>
    <x v="5"/>
    <x v="9"/>
    <s v="17IA14.70"/>
    <x v="0"/>
    <x v="0"/>
    <m/>
    <m/>
    <m/>
  </r>
  <r>
    <s v="YK262800002"/>
    <x v="2"/>
    <x v="2"/>
    <n v="1"/>
    <x v="2"/>
    <d v="2026-09-10T06:48:43"/>
    <x v="9"/>
    <x v="5"/>
    <x v="9"/>
    <s v="17IA14.70"/>
    <x v="0"/>
    <x v="0"/>
    <m/>
    <m/>
    <m/>
  </r>
  <r>
    <s v="YK262800003"/>
    <x v="1"/>
    <x v="1"/>
    <n v="1"/>
    <x v="1"/>
    <d v="2026-08-04T07:14:46"/>
    <x v="9"/>
    <x v="5"/>
    <x v="9"/>
    <s v="17IA14.70"/>
    <x v="0"/>
    <x v="0"/>
    <m/>
    <d v="2026-07-31T00:00:00"/>
    <m/>
  </r>
  <r>
    <s v="YK262800004"/>
    <x v="2"/>
    <x v="2"/>
    <n v="1"/>
    <x v="2"/>
    <d v="2026-09-10T06:48:42"/>
    <x v="9"/>
    <x v="5"/>
    <x v="9"/>
    <s v="17IA14.70"/>
    <x v="0"/>
    <x v="0"/>
    <m/>
    <m/>
    <m/>
  </r>
  <r>
    <s v="YK262800005"/>
    <x v="2"/>
    <x v="2"/>
    <n v="1"/>
    <x v="2"/>
    <d v="2026-09-10T06:48:43"/>
    <x v="9"/>
    <x v="5"/>
    <x v="9"/>
    <s v="17IA14.70"/>
    <x v="0"/>
    <x v="0"/>
    <m/>
    <m/>
    <m/>
  </r>
  <r>
    <s v="YK262800006"/>
    <x v="0"/>
    <x v="0"/>
    <n v="1"/>
    <x v="0"/>
    <d v="2026-08-25T14:52:51"/>
    <x v="9"/>
    <x v="5"/>
    <x v="9"/>
    <s v="17IA14.70"/>
    <x v="0"/>
    <x v="0"/>
    <m/>
    <m/>
    <m/>
  </r>
  <r>
    <s v="YK262800007"/>
    <x v="1"/>
    <x v="1"/>
    <n v="1"/>
    <x v="1"/>
    <d v="2026-08-04T07:13:46"/>
    <x v="9"/>
    <x v="5"/>
    <x v="9"/>
    <s v="17IA14.70"/>
    <x v="0"/>
    <x v="0"/>
    <m/>
    <d v="2026-07-31T00:00:00"/>
    <m/>
  </r>
  <r>
    <s v="YK262800008"/>
    <x v="0"/>
    <x v="0"/>
    <n v="1"/>
    <x v="0"/>
    <d v="2026-08-25T14:51:37"/>
    <x v="9"/>
    <x v="5"/>
    <x v="9"/>
    <s v="17IA14.70"/>
    <x v="0"/>
    <x v="0"/>
    <m/>
    <m/>
    <m/>
  </r>
  <r>
    <s v="YK262800009"/>
    <x v="2"/>
    <x v="2"/>
    <n v="1"/>
    <x v="2"/>
    <d v="2026-09-10T06:48:43"/>
    <x v="9"/>
    <x v="5"/>
    <x v="9"/>
    <s v="17IA14.70"/>
    <x v="0"/>
    <x v="0"/>
    <m/>
    <m/>
    <m/>
  </r>
  <r>
    <s v="YK262800010"/>
    <x v="1"/>
    <x v="1"/>
    <n v="1"/>
    <x v="1"/>
    <d v="2026-08-04T07:11:47"/>
    <x v="9"/>
    <x v="5"/>
    <x v="9"/>
    <s v="17IA14.70"/>
    <x v="0"/>
    <x v="0"/>
    <m/>
    <d v="2026-07-31T00:00:00"/>
    <m/>
  </r>
  <r>
    <s v="YK262800011"/>
    <x v="2"/>
    <x v="2"/>
    <n v="1"/>
    <x v="2"/>
    <d v="2026-09-10T06:44:47"/>
    <x v="9"/>
    <x v="5"/>
    <x v="9"/>
    <s v="17IA14.70"/>
    <x v="0"/>
    <x v="0"/>
    <m/>
    <m/>
    <m/>
  </r>
  <r>
    <s v="YK262800012"/>
    <x v="2"/>
    <x v="2"/>
    <n v="1"/>
    <x v="2"/>
    <d v="2026-09-10T06:48:42"/>
    <x v="9"/>
    <x v="5"/>
    <x v="9"/>
    <s v="17IA14.70"/>
    <x v="0"/>
    <x v="0"/>
    <m/>
    <m/>
    <m/>
  </r>
  <r>
    <s v="YK262800013"/>
    <x v="2"/>
    <x v="2"/>
    <n v="1"/>
    <x v="2"/>
    <d v="2026-09-10T06:48:42"/>
    <x v="9"/>
    <x v="5"/>
    <x v="9"/>
    <s v="17IA14.70"/>
    <x v="0"/>
    <x v="0"/>
    <m/>
    <m/>
    <m/>
  </r>
  <r>
    <s v="YK262800014"/>
    <x v="2"/>
    <x v="2"/>
    <n v="1"/>
    <x v="2"/>
    <d v="2026-09-10T06:48:42"/>
    <x v="9"/>
    <x v="5"/>
    <x v="9"/>
    <s v="17IA14.70"/>
    <x v="0"/>
    <x v="0"/>
    <m/>
    <m/>
    <m/>
  </r>
  <r>
    <s v="YK262800015"/>
    <x v="2"/>
    <x v="2"/>
    <n v="1"/>
    <x v="2"/>
    <d v="2026-09-10T06:48:43"/>
    <x v="9"/>
    <x v="5"/>
    <x v="9"/>
    <s v="17IA14.70"/>
    <x v="0"/>
    <x v="0"/>
    <m/>
    <m/>
    <m/>
  </r>
  <r>
    <s v="YK262800016"/>
    <x v="2"/>
    <x v="2"/>
    <n v="1"/>
    <x v="2"/>
    <d v="2026-09-10T06:48:42"/>
    <x v="9"/>
    <x v="5"/>
    <x v="9"/>
    <s v="17IA14.70"/>
    <x v="0"/>
    <x v="0"/>
    <m/>
    <m/>
    <m/>
  </r>
  <r>
    <s v="YK262800017"/>
    <x v="1"/>
    <x v="1"/>
    <n v="1"/>
    <x v="1"/>
    <d v="2026-08-04T07:14:12"/>
    <x v="9"/>
    <x v="5"/>
    <x v="9"/>
    <s v="17IA14.70"/>
    <x v="0"/>
    <x v="0"/>
    <m/>
    <d v="2026-07-31T00:00:00"/>
    <m/>
  </r>
  <r>
    <s v="YK262800018"/>
    <x v="2"/>
    <x v="2"/>
    <n v="1"/>
    <x v="2"/>
    <d v="2026-09-10T06:48:43"/>
    <x v="9"/>
    <x v="5"/>
    <x v="9"/>
    <s v="17IA14.70"/>
    <x v="0"/>
    <x v="0"/>
    <m/>
    <m/>
    <m/>
  </r>
  <r>
    <s v="YK262800019"/>
    <x v="2"/>
    <x v="2"/>
    <n v="1"/>
    <x v="2"/>
    <d v="2026-09-10T06:48:42"/>
    <x v="9"/>
    <x v="5"/>
    <x v="9"/>
    <s v="17IA14.70"/>
    <x v="0"/>
    <x v="0"/>
    <m/>
    <m/>
    <m/>
  </r>
  <r>
    <s v="YK262800020"/>
    <x v="1"/>
    <x v="1"/>
    <n v="1"/>
    <x v="1"/>
    <d v="2026-08-04T07:10:27"/>
    <x v="9"/>
    <x v="5"/>
    <x v="9"/>
    <s v="17IA14.70"/>
    <x v="0"/>
    <x v="0"/>
    <m/>
    <d v="2026-07-31T00:00:00"/>
    <m/>
  </r>
  <r>
    <s v="YK262800021"/>
    <x v="2"/>
    <x v="2"/>
    <n v="1"/>
    <x v="2"/>
    <d v="2026-09-10T06:48:42"/>
    <x v="9"/>
    <x v="5"/>
    <x v="9"/>
    <s v="17IA14.70"/>
    <x v="0"/>
    <x v="0"/>
    <m/>
    <m/>
    <m/>
  </r>
  <r>
    <s v="YK262800022"/>
    <x v="2"/>
    <x v="2"/>
    <n v="1"/>
    <x v="2"/>
    <d v="2026-09-10T06:48:42"/>
    <x v="9"/>
    <x v="5"/>
    <x v="9"/>
    <s v="17IA14.70"/>
    <x v="0"/>
    <x v="0"/>
    <m/>
    <m/>
    <m/>
  </r>
  <r>
    <s v="YK262800023"/>
    <x v="2"/>
    <x v="2"/>
    <n v="1"/>
    <x v="2"/>
    <d v="2026-09-10T06:48:43"/>
    <x v="9"/>
    <x v="5"/>
    <x v="9"/>
    <s v="17IA14.70"/>
    <x v="0"/>
    <x v="0"/>
    <m/>
    <m/>
    <m/>
  </r>
  <r>
    <s v="YK262800024"/>
    <x v="2"/>
    <x v="2"/>
    <n v="1"/>
    <x v="2"/>
    <d v="2026-09-10T06:48:42"/>
    <x v="9"/>
    <x v="5"/>
    <x v="9"/>
    <s v="17IA14.70"/>
    <x v="0"/>
    <x v="0"/>
    <m/>
    <m/>
    <m/>
  </r>
  <r>
    <s v="YK262800025"/>
    <x v="2"/>
    <x v="2"/>
    <n v="1"/>
    <x v="2"/>
    <d v="2026-09-10T06:48:42"/>
    <x v="9"/>
    <x v="5"/>
    <x v="9"/>
    <s v="17IA14.70"/>
    <x v="0"/>
    <x v="0"/>
    <m/>
    <m/>
    <m/>
  </r>
  <r>
    <s v="YK262800026"/>
    <x v="1"/>
    <x v="1"/>
    <n v="1"/>
    <x v="1"/>
    <d v="2026-08-28T09:04:02"/>
    <x v="9"/>
    <x v="5"/>
    <x v="9"/>
    <s v="17IA14.70"/>
    <x v="0"/>
    <x v="0"/>
    <m/>
    <d v="2026-08-27T00:00:00"/>
    <m/>
  </r>
  <r>
    <s v="YK262800027"/>
    <x v="2"/>
    <x v="2"/>
    <n v="1"/>
    <x v="2"/>
    <d v="2026-09-10T06:48:42"/>
    <x v="9"/>
    <x v="5"/>
    <x v="9"/>
    <s v="17IA14.70"/>
    <x v="0"/>
    <x v="0"/>
    <m/>
    <m/>
    <m/>
  </r>
  <r>
    <s v="YK262800028"/>
    <x v="2"/>
    <x v="2"/>
    <n v="1"/>
    <x v="2"/>
    <d v="2026-09-10T06:48:43"/>
    <x v="9"/>
    <x v="5"/>
    <x v="9"/>
    <s v="17IA14.70"/>
    <x v="0"/>
    <x v="0"/>
    <m/>
    <m/>
    <m/>
  </r>
  <r>
    <s v="YK262800029"/>
    <x v="2"/>
    <x v="2"/>
    <n v="1"/>
    <x v="2"/>
    <d v="2026-09-10T06:48:42"/>
    <x v="9"/>
    <x v="5"/>
    <x v="9"/>
    <s v="17IA14.70"/>
    <x v="0"/>
    <x v="0"/>
    <m/>
    <m/>
    <m/>
  </r>
  <r>
    <s v="YK262800030"/>
    <x v="2"/>
    <x v="2"/>
    <n v="1"/>
    <x v="2"/>
    <d v="2026-09-10T06:48:42"/>
    <x v="9"/>
    <x v="5"/>
    <x v="9"/>
    <s v="17IA14.70"/>
    <x v="0"/>
    <x v="0"/>
    <m/>
    <m/>
    <m/>
  </r>
  <r>
    <s v="YK262800031"/>
    <x v="2"/>
    <x v="2"/>
    <n v="1"/>
    <x v="2"/>
    <d v="2026-09-10T06:48:42"/>
    <x v="9"/>
    <x v="5"/>
    <x v="9"/>
    <s v="17IA14.70"/>
    <x v="0"/>
    <x v="0"/>
    <m/>
    <m/>
    <m/>
  </r>
  <r>
    <s v="YK262800032"/>
    <x v="2"/>
    <x v="2"/>
    <n v="1"/>
    <x v="2"/>
    <d v="2026-09-10T06:44:47"/>
    <x v="9"/>
    <x v="5"/>
    <x v="9"/>
    <s v="17IA14.70"/>
    <x v="0"/>
    <x v="0"/>
    <m/>
    <m/>
    <m/>
  </r>
  <r>
    <s v="YK262800033"/>
    <x v="2"/>
    <x v="2"/>
    <n v="1"/>
    <x v="2"/>
    <d v="2026-09-10T06:44:47"/>
    <x v="9"/>
    <x v="5"/>
    <x v="9"/>
    <s v="17IA14.70"/>
    <x v="0"/>
    <x v="0"/>
    <m/>
    <m/>
    <m/>
  </r>
  <r>
    <s v="YK262800034"/>
    <x v="2"/>
    <x v="2"/>
    <n v="1"/>
    <x v="2"/>
    <d v="2026-09-10T06:44:47"/>
    <x v="9"/>
    <x v="5"/>
    <x v="9"/>
    <s v="17IA14.70"/>
    <x v="0"/>
    <x v="0"/>
    <m/>
    <m/>
    <m/>
  </r>
  <r>
    <s v="YK262800035"/>
    <x v="2"/>
    <x v="2"/>
    <n v="1"/>
    <x v="2"/>
    <d v="2026-09-10T06:44:47"/>
    <x v="9"/>
    <x v="5"/>
    <x v="9"/>
    <s v="17IA14.70"/>
    <x v="0"/>
    <x v="0"/>
    <m/>
    <m/>
    <m/>
  </r>
  <r>
    <s v="YK262800036"/>
    <x v="2"/>
    <x v="2"/>
    <n v="1"/>
    <x v="2"/>
    <d v="2026-09-10T06:44:47"/>
    <x v="9"/>
    <x v="5"/>
    <x v="9"/>
    <s v="17IA14.70"/>
    <x v="0"/>
    <x v="0"/>
    <m/>
    <m/>
    <m/>
  </r>
  <r>
    <s v="YK262800037"/>
    <x v="1"/>
    <x v="1"/>
    <n v="1"/>
    <x v="1"/>
    <d v="2026-08-28T09:03:17"/>
    <x v="9"/>
    <x v="5"/>
    <x v="9"/>
    <s v="17IA14.70"/>
    <x v="0"/>
    <x v="0"/>
    <m/>
    <d v="2026-08-27T00:00:00"/>
    <m/>
  </r>
  <r>
    <s v="YK262800038"/>
    <x v="2"/>
    <x v="2"/>
    <n v="1"/>
    <x v="2"/>
    <d v="2026-09-10T06:44:47"/>
    <x v="9"/>
    <x v="5"/>
    <x v="9"/>
    <s v="17IA14.70"/>
    <x v="0"/>
    <x v="0"/>
    <m/>
    <m/>
    <m/>
  </r>
  <r>
    <s v="YK262800039"/>
    <x v="2"/>
    <x v="2"/>
    <n v="1"/>
    <x v="2"/>
    <d v="2026-09-10T06:44:47"/>
    <x v="9"/>
    <x v="5"/>
    <x v="9"/>
    <s v="17IA14.70"/>
    <x v="0"/>
    <x v="0"/>
    <m/>
    <m/>
    <m/>
  </r>
  <r>
    <s v="YK262800040"/>
    <x v="2"/>
    <x v="2"/>
    <n v="1"/>
    <x v="2"/>
    <d v="2026-09-10T06:44:47"/>
    <x v="9"/>
    <x v="5"/>
    <x v="9"/>
    <s v="17IA14.70"/>
    <x v="0"/>
    <x v="0"/>
    <m/>
    <m/>
    <m/>
  </r>
  <r>
    <s v="YK262800041"/>
    <x v="2"/>
    <x v="2"/>
    <n v="1"/>
    <x v="2"/>
    <d v="2026-09-10T06:47:47"/>
    <x v="9"/>
    <x v="5"/>
    <x v="9"/>
    <s v="17IA14.70"/>
    <x v="0"/>
    <x v="0"/>
    <m/>
    <m/>
    <m/>
  </r>
  <r>
    <s v="YK262800042"/>
    <x v="2"/>
    <x v="2"/>
    <n v="1"/>
    <x v="2"/>
    <d v="2026-09-10T06:44:47"/>
    <x v="9"/>
    <x v="5"/>
    <x v="9"/>
    <s v="17IA14.70"/>
    <x v="0"/>
    <x v="0"/>
    <m/>
    <m/>
    <m/>
  </r>
  <r>
    <s v="YK262800043"/>
    <x v="1"/>
    <x v="1"/>
    <n v="1"/>
    <x v="1"/>
    <d v="2026-08-28T09:04:50"/>
    <x v="9"/>
    <x v="5"/>
    <x v="9"/>
    <s v="17IA14.70"/>
    <x v="0"/>
    <x v="0"/>
    <m/>
    <d v="2026-08-27T00:00:00"/>
    <m/>
  </r>
  <r>
    <s v="YK262800044"/>
    <x v="1"/>
    <x v="1"/>
    <n v="1"/>
    <x v="1"/>
    <d v="2026-08-04T07:15:18"/>
    <x v="9"/>
    <x v="5"/>
    <x v="9"/>
    <s v="17IA14.70"/>
    <x v="0"/>
    <x v="0"/>
    <m/>
    <d v="2026-07-31T00:00:00"/>
    <m/>
  </r>
  <r>
    <s v="YK262800045"/>
    <x v="1"/>
    <x v="1"/>
    <n v="1"/>
    <x v="1"/>
    <d v="2026-08-04T07:15:43"/>
    <x v="9"/>
    <x v="5"/>
    <x v="9"/>
    <s v="17IA14.70"/>
    <x v="0"/>
    <x v="0"/>
    <m/>
    <d v="2026-07-31T00:00:00"/>
    <m/>
  </r>
  <r>
    <s v="YK262800046"/>
    <x v="2"/>
    <x v="2"/>
    <n v="1"/>
    <x v="2"/>
    <d v="2026-09-10T06:44:46"/>
    <x v="9"/>
    <x v="5"/>
    <x v="9"/>
    <s v="17IA14.70"/>
    <x v="0"/>
    <x v="0"/>
    <m/>
    <m/>
    <m/>
  </r>
  <r>
    <s v="YK262800047"/>
    <x v="2"/>
    <x v="2"/>
    <n v="1"/>
    <x v="2"/>
    <d v="2026-09-10T06:44:46"/>
    <x v="9"/>
    <x v="5"/>
    <x v="9"/>
    <s v="17IA14.70"/>
    <x v="0"/>
    <x v="0"/>
    <m/>
    <m/>
    <m/>
  </r>
  <r>
    <s v="YK262800048"/>
    <x v="2"/>
    <x v="2"/>
    <n v="1"/>
    <x v="2"/>
    <d v="2026-09-10T06:44:47"/>
    <x v="9"/>
    <x v="5"/>
    <x v="9"/>
    <s v="17IA14.70"/>
    <x v="0"/>
    <x v="0"/>
    <m/>
    <m/>
    <m/>
  </r>
  <r>
    <s v="YK262800049"/>
    <x v="2"/>
    <x v="2"/>
    <n v="1"/>
    <x v="2"/>
    <d v="2026-09-10T06:44:47"/>
    <x v="9"/>
    <x v="5"/>
    <x v="9"/>
    <s v="17IA14.70"/>
    <x v="0"/>
    <x v="0"/>
    <m/>
    <m/>
    <m/>
  </r>
  <r>
    <s v="YK262800050"/>
    <x v="0"/>
    <x v="0"/>
    <n v="1"/>
    <x v="0"/>
    <d v="2026-08-25T14:53:23"/>
    <x v="9"/>
    <x v="5"/>
    <x v="9"/>
    <s v="17IA14.70"/>
    <x v="0"/>
    <x v="0"/>
    <m/>
    <m/>
    <m/>
  </r>
  <r>
    <s v="YK262800051"/>
    <x v="2"/>
    <x v="2"/>
    <n v="1"/>
    <x v="2"/>
    <d v="2026-09-10T06:44:46"/>
    <x v="9"/>
    <x v="5"/>
    <x v="9"/>
    <s v="17IA14.70"/>
    <x v="0"/>
    <x v="0"/>
    <m/>
    <m/>
    <m/>
  </r>
  <r>
    <s v="YK262800052"/>
    <x v="2"/>
    <x v="2"/>
    <n v="1"/>
    <x v="2"/>
    <d v="2026-09-10T06:44:46"/>
    <x v="9"/>
    <x v="5"/>
    <x v="9"/>
    <s v="17IA14.70"/>
    <x v="0"/>
    <x v="0"/>
    <m/>
    <m/>
    <m/>
  </r>
  <r>
    <s v="YK262800053"/>
    <x v="2"/>
    <x v="2"/>
    <n v="1"/>
    <x v="2"/>
    <d v="2026-09-10T06:44:47"/>
    <x v="9"/>
    <x v="5"/>
    <x v="9"/>
    <s v="17IA14.70"/>
    <x v="0"/>
    <x v="0"/>
    <m/>
    <m/>
    <m/>
  </r>
  <r>
    <s v="YK262800054"/>
    <x v="2"/>
    <x v="2"/>
    <n v="1"/>
    <x v="2"/>
    <d v="2026-09-10T06:44:47"/>
    <x v="9"/>
    <x v="5"/>
    <x v="9"/>
    <s v="17IA14.70"/>
    <x v="0"/>
    <x v="0"/>
    <m/>
    <m/>
    <m/>
  </r>
  <r>
    <s v="YK262800055"/>
    <x v="2"/>
    <x v="2"/>
    <n v="1"/>
    <x v="2"/>
    <d v="2026-09-10T06:44:46"/>
    <x v="9"/>
    <x v="5"/>
    <x v="9"/>
    <s v="17IA14.70"/>
    <x v="0"/>
    <x v="0"/>
    <m/>
    <m/>
    <m/>
  </r>
  <r>
    <s v="YK262800056"/>
    <x v="2"/>
    <x v="2"/>
    <n v="1"/>
    <x v="2"/>
    <d v="2026-09-10T06:44:47"/>
    <x v="9"/>
    <x v="5"/>
    <x v="9"/>
    <s v="17IA14.70"/>
    <x v="0"/>
    <x v="0"/>
    <m/>
    <m/>
    <m/>
  </r>
  <r>
    <s v="YK262800057"/>
    <x v="2"/>
    <x v="2"/>
    <n v="1"/>
    <x v="2"/>
    <d v="2026-09-10T06:44:47"/>
    <x v="9"/>
    <x v="5"/>
    <x v="9"/>
    <s v="17IA14.70"/>
    <x v="0"/>
    <x v="0"/>
    <m/>
    <m/>
    <m/>
  </r>
  <r>
    <s v="YK262800058"/>
    <x v="2"/>
    <x v="2"/>
    <n v="1"/>
    <x v="2"/>
    <d v="2026-09-10T06:44:46"/>
    <x v="9"/>
    <x v="5"/>
    <x v="9"/>
    <s v="17IA14.70"/>
    <x v="0"/>
    <x v="0"/>
    <m/>
    <m/>
    <m/>
  </r>
  <r>
    <s v="YK262800059"/>
    <x v="1"/>
    <x v="1"/>
    <n v="1"/>
    <x v="1"/>
    <d v="2026-08-04T07:17:09"/>
    <x v="9"/>
    <x v="5"/>
    <x v="9"/>
    <s v="17IA14.70"/>
    <x v="0"/>
    <x v="0"/>
    <m/>
    <d v="2026-07-31T00:00:00"/>
    <m/>
  </r>
  <r>
    <s v="YK262800060"/>
    <x v="2"/>
    <x v="2"/>
    <n v="1"/>
    <x v="2"/>
    <d v="2026-09-10T06:47:47"/>
    <x v="9"/>
    <x v="5"/>
    <x v="9"/>
    <s v="17IA14.70"/>
    <x v="0"/>
    <x v="0"/>
    <m/>
    <m/>
    <m/>
  </r>
  <r>
    <s v="YK262800061"/>
    <x v="2"/>
    <x v="2"/>
    <n v="1"/>
    <x v="2"/>
    <d v="2026-09-10T06:44:46"/>
    <x v="9"/>
    <x v="5"/>
    <x v="9"/>
    <s v="17IA14.70"/>
    <x v="0"/>
    <x v="0"/>
    <m/>
    <m/>
    <m/>
  </r>
  <r>
    <s v="YK262800062"/>
    <x v="0"/>
    <x v="0"/>
    <n v="1"/>
    <x v="0"/>
    <d v="2026-08-25T14:51:43"/>
    <x v="9"/>
    <x v="5"/>
    <x v="9"/>
    <s v="17IA14.70"/>
    <x v="0"/>
    <x v="0"/>
    <m/>
    <m/>
    <m/>
  </r>
  <r>
    <s v="YK262800063"/>
    <x v="2"/>
    <x v="2"/>
    <n v="1"/>
    <x v="2"/>
    <d v="2026-09-10T06:44:46"/>
    <x v="9"/>
    <x v="5"/>
    <x v="9"/>
    <s v="17IA14.70"/>
    <x v="0"/>
    <x v="0"/>
    <m/>
    <m/>
    <m/>
  </r>
  <r>
    <s v="YK262800064"/>
    <x v="1"/>
    <x v="1"/>
    <n v="1"/>
    <x v="1"/>
    <d v="2026-08-04T07:17:43"/>
    <x v="9"/>
    <x v="5"/>
    <x v="9"/>
    <s v="17IA14.70"/>
    <x v="0"/>
    <x v="0"/>
    <m/>
    <d v="2026-07-31T00:00:00"/>
    <m/>
  </r>
  <r>
    <s v="YK262800065"/>
    <x v="1"/>
    <x v="1"/>
    <n v="1"/>
    <x v="1"/>
    <d v="2026-08-04T07:18:08"/>
    <x v="9"/>
    <x v="5"/>
    <x v="9"/>
    <s v="17IA14.70"/>
    <x v="0"/>
    <x v="0"/>
    <m/>
    <d v="2026-07-31T00:00:00"/>
    <m/>
  </r>
  <r>
    <s v="YK262800066"/>
    <x v="2"/>
    <x v="2"/>
    <n v="1"/>
    <x v="2"/>
    <d v="2026-09-10T06:44:47"/>
    <x v="9"/>
    <x v="5"/>
    <x v="9"/>
    <s v="17IA14.70"/>
    <x v="0"/>
    <x v="0"/>
    <m/>
    <m/>
    <m/>
  </r>
  <r>
    <s v="YK262800067"/>
    <x v="2"/>
    <x v="2"/>
    <n v="1"/>
    <x v="2"/>
    <d v="2026-09-10T06:44:46"/>
    <x v="9"/>
    <x v="5"/>
    <x v="9"/>
    <s v="17IA14.70"/>
    <x v="0"/>
    <x v="0"/>
    <m/>
    <m/>
    <m/>
  </r>
  <r>
    <s v="YK262800068"/>
    <x v="8"/>
    <x v="8"/>
    <n v="1"/>
    <x v="6"/>
    <d v="2026-09-10T06:50:19"/>
    <x v="9"/>
    <x v="5"/>
    <x v="9"/>
    <s v="17IA14.70"/>
    <x v="0"/>
    <x v="0"/>
    <m/>
    <m/>
    <m/>
  </r>
  <r>
    <s v="YK262800069"/>
    <x v="2"/>
    <x v="2"/>
    <n v="1"/>
    <x v="2"/>
    <d v="2026-09-10T06:48:42"/>
    <x v="9"/>
    <x v="5"/>
    <x v="9"/>
    <s v="17IA14.70"/>
    <x v="0"/>
    <x v="0"/>
    <m/>
    <m/>
    <m/>
  </r>
  <r>
    <s v="YK262800070"/>
    <x v="2"/>
    <x v="2"/>
    <n v="1"/>
    <x v="2"/>
    <d v="2026-09-10T06:48:42"/>
    <x v="9"/>
    <x v="5"/>
    <x v="9"/>
    <s v="17IA14.70"/>
    <x v="0"/>
    <x v="0"/>
    <m/>
    <m/>
    <m/>
  </r>
  <r>
    <s v="YK262800071"/>
    <x v="2"/>
    <x v="2"/>
    <n v="1"/>
    <x v="2"/>
    <d v="2026-09-10T06:48:42"/>
    <x v="9"/>
    <x v="5"/>
    <x v="9"/>
    <s v="17IA14.70"/>
    <x v="0"/>
    <x v="0"/>
    <m/>
    <m/>
    <m/>
  </r>
  <r>
    <s v="YK262800072"/>
    <x v="8"/>
    <x v="8"/>
    <n v="1"/>
    <x v="6"/>
    <d v="2026-09-10T06:50:19"/>
    <x v="9"/>
    <x v="5"/>
    <x v="9"/>
    <s v="17IA14.70"/>
    <x v="0"/>
    <x v="0"/>
    <m/>
    <m/>
    <m/>
  </r>
  <r>
    <s v="YK262800073"/>
    <x v="2"/>
    <x v="2"/>
    <n v="1"/>
    <x v="2"/>
    <d v="2026-09-10T06:48:42"/>
    <x v="9"/>
    <x v="5"/>
    <x v="9"/>
    <s v="17IA14.70"/>
    <x v="0"/>
    <x v="0"/>
    <m/>
    <m/>
    <m/>
  </r>
  <r>
    <s v="YK262800074"/>
    <x v="2"/>
    <x v="2"/>
    <n v="1"/>
    <x v="2"/>
    <d v="2026-09-10T06:48:42"/>
    <x v="9"/>
    <x v="5"/>
    <x v="9"/>
    <s v="17IA14.70"/>
    <x v="0"/>
    <x v="0"/>
    <m/>
    <m/>
    <m/>
  </r>
  <r>
    <s v="YK263301702"/>
    <x v="2"/>
    <x v="2"/>
    <n v="1"/>
    <x v="2"/>
    <d v="2026-09-08T07:51:10"/>
    <x v="10"/>
    <x v="4"/>
    <x v="10"/>
    <s v="17IA14.80"/>
    <x v="0"/>
    <x v="0"/>
    <m/>
    <m/>
    <m/>
  </r>
  <r>
    <s v="YK263301703"/>
    <x v="9"/>
    <x v="9"/>
    <n v="1"/>
    <x v="2"/>
    <d v="2026-08-22T07:40:34"/>
    <x v="10"/>
    <x v="4"/>
    <x v="10"/>
    <s v="17IA14.80"/>
    <x v="0"/>
    <x v="0"/>
    <m/>
    <m/>
    <m/>
  </r>
  <r>
    <s v="YK263301704"/>
    <x v="9"/>
    <x v="9"/>
    <n v="1"/>
    <x v="2"/>
    <d v="2026-08-22T07:48:37"/>
    <x v="10"/>
    <x v="4"/>
    <x v="10"/>
    <s v="17IA14.80"/>
    <x v="0"/>
    <x v="0"/>
    <m/>
    <m/>
    <m/>
  </r>
  <r>
    <s v="YK263301705"/>
    <x v="7"/>
    <x v="7"/>
    <n v="1"/>
    <x v="2"/>
    <d v="2026-09-02T22:54:24"/>
    <x v="10"/>
    <x v="4"/>
    <x v="10"/>
    <s v="17IA14.80"/>
    <x v="0"/>
    <x v="0"/>
    <m/>
    <m/>
    <m/>
  </r>
  <r>
    <s v="YK263301706"/>
    <x v="9"/>
    <x v="9"/>
    <n v="1"/>
    <x v="2"/>
    <d v="2026-08-22T07:50:49"/>
    <x v="10"/>
    <x v="4"/>
    <x v="10"/>
    <s v="17IA14.80"/>
    <x v="0"/>
    <x v="0"/>
    <m/>
    <m/>
    <m/>
  </r>
  <r>
    <s v="YK263301707"/>
    <x v="7"/>
    <x v="7"/>
    <n v="1"/>
    <x v="2"/>
    <d v="2026-09-02T22:43:55"/>
    <x v="10"/>
    <x v="4"/>
    <x v="10"/>
    <s v="17IA14.80"/>
    <x v="0"/>
    <x v="0"/>
    <m/>
    <m/>
    <m/>
  </r>
  <r>
    <s v="YK263301708"/>
    <x v="9"/>
    <x v="9"/>
    <n v="1"/>
    <x v="2"/>
    <d v="2026-08-22T07:53:14"/>
    <x v="10"/>
    <x v="4"/>
    <x v="10"/>
    <s v="17IA14.80"/>
    <x v="0"/>
    <x v="0"/>
    <m/>
    <m/>
    <m/>
  </r>
  <r>
    <s v="YK263301709"/>
    <x v="7"/>
    <x v="7"/>
    <n v="1"/>
    <x v="2"/>
    <d v="2026-09-02T22:37:38"/>
    <x v="10"/>
    <x v="4"/>
    <x v="10"/>
    <s v="17IA14.80"/>
    <x v="0"/>
    <x v="0"/>
    <m/>
    <m/>
    <m/>
  </r>
  <r>
    <s v="YK263301710"/>
    <x v="7"/>
    <x v="7"/>
    <n v="1"/>
    <x v="2"/>
    <d v="2026-09-02T22:33:04"/>
    <x v="10"/>
    <x v="4"/>
    <x v="10"/>
    <s v="17IA14.80"/>
    <x v="0"/>
    <x v="0"/>
    <m/>
    <m/>
    <m/>
  </r>
  <r>
    <s v="YK263301711"/>
    <x v="9"/>
    <x v="9"/>
    <n v="1"/>
    <x v="2"/>
    <d v="2026-08-22T07:47:49"/>
    <x v="10"/>
    <x v="4"/>
    <x v="10"/>
    <s v="17IA14.80"/>
    <x v="0"/>
    <x v="0"/>
    <m/>
    <m/>
    <m/>
  </r>
  <r>
    <s v="YK263301712"/>
    <x v="7"/>
    <x v="7"/>
    <n v="1"/>
    <x v="2"/>
    <d v="2026-09-02T22:59:23"/>
    <x v="10"/>
    <x v="4"/>
    <x v="10"/>
    <s v="17IA14.80"/>
    <x v="0"/>
    <x v="0"/>
    <m/>
    <m/>
    <m/>
  </r>
  <r>
    <s v="YK263301713"/>
    <x v="9"/>
    <x v="9"/>
    <n v="1"/>
    <x v="2"/>
    <d v="2026-08-22T07:57:29"/>
    <x v="10"/>
    <x v="4"/>
    <x v="10"/>
    <s v="17IA14.80"/>
    <x v="0"/>
    <x v="0"/>
    <m/>
    <m/>
    <m/>
  </r>
  <r>
    <s v="YK263301714"/>
    <x v="2"/>
    <x v="2"/>
    <n v="1"/>
    <x v="2"/>
    <d v="2026-09-08T11:05:02"/>
    <x v="10"/>
    <x v="4"/>
    <x v="10"/>
    <s v="17IA14.80"/>
    <x v="0"/>
    <x v="0"/>
    <m/>
    <m/>
    <m/>
  </r>
  <r>
    <s v="YK263301715"/>
    <x v="9"/>
    <x v="9"/>
    <n v="1"/>
    <x v="2"/>
    <d v="2026-08-22T07:59:29"/>
    <x v="10"/>
    <x v="4"/>
    <x v="10"/>
    <s v="17IA14.80"/>
    <x v="0"/>
    <x v="0"/>
    <m/>
    <m/>
    <m/>
  </r>
  <r>
    <s v="YK263301716"/>
    <x v="7"/>
    <x v="7"/>
    <n v="1"/>
    <x v="2"/>
    <d v="2026-09-02T23:26:58"/>
    <x v="10"/>
    <x v="4"/>
    <x v="10"/>
    <s v="17IA14.80"/>
    <x v="0"/>
    <x v="0"/>
    <m/>
    <m/>
    <m/>
  </r>
  <r>
    <s v="YK263301717"/>
    <x v="7"/>
    <x v="7"/>
    <n v="1"/>
    <x v="2"/>
    <d v="2026-09-02T23:22:15"/>
    <x v="10"/>
    <x v="4"/>
    <x v="10"/>
    <s v="17IA14.80"/>
    <x v="0"/>
    <x v="0"/>
    <m/>
    <m/>
    <m/>
  </r>
  <r>
    <s v="YK263301718"/>
    <x v="7"/>
    <x v="7"/>
    <n v="1"/>
    <x v="2"/>
    <d v="2026-09-02T23:18:26"/>
    <x v="10"/>
    <x v="4"/>
    <x v="10"/>
    <s v="17IA14.80"/>
    <x v="0"/>
    <x v="0"/>
    <m/>
    <m/>
    <m/>
  </r>
  <r>
    <s v="YK263301719"/>
    <x v="7"/>
    <x v="7"/>
    <n v="1"/>
    <x v="2"/>
    <d v="2026-09-02T23:14:30"/>
    <x v="10"/>
    <x v="4"/>
    <x v="10"/>
    <s v="17IA14.80"/>
    <x v="0"/>
    <x v="0"/>
    <m/>
    <m/>
    <m/>
  </r>
  <r>
    <s v="YK263301720"/>
    <x v="9"/>
    <x v="9"/>
    <n v="1"/>
    <x v="2"/>
    <d v="2026-08-24T05:52:08"/>
    <x v="10"/>
    <x v="4"/>
    <x v="10"/>
    <s v="17IA14.80"/>
    <x v="0"/>
    <x v="0"/>
    <m/>
    <m/>
    <m/>
  </r>
  <r>
    <s v="YK263301721"/>
    <x v="7"/>
    <x v="7"/>
    <n v="1"/>
    <x v="2"/>
    <d v="2026-09-03T00:07:15"/>
    <x v="10"/>
    <x v="4"/>
    <x v="10"/>
    <s v="17IA14.80"/>
    <x v="0"/>
    <x v="0"/>
    <m/>
    <m/>
    <m/>
  </r>
  <r>
    <s v="YK263301722"/>
    <x v="7"/>
    <x v="7"/>
    <n v="1"/>
    <x v="2"/>
    <d v="2026-09-03T00:10:25"/>
    <x v="10"/>
    <x v="4"/>
    <x v="10"/>
    <s v="17IA14.80"/>
    <x v="0"/>
    <x v="0"/>
    <m/>
    <m/>
    <m/>
  </r>
  <r>
    <s v="YK263301723"/>
    <x v="7"/>
    <x v="7"/>
    <n v="1"/>
    <x v="2"/>
    <d v="2026-09-02T23:49:31"/>
    <x v="10"/>
    <x v="4"/>
    <x v="10"/>
    <s v="17IA14.80"/>
    <x v="0"/>
    <x v="0"/>
    <m/>
    <m/>
    <m/>
  </r>
  <r>
    <s v="YK263301724"/>
    <x v="9"/>
    <x v="9"/>
    <n v="1"/>
    <x v="2"/>
    <d v="2026-08-25T05:53:52"/>
    <x v="10"/>
    <x v="4"/>
    <x v="10"/>
    <s v="17IA14.80"/>
    <x v="0"/>
    <x v="0"/>
    <m/>
    <m/>
    <m/>
  </r>
  <r>
    <s v="YK263301725"/>
    <x v="7"/>
    <x v="7"/>
    <n v="1"/>
    <x v="2"/>
    <d v="2026-09-03T00:15:56"/>
    <x v="10"/>
    <x v="4"/>
    <x v="10"/>
    <s v="17IA14.80"/>
    <x v="0"/>
    <x v="0"/>
    <m/>
    <m/>
    <m/>
  </r>
  <r>
    <s v="YK263301726"/>
    <x v="2"/>
    <x v="2"/>
    <n v="1"/>
    <x v="2"/>
    <d v="2026-09-08T07:49:50"/>
    <x v="10"/>
    <x v="4"/>
    <x v="10"/>
    <s v="17IA14.80"/>
    <x v="0"/>
    <x v="0"/>
    <m/>
    <m/>
    <m/>
  </r>
  <r>
    <s v="YK263301727"/>
    <x v="7"/>
    <x v="7"/>
    <n v="1"/>
    <x v="2"/>
    <d v="2026-09-03T00:02:31"/>
    <x v="10"/>
    <x v="4"/>
    <x v="10"/>
    <s v="17IA14.80"/>
    <x v="0"/>
    <x v="0"/>
    <m/>
    <m/>
    <m/>
  </r>
  <r>
    <s v="YK263301728"/>
    <x v="7"/>
    <x v="7"/>
    <n v="1"/>
    <x v="2"/>
    <d v="2026-09-03T00:13:55"/>
    <x v="10"/>
    <x v="4"/>
    <x v="10"/>
    <s v="17IA14.80"/>
    <x v="0"/>
    <x v="0"/>
    <m/>
    <m/>
    <m/>
  </r>
  <r>
    <s v="YK263301729"/>
    <x v="7"/>
    <x v="7"/>
    <n v="1"/>
    <x v="2"/>
    <d v="2026-09-07T13:56:23"/>
    <x v="10"/>
    <x v="4"/>
    <x v="10"/>
    <s v="17IA14.80"/>
    <x v="0"/>
    <x v="0"/>
    <m/>
    <m/>
    <m/>
  </r>
  <r>
    <s v="YK263301730"/>
    <x v="7"/>
    <x v="7"/>
    <n v="1"/>
    <x v="2"/>
    <d v="2026-09-07T14:01:21"/>
    <x v="10"/>
    <x v="4"/>
    <x v="10"/>
    <s v="17IA14.80"/>
    <x v="0"/>
    <x v="0"/>
    <m/>
    <m/>
    <m/>
  </r>
  <r>
    <s v="YK263301731"/>
    <x v="7"/>
    <x v="7"/>
    <n v="1"/>
    <x v="2"/>
    <d v="2026-09-07T14:05:51"/>
    <x v="10"/>
    <x v="4"/>
    <x v="10"/>
    <s v="17IA14.80"/>
    <x v="0"/>
    <x v="0"/>
    <m/>
    <m/>
    <m/>
  </r>
  <r>
    <s v="YK263301732"/>
    <x v="10"/>
    <x v="10"/>
    <n v="1"/>
    <x v="6"/>
    <d v="2026-09-07T14:10:17"/>
    <x v="10"/>
    <x v="4"/>
    <x v="10"/>
    <s v="17IA14.80"/>
    <x v="0"/>
    <x v="0"/>
    <m/>
    <m/>
    <m/>
  </r>
  <r>
    <s v="YK263301733"/>
    <x v="7"/>
    <x v="7"/>
    <n v="1"/>
    <x v="2"/>
    <d v="2026-09-07T14:18:32"/>
    <x v="10"/>
    <x v="4"/>
    <x v="10"/>
    <s v="17IA14.80"/>
    <x v="0"/>
    <x v="0"/>
    <m/>
    <m/>
    <m/>
  </r>
  <r>
    <s v="YK263301734"/>
    <x v="7"/>
    <x v="7"/>
    <n v="1"/>
    <x v="2"/>
    <d v="2026-09-07T14:26:22"/>
    <x v="10"/>
    <x v="4"/>
    <x v="10"/>
    <s v="17IA14.80"/>
    <x v="0"/>
    <x v="0"/>
    <m/>
    <m/>
    <m/>
  </r>
  <r>
    <s v="YK263301735"/>
    <x v="7"/>
    <x v="7"/>
    <n v="1"/>
    <x v="2"/>
    <d v="2026-09-07T16:15:14"/>
    <x v="10"/>
    <x v="4"/>
    <x v="10"/>
    <s v="17IA14.80"/>
    <x v="0"/>
    <x v="0"/>
    <m/>
    <m/>
    <m/>
  </r>
  <r>
    <s v="YK263301736"/>
    <x v="7"/>
    <x v="7"/>
    <n v="1"/>
    <x v="2"/>
    <d v="2026-09-07T14:22:35"/>
    <x v="10"/>
    <x v="4"/>
    <x v="10"/>
    <s v="17IA14.80"/>
    <x v="0"/>
    <x v="0"/>
    <m/>
    <m/>
    <m/>
  </r>
  <r>
    <s v="YK263301737"/>
    <x v="7"/>
    <x v="7"/>
    <n v="1"/>
    <x v="2"/>
    <d v="2026-09-07T16:20:14"/>
    <x v="10"/>
    <x v="4"/>
    <x v="10"/>
    <s v="17IA14.80"/>
    <x v="0"/>
    <x v="0"/>
    <m/>
    <m/>
    <m/>
  </r>
  <r>
    <s v="YK263301738"/>
    <x v="7"/>
    <x v="7"/>
    <n v="1"/>
    <x v="2"/>
    <d v="2026-09-07T16:33:33"/>
    <x v="10"/>
    <x v="4"/>
    <x v="10"/>
    <s v="17IA14.80"/>
    <x v="0"/>
    <x v="0"/>
    <m/>
    <m/>
    <m/>
  </r>
  <r>
    <s v="YK263301739"/>
    <x v="7"/>
    <x v="7"/>
    <n v="1"/>
    <x v="2"/>
    <d v="2026-09-07T16:08:06"/>
    <x v="10"/>
    <x v="4"/>
    <x v="10"/>
    <s v="17IA14.80"/>
    <x v="0"/>
    <x v="0"/>
    <m/>
    <m/>
    <m/>
  </r>
  <r>
    <s v="YK263301740"/>
    <x v="7"/>
    <x v="7"/>
    <n v="1"/>
    <x v="2"/>
    <d v="2026-09-07T21:35:35"/>
    <x v="10"/>
    <x v="4"/>
    <x v="10"/>
    <s v="17IA14.80"/>
    <x v="0"/>
    <x v="0"/>
    <m/>
    <m/>
    <m/>
  </r>
  <r>
    <s v="YK263301741"/>
    <x v="7"/>
    <x v="7"/>
    <n v="1"/>
    <x v="2"/>
    <d v="2026-09-07T21:31:49"/>
    <x v="10"/>
    <x v="4"/>
    <x v="10"/>
    <s v="17IA14.80"/>
    <x v="0"/>
    <x v="0"/>
    <m/>
    <m/>
    <m/>
  </r>
  <r>
    <s v="YK263301742"/>
    <x v="7"/>
    <x v="7"/>
    <n v="1"/>
    <x v="2"/>
    <d v="2026-09-07T21:27:31"/>
    <x v="10"/>
    <x v="4"/>
    <x v="10"/>
    <s v="17IA14.80"/>
    <x v="0"/>
    <x v="0"/>
    <m/>
    <m/>
    <m/>
  </r>
  <r>
    <s v="YK263301743"/>
    <x v="7"/>
    <x v="7"/>
    <n v="1"/>
    <x v="2"/>
    <d v="2026-09-07T21:22:36"/>
    <x v="10"/>
    <x v="4"/>
    <x v="10"/>
    <s v="17IA14.80"/>
    <x v="0"/>
    <x v="0"/>
    <m/>
    <m/>
    <m/>
  </r>
  <r>
    <s v="YK263301744"/>
    <x v="10"/>
    <x v="10"/>
    <n v="1"/>
    <x v="6"/>
    <d v="2026-08-31T13:59:28"/>
    <x v="10"/>
    <x v="4"/>
    <x v="10"/>
    <s v="17IA14.80"/>
    <x v="0"/>
    <x v="0"/>
    <m/>
    <m/>
    <m/>
  </r>
  <r>
    <s v="YK263301745"/>
    <x v="10"/>
    <x v="10"/>
    <n v="1"/>
    <x v="6"/>
    <d v="2026-08-31T13:55:28"/>
    <x v="10"/>
    <x v="4"/>
    <x v="10"/>
    <s v="17IA14.80"/>
    <x v="0"/>
    <x v="0"/>
    <m/>
    <m/>
    <m/>
  </r>
  <r>
    <s v="YK263301746"/>
    <x v="7"/>
    <x v="7"/>
    <n v="1"/>
    <x v="2"/>
    <d v="2026-09-07T21:18:25"/>
    <x v="10"/>
    <x v="4"/>
    <x v="10"/>
    <s v="17IA14.80"/>
    <x v="0"/>
    <x v="0"/>
    <m/>
    <m/>
    <m/>
  </r>
  <r>
    <s v="YK263301747"/>
    <x v="7"/>
    <x v="7"/>
    <n v="1"/>
    <x v="2"/>
    <d v="2026-09-07T21:12:00"/>
    <x v="10"/>
    <x v="4"/>
    <x v="10"/>
    <s v="17IA14.80"/>
    <x v="0"/>
    <x v="0"/>
    <m/>
    <m/>
    <m/>
  </r>
  <r>
    <s v="YK263301748"/>
    <x v="7"/>
    <x v="7"/>
    <n v="1"/>
    <x v="2"/>
    <d v="2026-09-07T21:05:02"/>
    <x v="10"/>
    <x v="4"/>
    <x v="10"/>
    <s v="17IA14.80"/>
    <x v="0"/>
    <x v="0"/>
    <m/>
    <m/>
    <m/>
  </r>
  <r>
    <s v="YK263301749"/>
    <x v="7"/>
    <x v="7"/>
    <n v="1"/>
    <x v="2"/>
    <d v="2026-09-07T20:59:00"/>
    <x v="10"/>
    <x v="4"/>
    <x v="10"/>
    <s v="17IA14.80"/>
    <x v="0"/>
    <x v="0"/>
    <m/>
    <m/>
    <m/>
  </r>
  <r>
    <s v="YK263301750"/>
    <x v="7"/>
    <x v="7"/>
    <n v="1"/>
    <x v="2"/>
    <d v="2026-09-07T20:10:29"/>
    <x v="10"/>
    <x v="4"/>
    <x v="10"/>
    <s v="17IA14.80"/>
    <x v="0"/>
    <x v="0"/>
    <m/>
    <m/>
    <m/>
  </r>
  <r>
    <s v="YK263301751"/>
    <x v="9"/>
    <x v="9"/>
    <n v="1"/>
    <x v="2"/>
    <d v="2026-08-25T10:46:46"/>
    <x v="10"/>
    <x v="4"/>
    <x v="10"/>
    <s v="17IA14.80"/>
    <x v="0"/>
    <x v="0"/>
    <m/>
    <m/>
    <m/>
  </r>
  <r>
    <s v="YK263301752"/>
    <x v="9"/>
    <x v="9"/>
    <n v="1"/>
    <x v="2"/>
    <d v="2026-08-25T11:09:00"/>
    <x v="10"/>
    <x v="4"/>
    <x v="10"/>
    <s v="17IA14.80"/>
    <x v="0"/>
    <x v="0"/>
    <m/>
    <m/>
    <m/>
  </r>
  <r>
    <s v="YK263301753"/>
    <x v="7"/>
    <x v="7"/>
    <n v="1"/>
    <x v="2"/>
    <d v="2026-09-03T23:46:51"/>
    <x v="10"/>
    <x v="4"/>
    <x v="10"/>
    <s v="17IA14.80"/>
    <x v="0"/>
    <x v="0"/>
    <m/>
    <m/>
    <m/>
  </r>
  <r>
    <s v="YK263301754"/>
    <x v="9"/>
    <x v="9"/>
    <n v="1"/>
    <x v="2"/>
    <d v="2026-08-25T11:09:32"/>
    <x v="10"/>
    <x v="4"/>
    <x v="10"/>
    <s v="17IA14.80"/>
    <x v="0"/>
    <x v="0"/>
    <m/>
    <m/>
    <m/>
  </r>
  <r>
    <s v="YK263301755"/>
    <x v="7"/>
    <x v="7"/>
    <n v="1"/>
    <x v="2"/>
    <d v="2026-09-03T23:43:52"/>
    <x v="10"/>
    <x v="4"/>
    <x v="10"/>
    <s v="17IA14.80"/>
    <x v="0"/>
    <x v="0"/>
    <m/>
    <m/>
    <m/>
  </r>
  <r>
    <s v="YK263301756"/>
    <x v="7"/>
    <x v="7"/>
    <n v="1"/>
    <x v="2"/>
    <d v="2026-09-03T23:39:26"/>
    <x v="10"/>
    <x v="4"/>
    <x v="10"/>
    <s v="17IA14.80"/>
    <x v="0"/>
    <x v="0"/>
    <m/>
    <m/>
    <m/>
  </r>
  <r>
    <s v="YK263301757"/>
    <x v="7"/>
    <x v="7"/>
    <n v="1"/>
    <x v="2"/>
    <d v="2026-09-07T20:53:31"/>
    <x v="10"/>
    <x v="4"/>
    <x v="10"/>
    <s v="17IA14.80"/>
    <x v="0"/>
    <x v="0"/>
    <m/>
    <m/>
    <m/>
  </r>
  <r>
    <s v="YK263301758"/>
    <x v="7"/>
    <x v="7"/>
    <n v="1"/>
    <x v="2"/>
    <d v="2026-09-03T23:31:36"/>
    <x v="10"/>
    <x v="4"/>
    <x v="10"/>
    <s v="17IA14.80"/>
    <x v="0"/>
    <x v="0"/>
    <m/>
    <m/>
    <m/>
  </r>
  <r>
    <s v="YK263301759"/>
    <x v="7"/>
    <x v="7"/>
    <n v="1"/>
    <x v="2"/>
    <d v="2026-09-03T00:19:26"/>
    <x v="10"/>
    <x v="4"/>
    <x v="10"/>
    <s v="17IA14.80"/>
    <x v="0"/>
    <x v="0"/>
    <m/>
    <m/>
    <m/>
  </r>
  <r>
    <s v="YK263301760"/>
    <x v="7"/>
    <x v="7"/>
    <n v="1"/>
    <x v="2"/>
    <d v="2026-09-03T23:48:57"/>
    <x v="10"/>
    <x v="4"/>
    <x v="10"/>
    <s v="17IA14.80"/>
    <x v="0"/>
    <x v="0"/>
    <m/>
    <m/>
    <m/>
  </r>
  <r>
    <s v="YK263301761"/>
    <x v="7"/>
    <x v="7"/>
    <n v="1"/>
    <x v="2"/>
    <d v="2026-09-07T09:19:23"/>
    <x v="10"/>
    <x v="4"/>
    <x v="10"/>
    <s v="17IA14.80"/>
    <x v="0"/>
    <x v="0"/>
    <m/>
    <m/>
    <m/>
  </r>
  <r>
    <s v="YK263301762"/>
    <x v="6"/>
    <x v="6"/>
    <n v="1"/>
    <x v="6"/>
    <d v="2026-09-07T15:05:32"/>
    <x v="10"/>
    <x v="4"/>
    <x v="10"/>
    <s v="17IA14.80"/>
    <x v="0"/>
    <x v="0"/>
    <m/>
    <m/>
    <m/>
  </r>
  <r>
    <s v="YK263301763"/>
    <x v="9"/>
    <x v="9"/>
    <n v="1"/>
    <x v="2"/>
    <d v="2026-08-25T11:37:58"/>
    <x v="10"/>
    <x v="4"/>
    <x v="10"/>
    <s v="17IA14.80"/>
    <x v="0"/>
    <x v="0"/>
    <m/>
    <m/>
    <m/>
  </r>
  <r>
    <s v="YK263301764"/>
    <x v="6"/>
    <x v="6"/>
    <n v="1"/>
    <x v="6"/>
    <d v="2026-09-07T14:54:10"/>
    <x v="10"/>
    <x v="4"/>
    <x v="10"/>
    <s v="17IA14.80"/>
    <x v="0"/>
    <x v="0"/>
    <m/>
    <m/>
    <m/>
  </r>
  <r>
    <s v="YK263301765"/>
    <x v="7"/>
    <x v="7"/>
    <n v="1"/>
    <x v="2"/>
    <d v="2026-09-03T23:55:21"/>
    <x v="10"/>
    <x v="4"/>
    <x v="10"/>
    <s v="17IA14.80"/>
    <x v="0"/>
    <x v="0"/>
    <m/>
    <m/>
    <m/>
  </r>
  <r>
    <s v="YK263301766"/>
    <x v="9"/>
    <x v="9"/>
    <n v="1"/>
    <x v="2"/>
    <d v="2026-08-25T11:40:21"/>
    <x v="10"/>
    <x v="4"/>
    <x v="10"/>
    <s v="17IA14.80"/>
    <x v="0"/>
    <x v="0"/>
    <m/>
    <m/>
    <m/>
  </r>
  <r>
    <s v="YK263301767"/>
    <x v="10"/>
    <x v="10"/>
    <n v="1"/>
    <x v="6"/>
    <d v="2026-09-07T09:57:21"/>
    <x v="10"/>
    <x v="4"/>
    <x v="10"/>
    <s v="17IA14.80"/>
    <x v="0"/>
    <x v="0"/>
    <m/>
    <m/>
    <m/>
  </r>
  <r>
    <s v="YK263301768"/>
    <x v="10"/>
    <x v="10"/>
    <n v="1"/>
    <x v="6"/>
    <d v="2026-09-07T09:52:20"/>
    <x v="10"/>
    <x v="4"/>
    <x v="10"/>
    <s v="17IA14.80"/>
    <x v="0"/>
    <x v="0"/>
    <m/>
    <m/>
    <m/>
  </r>
  <r>
    <s v="YK263301769"/>
    <x v="9"/>
    <x v="9"/>
    <n v="1"/>
    <x v="2"/>
    <d v="2026-08-25T13:34:39"/>
    <x v="10"/>
    <x v="4"/>
    <x v="10"/>
    <s v="17IA14.80"/>
    <x v="0"/>
    <x v="0"/>
    <m/>
    <m/>
    <m/>
  </r>
  <r>
    <s v="YK263301770"/>
    <x v="6"/>
    <x v="6"/>
    <n v="1"/>
    <x v="6"/>
    <d v="2026-09-07T15:17:57"/>
    <x v="10"/>
    <x v="4"/>
    <x v="10"/>
    <s v="17IA14.80"/>
    <x v="0"/>
    <x v="0"/>
    <m/>
    <m/>
    <m/>
  </r>
  <r>
    <s v="YK263301771"/>
    <x v="7"/>
    <x v="7"/>
    <n v="1"/>
    <x v="2"/>
    <d v="2026-09-07T10:14:39"/>
    <x v="10"/>
    <x v="4"/>
    <x v="10"/>
    <s v="17IA14.80"/>
    <x v="0"/>
    <x v="0"/>
    <m/>
    <m/>
    <m/>
  </r>
  <r>
    <s v="YK263301772"/>
    <x v="7"/>
    <x v="7"/>
    <n v="1"/>
    <x v="2"/>
    <d v="2026-09-03T23:52:38"/>
    <x v="10"/>
    <x v="4"/>
    <x v="10"/>
    <s v="17IA14.80"/>
    <x v="0"/>
    <x v="0"/>
    <m/>
    <m/>
    <m/>
  </r>
  <r>
    <s v="YK263301773"/>
    <x v="7"/>
    <x v="7"/>
    <n v="1"/>
    <x v="2"/>
    <d v="2026-09-02T23:56:32"/>
    <x v="10"/>
    <x v="4"/>
    <x v="10"/>
    <s v="17IA14.80"/>
    <x v="0"/>
    <x v="0"/>
    <m/>
    <m/>
    <m/>
  </r>
  <r>
    <s v="YK263301774"/>
    <x v="2"/>
    <x v="2"/>
    <n v="1"/>
    <x v="2"/>
    <d v="2026-09-08T07:52:24"/>
    <x v="10"/>
    <x v="4"/>
    <x v="10"/>
    <s v="17IA14.80"/>
    <x v="0"/>
    <x v="0"/>
    <m/>
    <m/>
    <m/>
  </r>
  <r>
    <s v="YK263301775"/>
    <x v="10"/>
    <x v="10"/>
    <n v="1"/>
    <x v="6"/>
    <d v="2026-09-07T10:55:24"/>
    <x v="10"/>
    <x v="4"/>
    <x v="10"/>
    <s v="17IA14.80"/>
    <x v="0"/>
    <x v="0"/>
    <m/>
    <m/>
    <m/>
  </r>
  <r>
    <s v="YK263301776"/>
    <x v="7"/>
    <x v="7"/>
    <n v="1"/>
    <x v="2"/>
    <d v="2026-09-07T10:48:02"/>
    <x v="10"/>
    <x v="4"/>
    <x v="10"/>
    <s v="17IA14.80"/>
    <x v="0"/>
    <x v="0"/>
    <m/>
    <m/>
    <m/>
  </r>
  <r>
    <s v="YK263301777"/>
    <x v="7"/>
    <x v="7"/>
    <n v="1"/>
    <x v="2"/>
    <d v="2026-09-07T10:40:13"/>
    <x v="10"/>
    <x v="4"/>
    <x v="10"/>
    <s v="17IA14.80"/>
    <x v="0"/>
    <x v="0"/>
    <m/>
    <m/>
    <m/>
  </r>
  <r>
    <s v="YK263301778"/>
    <x v="7"/>
    <x v="7"/>
    <n v="1"/>
    <x v="2"/>
    <d v="2026-09-07T10:27:05"/>
    <x v="10"/>
    <x v="4"/>
    <x v="10"/>
    <s v="17IA14.80"/>
    <x v="0"/>
    <x v="0"/>
    <m/>
    <m/>
    <m/>
  </r>
  <r>
    <s v="YK263301779"/>
    <x v="7"/>
    <x v="7"/>
    <n v="1"/>
    <x v="2"/>
    <d v="2026-09-02T18:14:36"/>
    <x v="10"/>
    <x v="4"/>
    <x v="10"/>
    <s v="17IA14.80"/>
    <x v="0"/>
    <x v="0"/>
    <m/>
    <m/>
    <m/>
  </r>
  <r>
    <s v="YK263301780"/>
    <x v="7"/>
    <x v="7"/>
    <n v="1"/>
    <x v="2"/>
    <d v="2026-09-02T20:25:50"/>
    <x v="10"/>
    <x v="4"/>
    <x v="10"/>
    <s v="17IA14.80"/>
    <x v="0"/>
    <x v="0"/>
    <m/>
    <m/>
    <m/>
  </r>
  <r>
    <s v="YK263301781"/>
    <x v="9"/>
    <x v="9"/>
    <n v="1"/>
    <x v="2"/>
    <d v="2026-08-25T13:56:45"/>
    <x v="10"/>
    <x v="4"/>
    <x v="10"/>
    <s v="17IA14.80"/>
    <x v="0"/>
    <x v="0"/>
    <m/>
    <m/>
    <m/>
  </r>
  <r>
    <s v="YK263301782"/>
    <x v="7"/>
    <x v="7"/>
    <n v="1"/>
    <x v="2"/>
    <d v="2026-09-02T20:21:38"/>
    <x v="10"/>
    <x v="4"/>
    <x v="10"/>
    <s v="17IA14.80"/>
    <x v="0"/>
    <x v="0"/>
    <m/>
    <m/>
    <m/>
  </r>
  <r>
    <s v="YK263301783"/>
    <x v="7"/>
    <x v="7"/>
    <n v="1"/>
    <x v="2"/>
    <d v="2026-09-02T20:44:37"/>
    <x v="10"/>
    <x v="4"/>
    <x v="10"/>
    <s v="17IA14.80"/>
    <x v="0"/>
    <x v="0"/>
    <m/>
    <m/>
    <m/>
  </r>
  <r>
    <s v="YK263301784"/>
    <x v="9"/>
    <x v="9"/>
    <n v="1"/>
    <x v="2"/>
    <d v="2026-08-25T13:57:49"/>
    <x v="10"/>
    <x v="4"/>
    <x v="10"/>
    <s v="17IA14.80"/>
    <x v="0"/>
    <x v="0"/>
    <m/>
    <m/>
    <m/>
  </r>
  <r>
    <s v="YK263301785"/>
    <x v="7"/>
    <x v="7"/>
    <n v="1"/>
    <x v="2"/>
    <d v="2026-09-02T19:40:04"/>
    <x v="10"/>
    <x v="4"/>
    <x v="10"/>
    <s v="17IA14.80"/>
    <x v="0"/>
    <x v="0"/>
    <m/>
    <m/>
    <m/>
  </r>
  <r>
    <s v="YK263301786"/>
    <x v="7"/>
    <x v="7"/>
    <n v="1"/>
    <x v="2"/>
    <d v="2026-09-02T22:11:46"/>
    <x v="10"/>
    <x v="4"/>
    <x v="10"/>
    <s v="17IA14.80"/>
    <x v="0"/>
    <x v="0"/>
    <m/>
    <m/>
    <m/>
  </r>
  <r>
    <s v="YK263301787"/>
    <x v="7"/>
    <x v="7"/>
    <n v="1"/>
    <x v="2"/>
    <d v="2026-09-02T22:03:59"/>
    <x v="10"/>
    <x v="4"/>
    <x v="10"/>
    <s v="17IA14.80"/>
    <x v="0"/>
    <x v="0"/>
    <m/>
    <m/>
    <m/>
  </r>
  <r>
    <s v="YK263301788"/>
    <x v="7"/>
    <x v="7"/>
    <n v="1"/>
    <x v="2"/>
    <d v="2026-09-02T21:54:43"/>
    <x v="10"/>
    <x v="4"/>
    <x v="10"/>
    <s v="17IA14.80"/>
    <x v="0"/>
    <x v="0"/>
    <m/>
    <m/>
    <m/>
  </r>
  <r>
    <s v="YK263301789"/>
    <x v="7"/>
    <x v="7"/>
    <n v="1"/>
    <x v="2"/>
    <d v="2026-09-02T20:54:03"/>
    <x v="10"/>
    <x v="4"/>
    <x v="10"/>
    <s v="17IA14.80"/>
    <x v="0"/>
    <x v="0"/>
    <m/>
    <m/>
    <m/>
  </r>
  <r>
    <s v="YK263301790"/>
    <x v="7"/>
    <x v="7"/>
    <n v="1"/>
    <x v="2"/>
    <d v="2026-09-02T19:34:21"/>
    <x v="10"/>
    <x v="4"/>
    <x v="10"/>
    <s v="17IA14.80"/>
    <x v="0"/>
    <x v="0"/>
    <m/>
    <m/>
    <m/>
  </r>
  <r>
    <s v="YK263301791"/>
    <x v="9"/>
    <x v="9"/>
    <n v="1"/>
    <x v="2"/>
    <d v="2026-08-25T15:08:08"/>
    <x v="10"/>
    <x v="4"/>
    <x v="10"/>
    <s v="17IA14.80"/>
    <x v="0"/>
    <x v="0"/>
    <m/>
    <m/>
    <m/>
  </r>
  <r>
    <s v="YK263301792"/>
    <x v="7"/>
    <x v="7"/>
    <n v="1"/>
    <x v="2"/>
    <d v="2026-09-02T18:20:33"/>
    <x v="10"/>
    <x v="4"/>
    <x v="10"/>
    <s v="17IA14.80"/>
    <x v="0"/>
    <x v="0"/>
    <m/>
    <m/>
    <m/>
  </r>
  <r>
    <s v="YK263301793"/>
    <x v="7"/>
    <x v="7"/>
    <n v="1"/>
    <x v="2"/>
    <d v="2026-09-02T20:03:30"/>
    <x v="10"/>
    <x v="4"/>
    <x v="10"/>
    <s v="17IA14.80"/>
    <x v="0"/>
    <x v="0"/>
    <m/>
    <m/>
    <m/>
  </r>
  <r>
    <s v="YK263301794"/>
    <x v="7"/>
    <x v="7"/>
    <n v="1"/>
    <x v="2"/>
    <d v="2026-09-02T20:39:59"/>
    <x v="10"/>
    <x v="4"/>
    <x v="10"/>
    <s v="17IA14.80"/>
    <x v="0"/>
    <x v="0"/>
    <m/>
    <m/>
    <m/>
  </r>
  <r>
    <s v="YK263301795"/>
    <x v="7"/>
    <x v="7"/>
    <n v="1"/>
    <x v="2"/>
    <d v="2026-09-02T20:34:29"/>
    <x v="10"/>
    <x v="4"/>
    <x v="10"/>
    <s v="17IA14.80"/>
    <x v="0"/>
    <x v="0"/>
    <m/>
    <m/>
    <m/>
  </r>
  <r>
    <s v="YK263301796"/>
    <x v="7"/>
    <x v="7"/>
    <n v="1"/>
    <x v="2"/>
    <d v="2026-09-02T19:52:31"/>
    <x v="10"/>
    <x v="4"/>
    <x v="10"/>
    <s v="17IA14.80"/>
    <x v="0"/>
    <x v="0"/>
    <m/>
    <m/>
    <m/>
  </r>
  <r>
    <s v="YK263301797"/>
    <x v="7"/>
    <x v="7"/>
    <n v="1"/>
    <x v="2"/>
    <d v="2026-09-02T19:46:33"/>
    <x v="10"/>
    <x v="4"/>
    <x v="10"/>
    <s v="17IA14.80"/>
    <x v="0"/>
    <x v="0"/>
    <m/>
    <m/>
    <m/>
  </r>
  <r>
    <s v="YK263301798"/>
    <x v="7"/>
    <x v="7"/>
    <n v="1"/>
    <x v="2"/>
    <d v="2026-09-02T20:58:35"/>
    <x v="10"/>
    <x v="4"/>
    <x v="10"/>
    <s v="17IA14.80"/>
    <x v="0"/>
    <x v="0"/>
    <m/>
    <m/>
    <m/>
  </r>
  <r>
    <s v="YK263301799"/>
    <x v="7"/>
    <x v="7"/>
    <n v="1"/>
    <x v="2"/>
    <d v="2026-09-02T21:50:51"/>
    <x v="10"/>
    <x v="4"/>
    <x v="10"/>
    <s v="17IA14.80"/>
    <x v="0"/>
    <x v="0"/>
    <m/>
    <m/>
    <m/>
  </r>
  <r>
    <s v="YK263301800"/>
    <x v="7"/>
    <x v="7"/>
    <n v="1"/>
    <x v="2"/>
    <d v="2026-09-02T21:47:00"/>
    <x v="10"/>
    <x v="4"/>
    <x v="10"/>
    <s v="17IA14.80"/>
    <x v="0"/>
    <x v="0"/>
    <m/>
    <m/>
    <m/>
  </r>
  <r>
    <s v="YK263301801"/>
    <x v="7"/>
    <x v="7"/>
    <n v="1"/>
    <x v="2"/>
    <d v="2026-09-02T21:58:32"/>
    <x v="10"/>
    <x v="4"/>
    <x v="10"/>
    <s v="17IA14.80"/>
    <x v="0"/>
    <x v="0"/>
    <m/>
    <m/>
    <m/>
  </r>
  <r>
    <s v="YK263301802"/>
    <x v="7"/>
    <x v="7"/>
    <n v="1"/>
    <x v="2"/>
    <d v="2026-09-02T19:29:26"/>
    <x v="10"/>
    <x v="4"/>
    <x v="10"/>
    <s v="17IA14.80"/>
    <x v="0"/>
    <x v="0"/>
    <m/>
    <m/>
    <m/>
  </r>
  <r>
    <s v="YK263301803"/>
    <x v="2"/>
    <x v="2"/>
    <n v="1"/>
    <x v="2"/>
    <d v="2026-09-08T11:04:34"/>
    <x v="10"/>
    <x v="4"/>
    <x v="10"/>
    <s v="17IA14.80"/>
    <x v="0"/>
    <x v="0"/>
    <m/>
    <m/>
    <m/>
  </r>
  <r>
    <s v="YK263301804"/>
    <x v="7"/>
    <x v="7"/>
    <n v="1"/>
    <x v="2"/>
    <d v="2026-09-01T07:21:10"/>
    <x v="10"/>
    <x v="4"/>
    <x v="10"/>
    <s v="17IA14.80"/>
    <x v="0"/>
    <x v="0"/>
    <m/>
    <m/>
    <m/>
  </r>
  <r>
    <s v="YK263301805"/>
    <x v="2"/>
    <x v="2"/>
    <n v="1"/>
    <x v="2"/>
    <d v="2026-09-05T12:14:47"/>
    <x v="10"/>
    <x v="4"/>
    <x v="10"/>
    <s v="17IA14.80"/>
    <x v="0"/>
    <x v="0"/>
    <m/>
    <m/>
    <m/>
  </r>
  <r>
    <s v="YK263301806"/>
    <x v="7"/>
    <x v="7"/>
    <n v="1"/>
    <x v="2"/>
    <d v="2026-09-01T09:26:28"/>
    <x v="10"/>
    <x v="4"/>
    <x v="10"/>
    <s v="17IA14.80"/>
    <x v="0"/>
    <x v="0"/>
    <m/>
    <m/>
    <m/>
  </r>
  <r>
    <s v="YK263301807"/>
    <x v="7"/>
    <x v="7"/>
    <n v="1"/>
    <x v="2"/>
    <d v="2026-09-02T17:48:33"/>
    <x v="10"/>
    <x v="4"/>
    <x v="10"/>
    <s v="17IA14.80"/>
    <x v="0"/>
    <x v="0"/>
    <m/>
    <m/>
    <m/>
  </r>
  <r>
    <s v="YK263301808"/>
    <x v="7"/>
    <x v="7"/>
    <n v="1"/>
    <x v="2"/>
    <d v="2026-09-02T18:56:58"/>
    <x v="10"/>
    <x v="4"/>
    <x v="10"/>
    <s v="17IA14.80"/>
    <x v="0"/>
    <x v="0"/>
    <m/>
    <m/>
    <m/>
  </r>
  <r>
    <s v="YK263301809"/>
    <x v="9"/>
    <x v="9"/>
    <n v="1"/>
    <x v="2"/>
    <d v="2026-08-25T15:15:18"/>
    <x v="10"/>
    <x v="4"/>
    <x v="10"/>
    <s v="17IA14.80"/>
    <x v="0"/>
    <x v="0"/>
    <m/>
    <m/>
    <m/>
  </r>
  <r>
    <s v="YK263301810"/>
    <x v="9"/>
    <x v="9"/>
    <n v="1"/>
    <x v="2"/>
    <d v="2026-09-09T08:56:48"/>
    <x v="10"/>
    <x v="4"/>
    <x v="10"/>
    <s v="17IA14.80"/>
    <x v="0"/>
    <x v="0"/>
    <m/>
    <m/>
    <m/>
  </r>
  <r>
    <s v="YK263301811"/>
    <x v="9"/>
    <x v="9"/>
    <n v="1"/>
    <x v="2"/>
    <d v="2026-08-25T15:16:01"/>
    <x v="10"/>
    <x v="4"/>
    <x v="10"/>
    <s v="17IA14.80"/>
    <x v="0"/>
    <x v="0"/>
    <m/>
    <m/>
    <m/>
  </r>
  <r>
    <s v="YK263301812"/>
    <x v="2"/>
    <x v="2"/>
    <n v="1"/>
    <x v="2"/>
    <d v="2026-09-05T12:13:15"/>
    <x v="10"/>
    <x v="4"/>
    <x v="10"/>
    <s v="17IA14.80"/>
    <x v="0"/>
    <x v="0"/>
    <m/>
    <m/>
    <m/>
  </r>
  <r>
    <s v="YK263301813"/>
    <x v="7"/>
    <x v="7"/>
    <n v="1"/>
    <x v="2"/>
    <d v="2026-08-31T23:14:39"/>
    <x v="10"/>
    <x v="4"/>
    <x v="10"/>
    <s v="17IA14.80"/>
    <x v="0"/>
    <x v="0"/>
    <m/>
    <m/>
    <m/>
  </r>
  <r>
    <s v="YK263301814"/>
    <x v="9"/>
    <x v="9"/>
    <n v="1"/>
    <x v="2"/>
    <d v="2026-09-09T08:55:46"/>
    <x v="10"/>
    <x v="4"/>
    <x v="10"/>
    <s v="17IA14.80"/>
    <x v="0"/>
    <x v="0"/>
    <m/>
    <m/>
    <m/>
  </r>
  <r>
    <s v="YK263301815"/>
    <x v="7"/>
    <x v="7"/>
    <n v="1"/>
    <x v="2"/>
    <d v="2026-08-31T23:37:04"/>
    <x v="10"/>
    <x v="4"/>
    <x v="10"/>
    <s v="17IA14.80"/>
    <x v="0"/>
    <x v="0"/>
    <m/>
    <m/>
    <m/>
  </r>
  <r>
    <s v="YK263301816"/>
    <x v="10"/>
    <x v="10"/>
    <n v="1"/>
    <x v="6"/>
    <d v="2026-09-01T07:22:03"/>
    <x v="10"/>
    <x v="4"/>
    <x v="10"/>
    <s v="17IA14.80"/>
    <x v="0"/>
    <x v="0"/>
    <m/>
    <m/>
    <m/>
  </r>
  <r>
    <s v="YK263301817"/>
    <x v="7"/>
    <x v="7"/>
    <n v="1"/>
    <x v="2"/>
    <d v="2026-09-01T07:34:43"/>
    <x v="10"/>
    <x v="4"/>
    <x v="10"/>
    <s v="17IA14.80"/>
    <x v="0"/>
    <x v="0"/>
    <m/>
    <m/>
    <m/>
  </r>
  <r>
    <s v="YK263301818"/>
    <x v="7"/>
    <x v="7"/>
    <n v="1"/>
    <x v="2"/>
    <d v="2026-09-01T09:26:35"/>
    <x v="10"/>
    <x v="4"/>
    <x v="10"/>
    <s v="17IA14.80"/>
    <x v="0"/>
    <x v="0"/>
    <m/>
    <m/>
    <m/>
  </r>
  <r>
    <s v="YK263301819"/>
    <x v="10"/>
    <x v="10"/>
    <n v="1"/>
    <x v="6"/>
    <d v="2026-09-01T08:16:19"/>
    <x v="10"/>
    <x v="4"/>
    <x v="10"/>
    <s v="17IA14.80"/>
    <x v="0"/>
    <x v="0"/>
    <m/>
    <m/>
    <m/>
  </r>
  <r>
    <s v="YK263301820"/>
    <x v="9"/>
    <x v="9"/>
    <n v="1"/>
    <x v="2"/>
    <d v="2026-08-25T15:19:59"/>
    <x v="10"/>
    <x v="4"/>
    <x v="10"/>
    <s v="17IA14.80"/>
    <x v="0"/>
    <x v="0"/>
    <m/>
    <m/>
    <m/>
  </r>
  <r>
    <s v="YK263301821"/>
    <x v="9"/>
    <x v="9"/>
    <n v="1"/>
    <x v="2"/>
    <d v="2026-08-25T15:20:15"/>
    <x v="10"/>
    <x v="4"/>
    <x v="10"/>
    <s v="17IA14.80"/>
    <x v="0"/>
    <x v="0"/>
    <m/>
    <m/>
    <m/>
  </r>
  <r>
    <s v="YK263301822"/>
    <x v="7"/>
    <x v="7"/>
    <n v="1"/>
    <x v="2"/>
    <d v="2026-09-01T11:06:55"/>
    <x v="10"/>
    <x v="4"/>
    <x v="10"/>
    <s v="17IA14.80"/>
    <x v="0"/>
    <x v="0"/>
    <m/>
    <m/>
    <m/>
  </r>
  <r>
    <s v="YK263301823"/>
    <x v="9"/>
    <x v="9"/>
    <n v="1"/>
    <x v="2"/>
    <d v="2026-08-25T15:21:11"/>
    <x v="10"/>
    <x v="4"/>
    <x v="10"/>
    <s v="17IA14.80"/>
    <x v="0"/>
    <x v="0"/>
    <m/>
    <m/>
    <m/>
  </r>
  <r>
    <s v="YK263301824"/>
    <x v="7"/>
    <x v="7"/>
    <n v="1"/>
    <x v="2"/>
    <d v="2026-08-31T23:28:06"/>
    <x v="10"/>
    <x v="4"/>
    <x v="10"/>
    <s v="17IA14.80"/>
    <x v="0"/>
    <x v="0"/>
    <m/>
    <m/>
    <m/>
  </r>
  <r>
    <s v="YK263301825"/>
    <x v="7"/>
    <x v="7"/>
    <n v="1"/>
    <x v="2"/>
    <d v="2026-09-01T09:26:50"/>
    <x v="10"/>
    <x v="4"/>
    <x v="10"/>
    <s v="17IA14.80"/>
    <x v="0"/>
    <x v="0"/>
    <m/>
    <m/>
    <m/>
  </r>
  <r>
    <s v="YK263301826"/>
    <x v="7"/>
    <x v="7"/>
    <n v="1"/>
    <x v="2"/>
    <d v="2026-09-01T09:26:44"/>
    <x v="10"/>
    <x v="4"/>
    <x v="10"/>
    <s v="17IA14.80"/>
    <x v="0"/>
    <x v="0"/>
    <m/>
    <m/>
    <m/>
  </r>
  <r>
    <s v="YK263301827"/>
    <x v="2"/>
    <x v="2"/>
    <n v="1"/>
    <x v="2"/>
    <d v="2026-09-01T07:19:12"/>
    <x v="10"/>
    <x v="4"/>
    <x v="10"/>
    <s v="17IA14.80"/>
    <x v="0"/>
    <x v="0"/>
    <m/>
    <m/>
    <m/>
  </r>
  <r>
    <s v="YK263301828"/>
    <x v="2"/>
    <x v="2"/>
    <n v="1"/>
    <x v="2"/>
    <d v="2026-09-01T07:18:15"/>
    <x v="10"/>
    <x v="4"/>
    <x v="10"/>
    <s v="17IA14.80"/>
    <x v="0"/>
    <x v="0"/>
    <m/>
    <m/>
    <m/>
  </r>
  <r>
    <s v="YK263301829"/>
    <x v="2"/>
    <x v="2"/>
    <n v="1"/>
    <x v="2"/>
    <d v="2026-09-01T07:19:06"/>
    <x v="10"/>
    <x v="4"/>
    <x v="10"/>
    <s v="17IA14.80"/>
    <x v="0"/>
    <x v="0"/>
    <m/>
    <m/>
    <m/>
  </r>
  <r>
    <s v="YK263301830"/>
    <x v="4"/>
    <x v="4"/>
    <n v="1"/>
    <x v="4"/>
    <d v="2026-09-01T15:05:31"/>
    <x v="10"/>
    <x v="4"/>
    <x v="10"/>
    <s v="17IA14.80"/>
    <x v="0"/>
    <x v="0"/>
    <m/>
    <m/>
    <m/>
  </r>
  <r>
    <s v="YK263301831"/>
    <x v="2"/>
    <x v="2"/>
    <n v="1"/>
    <x v="2"/>
    <d v="2026-09-01T07:18:26"/>
    <x v="10"/>
    <x v="4"/>
    <x v="10"/>
    <s v="17IA14.80"/>
    <x v="0"/>
    <x v="0"/>
    <m/>
    <m/>
    <m/>
  </r>
  <r>
    <s v="YK263301832"/>
    <x v="10"/>
    <x v="10"/>
    <n v="1"/>
    <x v="6"/>
    <d v="2026-08-29T11:12:54"/>
    <x v="10"/>
    <x v="4"/>
    <x v="10"/>
    <s v="17IA14.80"/>
    <x v="0"/>
    <x v="0"/>
    <m/>
    <m/>
    <m/>
  </r>
  <r>
    <s v="YK263301833"/>
    <x v="4"/>
    <x v="4"/>
    <n v="1"/>
    <x v="4"/>
    <d v="2026-09-01T14:46:32"/>
    <x v="10"/>
    <x v="4"/>
    <x v="10"/>
    <s v="17IA14.80"/>
    <x v="0"/>
    <x v="0"/>
    <m/>
    <m/>
    <m/>
  </r>
  <r>
    <s v="YK263301834"/>
    <x v="2"/>
    <x v="2"/>
    <n v="1"/>
    <x v="2"/>
    <d v="2026-09-05T12:16:11"/>
    <x v="10"/>
    <x v="4"/>
    <x v="10"/>
    <s v="17IA14.80"/>
    <x v="0"/>
    <x v="0"/>
    <m/>
    <m/>
    <m/>
  </r>
  <r>
    <s v="YK263301835"/>
    <x v="4"/>
    <x v="4"/>
    <n v="1"/>
    <x v="4"/>
    <d v="2026-09-01T14:39:41"/>
    <x v="10"/>
    <x v="4"/>
    <x v="10"/>
    <s v="17IA14.80"/>
    <x v="0"/>
    <x v="0"/>
    <m/>
    <m/>
    <m/>
  </r>
  <r>
    <s v="YK263301836"/>
    <x v="2"/>
    <x v="2"/>
    <n v="1"/>
    <x v="2"/>
    <d v="2026-09-08T11:04:49"/>
    <x v="10"/>
    <x v="4"/>
    <x v="10"/>
    <s v="17IA14.80"/>
    <x v="0"/>
    <x v="0"/>
    <m/>
    <m/>
    <m/>
  </r>
  <r>
    <s v="YK263301837"/>
    <x v="7"/>
    <x v="7"/>
    <n v="1"/>
    <x v="2"/>
    <d v="2026-08-28T23:14:40"/>
    <x v="10"/>
    <x v="4"/>
    <x v="10"/>
    <s v="17IA14.80"/>
    <x v="0"/>
    <x v="0"/>
    <m/>
    <m/>
    <m/>
  </r>
  <r>
    <s v="YK263301838"/>
    <x v="7"/>
    <x v="7"/>
    <n v="1"/>
    <x v="2"/>
    <d v="2026-08-29T12:20:49"/>
    <x v="10"/>
    <x v="4"/>
    <x v="10"/>
    <s v="17IA14.80"/>
    <x v="0"/>
    <x v="0"/>
    <m/>
    <m/>
    <m/>
  </r>
  <r>
    <s v="YK263301839"/>
    <x v="7"/>
    <x v="7"/>
    <n v="1"/>
    <x v="2"/>
    <d v="2026-08-28T23:26:05"/>
    <x v="10"/>
    <x v="4"/>
    <x v="10"/>
    <s v="17IA14.80"/>
    <x v="0"/>
    <x v="0"/>
    <m/>
    <m/>
    <m/>
  </r>
  <r>
    <s v="YK263301840"/>
    <x v="7"/>
    <x v="7"/>
    <n v="1"/>
    <x v="2"/>
    <d v="2026-08-31T22:55:43"/>
    <x v="10"/>
    <x v="4"/>
    <x v="10"/>
    <s v="17IA14.80"/>
    <x v="0"/>
    <x v="0"/>
    <m/>
    <m/>
    <m/>
  </r>
  <r>
    <s v="YK263301841"/>
    <x v="7"/>
    <x v="7"/>
    <n v="1"/>
    <x v="2"/>
    <d v="2026-09-01T06:44:10"/>
    <x v="10"/>
    <x v="4"/>
    <x v="10"/>
    <s v="17IA14.80"/>
    <x v="0"/>
    <x v="0"/>
    <m/>
    <m/>
    <m/>
  </r>
  <r>
    <s v="YK263301842"/>
    <x v="7"/>
    <x v="7"/>
    <n v="1"/>
    <x v="2"/>
    <d v="2026-08-31T13:49:50"/>
    <x v="10"/>
    <x v="4"/>
    <x v="10"/>
    <s v="17IA14.80"/>
    <x v="0"/>
    <x v="0"/>
    <m/>
    <m/>
    <m/>
  </r>
  <r>
    <s v="YK263301843"/>
    <x v="7"/>
    <x v="7"/>
    <n v="1"/>
    <x v="2"/>
    <d v="2026-09-01T06:48:22"/>
    <x v="10"/>
    <x v="4"/>
    <x v="10"/>
    <s v="17IA14.80"/>
    <x v="0"/>
    <x v="0"/>
    <m/>
    <m/>
    <m/>
  </r>
  <r>
    <s v="YK263301844"/>
    <x v="7"/>
    <x v="7"/>
    <n v="1"/>
    <x v="2"/>
    <d v="2026-09-01T07:21:19"/>
    <x v="10"/>
    <x v="4"/>
    <x v="10"/>
    <s v="17IA14.80"/>
    <x v="0"/>
    <x v="0"/>
    <m/>
    <m/>
    <m/>
  </r>
  <r>
    <s v="YK263301845"/>
    <x v="2"/>
    <x v="2"/>
    <n v="1"/>
    <x v="2"/>
    <d v="2026-09-08T11:04:14"/>
    <x v="10"/>
    <x v="4"/>
    <x v="10"/>
    <s v="17IA14.80"/>
    <x v="0"/>
    <x v="0"/>
    <m/>
    <m/>
    <m/>
  </r>
  <r>
    <s v="YK263301846"/>
    <x v="7"/>
    <x v="7"/>
    <n v="1"/>
    <x v="2"/>
    <d v="2026-09-01T07:21:15"/>
    <x v="10"/>
    <x v="4"/>
    <x v="10"/>
    <s v="17IA14.80"/>
    <x v="0"/>
    <x v="0"/>
    <m/>
    <m/>
    <m/>
  </r>
  <r>
    <s v="YK263301847"/>
    <x v="7"/>
    <x v="7"/>
    <n v="1"/>
    <x v="2"/>
    <d v="2026-08-31T14:14:30"/>
    <x v="10"/>
    <x v="4"/>
    <x v="10"/>
    <s v="17IA14.80"/>
    <x v="0"/>
    <x v="0"/>
    <m/>
    <m/>
    <m/>
  </r>
  <r>
    <s v="YK263301848"/>
    <x v="7"/>
    <x v="7"/>
    <n v="1"/>
    <x v="2"/>
    <d v="2026-08-31T14:10:49"/>
    <x v="10"/>
    <x v="4"/>
    <x v="10"/>
    <s v="17IA14.80"/>
    <x v="0"/>
    <x v="0"/>
    <m/>
    <m/>
    <m/>
  </r>
  <r>
    <s v="YK263301849"/>
    <x v="7"/>
    <x v="7"/>
    <n v="1"/>
    <x v="2"/>
    <d v="2026-08-31T14:07:04"/>
    <x v="10"/>
    <x v="4"/>
    <x v="10"/>
    <s v="17IA14.80"/>
    <x v="0"/>
    <x v="0"/>
    <m/>
    <m/>
    <m/>
  </r>
  <r>
    <s v="YK263301850"/>
    <x v="9"/>
    <x v="9"/>
    <n v="1"/>
    <x v="2"/>
    <d v="2026-08-26T14:23:54"/>
    <x v="10"/>
    <x v="4"/>
    <x v="10"/>
    <s v="17IA14.80"/>
    <x v="0"/>
    <x v="0"/>
    <m/>
    <m/>
    <m/>
  </r>
  <r>
    <s v="YK263301851"/>
    <x v="7"/>
    <x v="7"/>
    <n v="1"/>
    <x v="2"/>
    <d v="2026-08-31T14:02:43"/>
    <x v="10"/>
    <x v="4"/>
    <x v="10"/>
    <s v="17IA14.80"/>
    <x v="0"/>
    <x v="0"/>
    <m/>
    <m/>
    <m/>
  </r>
  <r>
    <s v="YK263301852"/>
    <x v="7"/>
    <x v="7"/>
    <n v="1"/>
    <x v="2"/>
    <d v="2026-08-28T23:51:17"/>
    <x v="10"/>
    <x v="4"/>
    <x v="10"/>
    <s v="17IA14.80"/>
    <x v="0"/>
    <x v="0"/>
    <m/>
    <m/>
    <m/>
  </r>
  <r>
    <s v="YK263301853"/>
    <x v="9"/>
    <x v="9"/>
    <n v="1"/>
    <x v="2"/>
    <d v="2026-08-26T14:29:45"/>
    <x v="10"/>
    <x v="4"/>
    <x v="10"/>
    <s v="17IA14.80"/>
    <x v="0"/>
    <x v="0"/>
    <m/>
    <m/>
    <m/>
  </r>
  <r>
    <s v="YK263301854"/>
    <x v="7"/>
    <x v="7"/>
    <n v="1"/>
    <x v="2"/>
    <d v="2026-08-29T00:15:24"/>
    <x v="10"/>
    <x v="4"/>
    <x v="10"/>
    <s v="17IA14.80"/>
    <x v="0"/>
    <x v="0"/>
    <m/>
    <m/>
    <m/>
  </r>
  <r>
    <s v="YK263301855"/>
    <x v="7"/>
    <x v="7"/>
    <n v="1"/>
    <x v="2"/>
    <d v="2026-08-29T08:07:37"/>
    <x v="10"/>
    <x v="4"/>
    <x v="10"/>
    <s v="17IA14.80"/>
    <x v="0"/>
    <x v="0"/>
    <m/>
    <m/>
    <m/>
  </r>
  <r>
    <s v="YK263301856"/>
    <x v="2"/>
    <x v="2"/>
    <n v="1"/>
    <x v="2"/>
    <d v="2026-09-01T07:19:38"/>
    <x v="10"/>
    <x v="4"/>
    <x v="10"/>
    <s v="17IA14.80"/>
    <x v="0"/>
    <x v="0"/>
    <m/>
    <m/>
    <m/>
  </r>
  <r>
    <s v="YK263301857"/>
    <x v="2"/>
    <x v="2"/>
    <n v="1"/>
    <x v="2"/>
    <d v="2026-09-01T07:19:46"/>
    <x v="10"/>
    <x v="4"/>
    <x v="10"/>
    <s v="17IA14.80"/>
    <x v="0"/>
    <x v="0"/>
    <m/>
    <m/>
    <m/>
  </r>
  <r>
    <s v="YK263301858"/>
    <x v="7"/>
    <x v="7"/>
    <n v="1"/>
    <x v="2"/>
    <d v="2026-08-29T08:16:15"/>
    <x v="10"/>
    <x v="4"/>
    <x v="10"/>
    <s v="17IA14.80"/>
    <x v="0"/>
    <x v="0"/>
    <m/>
    <m/>
    <m/>
  </r>
  <r>
    <s v="YK263301859"/>
    <x v="2"/>
    <x v="2"/>
    <n v="1"/>
    <x v="2"/>
    <d v="2026-09-01T07:19:15"/>
    <x v="10"/>
    <x v="4"/>
    <x v="10"/>
    <s v="17IA14.80"/>
    <x v="0"/>
    <x v="0"/>
    <m/>
    <m/>
    <m/>
  </r>
  <r>
    <s v="YK263301860"/>
    <x v="2"/>
    <x v="2"/>
    <n v="1"/>
    <x v="2"/>
    <d v="2026-09-05T08:14:34"/>
    <x v="10"/>
    <x v="4"/>
    <x v="10"/>
    <s v="17IA14.80"/>
    <x v="0"/>
    <x v="0"/>
    <m/>
    <m/>
    <m/>
  </r>
  <r>
    <s v="YK263301861"/>
    <x v="2"/>
    <x v="2"/>
    <n v="1"/>
    <x v="2"/>
    <d v="2026-09-01T07:18:08"/>
    <x v="10"/>
    <x v="4"/>
    <x v="10"/>
    <s v="17IA14.80"/>
    <x v="0"/>
    <x v="0"/>
    <m/>
    <m/>
    <m/>
  </r>
  <r>
    <s v="YK263301862"/>
    <x v="7"/>
    <x v="7"/>
    <n v="1"/>
    <x v="2"/>
    <d v="2026-08-29T08:44:02"/>
    <x v="10"/>
    <x v="4"/>
    <x v="10"/>
    <s v="17IA14.80"/>
    <x v="0"/>
    <x v="0"/>
    <m/>
    <m/>
    <m/>
  </r>
  <r>
    <s v="YK263301863"/>
    <x v="2"/>
    <x v="2"/>
    <n v="1"/>
    <x v="2"/>
    <d v="2026-09-01T07:20:15"/>
    <x v="10"/>
    <x v="4"/>
    <x v="10"/>
    <s v="17IA14.80"/>
    <x v="0"/>
    <x v="0"/>
    <m/>
    <m/>
    <m/>
  </r>
  <r>
    <s v="YK263301864"/>
    <x v="7"/>
    <x v="7"/>
    <n v="1"/>
    <x v="2"/>
    <d v="2026-08-29T08:29:08"/>
    <x v="10"/>
    <x v="4"/>
    <x v="10"/>
    <s v="17IA14.80"/>
    <x v="0"/>
    <x v="0"/>
    <m/>
    <m/>
    <m/>
  </r>
  <r>
    <s v="YK263301865"/>
    <x v="2"/>
    <x v="2"/>
    <n v="1"/>
    <x v="2"/>
    <d v="2026-09-01T07:19:55"/>
    <x v="10"/>
    <x v="4"/>
    <x v="10"/>
    <s v="17IA14.80"/>
    <x v="0"/>
    <x v="0"/>
    <m/>
    <m/>
    <m/>
  </r>
  <r>
    <s v="YK263301866"/>
    <x v="2"/>
    <x v="2"/>
    <n v="1"/>
    <x v="2"/>
    <d v="2026-09-05T12:17:35"/>
    <x v="10"/>
    <x v="4"/>
    <x v="10"/>
    <s v="17IA14.80"/>
    <x v="0"/>
    <x v="0"/>
    <m/>
    <m/>
    <m/>
  </r>
  <r>
    <s v="YK263301867"/>
    <x v="4"/>
    <x v="4"/>
    <n v="1"/>
    <x v="4"/>
    <d v="2026-09-01T14:34:28"/>
    <x v="10"/>
    <x v="4"/>
    <x v="10"/>
    <s v="17IA14.80"/>
    <x v="0"/>
    <x v="0"/>
    <m/>
    <m/>
    <m/>
  </r>
  <r>
    <s v="YK263301868"/>
    <x v="2"/>
    <x v="2"/>
    <n v="1"/>
    <x v="2"/>
    <d v="2026-09-01T07:18:35"/>
    <x v="10"/>
    <x v="4"/>
    <x v="10"/>
    <s v="17IA14.80"/>
    <x v="0"/>
    <x v="0"/>
    <m/>
    <m/>
    <m/>
  </r>
  <r>
    <s v="YK263301869"/>
    <x v="10"/>
    <x v="10"/>
    <n v="1"/>
    <x v="6"/>
    <d v="2026-08-29T12:30:40"/>
    <x v="10"/>
    <x v="4"/>
    <x v="10"/>
    <s v="17IA14.80"/>
    <x v="0"/>
    <x v="0"/>
    <m/>
    <m/>
    <m/>
  </r>
  <r>
    <s v="YK263301870"/>
    <x v="2"/>
    <x v="2"/>
    <n v="1"/>
    <x v="2"/>
    <d v="2026-09-01T07:19:32"/>
    <x v="10"/>
    <x v="4"/>
    <x v="10"/>
    <s v="17IA14.80"/>
    <x v="0"/>
    <x v="0"/>
    <m/>
    <m/>
    <m/>
  </r>
  <r>
    <s v="YK263301871"/>
    <x v="10"/>
    <x v="10"/>
    <n v="1"/>
    <x v="6"/>
    <d v="2026-08-29T10:12:13"/>
    <x v="10"/>
    <x v="4"/>
    <x v="10"/>
    <s v="17IA14.80"/>
    <x v="0"/>
    <x v="0"/>
    <m/>
    <m/>
    <m/>
  </r>
  <r>
    <s v="YK263301872"/>
    <x v="7"/>
    <x v="7"/>
    <n v="1"/>
    <x v="2"/>
    <d v="2026-08-29T12:43:08"/>
    <x v="10"/>
    <x v="4"/>
    <x v="10"/>
    <s v="17IA14.80"/>
    <x v="0"/>
    <x v="0"/>
    <m/>
    <m/>
    <m/>
  </r>
  <r>
    <s v="YK263301873"/>
    <x v="7"/>
    <x v="7"/>
    <n v="1"/>
    <x v="2"/>
    <d v="2026-08-29T12:40:45"/>
    <x v="10"/>
    <x v="4"/>
    <x v="10"/>
    <s v="17IA14.80"/>
    <x v="0"/>
    <x v="0"/>
    <m/>
    <m/>
    <m/>
  </r>
  <r>
    <s v="YK263301874"/>
    <x v="2"/>
    <x v="2"/>
    <n v="1"/>
    <x v="2"/>
    <d v="2026-09-01T07:19:24"/>
    <x v="10"/>
    <x v="4"/>
    <x v="10"/>
    <s v="17IA14.80"/>
    <x v="0"/>
    <x v="0"/>
    <m/>
    <m/>
    <m/>
  </r>
  <r>
    <s v="YK263301875"/>
    <x v="7"/>
    <x v="7"/>
    <n v="1"/>
    <x v="2"/>
    <d v="2026-08-28T11:59:30"/>
    <x v="10"/>
    <x v="4"/>
    <x v="10"/>
    <s v="17IA14.80"/>
    <x v="0"/>
    <x v="0"/>
    <m/>
    <m/>
    <m/>
  </r>
  <r>
    <s v="YK263301876"/>
    <x v="7"/>
    <x v="7"/>
    <n v="1"/>
    <x v="2"/>
    <d v="2026-08-28T11:59:26"/>
    <x v="10"/>
    <x v="4"/>
    <x v="10"/>
    <s v="17IA14.80"/>
    <x v="0"/>
    <x v="0"/>
    <m/>
    <m/>
    <m/>
  </r>
  <r>
    <s v="YK263301877"/>
    <x v="7"/>
    <x v="7"/>
    <n v="1"/>
    <x v="2"/>
    <d v="2026-08-28T12:33:07"/>
    <x v="10"/>
    <x v="4"/>
    <x v="10"/>
    <s v="17IA14.80"/>
    <x v="0"/>
    <x v="0"/>
    <m/>
    <m/>
    <m/>
  </r>
  <r>
    <s v="YK263301878"/>
    <x v="7"/>
    <x v="7"/>
    <n v="1"/>
    <x v="2"/>
    <d v="2026-08-28T11:46:13"/>
    <x v="10"/>
    <x v="4"/>
    <x v="10"/>
    <s v="17IA14.80"/>
    <x v="0"/>
    <x v="0"/>
    <m/>
    <m/>
    <m/>
  </r>
  <r>
    <s v="YK263301879"/>
    <x v="7"/>
    <x v="7"/>
    <n v="1"/>
    <x v="2"/>
    <d v="2026-08-28T11:59:21"/>
    <x v="10"/>
    <x v="4"/>
    <x v="10"/>
    <s v="17IA14.80"/>
    <x v="0"/>
    <x v="0"/>
    <m/>
    <m/>
    <m/>
  </r>
  <r>
    <s v="YK263301880"/>
    <x v="6"/>
    <x v="6"/>
    <n v="1"/>
    <x v="6"/>
    <d v="2026-09-07T21:30:43"/>
    <x v="10"/>
    <x v="4"/>
    <x v="10"/>
    <s v="17IA14.80"/>
    <x v="0"/>
    <x v="0"/>
    <m/>
    <m/>
    <m/>
  </r>
  <r>
    <s v="YK263301881"/>
    <x v="7"/>
    <x v="7"/>
    <n v="1"/>
    <x v="2"/>
    <d v="2026-08-28T11:45:19"/>
    <x v="10"/>
    <x v="4"/>
    <x v="10"/>
    <s v="17IA14.80"/>
    <x v="0"/>
    <x v="0"/>
    <m/>
    <m/>
    <m/>
  </r>
  <r>
    <s v="YK263301882"/>
    <x v="6"/>
    <x v="6"/>
    <n v="1"/>
    <x v="6"/>
    <d v="2026-09-07T21:16:09"/>
    <x v="10"/>
    <x v="4"/>
    <x v="10"/>
    <s v="17IA14.80"/>
    <x v="0"/>
    <x v="0"/>
    <m/>
    <m/>
    <m/>
  </r>
  <r>
    <s v="YK263301883"/>
    <x v="2"/>
    <x v="2"/>
    <n v="1"/>
    <x v="2"/>
    <d v="2026-09-08T07:38:53"/>
    <x v="10"/>
    <x v="4"/>
    <x v="10"/>
    <s v="17IA14.80"/>
    <x v="0"/>
    <x v="0"/>
    <m/>
    <m/>
    <m/>
  </r>
  <r>
    <s v="YK263301884"/>
    <x v="6"/>
    <x v="6"/>
    <n v="1"/>
    <x v="6"/>
    <d v="2026-09-07T21:53:09"/>
    <x v="10"/>
    <x v="4"/>
    <x v="10"/>
    <s v="17IA14.80"/>
    <x v="0"/>
    <x v="0"/>
    <m/>
    <m/>
    <m/>
  </r>
  <r>
    <s v="YK263301885"/>
    <x v="2"/>
    <x v="2"/>
    <n v="1"/>
    <x v="2"/>
    <d v="2026-09-08T07:40:54"/>
    <x v="10"/>
    <x v="4"/>
    <x v="10"/>
    <s v="17IA14.80"/>
    <x v="0"/>
    <x v="0"/>
    <m/>
    <m/>
    <m/>
  </r>
  <r>
    <s v="YK263301886"/>
    <x v="6"/>
    <x v="6"/>
    <n v="1"/>
    <x v="6"/>
    <d v="2026-09-07T21:47:48"/>
    <x v="10"/>
    <x v="4"/>
    <x v="10"/>
    <s v="17IA14.80"/>
    <x v="0"/>
    <x v="0"/>
    <m/>
    <m/>
    <m/>
  </r>
  <r>
    <s v="YK263301887"/>
    <x v="11"/>
    <x v="11"/>
    <n v="1"/>
    <x v="4"/>
    <d v="2026-09-09T10:56:39"/>
    <x v="10"/>
    <x v="4"/>
    <x v="10"/>
    <s v="17IA14.80"/>
    <x v="0"/>
    <x v="0"/>
    <m/>
    <m/>
    <m/>
  </r>
  <r>
    <s v="YK263301888"/>
    <x v="7"/>
    <x v="7"/>
    <n v="1"/>
    <x v="2"/>
    <d v="2026-08-28T14:23:04"/>
    <x v="10"/>
    <x v="4"/>
    <x v="10"/>
    <s v="17IA14.80"/>
    <x v="0"/>
    <x v="0"/>
    <m/>
    <m/>
    <m/>
  </r>
  <r>
    <s v="YK263301889"/>
    <x v="7"/>
    <x v="7"/>
    <n v="1"/>
    <x v="2"/>
    <d v="2026-08-28T14:23:19"/>
    <x v="10"/>
    <x v="4"/>
    <x v="10"/>
    <s v="17IA14.80"/>
    <x v="0"/>
    <x v="0"/>
    <m/>
    <m/>
    <m/>
  </r>
  <r>
    <s v="YK263301890"/>
    <x v="7"/>
    <x v="7"/>
    <n v="1"/>
    <x v="2"/>
    <d v="2026-08-28T14:22:59"/>
    <x v="10"/>
    <x v="4"/>
    <x v="10"/>
    <s v="17IA14.80"/>
    <x v="0"/>
    <x v="0"/>
    <m/>
    <m/>
    <m/>
  </r>
  <r>
    <s v="YK263301891"/>
    <x v="7"/>
    <x v="7"/>
    <n v="1"/>
    <x v="2"/>
    <d v="2026-08-28T14:23:14"/>
    <x v="10"/>
    <x v="4"/>
    <x v="10"/>
    <s v="17IA14.80"/>
    <x v="0"/>
    <x v="0"/>
    <m/>
    <m/>
    <m/>
  </r>
  <r>
    <s v="YK263301892"/>
    <x v="7"/>
    <x v="7"/>
    <n v="1"/>
    <x v="2"/>
    <d v="2026-08-28T14:22:54"/>
    <x v="10"/>
    <x v="4"/>
    <x v="10"/>
    <s v="17IA14.80"/>
    <x v="0"/>
    <x v="0"/>
    <m/>
    <m/>
    <m/>
  </r>
  <r>
    <s v="YK263301893"/>
    <x v="7"/>
    <x v="7"/>
    <n v="1"/>
    <x v="2"/>
    <d v="2026-08-28T23:39:39"/>
    <x v="10"/>
    <x v="4"/>
    <x v="10"/>
    <s v="17IA14.80"/>
    <x v="0"/>
    <x v="0"/>
    <m/>
    <m/>
    <m/>
  </r>
  <r>
    <s v="YK263301894"/>
    <x v="9"/>
    <x v="9"/>
    <n v="1"/>
    <x v="2"/>
    <d v="2026-08-26T15:25:14"/>
    <x v="10"/>
    <x v="4"/>
    <x v="10"/>
    <s v="17IA14.80"/>
    <x v="0"/>
    <x v="0"/>
    <m/>
    <m/>
    <m/>
  </r>
  <r>
    <s v="YK263301895"/>
    <x v="2"/>
    <x v="2"/>
    <n v="1"/>
    <x v="2"/>
    <d v="2026-09-08T11:04:41"/>
    <x v="10"/>
    <x v="4"/>
    <x v="10"/>
    <s v="17IA14.80"/>
    <x v="0"/>
    <x v="0"/>
    <m/>
    <m/>
    <m/>
  </r>
  <r>
    <s v="YK263301896"/>
    <x v="2"/>
    <x v="2"/>
    <n v="1"/>
    <x v="2"/>
    <d v="2026-09-08T11:04:28"/>
    <x v="10"/>
    <x v="4"/>
    <x v="10"/>
    <s v="17IA14.80"/>
    <x v="0"/>
    <x v="0"/>
    <m/>
    <m/>
    <m/>
  </r>
  <r>
    <s v="YK263301897"/>
    <x v="7"/>
    <x v="7"/>
    <n v="1"/>
    <x v="2"/>
    <d v="2026-08-28T10:58:42"/>
    <x v="10"/>
    <x v="4"/>
    <x v="10"/>
    <s v="17IA14.80"/>
    <x v="0"/>
    <x v="0"/>
    <m/>
    <m/>
    <m/>
  </r>
  <r>
    <s v="YK263301898"/>
    <x v="7"/>
    <x v="7"/>
    <n v="1"/>
    <x v="2"/>
    <d v="2026-08-28T22:24:15"/>
    <x v="10"/>
    <x v="4"/>
    <x v="10"/>
    <s v="17IA14.80"/>
    <x v="0"/>
    <x v="0"/>
    <m/>
    <m/>
    <m/>
  </r>
  <r>
    <s v="YK263301899"/>
    <x v="7"/>
    <x v="7"/>
    <n v="1"/>
    <x v="2"/>
    <d v="2026-08-28T23:43:48"/>
    <x v="10"/>
    <x v="4"/>
    <x v="10"/>
    <s v="17IA14.80"/>
    <x v="0"/>
    <x v="0"/>
    <m/>
    <m/>
    <m/>
  </r>
  <r>
    <s v="YK263301900"/>
    <x v="7"/>
    <x v="7"/>
    <n v="1"/>
    <x v="2"/>
    <d v="2026-08-28T11:45:54"/>
    <x v="10"/>
    <x v="4"/>
    <x v="10"/>
    <s v="17IA14.80"/>
    <x v="0"/>
    <x v="0"/>
    <m/>
    <m/>
    <m/>
  </r>
  <r>
    <s v="YK263301901"/>
    <x v="7"/>
    <x v="7"/>
    <n v="1"/>
    <x v="2"/>
    <d v="2026-08-28T11:03:08"/>
    <x v="10"/>
    <x v="4"/>
    <x v="10"/>
    <s v="17IA14.80"/>
    <x v="0"/>
    <x v="0"/>
    <m/>
    <m/>
    <m/>
  </r>
  <r>
    <s v="YK263301902"/>
    <x v="7"/>
    <x v="7"/>
    <n v="1"/>
    <x v="2"/>
    <d v="2026-08-29T00:21:32"/>
    <x v="10"/>
    <x v="4"/>
    <x v="10"/>
    <s v="17IA14.80"/>
    <x v="0"/>
    <x v="0"/>
    <m/>
    <m/>
    <m/>
  </r>
  <r>
    <s v="YK263301903"/>
    <x v="7"/>
    <x v="7"/>
    <n v="1"/>
    <x v="2"/>
    <d v="2026-08-28T11:46:02"/>
    <x v="10"/>
    <x v="4"/>
    <x v="10"/>
    <s v="17IA14.80"/>
    <x v="0"/>
    <x v="0"/>
    <m/>
    <m/>
    <m/>
  </r>
  <r>
    <s v="YK263301904"/>
    <x v="7"/>
    <x v="7"/>
    <n v="1"/>
    <x v="2"/>
    <d v="2026-08-28T23:56:01"/>
    <x v="10"/>
    <x v="4"/>
    <x v="10"/>
    <s v="17IA14.80"/>
    <x v="0"/>
    <x v="0"/>
    <m/>
    <m/>
    <m/>
  </r>
  <r>
    <s v="YK263301905"/>
    <x v="7"/>
    <x v="7"/>
    <n v="1"/>
    <x v="2"/>
    <d v="2026-08-29T00:01:00"/>
    <x v="10"/>
    <x v="4"/>
    <x v="10"/>
    <s v="17IA14.80"/>
    <x v="0"/>
    <x v="0"/>
    <m/>
    <m/>
    <m/>
  </r>
  <r>
    <s v="YK263301906"/>
    <x v="7"/>
    <x v="7"/>
    <n v="1"/>
    <x v="2"/>
    <d v="2026-08-28T11:45:24"/>
    <x v="10"/>
    <x v="4"/>
    <x v="10"/>
    <s v="17IA14.80"/>
    <x v="0"/>
    <x v="0"/>
    <m/>
    <m/>
    <m/>
  </r>
  <r>
    <s v="YK263301907"/>
    <x v="10"/>
    <x v="10"/>
    <n v="1"/>
    <x v="6"/>
    <d v="2026-08-28T11:04:15"/>
    <x v="10"/>
    <x v="4"/>
    <x v="10"/>
    <s v="17IA14.80"/>
    <x v="0"/>
    <x v="0"/>
    <m/>
    <m/>
    <m/>
  </r>
  <r>
    <s v="YK263301908"/>
    <x v="7"/>
    <x v="7"/>
    <n v="1"/>
    <x v="2"/>
    <d v="2026-08-28T10:58:47"/>
    <x v="10"/>
    <x v="4"/>
    <x v="10"/>
    <s v="17IA14.80"/>
    <x v="0"/>
    <x v="0"/>
    <m/>
    <m/>
    <m/>
  </r>
  <r>
    <s v="YK263301909"/>
    <x v="7"/>
    <x v="7"/>
    <n v="1"/>
    <x v="2"/>
    <d v="2026-08-28T11:46:08"/>
    <x v="10"/>
    <x v="4"/>
    <x v="10"/>
    <s v="17IA14.80"/>
    <x v="0"/>
    <x v="0"/>
    <m/>
    <m/>
    <m/>
  </r>
  <r>
    <s v="YK263301910"/>
    <x v="7"/>
    <x v="7"/>
    <n v="1"/>
    <x v="2"/>
    <d v="2026-08-29T00:19:55"/>
    <x v="10"/>
    <x v="4"/>
    <x v="10"/>
    <s v="17IA14.80"/>
    <x v="0"/>
    <x v="0"/>
    <m/>
    <m/>
    <m/>
  </r>
  <r>
    <s v="YK263301911"/>
    <x v="2"/>
    <x v="2"/>
    <n v="1"/>
    <x v="2"/>
    <d v="2026-09-08T11:04:20"/>
    <x v="10"/>
    <x v="4"/>
    <x v="10"/>
    <s v="17IA14.80"/>
    <x v="0"/>
    <x v="0"/>
    <m/>
    <m/>
    <m/>
  </r>
  <r>
    <s v="YK263301912"/>
    <x v="7"/>
    <x v="7"/>
    <n v="1"/>
    <x v="2"/>
    <d v="2026-08-28T22:48:54"/>
    <x v="10"/>
    <x v="4"/>
    <x v="10"/>
    <s v="17IA14.80"/>
    <x v="0"/>
    <x v="0"/>
    <m/>
    <m/>
    <m/>
  </r>
  <r>
    <s v="YK263301913"/>
    <x v="7"/>
    <x v="7"/>
    <n v="1"/>
    <x v="2"/>
    <d v="2026-08-29T00:10:09"/>
    <x v="10"/>
    <x v="4"/>
    <x v="10"/>
    <s v="17IA14.80"/>
    <x v="0"/>
    <x v="0"/>
    <m/>
    <m/>
    <m/>
  </r>
  <r>
    <s v="YK263301914"/>
    <x v="7"/>
    <x v="7"/>
    <n v="1"/>
    <x v="2"/>
    <d v="2026-08-29T07:00:31"/>
    <x v="10"/>
    <x v="4"/>
    <x v="10"/>
    <s v="17IA14.80"/>
    <x v="0"/>
    <x v="0"/>
    <m/>
    <m/>
    <m/>
  </r>
  <r>
    <s v="YK263301915"/>
    <x v="2"/>
    <x v="2"/>
    <n v="1"/>
    <x v="2"/>
    <d v="2026-09-01T07:20:09"/>
    <x v="10"/>
    <x v="4"/>
    <x v="10"/>
    <s v="17IA14.80"/>
    <x v="0"/>
    <x v="0"/>
    <m/>
    <m/>
    <m/>
  </r>
  <r>
    <s v="YK263301916"/>
    <x v="2"/>
    <x v="2"/>
    <n v="1"/>
    <x v="2"/>
    <d v="2026-09-08T07:42:28"/>
    <x v="10"/>
    <x v="4"/>
    <x v="10"/>
    <s v="17IA14.80"/>
    <x v="0"/>
    <x v="0"/>
    <m/>
    <m/>
    <m/>
  </r>
  <r>
    <s v="YK263301917"/>
    <x v="10"/>
    <x v="10"/>
    <n v="1"/>
    <x v="6"/>
    <d v="2026-08-29T09:00:44"/>
    <x v="10"/>
    <x v="4"/>
    <x v="10"/>
    <s v="17IA14.80"/>
    <x v="0"/>
    <x v="0"/>
    <m/>
    <m/>
    <m/>
  </r>
  <r>
    <s v="YK263301918"/>
    <x v="2"/>
    <x v="2"/>
    <n v="1"/>
    <x v="2"/>
    <d v="2026-09-01T07:20:00"/>
    <x v="10"/>
    <x v="4"/>
    <x v="10"/>
    <s v="17IA14.80"/>
    <x v="0"/>
    <x v="0"/>
    <m/>
    <m/>
    <m/>
  </r>
  <r>
    <s v="YK263301919"/>
    <x v="7"/>
    <x v="7"/>
    <n v="1"/>
    <x v="2"/>
    <d v="2026-08-29T08:35:14"/>
    <x v="10"/>
    <x v="4"/>
    <x v="10"/>
    <s v="17IA14.80"/>
    <x v="0"/>
    <x v="0"/>
    <m/>
    <m/>
    <m/>
  </r>
  <r>
    <s v="YK263301920"/>
    <x v="7"/>
    <x v="7"/>
    <n v="1"/>
    <x v="2"/>
    <d v="2026-08-28T23:47:56"/>
    <x v="10"/>
    <x v="4"/>
    <x v="10"/>
    <s v="17IA14.80"/>
    <x v="0"/>
    <x v="0"/>
    <m/>
    <m/>
    <m/>
  </r>
  <r>
    <s v="YK263301921"/>
    <x v="7"/>
    <x v="7"/>
    <n v="1"/>
    <x v="2"/>
    <d v="2026-08-29T08:11:43"/>
    <x v="10"/>
    <x v="4"/>
    <x v="10"/>
    <s v="17IA14.80"/>
    <x v="0"/>
    <x v="0"/>
    <m/>
    <m/>
    <m/>
  </r>
  <r>
    <s v="YK263301922"/>
    <x v="7"/>
    <x v="7"/>
    <n v="1"/>
    <x v="2"/>
    <d v="2026-08-28T09:22:22"/>
    <x v="10"/>
    <x v="4"/>
    <x v="10"/>
    <s v="17IA14.80"/>
    <x v="0"/>
    <x v="0"/>
    <m/>
    <m/>
    <m/>
  </r>
  <r>
    <s v="YK263301923"/>
    <x v="7"/>
    <x v="7"/>
    <n v="1"/>
    <x v="2"/>
    <d v="2026-08-28T09:38:07"/>
    <x v="10"/>
    <x v="4"/>
    <x v="10"/>
    <s v="17IA14.80"/>
    <x v="0"/>
    <x v="0"/>
    <m/>
    <m/>
    <m/>
  </r>
  <r>
    <s v="YK263301924"/>
    <x v="7"/>
    <x v="7"/>
    <n v="1"/>
    <x v="2"/>
    <d v="2026-08-29T08:21:14"/>
    <x v="10"/>
    <x v="4"/>
    <x v="10"/>
    <s v="17IA14.80"/>
    <x v="0"/>
    <x v="0"/>
    <m/>
    <m/>
    <m/>
  </r>
  <r>
    <s v="YK263301925"/>
    <x v="7"/>
    <x v="7"/>
    <n v="1"/>
    <x v="2"/>
    <d v="2026-08-28T10:09:48"/>
    <x v="10"/>
    <x v="4"/>
    <x v="10"/>
    <s v="17IA14.80"/>
    <x v="0"/>
    <x v="0"/>
    <m/>
    <m/>
    <m/>
  </r>
  <r>
    <s v="YK263301926"/>
    <x v="7"/>
    <x v="7"/>
    <n v="1"/>
    <x v="2"/>
    <d v="2026-08-28T09:39:19"/>
    <x v="10"/>
    <x v="4"/>
    <x v="10"/>
    <s v="17IA14.80"/>
    <x v="0"/>
    <x v="0"/>
    <m/>
    <m/>
    <m/>
  </r>
  <r>
    <s v="YK263301927"/>
    <x v="7"/>
    <x v="7"/>
    <n v="1"/>
    <x v="2"/>
    <d v="2026-08-28T09:38:25"/>
    <x v="10"/>
    <x v="4"/>
    <x v="10"/>
    <s v="17IA14.80"/>
    <x v="0"/>
    <x v="0"/>
    <m/>
    <m/>
    <m/>
  </r>
  <r>
    <s v="YK263300001"/>
    <x v="10"/>
    <x v="10"/>
    <n v="1"/>
    <x v="6"/>
    <d v="2026-09-09T09:12:48"/>
    <x v="11"/>
    <x v="5"/>
    <x v="11"/>
    <s v="17IA14.90"/>
    <x v="0"/>
    <x v="0"/>
    <m/>
    <m/>
    <m/>
  </r>
  <r>
    <s v="YK263300002"/>
    <x v="11"/>
    <x v="11"/>
    <n v="1"/>
    <x v="4"/>
    <d v="2026-09-09T10:52:23"/>
    <x v="11"/>
    <x v="5"/>
    <x v="11"/>
    <s v="17IA14.90"/>
    <x v="0"/>
    <x v="0"/>
    <m/>
    <m/>
    <m/>
  </r>
  <r>
    <s v="YK263300003"/>
    <x v="11"/>
    <x v="11"/>
    <n v="1"/>
    <x v="4"/>
    <d v="2026-09-09T10:57:38"/>
    <x v="11"/>
    <x v="5"/>
    <x v="11"/>
    <s v="17IA14.90"/>
    <x v="0"/>
    <x v="0"/>
    <m/>
    <m/>
    <m/>
  </r>
  <r>
    <s v="YK263300004"/>
    <x v="11"/>
    <x v="11"/>
    <n v="1"/>
    <x v="4"/>
    <d v="2026-09-09T10:51:40"/>
    <x v="11"/>
    <x v="5"/>
    <x v="11"/>
    <s v="17IA14.90"/>
    <x v="0"/>
    <x v="0"/>
    <m/>
    <m/>
    <m/>
  </r>
  <r>
    <s v="YK263300005"/>
    <x v="11"/>
    <x v="11"/>
    <n v="1"/>
    <x v="4"/>
    <d v="2026-09-09T10:55:11"/>
    <x v="11"/>
    <x v="5"/>
    <x v="11"/>
    <s v="17IA14.90"/>
    <x v="0"/>
    <x v="0"/>
    <m/>
    <m/>
    <m/>
  </r>
  <r>
    <s v="YK263300006"/>
    <x v="11"/>
    <x v="11"/>
    <n v="1"/>
    <x v="4"/>
    <d v="2026-09-09T10:53:34"/>
    <x v="11"/>
    <x v="5"/>
    <x v="11"/>
    <s v="17IA14.90"/>
    <x v="0"/>
    <x v="0"/>
    <m/>
    <m/>
    <m/>
  </r>
  <r>
    <s v="YK263300007"/>
    <x v="11"/>
    <x v="11"/>
    <n v="1"/>
    <x v="4"/>
    <d v="2026-09-09T10:54:15"/>
    <x v="11"/>
    <x v="5"/>
    <x v="11"/>
    <s v="17IA14.90"/>
    <x v="0"/>
    <x v="0"/>
    <m/>
    <m/>
    <m/>
  </r>
  <r>
    <s v="YK263300008"/>
    <x v="11"/>
    <x v="11"/>
    <n v="1"/>
    <x v="4"/>
    <d v="2026-09-09T10:55:59"/>
    <x v="11"/>
    <x v="5"/>
    <x v="11"/>
    <s v="17IA14.90"/>
    <x v="0"/>
    <x v="0"/>
    <m/>
    <m/>
    <m/>
  </r>
  <r>
    <s v="YK263300009"/>
    <x v="11"/>
    <x v="11"/>
    <n v="1"/>
    <x v="4"/>
    <d v="2026-09-09T10:50:19"/>
    <x v="11"/>
    <x v="5"/>
    <x v="11"/>
    <s v="17IA14.90"/>
    <x v="0"/>
    <x v="0"/>
    <m/>
    <m/>
    <m/>
  </r>
  <r>
    <s v="YK263300010"/>
    <x v="11"/>
    <x v="11"/>
    <n v="1"/>
    <x v="4"/>
    <d v="2026-09-09T10:58:08"/>
    <x v="11"/>
    <x v="5"/>
    <x v="11"/>
    <s v="17IA14.90"/>
    <x v="0"/>
    <x v="0"/>
    <m/>
    <m/>
    <m/>
  </r>
  <r>
    <s v="YK263300011"/>
    <x v="10"/>
    <x v="10"/>
    <n v="1"/>
    <x v="6"/>
    <d v="2026-09-09T09:09:08"/>
    <x v="11"/>
    <x v="5"/>
    <x v="11"/>
    <s v="17IA14.90"/>
    <x v="0"/>
    <x v="0"/>
    <m/>
    <m/>
    <m/>
  </r>
  <r>
    <s v="YK263300012"/>
    <x v="10"/>
    <x v="10"/>
    <n v="1"/>
    <x v="6"/>
    <d v="2026-09-09T09:10:32"/>
    <x v="11"/>
    <x v="5"/>
    <x v="11"/>
    <s v="17IA14.90"/>
    <x v="0"/>
    <x v="0"/>
    <m/>
    <m/>
    <m/>
  </r>
  <r>
    <s v="YK263300013"/>
    <x v="11"/>
    <x v="11"/>
    <n v="1"/>
    <x v="4"/>
    <d v="2026-09-09T10:52:52"/>
    <x v="11"/>
    <x v="5"/>
    <x v="11"/>
    <s v="17IA14.90"/>
    <x v="0"/>
    <x v="0"/>
    <m/>
    <m/>
    <m/>
  </r>
  <r>
    <s v="YK263300014"/>
    <x v="11"/>
    <x v="11"/>
    <n v="1"/>
    <x v="4"/>
    <d v="2026-09-09T10:57:05"/>
    <x v="11"/>
    <x v="5"/>
    <x v="11"/>
    <s v="17IA14.90"/>
    <x v="0"/>
    <x v="0"/>
    <m/>
    <m/>
    <m/>
  </r>
  <r>
    <s v="YK263300015"/>
    <x v="11"/>
    <x v="11"/>
    <n v="1"/>
    <x v="4"/>
    <d v="2026-09-09T10:54:39"/>
    <x v="11"/>
    <x v="5"/>
    <x v="11"/>
    <s v="17IA14.90"/>
    <x v="0"/>
    <x v="0"/>
    <m/>
    <m/>
    <m/>
  </r>
  <r>
    <s v="YK263300016"/>
    <x v="10"/>
    <x v="10"/>
    <n v="1"/>
    <x v="6"/>
    <d v="2026-09-09T09:12:24"/>
    <x v="11"/>
    <x v="5"/>
    <x v="11"/>
    <s v="17IA14.90"/>
    <x v="0"/>
    <x v="0"/>
    <m/>
    <m/>
    <m/>
  </r>
  <r>
    <s v="YK263300017"/>
    <x v="9"/>
    <x v="9"/>
    <n v="1"/>
    <x v="2"/>
    <d v="2026-08-19T11:26:03"/>
    <x v="11"/>
    <x v="5"/>
    <x v="11"/>
    <s v="17IA14.90"/>
    <x v="0"/>
    <x v="0"/>
    <m/>
    <m/>
    <m/>
  </r>
  <r>
    <s v="YK263300018"/>
    <x v="9"/>
    <x v="9"/>
    <n v="1"/>
    <x v="2"/>
    <d v="2026-08-19T11:26:50"/>
    <x v="11"/>
    <x v="5"/>
    <x v="11"/>
    <s v="17IA14.90"/>
    <x v="0"/>
    <x v="0"/>
    <m/>
    <m/>
    <m/>
  </r>
  <r>
    <s v="YK263300019"/>
    <x v="9"/>
    <x v="9"/>
    <n v="1"/>
    <x v="2"/>
    <d v="2026-08-19T11:27:24"/>
    <x v="11"/>
    <x v="5"/>
    <x v="11"/>
    <s v="17IA14.90"/>
    <x v="0"/>
    <x v="0"/>
    <m/>
    <m/>
    <m/>
  </r>
  <r>
    <s v="YK263300020"/>
    <x v="9"/>
    <x v="9"/>
    <n v="1"/>
    <x v="2"/>
    <d v="2026-08-19T11:28:04"/>
    <x v="11"/>
    <x v="5"/>
    <x v="11"/>
    <s v="17IA14.90"/>
    <x v="0"/>
    <x v="0"/>
    <m/>
    <m/>
    <m/>
  </r>
  <r>
    <s v="YK263300021"/>
    <x v="9"/>
    <x v="9"/>
    <n v="1"/>
    <x v="2"/>
    <d v="2026-09-09T06:27:51"/>
    <x v="11"/>
    <x v="5"/>
    <x v="11"/>
    <s v="17IA14.90"/>
    <x v="0"/>
    <x v="0"/>
    <m/>
    <m/>
    <m/>
  </r>
  <r>
    <s v="YK263300022"/>
    <x v="9"/>
    <x v="9"/>
    <n v="1"/>
    <x v="2"/>
    <d v="2026-09-09T08:09:11"/>
    <x v="11"/>
    <x v="5"/>
    <x v="11"/>
    <s v="17IA14.90"/>
    <x v="0"/>
    <x v="0"/>
    <m/>
    <m/>
    <m/>
  </r>
  <r>
    <s v="YK263300023"/>
    <x v="9"/>
    <x v="9"/>
    <n v="1"/>
    <x v="2"/>
    <d v="2026-09-09T08:09:23"/>
    <x v="11"/>
    <x v="5"/>
    <x v="11"/>
    <s v="17IA14.90"/>
    <x v="0"/>
    <x v="0"/>
    <m/>
    <m/>
    <m/>
  </r>
  <r>
    <s v="YK263300024"/>
    <x v="9"/>
    <x v="9"/>
    <n v="1"/>
    <x v="2"/>
    <d v="2026-09-09T08:09:35"/>
    <x v="11"/>
    <x v="5"/>
    <x v="11"/>
    <s v="17IA14.90"/>
    <x v="0"/>
    <x v="0"/>
    <m/>
    <m/>
    <m/>
  </r>
  <r>
    <s v="YK263300025"/>
    <x v="9"/>
    <x v="9"/>
    <n v="1"/>
    <x v="2"/>
    <d v="2026-09-09T08:09:46"/>
    <x v="11"/>
    <x v="5"/>
    <x v="11"/>
    <s v="17IA14.90"/>
    <x v="0"/>
    <x v="0"/>
    <m/>
    <m/>
    <m/>
  </r>
  <r>
    <s v="YK263300026"/>
    <x v="9"/>
    <x v="9"/>
    <n v="1"/>
    <x v="2"/>
    <d v="2026-09-09T08:10:01"/>
    <x v="11"/>
    <x v="5"/>
    <x v="11"/>
    <s v="17IA14.90"/>
    <x v="0"/>
    <x v="0"/>
    <m/>
    <m/>
    <m/>
  </r>
  <r>
    <s v="YK263300027"/>
    <x v="9"/>
    <x v="9"/>
    <n v="1"/>
    <x v="2"/>
    <d v="2026-09-09T08:10:12"/>
    <x v="11"/>
    <x v="5"/>
    <x v="11"/>
    <s v="17IA14.90"/>
    <x v="0"/>
    <x v="0"/>
    <m/>
    <m/>
    <m/>
  </r>
  <r>
    <s v="YK263300028"/>
    <x v="9"/>
    <x v="9"/>
    <n v="1"/>
    <x v="2"/>
    <d v="2026-09-09T08:10:23"/>
    <x v="11"/>
    <x v="5"/>
    <x v="11"/>
    <s v="17IA14.90"/>
    <x v="0"/>
    <x v="0"/>
    <m/>
    <m/>
    <m/>
  </r>
  <r>
    <s v="YK263300029"/>
    <x v="9"/>
    <x v="9"/>
    <n v="1"/>
    <x v="2"/>
    <d v="2026-09-09T08:10:33"/>
    <x v="11"/>
    <x v="5"/>
    <x v="11"/>
    <s v="17IA14.90"/>
    <x v="0"/>
    <x v="0"/>
    <m/>
    <m/>
    <m/>
  </r>
  <r>
    <s v="YK263300030"/>
    <x v="9"/>
    <x v="9"/>
    <n v="1"/>
    <x v="2"/>
    <d v="2026-09-09T08:11:03"/>
    <x v="11"/>
    <x v="5"/>
    <x v="11"/>
    <s v="17IA14.90"/>
    <x v="0"/>
    <x v="0"/>
    <m/>
    <m/>
    <m/>
  </r>
  <r>
    <s v="YK263300031"/>
    <x v="9"/>
    <x v="9"/>
    <n v="1"/>
    <x v="2"/>
    <d v="2026-09-09T08:08:23"/>
    <x v="11"/>
    <x v="5"/>
    <x v="11"/>
    <s v="17IA14.90"/>
    <x v="0"/>
    <x v="0"/>
    <m/>
    <m/>
    <m/>
  </r>
  <r>
    <s v="YK263300032"/>
    <x v="9"/>
    <x v="9"/>
    <n v="1"/>
    <x v="2"/>
    <d v="2026-09-09T08:11:17"/>
    <x v="11"/>
    <x v="5"/>
    <x v="11"/>
    <s v="17IA14.90"/>
    <x v="0"/>
    <x v="0"/>
    <m/>
    <m/>
    <m/>
  </r>
  <r>
    <s v="YK263300033"/>
    <x v="9"/>
    <x v="9"/>
    <n v="1"/>
    <x v="2"/>
    <d v="2026-09-09T08:11:31"/>
    <x v="11"/>
    <x v="5"/>
    <x v="11"/>
    <s v="17IA14.90"/>
    <x v="0"/>
    <x v="0"/>
    <m/>
    <m/>
    <m/>
  </r>
  <r>
    <s v="YK263300034"/>
    <x v="9"/>
    <x v="9"/>
    <n v="1"/>
    <x v="2"/>
    <d v="2026-09-09T08:11:47"/>
    <x v="11"/>
    <x v="5"/>
    <x v="11"/>
    <s v="17IA14.90"/>
    <x v="0"/>
    <x v="0"/>
    <m/>
    <m/>
    <m/>
  </r>
  <r>
    <s v="YK263300035"/>
    <x v="9"/>
    <x v="9"/>
    <n v="1"/>
    <x v="2"/>
    <d v="2026-09-09T08:11:57"/>
    <x v="11"/>
    <x v="5"/>
    <x v="11"/>
    <s v="17IA14.90"/>
    <x v="0"/>
    <x v="0"/>
    <m/>
    <m/>
    <m/>
  </r>
  <r>
    <s v="YK263300036"/>
    <x v="9"/>
    <x v="9"/>
    <n v="1"/>
    <x v="2"/>
    <d v="2026-09-09T08:12:17"/>
    <x v="11"/>
    <x v="5"/>
    <x v="11"/>
    <s v="17IA14.90"/>
    <x v="0"/>
    <x v="0"/>
    <m/>
    <m/>
    <m/>
  </r>
  <r>
    <s v="YK263300037"/>
    <x v="9"/>
    <x v="9"/>
    <n v="1"/>
    <x v="2"/>
    <d v="2026-09-09T08:12:29"/>
    <x v="11"/>
    <x v="5"/>
    <x v="11"/>
    <s v="17IA14.90"/>
    <x v="0"/>
    <x v="0"/>
    <m/>
    <m/>
    <m/>
  </r>
  <r>
    <s v="YK263300038"/>
    <x v="9"/>
    <x v="9"/>
    <n v="1"/>
    <x v="2"/>
    <d v="2026-09-09T08:12:40"/>
    <x v="11"/>
    <x v="5"/>
    <x v="11"/>
    <s v="17IA14.90"/>
    <x v="0"/>
    <x v="0"/>
    <m/>
    <m/>
    <m/>
  </r>
  <r>
    <s v="YK263300039"/>
    <x v="9"/>
    <x v="9"/>
    <n v="1"/>
    <x v="2"/>
    <d v="2026-09-09T08:12:50"/>
    <x v="11"/>
    <x v="5"/>
    <x v="11"/>
    <s v="17IA14.90"/>
    <x v="0"/>
    <x v="0"/>
    <m/>
    <m/>
    <m/>
  </r>
  <r>
    <s v="YK263300040"/>
    <x v="9"/>
    <x v="9"/>
    <n v="1"/>
    <x v="2"/>
    <d v="2026-09-09T08:13:01"/>
    <x v="11"/>
    <x v="5"/>
    <x v="11"/>
    <s v="17IA14.90"/>
    <x v="0"/>
    <x v="0"/>
    <m/>
    <m/>
    <m/>
  </r>
  <r>
    <s v="YK263300041"/>
    <x v="9"/>
    <x v="9"/>
    <n v="1"/>
    <x v="2"/>
    <d v="2026-09-09T08:13:49"/>
    <x v="11"/>
    <x v="5"/>
    <x v="11"/>
    <s v="17IA14.90"/>
    <x v="0"/>
    <x v="0"/>
    <m/>
    <m/>
    <m/>
  </r>
  <r>
    <s v="YK263300042"/>
    <x v="9"/>
    <x v="9"/>
    <n v="1"/>
    <x v="2"/>
    <d v="2026-09-09T08:14:03"/>
    <x v="11"/>
    <x v="5"/>
    <x v="11"/>
    <s v="17IA14.90"/>
    <x v="0"/>
    <x v="0"/>
    <m/>
    <m/>
    <m/>
  </r>
  <r>
    <s v="YK263300043"/>
    <x v="9"/>
    <x v="9"/>
    <n v="1"/>
    <x v="2"/>
    <d v="2026-09-09T08:14:34"/>
    <x v="11"/>
    <x v="5"/>
    <x v="11"/>
    <s v="17IA14.90"/>
    <x v="0"/>
    <x v="0"/>
    <m/>
    <m/>
    <m/>
  </r>
  <r>
    <s v="YK263300044"/>
    <x v="9"/>
    <x v="9"/>
    <n v="1"/>
    <x v="2"/>
    <d v="2026-09-09T08:14:44"/>
    <x v="11"/>
    <x v="5"/>
    <x v="11"/>
    <s v="17IA14.90"/>
    <x v="0"/>
    <x v="0"/>
    <m/>
    <m/>
    <m/>
  </r>
  <r>
    <s v="YK263300045"/>
    <x v="9"/>
    <x v="9"/>
    <n v="1"/>
    <x v="2"/>
    <d v="2026-09-09T08:15:15"/>
    <x v="11"/>
    <x v="5"/>
    <x v="11"/>
    <s v="17IA14.90"/>
    <x v="0"/>
    <x v="0"/>
    <m/>
    <m/>
    <m/>
  </r>
  <r>
    <s v="YK263300046"/>
    <x v="9"/>
    <x v="9"/>
    <n v="1"/>
    <x v="2"/>
    <d v="2026-09-09T08:15:25"/>
    <x v="11"/>
    <x v="5"/>
    <x v="11"/>
    <s v="17IA14.90"/>
    <x v="0"/>
    <x v="0"/>
    <m/>
    <m/>
    <m/>
  </r>
  <r>
    <s v="YK263300047"/>
    <x v="9"/>
    <x v="9"/>
    <n v="1"/>
    <x v="2"/>
    <d v="2026-09-09T08:16:01"/>
    <x v="11"/>
    <x v="5"/>
    <x v="11"/>
    <s v="17IA14.90"/>
    <x v="0"/>
    <x v="0"/>
    <m/>
    <m/>
    <m/>
  </r>
  <r>
    <s v="YK263300048"/>
    <x v="9"/>
    <x v="9"/>
    <n v="1"/>
    <x v="2"/>
    <d v="2026-09-09T08:16:13"/>
    <x v="11"/>
    <x v="5"/>
    <x v="11"/>
    <s v="17IA14.90"/>
    <x v="0"/>
    <x v="0"/>
    <m/>
    <m/>
    <m/>
  </r>
  <r>
    <s v="YK263300049"/>
    <x v="9"/>
    <x v="9"/>
    <n v="1"/>
    <x v="2"/>
    <d v="2026-09-09T08:16:43"/>
    <x v="11"/>
    <x v="5"/>
    <x v="11"/>
    <s v="17IA14.90"/>
    <x v="0"/>
    <x v="0"/>
    <m/>
    <m/>
    <m/>
  </r>
  <r>
    <s v="YK263300050"/>
    <x v="9"/>
    <x v="9"/>
    <n v="1"/>
    <x v="2"/>
    <d v="2026-09-09T08:16:57"/>
    <x v="11"/>
    <x v="5"/>
    <x v="11"/>
    <s v="17IA14.90"/>
    <x v="0"/>
    <x v="0"/>
    <m/>
    <m/>
    <m/>
  </r>
  <r>
    <s v="YK263300051"/>
    <x v="9"/>
    <x v="9"/>
    <n v="1"/>
    <x v="2"/>
    <d v="2026-09-09T09:54:51"/>
    <x v="11"/>
    <x v="5"/>
    <x v="11"/>
    <s v="17IA14.90"/>
    <x v="0"/>
    <x v="0"/>
    <m/>
    <m/>
    <m/>
  </r>
  <r>
    <s v="YK263300052"/>
    <x v="9"/>
    <x v="9"/>
    <n v="1"/>
    <x v="2"/>
    <d v="2026-09-09T09:55:05"/>
    <x v="11"/>
    <x v="5"/>
    <x v="11"/>
    <s v="17IA14.90"/>
    <x v="0"/>
    <x v="0"/>
    <m/>
    <m/>
    <m/>
  </r>
  <r>
    <s v="YK263300053"/>
    <x v="9"/>
    <x v="9"/>
    <n v="1"/>
    <x v="2"/>
    <d v="2026-09-09T09:55:23"/>
    <x v="11"/>
    <x v="5"/>
    <x v="11"/>
    <s v="17IA14.90"/>
    <x v="0"/>
    <x v="0"/>
    <m/>
    <m/>
    <m/>
  </r>
  <r>
    <s v="YK263300054"/>
    <x v="9"/>
    <x v="9"/>
    <n v="1"/>
    <x v="2"/>
    <d v="2026-09-09T09:56:00"/>
    <x v="11"/>
    <x v="5"/>
    <x v="11"/>
    <s v="17IA14.90"/>
    <x v="0"/>
    <x v="0"/>
    <m/>
    <m/>
    <m/>
  </r>
  <r>
    <s v="YK263300055"/>
    <x v="9"/>
    <x v="9"/>
    <n v="1"/>
    <x v="2"/>
    <d v="2026-09-09T09:56:08"/>
    <x v="11"/>
    <x v="5"/>
    <x v="11"/>
    <s v="17IA14.90"/>
    <x v="0"/>
    <x v="0"/>
    <m/>
    <m/>
    <m/>
  </r>
  <r>
    <s v="YK263300056"/>
    <x v="9"/>
    <x v="9"/>
    <n v="1"/>
    <x v="2"/>
    <d v="2026-09-09T09:56:43"/>
    <x v="11"/>
    <x v="5"/>
    <x v="11"/>
    <s v="17IA14.90"/>
    <x v="0"/>
    <x v="0"/>
    <m/>
    <m/>
    <m/>
  </r>
  <r>
    <s v="YK263300057"/>
    <x v="9"/>
    <x v="9"/>
    <n v="1"/>
    <x v="2"/>
    <d v="2026-09-09T09:56:58"/>
    <x v="11"/>
    <x v="5"/>
    <x v="11"/>
    <s v="17IA14.90"/>
    <x v="0"/>
    <x v="0"/>
    <m/>
    <m/>
    <m/>
  </r>
  <r>
    <s v="YK263300058"/>
    <x v="9"/>
    <x v="9"/>
    <n v="1"/>
    <x v="2"/>
    <d v="2026-09-09T09:57:40"/>
    <x v="11"/>
    <x v="5"/>
    <x v="11"/>
    <s v="17IA14.90"/>
    <x v="0"/>
    <x v="0"/>
    <m/>
    <m/>
    <m/>
  </r>
  <r>
    <s v="YK263300059"/>
    <x v="9"/>
    <x v="9"/>
    <n v="1"/>
    <x v="2"/>
    <d v="2026-09-09T09:57:53"/>
    <x v="11"/>
    <x v="5"/>
    <x v="11"/>
    <s v="17IA14.90"/>
    <x v="0"/>
    <x v="0"/>
    <m/>
    <m/>
    <m/>
  </r>
  <r>
    <s v="YK263300060"/>
    <x v="9"/>
    <x v="9"/>
    <n v="1"/>
    <x v="2"/>
    <d v="2026-09-09T09:58:06"/>
    <x v="11"/>
    <x v="5"/>
    <x v="11"/>
    <s v="17IA14.90"/>
    <x v="0"/>
    <x v="0"/>
    <m/>
    <m/>
    <m/>
  </r>
  <r>
    <s v="YK263300061"/>
    <x v="0"/>
    <x v="0"/>
    <n v="1"/>
    <x v="7"/>
    <d v="2026-08-11T06:42:41"/>
    <x v="11"/>
    <x v="5"/>
    <x v="11"/>
    <s v="17IA14.90"/>
    <x v="0"/>
    <x v="0"/>
    <m/>
    <m/>
    <m/>
  </r>
  <r>
    <s v="YK263300062"/>
    <x v="0"/>
    <x v="0"/>
    <n v="1"/>
    <x v="7"/>
    <d v="2026-08-11T06:42:41"/>
    <x v="11"/>
    <x v="5"/>
    <x v="11"/>
    <s v="17IA14.90"/>
    <x v="0"/>
    <x v="0"/>
    <m/>
    <m/>
    <m/>
  </r>
  <r>
    <s v="YK263300063"/>
    <x v="0"/>
    <x v="0"/>
    <n v="1"/>
    <x v="7"/>
    <d v="2026-08-11T06:42:41"/>
    <x v="11"/>
    <x v="5"/>
    <x v="11"/>
    <s v="17IA14.90"/>
    <x v="0"/>
    <x v="0"/>
    <m/>
    <m/>
    <m/>
  </r>
  <r>
    <s v="YK263300064"/>
    <x v="0"/>
    <x v="0"/>
    <n v="1"/>
    <x v="7"/>
    <d v="2026-08-11T06:42:41"/>
    <x v="11"/>
    <x v="5"/>
    <x v="11"/>
    <s v="17IA14.90"/>
    <x v="0"/>
    <x v="0"/>
    <m/>
    <m/>
    <m/>
  </r>
  <r>
    <s v="YK263300065"/>
    <x v="0"/>
    <x v="0"/>
    <n v="1"/>
    <x v="7"/>
    <d v="2026-08-11T06:42:41"/>
    <x v="11"/>
    <x v="5"/>
    <x v="11"/>
    <s v="17IA14.90"/>
    <x v="0"/>
    <x v="0"/>
    <m/>
    <m/>
    <m/>
  </r>
  <r>
    <s v="YK263300066"/>
    <x v="0"/>
    <x v="0"/>
    <n v="1"/>
    <x v="7"/>
    <d v="2026-08-11T06:42:41"/>
    <x v="11"/>
    <x v="5"/>
    <x v="11"/>
    <s v="17IA14.90"/>
    <x v="0"/>
    <x v="0"/>
    <m/>
    <m/>
    <m/>
  </r>
  <r>
    <s v="YK263300067"/>
    <x v="0"/>
    <x v="0"/>
    <n v="1"/>
    <x v="7"/>
    <d v="2026-08-11T06:42:41"/>
    <x v="11"/>
    <x v="5"/>
    <x v="11"/>
    <s v="17IA14.90"/>
    <x v="0"/>
    <x v="0"/>
    <m/>
    <m/>
    <m/>
  </r>
  <r>
    <s v="YK263300068"/>
    <x v="0"/>
    <x v="0"/>
    <n v="1"/>
    <x v="7"/>
    <d v="2026-08-11T06:42:41"/>
    <x v="11"/>
    <x v="5"/>
    <x v="11"/>
    <s v="17IA14.90"/>
    <x v="0"/>
    <x v="0"/>
    <m/>
    <m/>
    <m/>
  </r>
  <r>
    <s v="YK263300069"/>
    <x v="0"/>
    <x v="0"/>
    <n v="1"/>
    <x v="7"/>
    <d v="2026-08-11T06:42:41"/>
    <x v="11"/>
    <x v="5"/>
    <x v="11"/>
    <s v="17IA14.90"/>
    <x v="0"/>
    <x v="0"/>
    <m/>
    <m/>
    <m/>
  </r>
  <r>
    <s v="YK263300070"/>
    <x v="0"/>
    <x v="0"/>
    <n v="1"/>
    <x v="7"/>
    <d v="2026-08-11T06:42:41"/>
    <x v="11"/>
    <x v="5"/>
    <x v="11"/>
    <s v="17IA14.90"/>
    <x v="0"/>
    <x v="0"/>
    <m/>
    <m/>
    <m/>
  </r>
  <r>
    <s v="YK263300071"/>
    <x v="0"/>
    <x v="0"/>
    <n v="1"/>
    <x v="7"/>
    <d v="2026-08-11T06:42:41"/>
    <x v="11"/>
    <x v="5"/>
    <x v="11"/>
    <s v="17IA14.90"/>
    <x v="0"/>
    <x v="0"/>
    <m/>
    <m/>
    <m/>
  </r>
  <r>
    <s v="YK263300072"/>
    <x v="0"/>
    <x v="0"/>
    <n v="1"/>
    <x v="7"/>
    <d v="2026-08-11T06:42:41"/>
    <x v="11"/>
    <x v="5"/>
    <x v="11"/>
    <s v="17IA14.90"/>
    <x v="0"/>
    <x v="0"/>
    <m/>
    <m/>
    <m/>
  </r>
  <r>
    <s v="YK263300073"/>
    <x v="0"/>
    <x v="0"/>
    <n v="1"/>
    <x v="7"/>
    <d v="2026-08-11T06:42:41"/>
    <x v="11"/>
    <x v="5"/>
    <x v="11"/>
    <s v="17IA14.90"/>
    <x v="0"/>
    <x v="0"/>
    <m/>
    <m/>
    <m/>
  </r>
  <r>
    <s v="YK263300074"/>
    <x v="0"/>
    <x v="0"/>
    <n v="1"/>
    <x v="7"/>
    <d v="2026-08-11T06:42:41"/>
    <x v="11"/>
    <x v="5"/>
    <x v="11"/>
    <s v="17IA14.90"/>
    <x v="0"/>
    <x v="0"/>
    <m/>
    <m/>
    <m/>
  </r>
  <r>
    <s v="YK263300075"/>
    <x v="0"/>
    <x v="0"/>
    <n v="1"/>
    <x v="7"/>
    <d v="2026-08-11T06:42:41"/>
    <x v="11"/>
    <x v="5"/>
    <x v="11"/>
    <s v="17IA14.90"/>
    <x v="0"/>
    <x v="0"/>
    <m/>
    <m/>
    <m/>
  </r>
  <r>
    <s v="YK263300076"/>
    <x v="0"/>
    <x v="0"/>
    <n v="1"/>
    <x v="7"/>
    <d v="2026-08-11T06:42:41"/>
    <x v="11"/>
    <x v="5"/>
    <x v="11"/>
    <s v="17IA14.90"/>
    <x v="0"/>
    <x v="0"/>
    <m/>
    <m/>
    <m/>
  </r>
  <r>
    <s v="YK263300077"/>
    <x v="0"/>
    <x v="0"/>
    <n v="1"/>
    <x v="7"/>
    <d v="2026-08-11T06:42:41"/>
    <x v="11"/>
    <x v="5"/>
    <x v="11"/>
    <s v="17IA14.90"/>
    <x v="0"/>
    <x v="0"/>
    <m/>
    <m/>
    <m/>
  </r>
  <r>
    <s v="YK263300078"/>
    <x v="0"/>
    <x v="0"/>
    <n v="1"/>
    <x v="7"/>
    <d v="2026-08-11T06:42:41"/>
    <x v="11"/>
    <x v="5"/>
    <x v="11"/>
    <s v="17IA14.90"/>
    <x v="0"/>
    <x v="0"/>
    <m/>
    <m/>
    <m/>
  </r>
  <r>
    <s v="YK263300079"/>
    <x v="0"/>
    <x v="0"/>
    <n v="1"/>
    <x v="7"/>
    <d v="2026-08-11T06:42:41"/>
    <x v="11"/>
    <x v="5"/>
    <x v="11"/>
    <s v="17IA14.90"/>
    <x v="0"/>
    <x v="0"/>
    <m/>
    <m/>
    <m/>
  </r>
  <r>
    <s v="YK263300080"/>
    <x v="0"/>
    <x v="0"/>
    <n v="1"/>
    <x v="7"/>
    <d v="2026-08-11T06:42:41"/>
    <x v="11"/>
    <x v="5"/>
    <x v="11"/>
    <s v="17IA14.90"/>
    <x v="0"/>
    <x v="0"/>
    <m/>
    <m/>
    <m/>
  </r>
  <r>
    <s v="YK263300081"/>
    <x v="0"/>
    <x v="0"/>
    <n v="1"/>
    <x v="7"/>
    <d v="2026-08-11T06:42:41"/>
    <x v="11"/>
    <x v="5"/>
    <x v="11"/>
    <s v="17IA14.90"/>
    <x v="0"/>
    <x v="0"/>
    <m/>
    <m/>
    <m/>
  </r>
  <r>
    <s v="YK263300082"/>
    <x v="0"/>
    <x v="0"/>
    <n v="1"/>
    <x v="7"/>
    <d v="2026-08-11T06:42:41"/>
    <x v="11"/>
    <x v="5"/>
    <x v="11"/>
    <s v="17IA14.90"/>
    <x v="0"/>
    <x v="0"/>
    <m/>
    <m/>
    <m/>
  </r>
  <r>
    <s v="YK263300083"/>
    <x v="0"/>
    <x v="0"/>
    <n v="1"/>
    <x v="7"/>
    <d v="2026-08-11T06:42:41"/>
    <x v="11"/>
    <x v="5"/>
    <x v="11"/>
    <s v="17IA14.90"/>
    <x v="0"/>
    <x v="0"/>
    <m/>
    <m/>
    <m/>
  </r>
  <r>
    <s v="YK263300084"/>
    <x v="0"/>
    <x v="0"/>
    <n v="1"/>
    <x v="7"/>
    <d v="2026-08-11T06:42:41"/>
    <x v="11"/>
    <x v="5"/>
    <x v="11"/>
    <s v="17IA14.90"/>
    <x v="0"/>
    <x v="0"/>
    <m/>
    <m/>
    <m/>
  </r>
  <r>
    <s v="YK263300085"/>
    <x v="0"/>
    <x v="0"/>
    <n v="1"/>
    <x v="7"/>
    <d v="2026-08-11T06:42:41"/>
    <x v="11"/>
    <x v="5"/>
    <x v="11"/>
    <s v="17IA14.90"/>
    <x v="0"/>
    <x v="0"/>
    <m/>
    <m/>
    <m/>
  </r>
  <r>
    <s v="YK263300086"/>
    <x v="0"/>
    <x v="0"/>
    <n v="1"/>
    <x v="7"/>
    <d v="2026-08-11T06:42:41"/>
    <x v="11"/>
    <x v="5"/>
    <x v="11"/>
    <s v="17IA14.90"/>
    <x v="0"/>
    <x v="0"/>
    <m/>
    <m/>
    <m/>
  </r>
  <r>
    <s v="YK263300087"/>
    <x v="0"/>
    <x v="0"/>
    <n v="1"/>
    <x v="7"/>
    <d v="2026-08-11T06:42:41"/>
    <x v="11"/>
    <x v="5"/>
    <x v="11"/>
    <s v="17IA14.90"/>
    <x v="0"/>
    <x v="0"/>
    <m/>
    <m/>
    <m/>
  </r>
  <r>
    <s v="YK263300088"/>
    <x v="0"/>
    <x v="0"/>
    <n v="1"/>
    <x v="7"/>
    <d v="2026-08-11T06:42:41"/>
    <x v="11"/>
    <x v="5"/>
    <x v="11"/>
    <s v="17IA14.90"/>
    <x v="0"/>
    <x v="0"/>
    <m/>
    <m/>
    <m/>
  </r>
  <r>
    <s v="YK263300089"/>
    <x v="0"/>
    <x v="0"/>
    <n v="1"/>
    <x v="7"/>
    <d v="2026-08-11T06:42:41"/>
    <x v="11"/>
    <x v="5"/>
    <x v="11"/>
    <s v="17IA14.90"/>
    <x v="0"/>
    <x v="0"/>
    <m/>
    <m/>
    <m/>
  </r>
  <r>
    <s v="YK263300090"/>
    <x v="0"/>
    <x v="0"/>
    <n v="1"/>
    <x v="7"/>
    <d v="2026-08-11T06:42:41"/>
    <x v="11"/>
    <x v="5"/>
    <x v="11"/>
    <s v="17IA14.90"/>
    <x v="0"/>
    <x v="0"/>
    <m/>
    <m/>
    <m/>
  </r>
  <r>
    <s v="YK263300091"/>
    <x v="0"/>
    <x v="0"/>
    <n v="1"/>
    <x v="7"/>
    <d v="2026-08-11T06:42:41"/>
    <x v="11"/>
    <x v="5"/>
    <x v="11"/>
    <s v="17IA14.90"/>
    <x v="0"/>
    <x v="0"/>
    <m/>
    <m/>
    <m/>
  </r>
  <r>
    <s v="YK263300092"/>
    <x v="0"/>
    <x v="0"/>
    <n v="1"/>
    <x v="7"/>
    <d v="2026-08-11T06:42:41"/>
    <x v="11"/>
    <x v="5"/>
    <x v="11"/>
    <s v="17IA14.90"/>
    <x v="0"/>
    <x v="0"/>
    <m/>
    <m/>
    <m/>
  </r>
  <r>
    <s v="YK263300093"/>
    <x v="0"/>
    <x v="0"/>
    <n v="1"/>
    <x v="7"/>
    <d v="2026-08-11T06:42:41"/>
    <x v="11"/>
    <x v="5"/>
    <x v="11"/>
    <s v="17IA14.90"/>
    <x v="0"/>
    <x v="0"/>
    <m/>
    <m/>
    <m/>
  </r>
  <r>
    <s v="YK263300094"/>
    <x v="0"/>
    <x v="0"/>
    <n v="1"/>
    <x v="7"/>
    <d v="2026-08-11T06:42:41"/>
    <x v="11"/>
    <x v="5"/>
    <x v="11"/>
    <s v="17IA14.90"/>
    <x v="0"/>
    <x v="0"/>
    <m/>
    <m/>
    <m/>
  </r>
  <r>
    <s v="YK263300095"/>
    <x v="0"/>
    <x v="0"/>
    <n v="1"/>
    <x v="7"/>
    <d v="2026-08-11T06:42:41"/>
    <x v="11"/>
    <x v="5"/>
    <x v="11"/>
    <s v="17IA14.90"/>
    <x v="0"/>
    <x v="0"/>
    <m/>
    <m/>
    <m/>
  </r>
  <r>
    <s v="YK263300096"/>
    <x v="0"/>
    <x v="0"/>
    <n v="1"/>
    <x v="7"/>
    <d v="2026-08-11T06:42:41"/>
    <x v="11"/>
    <x v="5"/>
    <x v="11"/>
    <s v="17IA14.90"/>
    <x v="0"/>
    <x v="0"/>
    <m/>
    <m/>
    <m/>
  </r>
  <r>
    <s v="YK263300097"/>
    <x v="0"/>
    <x v="0"/>
    <n v="1"/>
    <x v="7"/>
    <d v="2026-08-11T06:42:41"/>
    <x v="11"/>
    <x v="5"/>
    <x v="11"/>
    <s v="17IA14.90"/>
    <x v="0"/>
    <x v="0"/>
    <m/>
    <m/>
    <m/>
  </r>
  <r>
    <s v="YK263300098"/>
    <x v="0"/>
    <x v="0"/>
    <n v="1"/>
    <x v="7"/>
    <d v="2026-08-11T06:42:41"/>
    <x v="11"/>
    <x v="5"/>
    <x v="11"/>
    <s v="17IA14.90"/>
    <x v="0"/>
    <x v="0"/>
    <m/>
    <m/>
    <m/>
  </r>
  <r>
    <s v="YK263300099"/>
    <x v="0"/>
    <x v="0"/>
    <n v="1"/>
    <x v="7"/>
    <d v="2026-08-11T06:42:41"/>
    <x v="11"/>
    <x v="5"/>
    <x v="11"/>
    <s v="17IA14.90"/>
    <x v="0"/>
    <x v="0"/>
    <m/>
    <m/>
    <m/>
  </r>
  <r>
    <s v="YK263300100"/>
    <x v="0"/>
    <x v="0"/>
    <n v="1"/>
    <x v="7"/>
    <d v="2026-08-11T06:42:41"/>
    <x v="11"/>
    <x v="5"/>
    <x v="11"/>
    <s v="17IA14.90"/>
    <x v="0"/>
    <x v="0"/>
    <m/>
    <m/>
    <m/>
  </r>
  <r>
    <s v="YK263300101"/>
    <x v="0"/>
    <x v="0"/>
    <n v="1"/>
    <x v="7"/>
    <d v="2026-08-11T06:42:41"/>
    <x v="11"/>
    <x v="5"/>
    <x v="11"/>
    <s v="17IA14.90"/>
    <x v="0"/>
    <x v="0"/>
    <m/>
    <m/>
    <m/>
  </r>
  <r>
    <s v="YK263300102"/>
    <x v="0"/>
    <x v="0"/>
    <n v="1"/>
    <x v="7"/>
    <d v="2026-08-11T06:42:41"/>
    <x v="11"/>
    <x v="5"/>
    <x v="11"/>
    <s v="17IA14.90"/>
    <x v="0"/>
    <x v="0"/>
    <m/>
    <m/>
    <m/>
  </r>
  <r>
    <s v="YK263300103"/>
    <x v="0"/>
    <x v="0"/>
    <n v="1"/>
    <x v="7"/>
    <d v="2026-08-11T06:42:41"/>
    <x v="11"/>
    <x v="5"/>
    <x v="11"/>
    <s v="17IA14.90"/>
    <x v="0"/>
    <x v="0"/>
    <m/>
    <m/>
    <m/>
  </r>
  <r>
    <s v="YK263300104"/>
    <x v="0"/>
    <x v="0"/>
    <n v="1"/>
    <x v="7"/>
    <d v="2026-08-11T06:42:41"/>
    <x v="11"/>
    <x v="5"/>
    <x v="11"/>
    <s v="17IA14.90"/>
    <x v="0"/>
    <x v="0"/>
    <m/>
    <m/>
    <m/>
  </r>
  <r>
    <s v="YK263300105"/>
    <x v="0"/>
    <x v="0"/>
    <n v="1"/>
    <x v="7"/>
    <d v="2026-08-11T06:42:41"/>
    <x v="11"/>
    <x v="5"/>
    <x v="11"/>
    <s v="17IA14.90"/>
    <x v="0"/>
    <x v="0"/>
    <m/>
    <m/>
    <m/>
  </r>
  <r>
    <s v="YK263300106"/>
    <x v="0"/>
    <x v="0"/>
    <n v="1"/>
    <x v="7"/>
    <d v="2026-08-11T06:42:41"/>
    <x v="11"/>
    <x v="5"/>
    <x v="11"/>
    <s v="17IA14.90"/>
    <x v="0"/>
    <x v="0"/>
    <m/>
    <m/>
    <m/>
  </r>
  <r>
    <s v="YK263300107"/>
    <x v="0"/>
    <x v="0"/>
    <n v="1"/>
    <x v="7"/>
    <d v="2026-08-11T06:42:41"/>
    <x v="11"/>
    <x v="5"/>
    <x v="11"/>
    <s v="17IA14.90"/>
    <x v="0"/>
    <x v="0"/>
    <m/>
    <m/>
    <m/>
  </r>
  <r>
    <s v="YK263300108"/>
    <x v="0"/>
    <x v="0"/>
    <n v="1"/>
    <x v="7"/>
    <d v="2026-08-11T06:42:41"/>
    <x v="11"/>
    <x v="5"/>
    <x v="11"/>
    <s v="17IA14.90"/>
    <x v="0"/>
    <x v="0"/>
    <m/>
    <m/>
    <m/>
  </r>
  <r>
    <s v="YK263300109"/>
    <x v="0"/>
    <x v="0"/>
    <n v="1"/>
    <x v="7"/>
    <d v="2026-08-11T06:42:41"/>
    <x v="11"/>
    <x v="5"/>
    <x v="11"/>
    <s v="17IA14.90"/>
    <x v="0"/>
    <x v="0"/>
    <m/>
    <m/>
    <m/>
  </r>
  <r>
    <s v="YK263300110"/>
    <x v="0"/>
    <x v="0"/>
    <n v="1"/>
    <x v="7"/>
    <d v="2026-08-11T06:42:41"/>
    <x v="11"/>
    <x v="5"/>
    <x v="11"/>
    <s v="17IA14.90"/>
    <x v="0"/>
    <x v="0"/>
    <m/>
    <m/>
    <m/>
  </r>
  <r>
    <s v="YK263300111"/>
    <x v="0"/>
    <x v="0"/>
    <n v="1"/>
    <x v="7"/>
    <d v="2026-08-11T06:42:41"/>
    <x v="11"/>
    <x v="5"/>
    <x v="11"/>
    <s v="17IA14.90"/>
    <x v="0"/>
    <x v="0"/>
    <m/>
    <m/>
    <m/>
  </r>
  <r>
    <s v="YK263300112"/>
    <x v="0"/>
    <x v="0"/>
    <n v="1"/>
    <x v="7"/>
    <d v="2026-08-11T06:42:41"/>
    <x v="11"/>
    <x v="5"/>
    <x v="11"/>
    <s v="17IA14.90"/>
    <x v="0"/>
    <x v="0"/>
    <m/>
    <m/>
    <m/>
  </r>
  <r>
    <s v="YK263300113"/>
    <x v="0"/>
    <x v="0"/>
    <n v="1"/>
    <x v="7"/>
    <d v="2026-08-11T06:42:41"/>
    <x v="11"/>
    <x v="5"/>
    <x v="11"/>
    <s v="17IA14.90"/>
    <x v="0"/>
    <x v="0"/>
    <m/>
    <m/>
    <m/>
  </r>
  <r>
    <s v="YK263300114"/>
    <x v="0"/>
    <x v="0"/>
    <n v="1"/>
    <x v="7"/>
    <d v="2026-08-11T06:42:41"/>
    <x v="11"/>
    <x v="5"/>
    <x v="11"/>
    <s v="17IA14.90"/>
    <x v="0"/>
    <x v="0"/>
    <m/>
    <m/>
    <m/>
  </r>
  <r>
    <s v="YK263300115"/>
    <x v="0"/>
    <x v="0"/>
    <n v="1"/>
    <x v="7"/>
    <d v="2026-08-11T06:42:41"/>
    <x v="11"/>
    <x v="5"/>
    <x v="11"/>
    <s v="17IA14.90"/>
    <x v="0"/>
    <x v="0"/>
    <m/>
    <m/>
    <m/>
  </r>
  <r>
    <s v="YK263300116"/>
    <x v="0"/>
    <x v="0"/>
    <n v="1"/>
    <x v="7"/>
    <d v="2026-08-11T06:42:41"/>
    <x v="11"/>
    <x v="5"/>
    <x v="11"/>
    <s v="17IA14.90"/>
    <x v="0"/>
    <x v="0"/>
    <m/>
    <m/>
    <m/>
  </r>
  <r>
    <s v="YK263300117"/>
    <x v="0"/>
    <x v="0"/>
    <n v="1"/>
    <x v="7"/>
    <d v="2026-08-11T06:42:41"/>
    <x v="11"/>
    <x v="5"/>
    <x v="11"/>
    <s v="17IA14.90"/>
    <x v="0"/>
    <x v="0"/>
    <m/>
    <m/>
    <m/>
  </r>
  <r>
    <s v="YK263300118"/>
    <x v="0"/>
    <x v="0"/>
    <n v="1"/>
    <x v="7"/>
    <d v="2026-08-11T06:42:41"/>
    <x v="11"/>
    <x v="5"/>
    <x v="11"/>
    <s v="17IA14.90"/>
    <x v="0"/>
    <x v="0"/>
    <m/>
    <m/>
    <m/>
  </r>
  <r>
    <s v="YK263300119"/>
    <x v="0"/>
    <x v="0"/>
    <n v="1"/>
    <x v="7"/>
    <d v="2026-08-11T06:42:41"/>
    <x v="11"/>
    <x v="5"/>
    <x v="11"/>
    <s v="17IA14.90"/>
    <x v="0"/>
    <x v="0"/>
    <m/>
    <m/>
    <m/>
  </r>
  <r>
    <s v="YK263300120"/>
    <x v="0"/>
    <x v="0"/>
    <n v="1"/>
    <x v="7"/>
    <d v="2026-08-11T06:42:41"/>
    <x v="11"/>
    <x v="5"/>
    <x v="11"/>
    <s v="17IA14.90"/>
    <x v="0"/>
    <x v="0"/>
    <m/>
    <m/>
    <m/>
  </r>
  <r>
    <s v="YK263300121"/>
    <x v="0"/>
    <x v="0"/>
    <n v="1"/>
    <x v="7"/>
    <d v="2026-08-11T06:42:41"/>
    <x v="11"/>
    <x v="5"/>
    <x v="11"/>
    <s v="17IA14.90"/>
    <x v="0"/>
    <x v="0"/>
    <m/>
    <m/>
    <m/>
  </r>
  <r>
    <s v="YK263300122"/>
    <x v="0"/>
    <x v="0"/>
    <n v="1"/>
    <x v="7"/>
    <d v="2026-08-11T06:42:41"/>
    <x v="11"/>
    <x v="5"/>
    <x v="11"/>
    <s v="17IA14.90"/>
    <x v="0"/>
    <x v="0"/>
    <m/>
    <m/>
    <m/>
  </r>
  <r>
    <s v="YK263300123"/>
    <x v="0"/>
    <x v="0"/>
    <n v="1"/>
    <x v="7"/>
    <d v="2026-08-11T06:42:41"/>
    <x v="11"/>
    <x v="5"/>
    <x v="11"/>
    <s v="17IA14.90"/>
    <x v="0"/>
    <x v="0"/>
    <m/>
    <m/>
    <m/>
  </r>
  <r>
    <s v="YK263300124"/>
    <x v="0"/>
    <x v="0"/>
    <n v="1"/>
    <x v="7"/>
    <d v="2026-08-11T06:42:41"/>
    <x v="11"/>
    <x v="5"/>
    <x v="11"/>
    <s v="17IA14.90"/>
    <x v="0"/>
    <x v="0"/>
    <m/>
    <m/>
    <m/>
  </r>
  <r>
    <s v="YK263300125"/>
    <x v="0"/>
    <x v="0"/>
    <n v="1"/>
    <x v="7"/>
    <d v="2026-08-11T06:42:41"/>
    <x v="11"/>
    <x v="5"/>
    <x v="11"/>
    <s v="17IA14.90"/>
    <x v="0"/>
    <x v="0"/>
    <m/>
    <m/>
    <m/>
  </r>
  <r>
    <s v="YK263300126"/>
    <x v="0"/>
    <x v="0"/>
    <n v="1"/>
    <x v="7"/>
    <d v="2026-08-11T06:42:41"/>
    <x v="11"/>
    <x v="5"/>
    <x v="11"/>
    <s v="17IA14.90"/>
    <x v="0"/>
    <x v="0"/>
    <m/>
    <m/>
    <m/>
  </r>
  <r>
    <s v="YK263300127"/>
    <x v="0"/>
    <x v="0"/>
    <n v="1"/>
    <x v="7"/>
    <d v="2026-08-11T06:42:41"/>
    <x v="11"/>
    <x v="5"/>
    <x v="11"/>
    <s v="17IA14.90"/>
    <x v="0"/>
    <x v="0"/>
    <m/>
    <m/>
    <m/>
  </r>
  <r>
    <s v="YK263300128"/>
    <x v="0"/>
    <x v="0"/>
    <n v="1"/>
    <x v="7"/>
    <d v="2026-08-11T06:42:41"/>
    <x v="11"/>
    <x v="5"/>
    <x v="11"/>
    <s v="17IA14.90"/>
    <x v="0"/>
    <x v="0"/>
    <m/>
    <m/>
    <m/>
  </r>
  <r>
    <s v="YK263300129"/>
    <x v="0"/>
    <x v="0"/>
    <n v="1"/>
    <x v="7"/>
    <d v="2026-08-11T06:42:41"/>
    <x v="11"/>
    <x v="5"/>
    <x v="11"/>
    <s v="17IA14.90"/>
    <x v="0"/>
    <x v="0"/>
    <m/>
    <m/>
    <m/>
  </r>
  <r>
    <s v="YK263300130"/>
    <x v="0"/>
    <x v="0"/>
    <n v="1"/>
    <x v="7"/>
    <d v="2026-08-11T06:42:41"/>
    <x v="11"/>
    <x v="5"/>
    <x v="11"/>
    <s v="17IA14.90"/>
    <x v="0"/>
    <x v="0"/>
    <m/>
    <m/>
    <m/>
  </r>
  <r>
    <s v="YK263300131"/>
    <x v="0"/>
    <x v="0"/>
    <n v="1"/>
    <x v="7"/>
    <d v="2026-08-11T06:42:41"/>
    <x v="11"/>
    <x v="5"/>
    <x v="11"/>
    <s v="17IA14.90"/>
    <x v="0"/>
    <x v="0"/>
    <m/>
    <m/>
    <m/>
  </r>
  <r>
    <s v="YK263300132"/>
    <x v="0"/>
    <x v="0"/>
    <n v="1"/>
    <x v="7"/>
    <d v="2026-08-11T06:42:41"/>
    <x v="11"/>
    <x v="5"/>
    <x v="11"/>
    <s v="17IA14.90"/>
    <x v="0"/>
    <x v="0"/>
    <m/>
    <m/>
    <m/>
  </r>
  <r>
    <s v="YK263300133"/>
    <x v="0"/>
    <x v="0"/>
    <n v="1"/>
    <x v="7"/>
    <d v="2026-08-11T06:42:41"/>
    <x v="11"/>
    <x v="5"/>
    <x v="11"/>
    <s v="17IA14.90"/>
    <x v="0"/>
    <x v="0"/>
    <m/>
    <m/>
    <m/>
  </r>
  <r>
    <s v="YK263300134"/>
    <x v="0"/>
    <x v="0"/>
    <n v="1"/>
    <x v="7"/>
    <d v="2026-08-11T06:42:41"/>
    <x v="11"/>
    <x v="5"/>
    <x v="11"/>
    <s v="17IA14.90"/>
    <x v="0"/>
    <x v="0"/>
    <m/>
    <m/>
    <m/>
  </r>
  <r>
    <s v="YK263300135"/>
    <x v="0"/>
    <x v="0"/>
    <n v="1"/>
    <x v="7"/>
    <d v="2026-08-11T06:42:41"/>
    <x v="11"/>
    <x v="5"/>
    <x v="11"/>
    <s v="17IA14.90"/>
    <x v="0"/>
    <x v="0"/>
    <m/>
    <m/>
    <m/>
  </r>
  <r>
    <s v="YK263300136"/>
    <x v="0"/>
    <x v="0"/>
    <n v="1"/>
    <x v="7"/>
    <d v="2026-08-11T06:42:41"/>
    <x v="11"/>
    <x v="5"/>
    <x v="11"/>
    <s v="17IA14.90"/>
    <x v="0"/>
    <x v="0"/>
    <m/>
    <m/>
    <m/>
  </r>
  <r>
    <s v="YK263300137"/>
    <x v="0"/>
    <x v="0"/>
    <n v="1"/>
    <x v="7"/>
    <d v="2026-08-11T06:42:41"/>
    <x v="11"/>
    <x v="5"/>
    <x v="11"/>
    <s v="17IA14.90"/>
    <x v="0"/>
    <x v="0"/>
    <m/>
    <m/>
    <m/>
  </r>
  <r>
    <s v="YK263300138"/>
    <x v="0"/>
    <x v="0"/>
    <n v="1"/>
    <x v="7"/>
    <d v="2026-08-11T06:42:41"/>
    <x v="11"/>
    <x v="5"/>
    <x v="11"/>
    <s v="17IA14.90"/>
    <x v="0"/>
    <x v="0"/>
    <m/>
    <m/>
    <m/>
  </r>
  <r>
    <s v="YK263300139"/>
    <x v="0"/>
    <x v="0"/>
    <n v="1"/>
    <x v="7"/>
    <d v="2026-08-11T06:42:41"/>
    <x v="11"/>
    <x v="5"/>
    <x v="11"/>
    <s v="17IA14.90"/>
    <x v="0"/>
    <x v="0"/>
    <m/>
    <m/>
    <m/>
  </r>
  <r>
    <s v="YK263300140"/>
    <x v="0"/>
    <x v="0"/>
    <n v="1"/>
    <x v="7"/>
    <d v="2026-08-11T06:42:41"/>
    <x v="11"/>
    <x v="5"/>
    <x v="11"/>
    <s v="17IA14.90"/>
    <x v="0"/>
    <x v="0"/>
    <m/>
    <m/>
    <m/>
  </r>
  <r>
    <s v="YK263300141"/>
    <x v="0"/>
    <x v="0"/>
    <n v="1"/>
    <x v="7"/>
    <d v="2026-08-11T06:42:41"/>
    <x v="11"/>
    <x v="5"/>
    <x v="11"/>
    <s v="17IA14.90"/>
    <x v="0"/>
    <x v="0"/>
    <m/>
    <m/>
    <m/>
  </r>
  <r>
    <s v="YK263300142"/>
    <x v="0"/>
    <x v="0"/>
    <n v="1"/>
    <x v="7"/>
    <d v="2026-08-11T06:42:41"/>
    <x v="11"/>
    <x v="5"/>
    <x v="11"/>
    <s v="17IA14.90"/>
    <x v="0"/>
    <x v="0"/>
    <m/>
    <m/>
    <m/>
  </r>
  <r>
    <s v="YK263300143"/>
    <x v="0"/>
    <x v="0"/>
    <n v="1"/>
    <x v="7"/>
    <d v="2026-08-11T06:42:41"/>
    <x v="11"/>
    <x v="5"/>
    <x v="11"/>
    <s v="17IA14.90"/>
    <x v="0"/>
    <x v="0"/>
    <m/>
    <m/>
    <m/>
  </r>
  <r>
    <s v="YK263300144"/>
    <x v="0"/>
    <x v="0"/>
    <n v="1"/>
    <x v="7"/>
    <d v="2026-08-11T06:42:41"/>
    <x v="11"/>
    <x v="5"/>
    <x v="11"/>
    <s v="17IA14.90"/>
    <x v="0"/>
    <x v="0"/>
    <m/>
    <m/>
    <m/>
  </r>
  <r>
    <s v="YK263300145"/>
    <x v="0"/>
    <x v="0"/>
    <n v="1"/>
    <x v="7"/>
    <d v="2026-08-11T06:42:41"/>
    <x v="11"/>
    <x v="5"/>
    <x v="11"/>
    <s v="17IA14.90"/>
    <x v="0"/>
    <x v="0"/>
    <m/>
    <m/>
    <m/>
  </r>
  <r>
    <s v="YK263300146"/>
    <x v="0"/>
    <x v="0"/>
    <n v="1"/>
    <x v="7"/>
    <d v="2026-08-11T06:42:41"/>
    <x v="11"/>
    <x v="5"/>
    <x v="11"/>
    <s v="17IA14.90"/>
    <x v="0"/>
    <x v="0"/>
    <m/>
    <m/>
    <m/>
  </r>
  <r>
    <s v="YK263300147"/>
    <x v="0"/>
    <x v="0"/>
    <n v="1"/>
    <x v="7"/>
    <d v="2026-08-11T06:42:41"/>
    <x v="11"/>
    <x v="5"/>
    <x v="11"/>
    <s v="17IA14.90"/>
    <x v="0"/>
    <x v="0"/>
    <m/>
    <m/>
    <m/>
  </r>
  <r>
    <s v="YK263300148"/>
    <x v="0"/>
    <x v="0"/>
    <n v="1"/>
    <x v="7"/>
    <d v="2026-08-11T06:42:41"/>
    <x v="11"/>
    <x v="5"/>
    <x v="11"/>
    <s v="17IA14.90"/>
    <x v="0"/>
    <x v="0"/>
    <m/>
    <m/>
    <m/>
  </r>
  <r>
    <s v="YK263300149"/>
    <x v="0"/>
    <x v="0"/>
    <n v="1"/>
    <x v="7"/>
    <d v="2026-08-11T06:42:41"/>
    <x v="11"/>
    <x v="5"/>
    <x v="11"/>
    <s v="17IA14.90"/>
    <x v="0"/>
    <x v="0"/>
    <m/>
    <m/>
    <m/>
  </r>
  <r>
    <s v="YK263300150"/>
    <x v="0"/>
    <x v="0"/>
    <n v="1"/>
    <x v="7"/>
    <d v="2026-08-11T06:42:41"/>
    <x v="11"/>
    <x v="5"/>
    <x v="11"/>
    <s v="17IA14.90"/>
    <x v="0"/>
    <x v="0"/>
    <m/>
    <m/>
    <m/>
  </r>
  <r>
    <s v="YK263300151"/>
    <x v="0"/>
    <x v="0"/>
    <n v="1"/>
    <x v="7"/>
    <d v="2026-08-11T06:42:41"/>
    <x v="11"/>
    <x v="5"/>
    <x v="11"/>
    <s v="17IA14.90"/>
    <x v="0"/>
    <x v="0"/>
    <m/>
    <m/>
    <m/>
  </r>
  <r>
    <s v="YK263300152"/>
    <x v="0"/>
    <x v="0"/>
    <n v="1"/>
    <x v="7"/>
    <d v="2026-08-11T06:42:41"/>
    <x v="11"/>
    <x v="5"/>
    <x v="11"/>
    <s v="17IA14.90"/>
    <x v="0"/>
    <x v="0"/>
    <m/>
    <m/>
    <m/>
  </r>
  <r>
    <s v="YK263300153"/>
    <x v="0"/>
    <x v="0"/>
    <n v="1"/>
    <x v="7"/>
    <d v="2026-08-11T06:42:41"/>
    <x v="11"/>
    <x v="5"/>
    <x v="11"/>
    <s v="17IA14.90"/>
    <x v="0"/>
    <x v="0"/>
    <m/>
    <m/>
    <m/>
  </r>
  <r>
    <s v="YK263300154"/>
    <x v="0"/>
    <x v="0"/>
    <n v="1"/>
    <x v="7"/>
    <d v="2026-08-11T06:42:41"/>
    <x v="11"/>
    <x v="5"/>
    <x v="11"/>
    <s v="17IA14.90"/>
    <x v="0"/>
    <x v="0"/>
    <m/>
    <m/>
    <m/>
  </r>
  <r>
    <s v="YK263300155"/>
    <x v="0"/>
    <x v="0"/>
    <n v="1"/>
    <x v="7"/>
    <d v="2026-08-11T06:42:41"/>
    <x v="11"/>
    <x v="5"/>
    <x v="11"/>
    <s v="17IA14.90"/>
    <x v="0"/>
    <x v="0"/>
    <m/>
    <m/>
    <m/>
  </r>
  <r>
    <s v="YK263300156"/>
    <x v="0"/>
    <x v="0"/>
    <n v="1"/>
    <x v="7"/>
    <d v="2026-08-11T06:42:41"/>
    <x v="11"/>
    <x v="5"/>
    <x v="11"/>
    <s v="17IA14.90"/>
    <x v="0"/>
    <x v="0"/>
    <m/>
    <m/>
    <m/>
  </r>
  <r>
    <s v="YK263300157"/>
    <x v="0"/>
    <x v="0"/>
    <n v="1"/>
    <x v="7"/>
    <d v="2026-08-11T06:42:41"/>
    <x v="11"/>
    <x v="5"/>
    <x v="11"/>
    <s v="17IA14.90"/>
    <x v="0"/>
    <x v="0"/>
    <m/>
    <m/>
    <m/>
  </r>
  <r>
    <s v="YK263300158"/>
    <x v="0"/>
    <x v="0"/>
    <n v="1"/>
    <x v="7"/>
    <d v="2026-08-11T06:42:41"/>
    <x v="11"/>
    <x v="5"/>
    <x v="11"/>
    <s v="17IA14.90"/>
    <x v="0"/>
    <x v="0"/>
    <m/>
    <m/>
    <m/>
  </r>
  <r>
    <s v="YK263300159"/>
    <x v="0"/>
    <x v="0"/>
    <n v="1"/>
    <x v="7"/>
    <d v="2026-08-11T06:42:41"/>
    <x v="11"/>
    <x v="5"/>
    <x v="11"/>
    <s v="17IA14.90"/>
    <x v="0"/>
    <x v="0"/>
    <m/>
    <m/>
    <m/>
  </r>
  <r>
    <s v="YK263300160"/>
    <x v="0"/>
    <x v="0"/>
    <n v="1"/>
    <x v="7"/>
    <d v="2026-08-11T06:42:41"/>
    <x v="11"/>
    <x v="5"/>
    <x v="11"/>
    <s v="17IA14.90"/>
    <x v="0"/>
    <x v="0"/>
    <m/>
    <m/>
    <m/>
  </r>
  <r>
    <s v="YK263300161"/>
    <x v="0"/>
    <x v="0"/>
    <n v="1"/>
    <x v="7"/>
    <d v="2026-08-11T06:42:41"/>
    <x v="11"/>
    <x v="5"/>
    <x v="11"/>
    <s v="17IA14.90"/>
    <x v="0"/>
    <x v="0"/>
    <m/>
    <m/>
    <m/>
  </r>
  <r>
    <s v="YK263300162"/>
    <x v="0"/>
    <x v="0"/>
    <n v="1"/>
    <x v="7"/>
    <d v="2026-08-11T06:42:41"/>
    <x v="11"/>
    <x v="5"/>
    <x v="11"/>
    <s v="17IA14.90"/>
    <x v="0"/>
    <x v="0"/>
    <m/>
    <m/>
    <m/>
  </r>
  <r>
    <s v="YK263300163"/>
    <x v="0"/>
    <x v="0"/>
    <n v="1"/>
    <x v="7"/>
    <d v="2026-08-11T06:42:41"/>
    <x v="11"/>
    <x v="5"/>
    <x v="11"/>
    <s v="17IA14.90"/>
    <x v="0"/>
    <x v="0"/>
    <m/>
    <m/>
    <m/>
  </r>
  <r>
    <s v="YK263300164"/>
    <x v="0"/>
    <x v="0"/>
    <n v="1"/>
    <x v="7"/>
    <d v="2026-08-11T06:42:41"/>
    <x v="11"/>
    <x v="5"/>
    <x v="11"/>
    <s v="17IA14.90"/>
    <x v="0"/>
    <x v="0"/>
    <m/>
    <m/>
    <m/>
  </r>
  <r>
    <s v="YK263300165"/>
    <x v="0"/>
    <x v="0"/>
    <n v="1"/>
    <x v="7"/>
    <d v="2026-08-11T06:42:41"/>
    <x v="11"/>
    <x v="5"/>
    <x v="11"/>
    <s v="17IA14.90"/>
    <x v="0"/>
    <x v="0"/>
    <m/>
    <m/>
    <m/>
  </r>
  <r>
    <s v="YK263300166"/>
    <x v="0"/>
    <x v="0"/>
    <n v="1"/>
    <x v="7"/>
    <d v="2026-08-11T06:42:41"/>
    <x v="11"/>
    <x v="5"/>
    <x v="11"/>
    <s v="17IA14.90"/>
    <x v="0"/>
    <x v="0"/>
    <m/>
    <m/>
    <m/>
  </r>
  <r>
    <s v="YK263300167"/>
    <x v="0"/>
    <x v="0"/>
    <n v="1"/>
    <x v="7"/>
    <d v="2026-08-11T06:42:41"/>
    <x v="11"/>
    <x v="5"/>
    <x v="11"/>
    <s v="17IA14.90"/>
    <x v="0"/>
    <x v="0"/>
    <m/>
    <m/>
    <m/>
  </r>
  <r>
    <s v="YK263300168"/>
    <x v="0"/>
    <x v="0"/>
    <n v="1"/>
    <x v="7"/>
    <d v="2026-08-11T06:42:41"/>
    <x v="11"/>
    <x v="5"/>
    <x v="11"/>
    <s v="17IA14.90"/>
    <x v="0"/>
    <x v="0"/>
    <m/>
    <m/>
    <m/>
  </r>
  <r>
    <s v="YK263300169"/>
    <x v="0"/>
    <x v="0"/>
    <n v="1"/>
    <x v="7"/>
    <d v="2026-08-11T06:42:41"/>
    <x v="11"/>
    <x v="5"/>
    <x v="11"/>
    <s v="17IA14.90"/>
    <x v="0"/>
    <x v="0"/>
    <m/>
    <m/>
    <m/>
  </r>
  <r>
    <s v="YK263300170"/>
    <x v="0"/>
    <x v="0"/>
    <n v="1"/>
    <x v="7"/>
    <d v="2026-08-11T06:42:41"/>
    <x v="11"/>
    <x v="5"/>
    <x v="11"/>
    <s v="17IA14.90"/>
    <x v="0"/>
    <x v="0"/>
    <m/>
    <m/>
    <m/>
  </r>
  <r>
    <s v="YK263300171"/>
    <x v="0"/>
    <x v="0"/>
    <n v="1"/>
    <x v="7"/>
    <d v="2026-08-11T06:42:41"/>
    <x v="11"/>
    <x v="5"/>
    <x v="11"/>
    <s v="17IA14.90"/>
    <x v="0"/>
    <x v="0"/>
    <m/>
    <m/>
    <m/>
  </r>
  <r>
    <s v="YK263300172"/>
    <x v="0"/>
    <x v="0"/>
    <n v="1"/>
    <x v="7"/>
    <d v="2026-08-11T06:42:41"/>
    <x v="11"/>
    <x v="5"/>
    <x v="11"/>
    <s v="17IA14.90"/>
    <x v="0"/>
    <x v="0"/>
    <m/>
    <m/>
    <m/>
  </r>
  <r>
    <s v="YK263300173"/>
    <x v="0"/>
    <x v="0"/>
    <n v="1"/>
    <x v="7"/>
    <d v="2026-08-11T06:42:41"/>
    <x v="11"/>
    <x v="5"/>
    <x v="11"/>
    <s v="17IA14.90"/>
    <x v="0"/>
    <x v="0"/>
    <m/>
    <m/>
    <m/>
  </r>
  <r>
    <s v="YK263300174"/>
    <x v="0"/>
    <x v="0"/>
    <n v="1"/>
    <x v="7"/>
    <d v="2026-08-11T06:42:41"/>
    <x v="11"/>
    <x v="5"/>
    <x v="11"/>
    <s v="17IA14.90"/>
    <x v="0"/>
    <x v="0"/>
    <m/>
    <m/>
    <m/>
  </r>
  <r>
    <s v="YK263300175"/>
    <x v="0"/>
    <x v="0"/>
    <n v="1"/>
    <x v="7"/>
    <d v="2026-08-11T06:42:41"/>
    <x v="11"/>
    <x v="5"/>
    <x v="11"/>
    <s v="17IA14.90"/>
    <x v="0"/>
    <x v="0"/>
    <m/>
    <m/>
    <m/>
  </r>
  <r>
    <s v="YK263300176"/>
    <x v="0"/>
    <x v="0"/>
    <n v="1"/>
    <x v="7"/>
    <d v="2026-08-11T06:42:41"/>
    <x v="11"/>
    <x v="5"/>
    <x v="11"/>
    <s v="17IA14.90"/>
    <x v="0"/>
    <x v="0"/>
    <m/>
    <m/>
    <m/>
  </r>
  <r>
    <s v="YK263300177"/>
    <x v="0"/>
    <x v="0"/>
    <n v="1"/>
    <x v="7"/>
    <d v="2026-08-11T06:42:41"/>
    <x v="11"/>
    <x v="5"/>
    <x v="11"/>
    <s v="17IA14.90"/>
    <x v="0"/>
    <x v="0"/>
    <m/>
    <m/>
    <m/>
  </r>
  <r>
    <s v="YK263300178"/>
    <x v="0"/>
    <x v="0"/>
    <n v="1"/>
    <x v="7"/>
    <d v="2026-08-11T06:42:41"/>
    <x v="11"/>
    <x v="5"/>
    <x v="11"/>
    <s v="17IA14.90"/>
    <x v="0"/>
    <x v="0"/>
    <m/>
    <m/>
    <m/>
  </r>
  <r>
    <s v="YK263300179"/>
    <x v="0"/>
    <x v="0"/>
    <n v="1"/>
    <x v="7"/>
    <d v="2026-08-11T06:42:41"/>
    <x v="11"/>
    <x v="5"/>
    <x v="11"/>
    <s v="17IA14.90"/>
    <x v="0"/>
    <x v="0"/>
    <m/>
    <m/>
    <m/>
  </r>
  <r>
    <s v="YK263300180"/>
    <x v="0"/>
    <x v="0"/>
    <n v="1"/>
    <x v="7"/>
    <d v="2026-08-11T06:42:41"/>
    <x v="11"/>
    <x v="5"/>
    <x v="11"/>
    <s v="17IA14.90"/>
    <x v="0"/>
    <x v="0"/>
    <m/>
    <m/>
    <m/>
  </r>
  <r>
    <s v="YK263300181"/>
    <x v="0"/>
    <x v="0"/>
    <n v="1"/>
    <x v="7"/>
    <d v="2026-08-11T06:42:41"/>
    <x v="11"/>
    <x v="5"/>
    <x v="11"/>
    <s v="17IA14.90"/>
    <x v="0"/>
    <x v="0"/>
    <m/>
    <m/>
    <m/>
  </r>
  <r>
    <s v="YK263300182"/>
    <x v="0"/>
    <x v="0"/>
    <n v="1"/>
    <x v="7"/>
    <d v="2026-08-11T06:42:41"/>
    <x v="11"/>
    <x v="5"/>
    <x v="11"/>
    <s v="17IA14.90"/>
    <x v="0"/>
    <x v="0"/>
    <m/>
    <m/>
    <m/>
  </r>
  <r>
    <s v="YK263300183"/>
    <x v="0"/>
    <x v="0"/>
    <n v="1"/>
    <x v="7"/>
    <d v="2026-08-11T06:42:41"/>
    <x v="11"/>
    <x v="5"/>
    <x v="11"/>
    <s v="17IA14.90"/>
    <x v="0"/>
    <x v="0"/>
    <m/>
    <m/>
    <m/>
  </r>
  <r>
    <s v="YK263300184"/>
    <x v="0"/>
    <x v="0"/>
    <n v="1"/>
    <x v="7"/>
    <d v="2026-08-11T06:42:41"/>
    <x v="11"/>
    <x v="5"/>
    <x v="11"/>
    <s v="17IA14.90"/>
    <x v="0"/>
    <x v="0"/>
    <m/>
    <m/>
    <m/>
  </r>
  <r>
    <s v="YK263300185"/>
    <x v="0"/>
    <x v="0"/>
    <n v="1"/>
    <x v="7"/>
    <d v="2026-08-11T06:42:41"/>
    <x v="11"/>
    <x v="5"/>
    <x v="11"/>
    <s v="17IA14.90"/>
    <x v="0"/>
    <x v="0"/>
    <m/>
    <m/>
    <m/>
  </r>
  <r>
    <s v="YK263300186"/>
    <x v="0"/>
    <x v="0"/>
    <n v="1"/>
    <x v="7"/>
    <d v="2026-08-11T06:42:41"/>
    <x v="11"/>
    <x v="5"/>
    <x v="11"/>
    <s v="17IA14.90"/>
    <x v="0"/>
    <x v="0"/>
    <m/>
    <m/>
    <m/>
  </r>
  <r>
    <s v="YK263300187"/>
    <x v="0"/>
    <x v="0"/>
    <n v="1"/>
    <x v="7"/>
    <d v="2026-08-11T06:42:41"/>
    <x v="11"/>
    <x v="5"/>
    <x v="11"/>
    <s v="17IA14.90"/>
    <x v="0"/>
    <x v="0"/>
    <m/>
    <m/>
    <m/>
  </r>
  <r>
    <s v="YK263300188"/>
    <x v="0"/>
    <x v="0"/>
    <n v="1"/>
    <x v="7"/>
    <d v="2026-08-11T06:42:41"/>
    <x v="11"/>
    <x v="5"/>
    <x v="11"/>
    <s v="17IA14.90"/>
    <x v="0"/>
    <x v="0"/>
    <m/>
    <m/>
    <m/>
  </r>
  <r>
    <s v="YK263300189"/>
    <x v="0"/>
    <x v="0"/>
    <n v="1"/>
    <x v="7"/>
    <d v="2026-08-11T06:42:41"/>
    <x v="11"/>
    <x v="5"/>
    <x v="11"/>
    <s v="17IA14.90"/>
    <x v="0"/>
    <x v="0"/>
    <m/>
    <m/>
    <m/>
  </r>
  <r>
    <s v="YK263300190"/>
    <x v="0"/>
    <x v="0"/>
    <n v="1"/>
    <x v="7"/>
    <d v="2026-08-11T06:42:41"/>
    <x v="11"/>
    <x v="5"/>
    <x v="11"/>
    <s v="17IA14.90"/>
    <x v="0"/>
    <x v="0"/>
    <m/>
    <m/>
    <m/>
  </r>
  <r>
    <s v="YK263300191"/>
    <x v="0"/>
    <x v="0"/>
    <n v="1"/>
    <x v="7"/>
    <d v="2026-08-11T06:42:41"/>
    <x v="11"/>
    <x v="5"/>
    <x v="11"/>
    <s v="17IA14.90"/>
    <x v="0"/>
    <x v="0"/>
    <m/>
    <m/>
    <m/>
  </r>
  <r>
    <s v="YK263300192"/>
    <x v="0"/>
    <x v="0"/>
    <n v="1"/>
    <x v="7"/>
    <d v="2026-08-11T06:42:41"/>
    <x v="11"/>
    <x v="5"/>
    <x v="11"/>
    <s v="17IA14.90"/>
    <x v="0"/>
    <x v="0"/>
    <m/>
    <m/>
    <m/>
  </r>
  <r>
    <s v="YK263300193"/>
    <x v="0"/>
    <x v="0"/>
    <n v="1"/>
    <x v="7"/>
    <d v="2026-08-11T06:42:41"/>
    <x v="11"/>
    <x v="5"/>
    <x v="11"/>
    <s v="17IA14.90"/>
    <x v="0"/>
    <x v="0"/>
    <m/>
    <m/>
    <m/>
  </r>
  <r>
    <s v="YK263300194"/>
    <x v="0"/>
    <x v="0"/>
    <n v="1"/>
    <x v="7"/>
    <d v="2026-08-11T06:42:41"/>
    <x v="11"/>
    <x v="5"/>
    <x v="11"/>
    <s v="17IA14.90"/>
    <x v="0"/>
    <x v="0"/>
    <m/>
    <m/>
    <m/>
  </r>
  <r>
    <s v="YK263300195"/>
    <x v="0"/>
    <x v="0"/>
    <n v="1"/>
    <x v="7"/>
    <d v="2026-08-11T06:42:41"/>
    <x v="11"/>
    <x v="5"/>
    <x v="11"/>
    <s v="17IA14.90"/>
    <x v="0"/>
    <x v="0"/>
    <m/>
    <m/>
    <m/>
  </r>
  <r>
    <s v="YK263300196"/>
    <x v="0"/>
    <x v="0"/>
    <n v="1"/>
    <x v="7"/>
    <d v="2026-08-11T06:42:41"/>
    <x v="11"/>
    <x v="5"/>
    <x v="11"/>
    <s v="17IA14.90"/>
    <x v="0"/>
    <x v="0"/>
    <m/>
    <m/>
    <m/>
  </r>
  <r>
    <s v="YK263300197"/>
    <x v="0"/>
    <x v="0"/>
    <n v="1"/>
    <x v="7"/>
    <d v="2026-08-11T06:42:41"/>
    <x v="11"/>
    <x v="5"/>
    <x v="11"/>
    <s v="17IA14.90"/>
    <x v="0"/>
    <x v="0"/>
    <m/>
    <m/>
    <m/>
  </r>
  <r>
    <s v="YK263300198"/>
    <x v="0"/>
    <x v="0"/>
    <n v="1"/>
    <x v="7"/>
    <d v="2026-08-11T06:42:41"/>
    <x v="11"/>
    <x v="5"/>
    <x v="11"/>
    <s v="17IA14.90"/>
    <x v="0"/>
    <x v="0"/>
    <m/>
    <m/>
    <m/>
  </r>
  <r>
    <s v="YK263300199"/>
    <x v="0"/>
    <x v="0"/>
    <n v="1"/>
    <x v="7"/>
    <d v="2026-08-11T06:42:41"/>
    <x v="11"/>
    <x v="5"/>
    <x v="11"/>
    <s v="17IA14.90"/>
    <x v="0"/>
    <x v="0"/>
    <m/>
    <m/>
    <m/>
  </r>
  <r>
    <s v="YK263300200"/>
    <x v="0"/>
    <x v="0"/>
    <n v="1"/>
    <x v="7"/>
    <d v="2026-08-11T06:42:41"/>
    <x v="11"/>
    <x v="5"/>
    <x v="11"/>
    <s v="17IA14.90"/>
    <x v="0"/>
    <x v="0"/>
    <m/>
    <m/>
    <m/>
  </r>
  <r>
    <s v="YK263300201"/>
    <x v="0"/>
    <x v="0"/>
    <n v="1"/>
    <x v="7"/>
    <d v="2026-08-11T06:42:41"/>
    <x v="11"/>
    <x v="5"/>
    <x v="11"/>
    <s v="17IA14.90"/>
    <x v="0"/>
    <x v="0"/>
    <m/>
    <m/>
    <m/>
  </r>
  <r>
    <s v="YK263300202"/>
    <x v="0"/>
    <x v="0"/>
    <n v="1"/>
    <x v="7"/>
    <d v="2026-08-11T06:42:41"/>
    <x v="11"/>
    <x v="5"/>
    <x v="11"/>
    <s v="17IA14.90"/>
    <x v="0"/>
    <x v="0"/>
    <m/>
    <m/>
    <m/>
  </r>
  <r>
    <s v="YK263300203"/>
    <x v="0"/>
    <x v="0"/>
    <n v="1"/>
    <x v="7"/>
    <d v="2026-08-11T06:42:41"/>
    <x v="11"/>
    <x v="5"/>
    <x v="11"/>
    <s v="17IA14.90"/>
    <x v="0"/>
    <x v="0"/>
    <m/>
    <m/>
    <m/>
  </r>
  <r>
    <s v="YK263300204"/>
    <x v="0"/>
    <x v="0"/>
    <n v="1"/>
    <x v="7"/>
    <d v="2026-08-11T06:42:41"/>
    <x v="11"/>
    <x v="5"/>
    <x v="11"/>
    <s v="17IA14.90"/>
    <x v="0"/>
    <x v="0"/>
    <m/>
    <m/>
    <m/>
  </r>
  <r>
    <s v="YK263300205"/>
    <x v="0"/>
    <x v="0"/>
    <n v="1"/>
    <x v="7"/>
    <d v="2026-08-11T06:42:41"/>
    <x v="11"/>
    <x v="5"/>
    <x v="11"/>
    <s v="17IA14.90"/>
    <x v="0"/>
    <x v="0"/>
    <m/>
    <m/>
    <m/>
  </r>
  <r>
    <s v="YK263300206"/>
    <x v="0"/>
    <x v="0"/>
    <n v="1"/>
    <x v="7"/>
    <d v="2026-08-11T06:42:41"/>
    <x v="11"/>
    <x v="5"/>
    <x v="11"/>
    <s v="17IA14.90"/>
    <x v="0"/>
    <x v="0"/>
    <m/>
    <m/>
    <m/>
  </r>
  <r>
    <s v="YK263300207"/>
    <x v="0"/>
    <x v="0"/>
    <n v="1"/>
    <x v="7"/>
    <d v="2026-08-11T06:42:41"/>
    <x v="11"/>
    <x v="5"/>
    <x v="11"/>
    <s v="17IA14.90"/>
    <x v="0"/>
    <x v="0"/>
    <m/>
    <m/>
    <m/>
  </r>
  <r>
    <s v="YK263300208"/>
    <x v="0"/>
    <x v="0"/>
    <n v="1"/>
    <x v="7"/>
    <d v="2026-08-11T06:42:41"/>
    <x v="11"/>
    <x v="5"/>
    <x v="11"/>
    <s v="17IA14.90"/>
    <x v="0"/>
    <x v="0"/>
    <m/>
    <m/>
    <m/>
  </r>
  <r>
    <s v="YK263300209"/>
    <x v="0"/>
    <x v="0"/>
    <n v="1"/>
    <x v="7"/>
    <d v="2026-08-11T06:42:41"/>
    <x v="11"/>
    <x v="5"/>
    <x v="11"/>
    <s v="17IA14.90"/>
    <x v="0"/>
    <x v="0"/>
    <m/>
    <m/>
    <m/>
  </r>
  <r>
    <s v="YK263300210"/>
    <x v="0"/>
    <x v="0"/>
    <n v="1"/>
    <x v="7"/>
    <d v="2026-08-11T06:42:41"/>
    <x v="11"/>
    <x v="5"/>
    <x v="11"/>
    <s v="17IA14.90"/>
    <x v="0"/>
    <x v="0"/>
    <m/>
    <m/>
    <m/>
  </r>
  <r>
    <s v="YK263300211"/>
    <x v="0"/>
    <x v="0"/>
    <n v="1"/>
    <x v="7"/>
    <d v="2026-08-11T06:42:41"/>
    <x v="11"/>
    <x v="5"/>
    <x v="11"/>
    <s v="17IA14.90"/>
    <x v="0"/>
    <x v="0"/>
    <m/>
    <m/>
    <m/>
  </r>
  <r>
    <s v="YK263300212"/>
    <x v="0"/>
    <x v="0"/>
    <n v="1"/>
    <x v="7"/>
    <d v="2026-08-11T06:42:41"/>
    <x v="11"/>
    <x v="5"/>
    <x v="11"/>
    <s v="17IA14.90"/>
    <x v="0"/>
    <x v="0"/>
    <m/>
    <m/>
    <m/>
  </r>
  <r>
    <s v="YK263300213"/>
    <x v="0"/>
    <x v="0"/>
    <n v="1"/>
    <x v="7"/>
    <d v="2026-08-11T06:42:41"/>
    <x v="11"/>
    <x v="5"/>
    <x v="11"/>
    <s v="17IA14.90"/>
    <x v="0"/>
    <x v="0"/>
    <m/>
    <m/>
    <m/>
  </r>
  <r>
    <s v="YK263300214"/>
    <x v="0"/>
    <x v="0"/>
    <n v="1"/>
    <x v="7"/>
    <d v="2026-08-11T06:42:41"/>
    <x v="11"/>
    <x v="5"/>
    <x v="11"/>
    <s v="17IA14.90"/>
    <x v="0"/>
    <x v="0"/>
    <m/>
    <m/>
    <m/>
  </r>
  <r>
    <s v="YK263300215"/>
    <x v="0"/>
    <x v="0"/>
    <n v="1"/>
    <x v="7"/>
    <d v="2026-08-11T06:42:41"/>
    <x v="11"/>
    <x v="5"/>
    <x v="11"/>
    <s v="17IA14.90"/>
    <x v="0"/>
    <x v="0"/>
    <m/>
    <m/>
    <m/>
  </r>
  <r>
    <s v="YK263300216"/>
    <x v="0"/>
    <x v="0"/>
    <n v="1"/>
    <x v="7"/>
    <d v="2026-08-11T06:42:41"/>
    <x v="11"/>
    <x v="5"/>
    <x v="11"/>
    <s v="17IA14.90"/>
    <x v="0"/>
    <x v="0"/>
    <m/>
    <m/>
    <m/>
  </r>
  <r>
    <s v="YK263300217"/>
    <x v="0"/>
    <x v="0"/>
    <n v="1"/>
    <x v="7"/>
    <d v="2026-08-11T06:42:41"/>
    <x v="11"/>
    <x v="5"/>
    <x v="11"/>
    <s v="17IA14.90"/>
    <x v="0"/>
    <x v="0"/>
    <m/>
    <m/>
    <m/>
  </r>
  <r>
    <s v="YK263300218"/>
    <x v="0"/>
    <x v="0"/>
    <n v="1"/>
    <x v="7"/>
    <d v="2026-08-11T06:42:41"/>
    <x v="11"/>
    <x v="5"/>
    <x v="11"/>
    <s v="17IA14.90"/>
    <x v="0"/>
    <x v="0"/>
    <m/>
    <m/>
    <m/>
  </r>
  <r>
    <s v="YK263300219"/>
    <x v="0"/>
    <x v="0"/>
    <n v="1"/>
    <x v="7"/>
    <d v="2026-08-11T06:42:41"/>
    <x v="11"/>
    <x v="5"/>
    <x v="11"/>
    <s v="17IA14.90"/>
    <x v="0"/>
    <x v="0"/>
    <m/>
    <m/>
    <m/>
  </r>
  <r>
    <s v="YK263300220"/>
    <x v="0"/>
    <x v="0"/>
    <n v="1"/>
    <x v="7"/>
    <d v="2026-08-11T06:42:41"/>
    <x v="11"/>
    <x v="5"/>
    <x v="11"/>
    <s v="17IA14.90"/>
    <x v="0"/>
    <x v="0"/>
    <m/>
    <m/>
    <m/>
  </r>
  <r>
    <s v="YK263300221"/>
    <x v="0"/>
    <x v="0"/>
    <n v="1"/>
    <x v="7"/>
    <d v="2026-08-11T06:42:41"/>
    <x v="11"/>
    <x v="5"/>
    <x v="11"/>
    <s v="17IA14.90"/>
    <x v="0"/>
    <x v="0"/>
    <m/>
    <m/>
    <m/>
  </r>
  <r>
    <s v="YK263300222"/>
    <x v="0"/>
    <x v="0"/>
    <n v="1"/>
    <x v="7"/>
    <d v="2026-08-11T06:42:41"/>
    <x v="11"/>
    <x v="5"/>
    <x v="11"/>
    <s v="17IA14.90"/>
    <x v="0"/>
    <x v="0"/>
    <m/>
    <m/>
    <m/>
  </r>
  <r>
    <s v="YK263300223"/>
    <x v="0"/>
    <x v="0"/>
    <n v="1"/>
    <x v="7"/>
    <d v="2026-08-11T06:42:41"/>
    <x v="11"/>
    <x v="5"/>
    <x v="11"/>
    <s v="17IA14.90"/>
    <x v="0"/>
    <x v="0"/>
    <m/>
    <m/>
    <m/>
  </r>
  <r>
    <s v="YK263300224"/>
    <x v="0"/>
    <x v="0"/>
    <n v="1"/>
    <x v="7"/>
    <d v="2026-08-11T06:42:41"/>
    <x v="11"/>
    <x v="5"/>
    <x v="11"/>
    <s v="17IA14.90"/>
    <x v="0"/>
    <x v="0"/>
    <m/>
    <m/>
    <m/>
  </r>
  <r>
    <s v="YK263300225"/>
    <x v="0"/>
    <x v="0"/>
    <n v="1"/>
    <x v="7"/>
    <d v="2026-08-11T06:42:41"/>
    <x v="11"/>
    <x v="5"/>
    <x v="11"/>
    <s v="17IA14.90"/>
    <x v="0"/>
    <x v="0"/>
    <m/>
    <m/>
    <m/>
  </r>
  <r>
    <s v="YK263300226"/>
    <x v="0"/>
    <x v="0"/>
    <n v="1"/>
    <x v="7"/>
    <d v="2026-08-11T06:42:41"/>
    <x v="11"/>
    <x v="5"/>
    <x v="11"/>
    <s v="17IA14.90"/>
    <x v="0"/>
    <x v="0"/>
    <m/>
    <m/>
    <m/>
  </r>
  <r>
    <s v="YK262300189"/>
    <x v="0"/>
    <x v="0"/>
    <n v="1"/>
    <x v="0"/>
    <d v="2026-07-14T06:24:02"/>
    <x v="12"/>
    <x v="6"/>
    <x v="12"/>
    <s v="17IA15.60"/>
    <x v="0"/>
    <x v="0"/>
    <m/>
    <m/>
    <m/>
  </r>
  <r>
    <s v="YK262300190"/>
    <x v="0"/>
    <x v="0"/>
    <n v="1"/>
    <x v="0"/>
    <d v="2026-07-09T06:48:15"/>
    <x v="12"/>
    <x v="6"/>
    <x v="12"/>
    <s v="17IA15.60"/>
    <x v="0"/>
    <x v="0"/>
    <m/>
    <m/>
    <m/>
  </r>
  <r>
    <s v="YK262300191"/>
    <x v="0"/>
    <x v="0"/>
    <n v="1"/>
    <x v="0"/>
    <d v="2026-07-16T09:06:26"/>
    <x v="12"/>
    <x v="6"/>
    <x v="12"/>
    <s v="17IA15.60"/>
    <x v="0"/>
    <x v="0"/>
    <m/>
    <m/>
    <m/>
  </r>
  <r>
    <s v="YK262300192"/>
    <x v="0"/>
    <x v="0"/>
    <n v="1"/>
    <x v="0"/>
    <d v="2026-07-14T12:27:39"/>
    <x v="12"/>
    <x v="6"/>
    <x v="12"/>
    <s v="17IA15.60"/>
    <x v="0"/>
    <x v="0"/>
    <m/>
    <m/>
    <m/>
  </r>
  <r>
    <s v="YK262300193"/>
    <x v="0"/>
    <x v="0"/>
    <n v="1"/>
    <x v="0"/>
    <d v="2026-07-06T11:20:26"/>
    <x v="12"/>
    <x v="6"/>
    <x v="12"/>
    <s v="17IA15.60"/>
    <x v="0"/>
    <x v="0"/>
    <m/>
    <m/>
    <m/>
  </r>
  <r>
    <s v="YK262300194"/>
    <x v="0"/>
    <x v="0"/>
    <n v="1"/>
    <x v="0"/>
    <d v="2026-07-14T09:05:26"/>
    <x v="12"/>
    <x v="6"/>
    <x v="12"/>
    <s v="17IA15.60"/>
    <x v="0"/>
    <x v="0"/>
    <m/>
    <m/>
    <m/>
  </r>
  <r>
    <s v="YK262300195"/>
    <x v="0"/>
    <x v="0"/>
    <n v="1"/>
    <x v="0"/>
    <d v="2026-08-27T12:20:06"/>
    <x v="12"/>
    <x v="6"/>
    <x v="12"/>
    <s v="17IA15.60"/>
    <x v="0"/>
    <x v="0"/>
    <m/>
    <m/>
    <m/>
  </r>
  <r>
    <s v="YK262300196"/>
    <x v="0"/>
    <x v="0"/>
    <n v="1"/>
    <x v="0"/>
    <d v="2026-07-02T09:09:52"/>
    <x v="12"/>
    <x v="6"/>
    <x v="12"/>
    <s v="17IA15.60"/>
    <x v="0"/>
    <x v="0"/>
    <m/>
    <m/>
    <m/>
  </r>
  <r>
    <s v="YK262300197"/>
    <x v="0"/>
    <x v="0"/>
    <n v="1"/>
    <x v="0"/>
    <d v="2026-07-14T12:27:43"/>
    <x v="12"/>
    <x v="6"/>
    <x v="12"/>
    <s v="17IA15.60"/>
    <x v="0"/>
    <x v="0"/>
    <m/>
    <m/>
    <m/>
  </r>
  <r>
    <s v="YK262300198"/>
    <x v="0"/>
    <x v="0"/>
    <n v="1"/>
    <x v="0"/>
    <d v="2026-07-14T12:27:55"/>
    <x v="12"/>
    <x v="6"/>
    <x v="12"/>
    <s v="17IA15.60"/>
    <x v="0"/>
    <x v="0"/>
    <m/>
    <m/>
    <m/>
  </r>
  <r>
    <s v="YK262300199"/>
    <x v="0"/>
    <x v="0"/>
    <n v="1"/>
    <x v="0"/>
    <d v="2026-07-16T09:21:30"/>
    <x v="12"/>
    <x v="6"/>
    <x v="12"/>
    <s v="17IA15.60"/>
    <x v="0"/>
    <x v="0"/>
    <m/>
    <m/>
    <m/>
  </r>
  <r>
    <s v="YK262300200"/>
    <x v="0"/>
    <x v="0"/>
    <n v="1"/>
    <x v="0"/>
    <d v="2026-07-16T08:47:38"/>
    <x v="12"/>
    <x v="6"/>
    <x v="12"/>
    <s v="17IA15.60"/>
    <x v="0"/>
    <x v="0"/>
    <m/>
    <m/>
    <m/>
  </r>
  <r>
    <s v="YK262300201"/>
    <x v="0"/>
    <x v="0"/>
    <n v="1"/>
    <x v="0"/>
    <d v="2026-07-16T05:50:50"/>
    <x v="12"/>
    <x v="6"/>
    <x v="12"/>
    <s v="17IA15.60"/>
    <x v="0"/>
    <x v="0"/>
    <m/>
    <m/>
    <m/>
  </r>
  <r>
    <s v="YK262300202"/>
    <x v="0"/>
    <x v="0"/>
    <n v="1"/>
    <x v="0"/>
    <d v="2026-07-15T06:34:44"/>
    <x v="12"/>
    <x v="6"/>
    <x v="12"/>
    <s v="17IA15.60"/>
    <x v="0"/>
    <x v="0"/>
    <m/>
    <m/>
    <m/>
  </r>
  <r>
    <s v="YK262300203"/>
    <x v="1"/>
    <x v="1"/>
    <n v="1"/>
    <x v="1"/>
    <d v="2026-07-08T08:31:37"/>
    <x v="12"/>
    <x v="6"/>
    <x v="12"/>
    <s v="17IA15.60"/>
    <x v="0"/>
    <x v="0"/>
    <m/>
    <d v="2026-07-08T00:00:00"/>
    <m/>
  </r>
  <r>
    <s v="YK262300204"/>
    <x v="0"/>
    <x v="0"/>
    <n v="1"/>
    <x v="0"/>
    <d v="2026-07-10T08:36:00"/>
    <x v="12"/>
    <x v="6"/>
    <x v="12"/>
    <s v="17IA15.60"/>
    <x v="0"/>
    <x v="0"/>
    <m/>
    <m/>
    <m/>
  </r>
  <r>
    <s v="YK262300205"/>
    <x v="0"/>
    <x v="0"/>
    <n v="1"/>
    <x v="0"/>
    <d v="2026-07-16T05:50:45"/>
    <x v="12"/>
    <x v="6"/>
    <x v="12"/>
    <s v="17IA15.60"/>
    <x v="0"/>
    <x v="0"/>
    <m/>
    <m/>
    <m/>
  </r>
  <r>
    <s v="YK262300206"/>
    <x v="0"/>
    <x v="0"/>
    <n v="1"/>
    <x v="0"/>
    <d v="2026-07-16T11:23:22"/>
    <x v="12"/>
    <x v="6"/>
    <x v="12"/>
    <s v="17IA15.60"/>
    <x v="0"/>
    <x v="0"/>
    <m/>
    <m/>
    <m/>
  </r>
  <r>
    <s v="YK262300207"/>
    <x v="0"/>
    <x v="0"/>
    <n v="1"/>
    <x v="0"/>
    <d v="2026-07-16T11:23:18"/>
    <x v="12"/>
    <x v="6"/>
    <x v="12"/>
    <s v="17IA15.60"/>
    <x v="0"/>
    <x v="0"/>
    <m/>
    <m/>
    <m/>
  </r>
  <r>
    <s v="YK262300208"/>
    <x v="0"/>
    <x v="0"/>
    <n v="1"/>
    <x v="0"/>
    <d v="2026-07-15T06:43:38"/>
    <x v="12"/>
    <x v="6"/>
    <x v="12"/>
    <s v="17IA15.60"/>
    <x v="0"/>
    <x v="0"/>
    <m/>
    <m/>
    <m/>
  </r>
  <r>
    <s v="YK262300209"/>
    <x v="0"/>
    <x v="0"/>
    <n v="1"/>
    <x v="0"/>
    <d v="2026-07-08T10:17:15"/>
    <x v="12"/>
    <x v="6"/>
    <x v="12"/>
    <s v="17IA15.60"/>
    <x v="0"/>
    <x v="0"/>
    <m/>
    <m/>
    <m/>
  </r>
  <r>
    <s v="YK262300210"/>
    <x v="0"/>
    <x v="0"/>
    <n v="1"/>
    <x v="0"/>
    <d v="2026-07-15T06:34:41"/>
    <x v="12"/>
    <x v="6"/>
    <x v="12"/>
    <s v="17IA15.60"/>
    <x v="0"/>
    <x v="0"/>
    <m/>
    <m/>
    <m/>
  </r>
  <r>
    <s v="YK262300211"/>
    <x v="0"/>
    <x v="0"/>
    <n v="1"/>
    <x v="0"/>
    <d v="2026-07-21T09:48:02"/>
    <x v="12"/>
    <x v="6"/>
    <x v="12"/>
    <s v="17IA15.60"/>
    <x v="0"/>
    <x v="0"/>
    <m/>
    <m/>
    <m/>
  </r>
  <r>
    <s v="YK262300212"/>
    <x v="0"/>
    <x v="0"/>
    <n v="1"/>
    <x v="0"/>
    <d v="2026-07-09T06:48:19"/>
    <x v="12"/>
    <x v="6"/>
    <x v="12"/>
    <s v="17IA15.60"/>
    <x v="0"/>
    <x v="0"/>
    <m/>
    <m/>
    <m/>
  </r>
  <r>
    <s v="YK262300213"/>
    <x v="0"/>
    <x v="0"/>
    <n v="1"/>
    <x v="0"/>
    <d v="2026-07-08T10:17:12"/>
    <x v="12"/>
    <x v="6"/>
    <x v="12"/>
    <s v="17IA15.60"/>
    <x v="0"/>
    <x v="0"/>
    <m/>
    <m/>
    <m/>
  </r>
  <r>
    <s v="YK262300214"/>
    <x v="0"/>
    <x v="0"/>
    <n v="1"/>
    <x v="0"/>
    <d v="2026-07-15T06:34:49"/>
    <x v="12"/>
    <x v="6"/>
    <x v="12"/>
    <s v="17IA15.60"/>
    <x v="0"/>
    <x v="0"/>
    <m/>
    <m/>
    <m/>
  </r>
  <r>
    <s v="YK262300215"/>
    <x v="0"/>
    <x v="0"/>
    <n v="1"/>
    <x v="0"/>
    <d v="2026-07-14T09:05:22"/>
    <x v="12"/>
    <x v="6"/>
    <x v="12"/>
    <s v="17IA15.60"/>
    <x v="0"/>
    <x v="0"/>
    <m/>
    <m/>
    <m/>
  </r>
  <r>
    <s v="YK262300216"/>
    <x v="0"/>
    <x v="0"/>
    <n v="1"/>
    <x v="0"/>
    <d v="2026-07-15T13:51:20"/>
    <x v="12"/>
    <x v="6"/>
    <x v="12"/>
    <s v="17IA15.60"/>
    <x v="0"/>
    <x v="0"/>
    <m/>
    <m/>
    <m/>
  </r>
  <r>
    <s v="YK262300217"/>
    <x v="0"/>
    <x v="0"/>
    <n v="1"/>
    <x v="0"/>
    <d v="2026-07-15T06:43:46"/>
    <x v="12"/>
    <x v="6"/>
    <x v="12"/>
    <s v="17IA15.60"/>
    <x v="0"/>
    <x v="0"/>
    <m/>
    <m/>
    <m/>
  </r>
  <r>
    <s v="YK262300218"/>
    <x v="3"/>
    <x v="3"/>
    <n v="1"/>
    <x v="3"/>
    <d v="2026-08-12T21:50:23"/>
    <x v="12"/>
    <x v="6"/>
    <x v="12"/>
    <s v="17IA15.60"/>
    <x v="0"/>
    <x v="0"/>
    <m/>
    <m/>
    <m/>
  </r>
  <r>
    <s v="YK262300219"/>
    <x v="0"/>
    <x v="0"/>
    <n v="1"/>
    <x v="0"/>
    <d v="2026-07-08T10:18:02"/>
    <x v="12"/>
    <x v="6"/>
    <x v="12"/>
    <s v="17IA15.60"/>
    <x v="0"/>
    <x v="0"/>
    <m/>
    <m/>
    <m/>
  </r>
  <r>
    <s v="YK262300220"/>
    <x v="0"/>
    <x v="0"/>
    <n v="1"/>
    <x v="0"/>
    <d v="2026-07-21T09:50:35"/>
    <x v="12"/>
    <x v="6"/>
    <x v="12"/>
    <s v="17IA15.60"/>
    <x v="0"/>
    <x v="0"/>
    <m/>
    <m/>
    <m/>
  </r>
  <r>
    <s v="YK262300221"/>
    <x v="0"/>
    <x v="0"/>
    <n v="1"/>
    <x v="0"/>
    <d v="2026-07-02T09:09:34"/>
    <x v="12"/>
    <x v="6"/>
    <x v="12"/>
    <s v="17IA15.60"/>
    <x v="0"/>
    <x v="0"/>
    <m/>
    <m/>
    <m/>
  </r>
  <r>
    <s v="YK262300222"/>
    <x v="0"/>
    <x v="0"/>
    <n v="1"/>
    <x v="0"/>
    <d v="2026-07-16T11:23:32"/>
    <x v="12"/>
    <x v="6"/>
    <x v="12"/>
    <s v="17IA15.60"/>
    <x v="0"/>
    <x v="0"/>
    <m/>
    <m/>
    <m/>
  </r>
  <r>
    <s v="YK262300223"/>
    <x v="0"/>
    <x v="0"/>
    <n v="1"/>
    <x v="0"/>
    <d v="2026-08-25T14:52:32"/>
    <x v="12"/>
    <x v="6"/>
    <x v="12"/>
    <s v="17IA15.60"/>
    <x v="0"/>
    <x v="0"/>
    <m/>
    <m/>
    <m/>
  </r>
  <r>
    <s v="YK262300224"/>
    <x v="0"/>
    <x v="0"/>
    <n v="1"/>
    <x v="0"/>
    <d v="2026-07-16T05:50:46"/>
    <x v="12"/>
    <x v="6"/>
    <x v="12"/>
    <s v="17IA15.60"/>
    <x v="0"/>
    <x v="0"/>
    <m/>
    <m/>
    <m/>
  </r>
  <r>
    <s v="YK262300225"/>
    <x v="0"/>
    <x v="0"/>
    <n v="1"/>
    <x v="0"/>
    <d v="2026-07-15T06:34:38"/>
    <x v="12"/>
    <x v="6"/>
    <x v="12"/>
    <s v="17IA15.60"/>
    <x v="0"/>
    <x v="0"/>
    <m/>
    <m/>
    <m/>
  </r>
  <r>
    <s v="YK262300226"/>
    <x v="0"/>
    <x v="0"/>
    <n v="1"/>
    <x v="0"/>
    <d v="2026-07-14T09:05:39"/>
    <x v="12"/>
    <x v="6"/>
    <x v="12"/>
    <s v="17IA15.60"/>
    <x v="0"/>
    <x v="0"/>
    <m/>
    <m/>
    <m/>
  </r>
  <r>
    <s v="YK262300227"/>
    <x v="0"/>
    <x v="0"/>
    <n v="1"/>
    <x v="0"/>
    <d v="2026-07-07T13:17:00"/>
    <x v="12"/>
    <x v="6"/>
    <x v="12"/>
    <s v="17IA15.60"/>
    <x v="0"/>
    <x v="0"/>
    <m/>
    <m/>
    <m/>
  </r>
  <r>
    <s v="YK262300228"/>
    <x v="0"/>
    <x v="0"/>
    <n v="1"/>
    <x v="0"/>
    <d v="2026-07-16T09:21:26"/>
    <x v="12"/>
    <x v="6"/>
    <x v="12"/>
    <s v="17IA15.60"/>
    <x v="0"/>
    <x v="0"/>
    <m/>
    <m/>
    <m/>
  </r>
  <r>
    <s v="YK262300229"/>
    <x v="0"/>
    <x v="0"/>
    <n v="1"/>
    <x v="0"/>
    <d v="2026-07-02T09:10:10"/>
    <x v="12"/>
    <x v="6"/>
    <x v="12"/>
    <s v="17IA15.60"/>
    <x v="0"/>
    <x v="0"/>
    <m/>
    <m/>
    <m/>
  </r>
  <r>
    <s v="YK262300230"/>
    <x v="0"/>
    <x v="0"/>
    <n v="1"/>
    <x v="0"/>
    <d v="2026-07-15T06:43:50"/>
    <x v="12"/>
    <x v="6"/>
    <x v="12"/>
    <s v="17IA15.60"/>
    <x v="0"/>
    <x v="0"/>
    <m/>
    <m/>
    <m/>
  </r>
  <r>
    <s v="YK262300231"/>
    <x v="0"/>
    <x v="0"/>
    <n v="1"/>
    <x v="0"/>
    <d v="2026-07-07T13:16:30"/>
    <x v="12"/>
    <x v="6"/>
    <x v="12"/>
    <s v="17IA15.60"/>
    <x v="0"/>
    <x v="0"/>
    <m/>
    <m/>
    <m/>
  </r>
  <r>
    <s v="YK262300232"/>
    <x v="0"/>
    <x v="0"/>
    <n v="1"/>
    <x v="0"/>
    <d v="2026-07-08T10:17:21"/>
    <x v="12"/>
    <x v="6"/>
    <x v="12"/>
    <s v="17IA15.60"/>
    <x v="0"/>
    <x v="0"/>
    <m/>
    <m/>
    <m/>
  </r>
  <r>
    <s v="YK262300233"/>
    <x v="0"/>
    <x v="0"/>
    <n v="1"/>
    <x v="0"/>
    <d v="2026-07-07T13:16:32"/>
    <x v="12"/>
    <x v="6"/>
    <x v="12"/>
    <s v="17IA15.60"/>
    <x v="0"/>
    <x v="0"/>
    <m/>
    <m/>
    <m/>
  </r>
  <r>
    <s v="YK262300234"/>
    <x v="0"/>
    <x v="0"/>
    <n v="1"/>
    <x v="0"/>
    <d v="2026-07-14T09:05:42"/>
    <x v="12"/>
    <x v="6"/>
    <x v="12"/>
    <s v="17IA15.60"/>
    <x v="0"/>
    <x v="0"/>
    <m/>
    <m/>
    <m/>
  </r>
  <r>
    <s v="YK262300235"/>
    <x v="0"/>
    <x v="0"/>
    <n v="1"/>
    <x v="0"/>
    <d v="2026-07-15T13:51:29"/>
    <x v="12"/>
    <x v="6"/>
    <x v="12"/>
    <s v="17IA15.60"/>
    <x v="0"/>
    <x v="0"/>
    <m/>
    <m/>
    <m/>
  </r>
  <r>
    <s v="YK262300236"/>
    <x v="0"/>
    <x v="0"/>
    <n v="1"/>
    <x v="0"/>
    <d v="2026-07-09T06:48:28"/>
    <x v="12"/>
    <x v="6"/>
    <x v="12"/>
    <s v="17IA15.60"/>
    <x v="0"/>
    <x v="0"/>
    <m/>
    <m/>
    <m/>
  </r>
  <r>
    <s v="YK262300237"/>
    <x v="0"/>
    <x v="0"/>
    <n v="1"/>
    <x v="0"/>
    <d v="2026-07-16T05:50:48"/>
    <x v="12"/>
    <x v="6"/>
    <x v="12"/>
    <s v="17IA15.60"/>
    <x v="0"/>
    <x v="0"/>
    <m/>
    <m/>
    <m/>
  </r>
  <r>
    <s v="YK262300238"/>
    <x v="0"/>
    <x v="0"/>
    <n v="1"/>
    <x v="0"/>
    <d v="2026-07-09T06:48:25"/>
    <x v="12"/>
    <x v="6"/>
    <x v="12"/>
    <s v="17IA15.60"/>
    <x v="0"/>
    <x v="0"/>
    <m/>
    <m/>
    <m/>
  </r>
  <r>
    <s v="YK262300239"/>
    <x v="0"/>
    <x v="0"/>
    <n v="1"/>
    <x v="0"/>
    <d v="2026-07-16T09:21:29"/>
    <x v="12"/>
    <x v="6"/>
    <x v="12"/>
    <s v="17IA15.60"/>
    <x v="0"/>
    <x v="0"/>
    <m/>
    <m/>
    <m/>
  </r>
  <r>
    <s v="YK262300240"/>
    <x v="0"/>
    <x v="0"/>
    <n v="1"/>
    <x v="0"/>
    <d v="2026-07-20T11:00:45"/>
    <x v="12"/>
    <x v="6"/>
    <x v="12"/>
    <s v="17IA15.60"/>
    <x v="0"/>
    <x v="0"/>
    <m/>
    <m/>
    <m/>
  </r>
  <r>
    <s v="YK262300241"/>
    <x v="0"/>
    <x v="0"/>
    <n v="1"/>
    <x v="0"/>
    <d v="2026-07-31T06:39:25"/>
    <x v="12"/>
    <x v="6"/>
    <x v="12"/>
    <s v="17IA15.60"/>
    <x v="0"/>
    <x v="0"/>
    <m/>
    <m/>
    <m/>
  </r>
  <r>
    <s v="YK262300242"/>
    <x v="0"/>
    <x v="0"/>
    <n v="1"/>
    <x v="0"/>
    <d v="2026-07-15T13:51:24"/>
    <x v="12"/>
    <x v="6"/>
    <x v="12"/>
    <s v="17IA15.60"/>
    <x v="0"/>
    <x v="0"/>
    <m/>
    <m/>
    <m/>
  </r>
  <r>
    <s v="YK262300243"/>
    <x v="0"/>
    <x v="0"/>
    <n v="1"/>
    <x v="0"/>
    <d v="2026-07-14T12:27:53"/>
    <x v="12"/>
    <x v="6"/>
    <x v="12"/>
    <s v="17IA15.60"/>
    <x v="0"/>
    <x v="0"/>
    <m/>
    <m/>
    <m/>
  </r>
  <r>
    <s v="YK262300244"/>
    <x v="0"/>
    <x v="0"/>
    <n v="1"/>
    <x v="0"/>
    <d v="2026-07-16T09:21:28"/>
    <x v="12"/>
    <x v="6"/>
    <x v="12"/>
    <s v="17IA15.60"/>
    <x v="0"/>
    <x v="0"/>
    <m/>
    <m/>
    <m/>
  </r>
  <r>
    <s v="YK262300245"/>
    <x v="0"/>
    <x v="0"/>
    <n v="1"/>
    <x v="0"/>
    <d v="2026-07-15T13:51:17"/>
    <x v="12"/>
    <x v="6"/>
    <x v="12"/>
    <s v="17IA15.60"/>
    <x v="0"/>
    <x v="0"/>
    <m/>
    <m/>
    <m/>
  </r>
  <r>
    <s v="YK262300246"/>
    <x v="0"/>
    <x v="0"/>
    <n v="1"/>
    <x v="0"/>
    <d v="2026-07-07T13:16:55"/>
    <x v="12"/>
    <x v="6"/>
    <x v="12"/>
    <s v="17IA15.60"/>
    <x v="0"/>
    <x v="0"/>
    <m/>
    <m/>
    <m/>
  </r>
  <r>
    <s v="YK262300247"/>
    <x v="0"/>
    <x v="0"/>
    <n v="1"/>
    <x v="0"/>
    <d v="2026-07-20T10:40:17"/>
    <x v="12"/>
    <x v="6"/>
    <x v="12"/>
    <s v="17IA15.60"/>
    <x v="0"/>
    <x v="0"/>
    <m/>
    <m/>
    <m/>
  </r>
  <r>
    <s v="YK262300248"/>
    <x v="3"/>
    <x v="3"/>
    <n v="1"/>
    <x v="3"/>
    <d v="2026-08-12T21:05:18"/>
    <x v="12"/>
    <x v="6"/>
    <x v="12"/>
    <s v="17IA15.60"/>
    <x v="0"/>
    <x v="0"/>
    <m/>
    <m/>
    <m/>
  </r>
  <r>
    <s v="YK262300249"/>
    <x v="0"/>
    <x v="0"/>
    <n v="1"/>
    <x v="0"/>
    <d v="2026-07-21T09:47:54"/>
    <x v="12"/>
    <x v="6"/>
    <x v="12"/>
    <s v="17IA15.60"/>
    <x v="0"/>
    <x v="0"/>
    <m/>
    <m/>
    <m/>
  </r>
  <r>
    <s v="YK262300250"/>
    <x v="0"/>
    <x v="0"/>
    <n v="1"/>
    <x v="0"/>
    <d v="2026-07-21T09:20:44"/>
    <x v="12"/>
    <x v="6"/>
    <x v="12"/>
    <s v="17IA15.60"/>
    <x v="0"/>
    <x v="0"/>
    <m/>
    <m/>
    <m/>
  </r>
  <r>
    <s v="YK262300251"/>
    <x v="0"/>
    <x v="0"/>
    <n v="1"/>
    <x v="0"/>
    <d v="2026-07-16T06:22:30"/>
    <x v="12"/>
    <x v="6"/>
    <x v="12"/>
    <s v="17IA15.60"/>
    <x v="0"/>
    <x v="0"/>
    <m/>
    <m/>
    <m/>
  </r>
  <r>
    <s v="YK262300252"/>
    <x v="3"/>
    <x v="3"/>
    <n v="1"/>
    <x v="3"/>
    <d v="2026-08-12T20:58:42"/>
    <x v="12"/>
    <x v="6"/>
    <x v="12"/>
    <s v="17IA15.60"/>
    <x v="0"/>
    <x v="0"/>
    <m/>
    <m/>
    <m/>
  </r>
  <r>
    <s v="YK262300253"/>
    <x v="0"/>
    <x v="0"/>
    <n v="1"/>
    <x v="0"/>
    <d v="2026-07-16T11:23:27"/>
    <x v="12"/>
    <x v="6"/>
    <x v="12"/>
    <s v="17IA15.60"/>
    <x v="0"/>
    <x v="0"/>
    <m/>
    <m/>
    <m/>
  </r>
  <r>
    <s v="YK262300254"/>
    <x v="3"/>
    <x v="3"/>
    <n v="1"/>
    <x v="3"/>
    <d v="2026-08-24T07:18:16"/>
    <x v="12"/>
    <x v="6"/>
    <x v="12"/>
    <s v="17IA15.60"/>
    <x v="0"/>
    <x v="0"/>
    <m/>
    <m/>
    <m/>
  </r>
  <r>
    <s v="YK262300255"/>
    <x v="0"/>
    <x v="0"/>
    <n v="1"/>
    <x v="0"/>
    <d v="2026-07-16T08:47:21"/>
    <x v="12"/>
    <x v="6"/>
    <x v="12"/>
    <s v="17IA15.60"/>
    <x v="0"/>
    <x v="0"/>
    <m/>
    <m/>
    <m/>
  </r>
  <r>
    <s v="YK262300256"/>
    <x v="0"/>
    <x v="0"/>
    <n v="1"/>
    <x v="0"/>
    <d v="2026-07-21T09:50:35"/>
    <x v="12"/>
    <x v="6"/>
    <x v="12"/>
    <s v="17IA15.60"/>
    <x v="0"/>
    <x v="0"/>
    <m/>
    <m/>
    <m/>
  </r>
  <r>
    <s v="YK262300257"/>
    <x v="0"/>
    <x v="0"/>
    <n v="1"/>
    <x v="0"/>
    <d v="2026-07-10T08:26:15"/>
    <x v="12"/>
    <x v="6"/>
    <x v="12"/>
    <s v="17IA15.60"/>
    <x v="0"/>
    <x v="0"/>
    <m/>
    <m/>
    <m/>
  </r>
  <r>
    <s v="YK262300258"/>
    <x v="0"/>
    <x v="0"/>
    <n v="1"/>
    <x v="0"/>
    <d v="2026-07-27T13:45:49"/>
    <x v="12"/>
    <x v="6"/>
    <x v="12"/>
    <s v="17IA15.60"/>
    <x v="0"/>
    <x v="0"/>
    <m/>
    <m/>
    <m/>
  </r>
  <r>
    <s v="YK262300259"/>
    <x v="0"/>
    <x v="0"/>
    <n v="1"/>
    <x v="0"/>
    <d v="2026-07-21T09:31:56"/>
    <x v="12"/>
    <x v="6"/>
    <x v="12"/>
    <s v="17IA15.60"/>
    <x v="0"/>
    <x v="0"/>
    <m/>
    <m/>
    <m/>
  </r>
  <r>
    <s v="YK262300260"/>
    <x v="0"/>
    <x v="0"/>
    <n v="1"/>
    <x v="0"/>
    <d v="2026-08-27T12:20:14"/>
    <x v="12"/>
    <x v="6"/>
    <x v="12"/>
    <s v="17IA15.60"/>
    <x v="0"/>
    <x v="0"/>
    <m/>
    <m/>
    <m/>
  </r>
  <r>
    <s v="YK262300261"/>
    <x v="3"/>
    <x v="3"/>
    <n v="1"/>
    <x v="3"/>
    <d v="2026-08-10T11:19:25"/>
    <x v="12"/>
    <x v="6"/>
    <x v="12"/>
    <s v="17IA15.60"/>
    <x v="0"/>
    <x v="0"/>
    <m/>
    <m/>
    <m/>
  </r>
  <r>
    <s v="YK262300262"/>
    <x v="0"/>
    <x v="0"/>
    <n v="1"/>
    <x v="0"/>
    <d v="2026-07-13T08:51:49"/>
    <x v="12"/>
    <x v="6"/>
    <x v="12"/>
    <s v="17IA15.60"/>
    <x v="0"/>
    <x v="0"/>
    <m/>
    <m/>
    <m/>
  </r>
  <r>
    <s v="YK262300263"/>
    <x v="0"/>
    <x v="0"/>
    <n v="1"/>
    <x v="0"/>
    <d v="2026-07-13T08:47:05"/>
    <x v="12"/>
    <x v="6"/>
    <x v="12"/>
    <s v="17IA15.60"/>
    <x v="0"/>
    <x v="0"/>
    <m/>
    <m/>
    <m/>
  </r>
  <r>
    <s v="YK262300264"/>
    <x v="0"/>
    <x v="0"/>
    <n v="1"/>
    <x v="0"/>
    <d v="2026-07-21T09:32:07"/>
    <x v="12"/>
    <x v="6"/>
    <x v="12"/>
    <s v="17IA15.60"/>
    <x v="0"/>
    <x v="0"/>
    <m/>
    <m/>
    <m/>
  </r>
  <r>
    <s v="YK262300265"/>
    <x v="0"/>
    <x v="0"/>
    <n v="1"/>
    <x v="0"/>
    <d v="2026-07-10T08:26:10"/>
    <x v="12"/>
    <x v="6"/>
    <x v="12"/>
    <s v="17IA15.60"/>
    <x v="0"/>
    <x v="0"/>
    <m/>
    <m/>
    <m/>
  </r>
  <r>
    <s v="YK262300266"/>
    <x v="0"/>
    <x v="0"/>
    <n v="1"/>
    <x v="0"/>
    <d v="2026-08-05T11:48:49"/>
    <x v="12"/>
    <x v="6"/>
    <x v="12"/>
    <s v="17IA15.60"/>
    <x v="0"/>
    <x v="0"/>
    <m/>
    <m/>
    <m/>
  </r>
  <r>
    <s v="YK262300267"/>
    <x v="0"/>
    <x v="0"/>
    <n v="1"/>
    <x v="0"/>
    <d v="2026-07-10T08:26:19"/>
    <x v="12"/>
    <x v="6"/>
    <x v="12"/>
    <s v="17IA15.60"/>
    <x v="0"/>
    <x v="0"/>
    <m/>
    <m/>
    <m/>
  </r>
  <r>
    <s v="YK262300268"/>
    <x v="3"/>
    <x v="3"/>
    <n v="1"/>
    <x v="3"/>
    <d v="2026-08-17T15:38:37"/>
    <x v="12"/>
    <x v="6"/>
    <x v="12"/>
    <s v="17IA15.60"/>
    <x v="0"/>
    <x v="0"/>
    <m/>
    <m/>
    <m/>
  </r>
  <r>
    <s v="YK262300269"/>
    <x v="0"/>
    <x v="0"/>
    <n v="1"/>
    <x v="0"/>
    <d v="2026-07-10T08:26:24"/>
    <x v="12"/>
    <x v="6"/>
    <x v="12"/>
    <s v="17IA15.60"/>
    <x v="0"/>
    <x v="0"/>
    <m/>
    <m/>
    <m/>
  </r>
  <r>
    <s v="YK262300270"/>
    <x v="0"/>
    <x v="0"/>
    <n v="1"/>
    <x v="0"/>
    <d v="2026-08-05T11:47:53"/>
    <x v="12"/>
    <x v="6"/>
    <x v="12"/>
    <s v="17IA15.60"/>
    <x v="0"/>
    <x v="0"/>
    <m/>
    <m/>
    <m/>
  </r>
  <r>
    <s v="YK262300271"/>
    <x v="0"/>
    <x v="0"/>
    <n v="1"/>
    <x v="0"/>
    <d v="2026-07-13T08:47:54"/>
    <x v="12"/>
    <x v="6"/>
    <x v="12"/>
    <s v="17IA15.60"/>
    <x v="0"/>
    <x v="0"/>
    <m/>
    <m/>
    <m/>
  </r>
  <r>
    <s v="YK262300272"/>
    <x v="0"/>
    <x v="0"/>
    <n v="1"/>
    <x v="0"/>
    <d v="2026-08-27T12:20:21"/>
    <x v="12"/>
    <x v="6"/>
    <x v="12"/>
    <s v="17IA15.60"/>
    <x v="0"/>
    <x v="0"/>
    <m/>
    <m/>
    <m/>
  </r>
  <r>
    <s v="YK262300273"/>
    <x v="0"/>
    <x v="0"/>
    <n v="1"/>
    <x v="0"/>
    <d v="2026-07-13T08:51:52"/>
    <x v="12"/>
    <x v="6"/>
    <x v="12"/>
    <s v="17IA15.60"/>
    <x v="0"/>
    <x v="0"/>
    <m/>
    <m/>
    <m/>
  </r>
  <r>
    <s v="YK262300274"/>
    <x v="0"/>
    <x v="0"/>
    <n v="1"/>
    <x v="0"/>
    <d v="2026-07-21T09:20:32"/>
    <x v="12"/>
    <x v="6"/>
    <x v="12"/>
    <s v="17IA15.60"/>
    <x v="0"/>
    <x v="0"/>
    <m/>
    <m/>
    <m/>
  </r>
  <r>
    <s v="YK262300275"/>
    <x v="0"/>
    <x v="0"/>
    <n v="1"/>
    <x v="0"/>
    <d v="2026-07-29T18:54:10"/>
    <x v="12"/>
    <x v="6"/>
    <x v="12"/>
    <s v="17IA15.60"/>
    <x v="0"/>
    <x v="0"/>
    <m/>
    <m/>
    <m/>
  </r>
  <r>
    <s v="YK262300276"/>
    <x v="0"/>
    <x v="0"/>
    <n v="1"/>
    <x v="0"/>
    <d v="2026-07-23T08:53:18"/>
    <x v="12"/>
    <x v="6"/>
    <x v="12"/>
    <s v="17IA15.60"/>
    <x v="0"/>
    <x v="0"/>
    <m/>
    <m/>
    <m/>
  </r>
  <r>
    <s v="YK262300277"/>
    <x v="3"/>
    <x v="3"/>
    <n v="1"/>
    <x v="3"/>
    <d v="2026-08-12T21:15:45"/>
    <x v="12"/>
    <x v="6"/>
    <x v="12"/>
    <s v="17IA15.60"/>
    <x v="0"/>
    <x v="0"/>
    <m/>
    <m/>
    <m/>
  </r>
  <r>
    <s v="YK262300278"/>
    <x v="0"/>
    <x v="0"/>
    <n v="1"/>
    <x v="0"/>
    <d v="2026-07-10T08:36:08"/>
    <x v="12"/>
    <x v="6"/>
    <x v="12"/>
    <s v="17IA15.60"/>
    <x v="0"/>
    <x v="0"/>
    <m/>
    <m/>
    <m/>
  </r>
  <r>
    <s v="YK262300279"/>
    <x v="0"/>
    <x v="0"/>
    <n v="1"/>
    <x v="0"/>
    <d v="2026-07-13T08:51:48"/>
    <x v="12"/>
    <x v="6"/>
    <x v="12"/>
    <s v="17IA15.60"/>
    <x v="0"/>
    <x v="0"/>
    <m/>
    <m/>
    <m/>
  </r>
  <r>
    <s v="YK262300280"/>
    <x v="0"/>
    <x v="0"/>
    <n v="1"/>
    <x v="0"/>
    <d v="2026-07-21T11:36:48"/>
    <x v="12"/>
    <x v="6"/>
    <x v="12"/>
    <s v="17IA15.60"/>
    <x v="0"/>
    <x v="0"/>
    <m/>
    <m/>
    <m/>
  </r>
  <r>
    <s v="YK262300281"/>
    <x v="3"/>
    <x v="3"/>
    <n v="1"/>
    <x v="3"/>
    <d v="2026-08-06T14:10:07"/>
    <x v="12"/>
    <x v="6"/>
    <x v="12"/>
    <s v="17IA15.60"/>
    <x v="0"/>
    <x v="0"/>
    <m/>
    <m/>
    <m/>
  </r>
  <r>
    <s v="YK262300282"/>
    <x v="0"/>
    <x v="0"/>
    <n v="1"/>
    <x v="0"/>
    <d v="2026-07-23T08:51:46"/>
    <x v="12"/>
    <x v="6"/>
    <x v="12"/>
    <s v="17IA15.60"/>
    <x v="0"/>
    <x v="0"/>
    <m/>
    <m/>
    <m/>
  </r>
  <r>
    <s v="YK262300283"/>
    <x v="3"/>
    <x v="3"/>
    <n v="1"/>
    <x v="3"/>
    <d v="2026-08-12T21:31:35"/>
    <x v="12"/>
    <x v="6"/>
    <x v="12"/>
    <s v="17IA15.60"/>
    <x v="0"/>
    <x v="0"/>
    <m/>
    <m/>
    <m/>
  </r>
  <r>
    <s v="YK262300284"/>
    <x v="0"/>
    <x v="0"/>
    <n v="1"/>
    <x v="0"/>
    <d v="2026-07-21T11:22:40"/>
    <x v="12"/>
    <x v="6"/>
    <x v="12"/>
    <s v="17IA15.60"/>
    <x v="0"/>
    <x v="0"/>
    <m/>
    <m/>
    <m/>
  </r>
  <r>
    <s v="YK262300285"/>
    <x v="0"/>
    <x v="0"/>
    <n v="1"/>
    <x v="0"/>
    <d v="2026-07-23T08:51:35"/>
    <x v="12"/>
    <x v="6"/>
    <x v="12"/>
    <s v="17IA15.60"/>
    <x v="0"/>
    <x v="0"/>
    <m/>
    <m/>
    <m/>
  </r>
  <r>
    <s v="YK262300286"/>
    <x v="0"/>
    <x v="0"/>
    <n v="1"/>
    <x v="0"/>
    <d v="2026-07-31T06:39:23"/>
    <x v="12"/>
    <x v="6"/>
    <x v="12"/>
    <s v="17IA15.60"/>
    <x v="0"/>
    <x v="0"/>
    <m/>
    <m/>
    <m/>
  </r>
  <r>
    <s v="YK262300287"/>
    <x v="0"/>
    <x v="0"/>
    <n v="1"/>
    <x v="0"/>
    <d v="2026-07-21T11:23:00"/>
    <x v="12"/>
    <x v="6"/>
    <x v="12"/>
    <s v="17IA15.60"/>
    <x v="0"/>
    <x v="0"/>
    <m/>
    <m/>
    <m/>
  </r>
  <r>
    <s v="YK262300288"/>
    <x v="0"/>
    <x v="0"/>
    <n v="1"/>
    <x v="0"/>
    <d v="2026-07-23T09:05:50"/>
    <x v="12"/>
    <x v="6"/>
    <x v="12"/>
    <s v="17IA15.60"/>
    <x v="0"/>
    <x v="0"/>
    <m/>
    <m/>
    <m/>
  </r>
  <r>
    <s v="YK262300289"/>
    <x v="0"/>
    <x v="0"/>
    <n v="1"/>
    <x v="0"/>
    <d v="2026-07-27T07:51:20"/>
    <x v="12"/>
    <x v="6"/>
    <x v="12"/>
    <s v="17IA15.60"/>
    <x v="0"/>
    <x v="0"/>
    <m/>
    <m/>
    <m/>
  </r>
  <r>
    <s v="YK262300290"/>
    <x v="0"/>
    <x v="0"/>
    <n v="1"/>
    <x v="0"/>
    <d v="2026-08-05T08:54:11"/>
    <x v="12"/>
    <x v="6"/>
    <x v="12"/>
    <s v="17IA15.60"/>
    <x v="0"/>
    <x v="0"/>
    <m/>
    <m/>
    <m/>
  </r>
  <r>
    <s v="YK262300291"/>
    <x v="0"/>
    <x v="0"/>
    <n v="1"/>
    <x v="0"/>
    <d v="2026-07-23T09:05:45"/>
    <x v="12"/>
    <x v="6"/>
    <x v="12"/>
    <s v="17IA15.60"/>
    <x v="0"/>
    <x v="0"/>
    <m/>
    <m/>
    <m/>
  </r>
  <r>
    <s v="YK262300292"/>
    <x v="0"/>
    <x v="0"/>
    <n v="1"/>
    <x v="0"/>
    <d v="2026-07-21T11:22:14"/>
    <x v="12"/>
    <x v="6"/>
    <x v="12"/>
    <s v="17IA15.60"/>
    <x v="0"/>
    <x v="0"/>
    <m/>
    <m/>
    <m/>
  </r>
  <r>
    <s v="YK262300293"/>
    <x v="0"/>
    <x v="0"/>
    <n v="1"/>
    <x v="0"/>
    <d v="2026-07-21T11:36:53"/>
    <x v="12"/>
    <x v="6"/>
    <x v="12"/>
    <s v="17IA15.60"/>
    <x v="0"/>
    <x v="0"/>
    <m/>
    <m/>
    <m/>
  </r>
  <r>
    <s v="YK262300294"/>
    <x v="0"/>
    <x v="0"/>
    <n v="1"/>
    <x v="0"/>
    <d v="2026-07-23T09:05:47"/>
    <x v="12"/>
    <x v="6"/>
    <x v="12"/>
    <s v="17IA15.60"/>
    <x v="0"/>
    <x v="0"/>
    <m/>
    <m/>
    <m/>
  </r>
  <r>
    <s v="YK262300295"/>
    <x v="0"/>
    <x v="0"/>
    <n v="1"/>
    <x v="0"/>
    <d v="2026-07-21T11:36:46"/>
    <x v="12"/>
    <x v="6"/>
    <x v="12"/>
    <s v="17IA15.60"/>
    <x v="0"/>
    <x v="0"/>
    <m/>
    <m/>
    <m/>
  </r>
  <r>
    <s v="YK262300296"/>
    <x v="3"/>
    <x v="3"/>
    <n v="1"/>
    <x v="3"/>
    <d v="2026-08-17T16:02:46"/>
    <x v="12"/>
    <x v="6"/>
    <x v="12"/>
    <s v="17IA15.60"/>
    <x v="0"/>
    <x v="0"/>
    <m/>
    <m/>
    <m/>
  </r>
  <r>
    <s v="YK262300297"/>
    <x v="3"/>
    <x v="3"/>
    <n v="1"/>
    <x v="3"/>
    <d v="2026-08-17T16:37:46"/>
    <x v="12"/>
    <x v="6"/>
    <x v="12"/>
    <s v="17IA15.60"/>
    <x v="0"/>
    <x v="0"/>
    <m/>
    <m/>
    <m/>
  </r>
  <r>
    <s v="YK262300298"/>
    <x v="3"/>
    <x v="3"/>
    <n v="1"/>
    <x v="3"/>
    <d v="2026-08-12T21:20:47"/>
    <x v="12"/>
    <x v="6"/>
    <x v="12"/>
    <s v="17IA15.60"/>
    <x v="0"/>
    <x v="0"/>
    <m/>
    <m/>
    <m/>
  </r>
  <r>
    <s v="YK262300299"/>
    <x v="0"/>
    <x v="0"/>
    <n v="1"/>
    <x v="0"/>
    <d v="2026-08-05T11:48:56"/>
    <x v="12"/>
    <x v="6"/>
    <x v="12"/>
    <s v="17IA15.60"/>
    <x v="0"/>
    <x v="0"/>
    <m/>
    <m/>
    <m/>
  </r>
  <r>
    <s v="YK262300300"/>
    <x v="0"/>
    <x v="0"/>
    <n v="1"/>
    <x v="0"/>
    <d v="2026-09-01T04:14:00"/>
    <x v="12"/>
    <x v="6"/>
    <x v="12"/>
    <s v="17IA15.60"/>
    <x v="0"/>
    <x v="0"/>
    <m/>
    <m/>
    <m/>
  </r>
  <r>
    <s v="YK262300301"/>
    <x v="0"/>
    <x v="0"/>
    <n v="1"/>
    <x v="0"/>
    <d v="2026-07-23T08:51:50"/>
    <x v="12"/>
    <x v="6"/>
    <x v="12"/>
    <s v="17IA15.60"/>
    <x v="0"/>
    <x v="0"/>
    <m/>
    <m/>
    <m/>
  </r>
  <r>
    <s v="YK262300302"/>
    <x v="0"/>
    <x v="0"/>
    <n v="1"/>
    <x v="0"/>
    <d v="2026-07-14T06:24:04"/>
    <x v="12"/>
    <x v="6"/>
    <x v="12"/>
    <s v="17IA15.60"/>
    <x v="0"/>
    <x v="0"/>
    <m/>
    <m/>
    <m/>
  </r>
  <r>
    <s v="YK262300303"/>
    <x v="3"/>
    <x v="3"/>
    <n v="1"/>
    <x v="3"/>
    <d v="2026-08-19T07:37:22"/>
    <x v="12"/>
    <x v="6"/>
    <x v="12"/>
    <s v="17IA15.60"/>
    <x v="0"/>
    <x v="0"/>
    <m/>
    <m/>
    <m/>
  </r>
  <r>
    <s v="YK262300304"/>
    <x v="3"/>
    <x v="3"/>
    <n v="1"/>
    <x v="3"/>
    <d v="2026-08-12T21:45:08"/>
    <x v="12"/>
    <x v="6"/>
    <x v="12"/>
    <s v="17IA15.60"/>
    <x v="0"/>
    <x v="0"/>
    <m/>
    <m/>
    <m/>
  </r>
  <r>
    <s v="YK262300305"/>
    <x v="0"/>
    <x v="0"/>
    <n v="1"/>
    <x v="0"/>
    <d v="2026-08-05T08:52:42"/>
    <x v="12"/>
    <x v="6"/>
    <x v="12"/>
    <s v="17IA15.60"/>
    <x v="0"/>
    <x v="0"/>
    <m/>
    <m/>
    <m/>
  </r>
  <r>
    <s v="YK262300306"/>
    <x v="0"/>
    <x v="0"/>
    <n v="1"/>
    <x v="0"/>
    <d v="2026-09-01T04:14:06"/>
    <x v="12"/>
    <x v="6"/>
    <x v="12"/>
    <s v="17IA15.60"/>
    <x v="0"/>
    <x v="0"/>
    <m/>
    <m/>
    <m/>
  </r>
  <r>
    <s v="YK262300307"/>
    <x v="0"/>
    <x v="0"/>
    <n v="1"/>
    <x v="0"/>
    <d v="2026-07-14T06:23:56"/>
    <x v="12"/>
    <x v="6"/>
    <x v="12"/>
    <s v="17IA15.60"/>
    <x v="0"/>
    <x v="0"/>
    <m/>
    <m/>
    <m/>
  </r>
  <r>
    <s v="YK262300308"/>
    <x v="0"/>
    <x v="0"/>
    <n v="1"/>
    <x v="0"/>
    <d v="2026-08-05T11:47:35"/>
    <x v="12"/>
    <x v="6"/>
    <x v="12"/>
    <s v="17IA15.60"/>
    <x v="0"/>
    <x v="0"/>
    <m/>
    <m/>
    <m/>
  </r>
  <r>
    <s v="YK262300309"/>
    <x v="0"/>
    <x v="0"/>
    <n v="1"/>
    <x v="0"/>
    <d v="2026-07-16T06:22:55"/>
    <x v="12"/>
    <x v="6"/>
    <x v="12"/>
    <s v="17IA15.60"/>
    <x v="0"/>
    <x v="0"/>
    <m/>
    <m/>
    <m/>
  </r>
  <r>
    <s v="YK262300310"/>
    <x v="0"/>
    <x v="0"/>
    <n v="1"/>
    <x v="0"/>
    <d v="2026-08-12T10:47:24"/>
    <x v="12"/>
    <x v="6"/>
    <x v="12"/>
    <s v="17IA15.60"/>
    <x v="0"/>
    <x v="0"/>
    <m/>
    <m/>
    <m/>
  </r>
  <r>
    <s v="YK262300311"/>
    <x v="0"/>
    <x v="0"/>
    <n v="1"/>
    <x v="0"/>
    <d v="2026-08-27T12:19:56"/>
    <x v="12"/>
    <x v="6"/>
    <x v="12"/>
    <s v="17IA15.60"/>
    <x v="0"/>
    <x v="0"/>
    <m/>
    <m/>
    <m/>
  </r>
  <r>
    <s v="YK262300312"/>
    <x v="0"/>
    <x v="0"/>
    <n v="1"/>
    <x v="0"/>
    <d v="2026-07-27T13:45:40"/>
    <x v="12"/>
    <x v="6"/>
    <x v="12"/>
    <s v="17IA15.60"/>
    <x v="0"/>
    <x v="0"/>
    <m/>
    <m/>
    <m/>
  </r>
  <r>
    <s v="YK262300313"/>
    <x v="0"/>
    <x v="0"/>
    <n v="1"/>
    <x v="0"/>
    <d v="2026-08-12T10:47:18"/>
    <x v="12"/>
    <x v="6"/>
    <x v="12"/>
    <s v="17IA15.60"/>
    <x v="0"/>
    <x v="0"/>
    <m/>
    <m/>
    <m/>
  </r>
  <r>
    <s v="YK262300314"/>
    <x v="0"/>
    <x v="0"/>
    <n v="1"/>
    <x v="0"/>
    <d v="2026-07-21T09:20:40"/>
    <x v="12"/>
    <x v="6"/>
    <x v="12"/>
    <s v="17IA15.60"/>
    <x v="0"/>
    <x v="0"/>
    <m/>
    <m/>
    <m/>
  </r>
  <r>
    <s v="YK262300315"/>
    <x v="0"/>
    <x v="0"/>
    <n v="1"/>
    <x v="0"/>
    <d v="2026-08-12T10:47:26"/>
    <x v="12"/>
    <x v="6"/>
    <x v="12"/>
    <s v="17IA15.60"/>
    <x v="0"/>
    <x v="0"/>
    <m/>
    <m/>
    <m/>
  </r>
  <r>
    <s v="YK262300316"/>
    <x v="3"/>
    <x v="3"/>
    <n v="1"/>
    <x v="3"/>
    <d v="2026-08-12T22:04:06"/>
    <x v="12"/>
    <x v="6"/>
    <x v="12"/>
    <s v="17IA15.60"/>
    <x v="0"/>
    <x v="0"/>
    <m/>
    <m/>
    <m/>
  </r>
  <r>
    <s v="YK262300317"/>
    <x v="0"/>
    <x v="0"/>
    <n v="1"/>
    <x v="0"/>
    <d v="2026-07-14T06:20:31"/>
    <x v="12"/>
    <x v="6"/>
    <x v="12"/>
    <s v="17IA15.60"/>
    <x v="0"/>
    <x v="0"/>
    <m/>
    <m/>
    <m/>
  </r>
  <r>
    <s v="YK262300318"/>
    <x v="0"/>
    <x v="0"/>
    <n v="1"/>
    <x v="0"/>
    <d v="2026-07-14T06:20:24"/>
    <x v="12"/>
    <x v="6"/>
    <x v="12"/>
    <s v="17IA15.60"/>
    <x v="0"/>
    <x v="0"/>
    <m/>
    <m/>
    <m/>
  </r>
  <r>
    <s v="YK262300319"/>
    <x v="0"/>
    <x v="0"/>
    <n v="1"/>
    <x v="0"/>
    <d v="2026-07-27T13:45:44"/>
    <x v="12"/>
    <x v="6"/>
    <x v="12"/>
    <s v="17IA15.60"/>
    <x v="0"/>
    <x v="0"/>
    <m/>
    <m/>
    <m/>
  </r>
  <r>
    <s v="YK262300320"/>
    <x v="3"/>
    <x v="3"/>
    <n v="1"/>
    <x v="3"/>
    <d v="2026-08-17T17:10:39"/>
    <x v="12"/>
    <x v="6"/>
    <x v="12"/>
    <s v="17IA15.60"/>
    <x v="0"/>
    <x v="0"/>
    <m/>
    <m/>
    <m/>
  </r>
  <r>
    <s v="YK262300321"/>
    <x v="0"/>
    <x v="0"/>
    <n v="1"/>
    <x v="0"/>
    <d v="2026-07-21T11:36:50"/>
    <x v="12"/>
    <x v="6"/>
    <x v="12"/>
    <s v="17IA15.60"/>
    <x v="0"/>
    <x v="0"/>
    <m/>
    <m/>
    <m/>
  </r>
  <r>
    <s v="YK262300322"/>
    <x v="0"/>
    <x v="0"/>
    <n v="1"/>
    <x v="0"/>
    <d v="2026-07-21T09:31:42"/>
    <x v="12"/>
    <x v="6"/>
    <x v="12"/>
    <s v="17IA15.60"/>
    <x v="0"/>
    <x v="0"/>
    <m/>
    <m/>
    <m/>
  </r>
  <r>
    <s v="YK262300323"/>
    <x v="0"/>
    <x v="0"/>
    <n v="1"/>
    <x v="0"/>
    <d v="2026-07-31T06:39:19"/>
    <x v="12"/>
    <x v="6"/>
    <x v="12"/>
    <s v="17IA15.60"/>
    <x v="0"/>
    <x v="0"/>
    <m/>
    <m/>
    <m/>
  </r>
  <r>
    <s v="YK262300324"/>
    <x v="0"/>
    <x v="0"/>
    <n v="1"/>
    <x v="0"/>
    <d v="2026-08-25T14:52:35"/>
    <x v="12"/>
    <x v="6"/>
    <x v="12"/>
    <s v="17IA15.60"/>
    <x v="0"/>
    <x v="0"/>
    <m/>
    <m/>
    <m/>
  </r>
  <r>
    <s v="YK262300325"/>
    <x v="0"/>
    <x v="0"/>
    <n v="1"/>
    <x v="0"/>
    <d v="2026-07-31T06:39:21"/>
    <x v="12"/>
    <x v="6"/>
    <x v="12"/>
    <s v="17IA15.60"/>
    <x v="0"/>
    <x v="0"/>
    <m/>
    <m/>
    <m/>
  </r>
  <r>
    <s v="YK262300326"/>
    <x v="0"/>
    <x v="0"/>
    <n v="1"/>
    <x v="0"/>
    <d v="2026-07-27T13:45:35"/>
    <x v="12"/>
    <x v="6"/>
    <x v="12"/>
    <s v="17IA15.60"/>
    <x v="0"/>
    <x v="0"/>
    <m/>
    <m/>
    <m/>
  </r>
  <r>
    <s v="YK262300327"/>
    <x v="0"/>
    <x v="0"/>
    <n v="1"/>
    <x v="0"/>
    <d v="2026-08-05T08:54:13"/>
    <x v="12"/>
    <x v="6"/>
    <x v="12"/>
    <s v="17IA15.60"/>
    <x v="0"/>
    <x v="0"/>
    <m/>
    <m/>
    <m/>
  </r>
  <r>
    <s v="YK262300328"/>
    <x v="0"/>
    <x v="0"/>
    <n v="1"/>
    <x v="0"/>
    <d v="2026-07-21T11:22:16"/>
    <x v="12"/>
    <x v="6"/>
    <x v="12"/>
    <s v="17IA15.60"/>
    <x v="0"/>
    <x v="0"/>
    <m/>
    <m/>
    <m/>
  </r>
  <r>
    <s v="YK262300329"/>
    <x v="0"/>
    <x v="0"/>
    <n v="1"/>
    <x v="0"/>
    <d v="2026-08-05T08:52:40"/>
    <x v="12"/>
    <x v="6"/>
    <x v="12"/>
    <s v="17IA15.60"/>
    <x v="0"/>
    <x v="0"/>
    <m/>
    <m/>
    <m/>
  </r>
  <r>
    <s v="YK262300330"/>
    <x v="0"/>
    <x v="0"/>
    <n v="1"/>
    <x v="0"/>
    <d v="2026-07-27T07:51:31"/>
    <x v="12"/>
    <x v="6"/>
    <x v="12"/>
    <s v="17IA15.60"/>
    <x v="0"/>
    <x v="0"/>
    <m/>
    <m/>
    <m/>
  </r>
  <r>
    <s v="YK262300331"/>
    <x v="0"/>
    <x v="0"/>
    <n v="1"/>
    <x v="0"/>
    <d v="2026-07-27T07:51:37"/>
    <x v="12"/>
    <x v="6"/>
    <x v="12"/>
    <s v="17IA15.60"/>
    <x v="0"/>
    <x v="0"/>
    <m/>
    <m/>
    <m/>
  </r>
  <r>
    <s v="YK262300332"/>
    <x v="0"/>
    <x v="0"/>
    <n v="1"/>
    <x v="0"/>
    <d v="2026-07-23T08:52:58"/>
    <x v="12"/>
    <x v="6"/>
    <x v="12"/>
    <s v="17IA15.60"/>
    <x v="0"/>
    <x v="0"/>
    <m/>
    <m/>
    <m/>
  </r>
  <r>
    <s v="YK262300333"/>
    <x v="0"/>
    <x v="0"/>
    <n v="1"/>
    <x v="0"/>
    <d v="2026-07-16T08:47:41"/>
    <x v="12"/>
    <x v="6"/>
    <x v="12"/>
    <s v="17IA15.60"/>
    <x v="0"/>
    <x v="0"/>
    <m/>
    <m/>
    <m/>
  </r>
  <r>
    <s v="YK262300334"/>
    <x v="0"/>
    <x v="0"/>
    <n v="1"/>
    <x v="0"/>
    <d v="2026-08-05T08:54:15"/>
    <x v="12"/>
    <x v="6"/>
    <x v="12"/>
    <s v="17IA15.60"/>
    <x v="0"/>
    <x v="0"/>
    <m/>
    <m/>
    <m/>
  </r>
  <r>
    <s v="YK262300335"/>
    <x v="0"/>
    <x v="0"/>
    <n v="1"/>
    <x v="0"/>
    <d v="2026-07-29T18:54:14"/>
    <x v="12"/>
    <x v="6"/>
    <x v="12"/>
    <s v="17IA15.60"/>
    <x v="0"/>
    <x v="0"/>
    <m/>
    <m/>
    <m/>
  </r>
  <r>
    <s v="YK262300336"/>
    <x v="0"/>
    <x v="0"/>
    <n v="1"/>
    <x v="0"/>
    <d v="2026-07-21T09:20:36"/>
    <x v="12"/>
    <x v="6"/>
    <x v="12"/>
    <s v="17IA15.60"/>
    <x v="0"/>
    <x v="0"/>
    <m/>
    <m/>
    <m/>
  </r>
  <r>
    <s v="YK262300337"/>
    <x v="0"/>
    <x v="0"/>
    <n v="1"/>
    <x v="0"/>
    <d v="2026-07-13T08:47:00"/>
    <x v="12"/>
    <x v="6"/>
    <x v="12"/>
    <s v="17IA15.60"/>
    <x v="0"/>
    <x v="0"/>
    <m/>
    <m/>
    <m/>
  </r>
  <r>
    <s v="YK262300338"/>
    <x v="0"/>
    <x v="0"/>
    <n v="1"/>
    <x v="0"/>
    <d v="2026-07-23T09:05:37"/>
    <x v="12"/>
    <x v="6"/>
    <x v="12"/>
    <s v="17IA15.60"/>
    <x v="0"/>
    <x v="0"/>
    <m/>
    <m/>
    <m/>
  </r>
  <r>
    <s v="YK262300339"/>
    <x v="3"/>
    <x v="3"/>
    <n v="1"/>
    <x v="3"/>
    <d v="2026-08-06T06:46:21"/>
    <x v="12"/>
    <x v="6"/>
    <x v="12"/>
    <s v="17IA15.60"/>
    <x v="0"/>
    <x v="0"/>
    <m/>
    <m/>
    <m/>
  </r>
  <r>
    <s v="YK262300340"/>
    <x v="0"/>
    <x v="0"/>
    <n v="1"/>
    <x v="0"/>
    <d v="2026-08-05T11:47:45"/>
    <x v="12"/>
    <x v="6"/>
    <x v="12"/>
    <s v="17IA15.60"/>
    <x v="0"/>
    <x v="0"/>
    <m/>
    <m/>
    <m/>
  </r>
  <r>
    <s v="YK262300341"/>
    <x v="0"/>
    <x v="0"/>
    <n v="1"/>
    <x v="0"/>
    <d v="2026-07-23T08:51:40"/>
    <x v="12"/>
    <x v="6"/>
    <x v="12"/>
    <s v="17IA15.60"/>
    <x v="0"/>
    <x v="0"/>
    <m/>
    <m/>
    <m/>
  </r>
  <r>
    <s v="YK262300342"/>
    <x v="0"/>
    <x v="0"/>
    <n v="1"/>
    <x v="0"/>
    <d v="2026-08-05T11:49:00"/>
    <x v="12"/>
    <x v="6"/>
    <x v="12"/>
    <s v="17IA15.60"/>
    <x v="0"/>
    <x v="0"/>
    <m/>
    <m/>
    <m/>
  </r>
  <r>
    <s v="YK262300343"/>
    <x v="0"/>
    <x v="0"/>
    <n v="1"/>
    <x v="0"/>
    <d v="2026-07-23T08:53:13"/>
    <x v="12"/>
    <x v="6"/>
    <x v="12"/>
    <s v="17IA15.60"/>
    <x v="0"/>
    <x v="0"/>
    <m/>
    <m/>
    <m/>
  </r>
  <r>
    <s v="YK262300344"/>
    <x v="0"/>
    <x v="0"/>
    <n v="1"/>
    <x v="0"/>
    <d v="2026-07-15T06:43:43"/>
    <x v="12"/>
    <x v="6"/>
    <x v="12"/>
    <s v="17IA15.60"/>
    <x v="0"/>
    <x v="0"/>
    <m/>
    <m/>
    <m/>
  </r>
  <r>
    <s v="YK262300345"/>
    <x v="3"/>
    <x v="3"/>
    <n v="1"/>
    <x v="3"/>
    <d v="2026-08-12T21:58:41"/>
    <x v="12"/>
    <x v="6"/>
    <x v="12"/>
    <s v="17IA15.60"/>
    <x v="0"/>
    <x v="0"/>
    <m/>
    <m/>
    <m/>
  </r>
  <r>
    <s v="YK262300346"/>
    <x v="0"/>
    <x v="0"/>
    <n v="1"/>
    <x v="0"/>
    <d v="2026-07-14T06:20:27"/>
    <x v="12"/>
    <x v="6"/>
    <x v="12"/>
    <s v="17IA15.60"/>
    <x v="0"/>
    <x v="0"/>
    <m/>
    <m/>
    <m/>
  </r>
  <r>
    <s v="YK262300347"/>
    <x v="8"/>
    <x v="8"/>
    <n v="1"/>
    <x v="6"/>
    <d v="2026-08-31T07:51:08"/>
    <x v="12"/>
    <x v="6"/>
    <x v="12"/>
    <s v="17IA15.60"/>
    <x v="0"/>
    <x v="0"/>
    <m/>
    <m/>
    <m/>
  </r>
  <r>
    <s v="YK262300348"/>
    <x v="0"/>
    <x v="0"/>
    <n v="1"/>
    <x v="0"/>
    <d v="2026-08-05T08:54:17"/>
    <x v="12"/>
    <x v="6"/>
    <x v="12"/>
    <s v="17IA15.60"/>
    <x v="0"/>
    <x v="0"/>
    <m/>
    <m/>
    <m/>
  </r>
  <r>
    <s v="YK262300349"/>
    <x v="0"/>
    <x v="0"/>
    <n v="1"/>
    <x v="0"/>
    <d v="2026-07-10T08:35:57"/>
    <x v="12"/>
    <x v="6"/>
    <x v="12"/>
    <s v="17IA15.60"/>
    <x v="0"/>
    <x v="0"/>
    <m/>
    <m/>
    <m/>
  </r>
  <r>
    <s v="YK262300350"/>
    <x v="0"/>
    <x v="0"/>
    <n v="1"/>
    <x v="0"/>
    <d v="2026-08-05T11:48:53"/>
    <x v="12"/>
    <x v="6"/>
    <x v="12"/>
    <s v="17IA15.60"/>
    <x v="0"/>
    <x v="0"/>
    <m/>
    <m/>
    <m/>
  </r>
  <r>
    <s v="YK262300351"/>
    <x v="0"/>
    <x v="0"/>
    <n v="1"/>
    <x v="0"/>
    <d v="2026-07-27T07:51:25"/>
    <x v="12"/>
    <x v="6"/>
    <x v="12"/>
    <s v="17IA15.60"/>
    <x v="0"/>
    <x v="0"/>
    <m/>
    <m/>
    <m/>
  </r>
  <r>
    <s v="YK262300352"/>
    <x v="3"/>
    <x v="3"/>
    <n v="1"/>
    <x v="3"/>
    <d v="2026-08-13T08:03:12"/>
    <x v="12"/>
    <x v="6"/>
    <x v="12"/>
    <s v="17IA15.60"/>
    <x v="0"/>
    <x v="0"/>
    <m/>
    <m/>
    <m/>
  </r>
  <r>
    <s v="YK262300353"/>
    <x v="0"/>
    <x v="0"/>
    <n v="1"/>
    <x v="0"/>
    <d v="2026-08-12T10:47:33"/>
    <x v="12"/>
    <x v="6"/>
    <x v="12"/>
    <s v="17IA15.60"/>
    <x v="0"/>
    <x v="0"/>
    <m/>
    <m/>
    <m/>
  </r>
  <r>
    <s v="YK262300354"/>
    <x v="0"/>
    <x v="0"/>
    <n v="1"/>
    <x v="0"/>
    <d v="2026-09-01T04:14:13"/>
    <x v="12"/>
    <x v="6"/>
    <x v="12"/>
    <s v="17IA15.60"/>
    <x v="0"/>
    <x v="0"/>
    <m/>
    <m/>
    <m/>
  </r>
  <r>
    <s v="YK262300355"/>
    <x v="0"/>
    <x v="0"/>
    <n v="1"/>
    <x v="0"/>
    <d v="2026-08-05T08:52:44"/>
    <x v="12"/>
    <x v="6"/>
    <x v="12"/>
    <s v="17IA15.60"/>
    <x v="0"/>
    <x v="0"/>
    <m/>
    <m/>
    <m/>
  </r>
  <r>
    <s v="YK262300356"/>
    <x v="0"/>
    <x v="0"/>
    <n v="1"/>
    <x v="0"/>
    <d v="2026-07-14T13:35:35"/>
    <x v="12"/>
    <x v="6"/>
    <x v="12"/>
    <s v="17IA15.60"/>
    <x v="0"/>
    <x v="0"/>
    <m/>
    <m/>
    <m/>
  </r>
  <r>
    <s v="YK262300357"/>
    <x v="0"/>
    <x v="0"/>
    <n v="1"/>
    <x v="0"/>
    <d v="2026-07-14T13:35:39"/>
    <x v="12"/>
    <x v="6"/>
    <x v="12"/>
    <s v="17IA15.60"/>
    <x v="0"/>
    <x v="0"/>
    <m/>
    <m/>
    <m/>
  </r>
  <r>
    <s v="YK262300358"/>
    <x v="3"/>
    <x v="3"/>
    <n v="1"/>
    <x v="3"/>
    <d v="2026-08-12T21:36:57"/>
    <x v="12"/>
    <x v="6"/>
    <x v="12"/>
    <s v="17IA15.60"/>
    <x v="0"/>
    <x v="0"/>
    <m/>
    <m/>
    <m/>
  </r>
  <r>
    <s v="YK262300359"/>
    <x v="0"/>
    <x v="0"/>
    <n v="1"/>
    <x v="0"/>
    <d v="2026-07-14T06:23:59"/>
    <x v="12"/>
    <x v="6"/>
    <x v="12"/>
    <s v="17IA15.60"/>
    <x v="0"/>
    <x v="0"/>
    <m/>
    <m/>
    <m/>
  </r>
  <r>
    <s v="YK262300360"/>
    <x v="0"/>
    <x v="0"/>
    <n v="1"/>
    <x v="0"/>
    <d v="2026-09-01T04:14:18"/>
    <x v="12"/>
    <x v="6"/>
    <x v="12"/>
    <s v="17IA15.60"/>
    <x v="0"/>
    <x v="0"/>
    <m/>
    <m/>
    <m/>
  </r>
  <r>
    <s v="YK262300361"/>
    <x v="0"/>
    <x v="0"/>
    <n v="1"/>
    <x v="0"/>
    <d v="2026-08-05T11:47:40"/>
    <x v="12"/>
    <x v="6"/>
    <x v="12"/>
    <s v="17IA15.60"/>
    <x v="0"/>
    <x v="0"/>
    <m/>
    <m/>
    <m/>
  </r>
  <r>
    <s v="YK262300362"/>
    <x v="0"/>
    <x v="0"/>
    <n v="1"/>
    <x v="0"/>
    <d v="2026-07-14T06:20:37"/>
    <x v="12"/>
    <x v="6"/>
    <x v="12"/>
    <s v="17IA15.60"/>
    <x v="0"/>
    <x v="0"/>
    <m/>
    <m/>
    <m/>
  </r>
  <r>
    <s v="YK262300363"/>
    <x v="3"/>
    <x v="3"/>
    <n v="1"/>
    <x v="3"/>
    <d v="2026-08-19T13:32:45"/>
    <x v="12"/>
    <x v="6"/>
    <x v="12"/>
    <s v="17IA15.60"/>
    <x v="0"/>
    <x v="0"/>
    <m/>
    <m/>
    <m/>
  </r>
  <r>
    <s v="YK262300364"/>
    <x v="0"/>
    <x v="0"/>
    <n v="1"/>
    <x v="0"/>
    <d v="2026-07-16T09:06:22"/>
    <x v="12"/>
    <x v="6"/>
    <x v="12"/>
    <s v="17IA15.60"/>
    <x v="0"/>
    <x v="0"/>
    <m/>
    <m/>
    <m/>
  </r>
  <r>
    <s v="YK262300365"/>
    <x v="0"/>
    <x v="0"/>
    <n v="1"/>
    <x v="0"/>
    <d v="2026-07-16T09:06:23"/>
    <x v="12"/>
    <x v="6"/>
    <x v="12"/>
    <s v="17IA15.60"/>
    <x v="0"/>
    <x v="0"/>
    <m/>
    <m/>
    <m/>
  </r>
  <r>
    <s v="YK262300366"/>
    <x v="0"/>
    <x v="0"/>
    <n v="1"/>
    <x v="0"/>
    <d v="2026-07-13T08:51:40"/>
    <x v="12"/>
    <x v="6"/>
    <x v="12"/>
    <s v="17IA15.60"/>
    <x v="0"/>
    <x v="0"/>
    <m/>
    <m/>
    <m/>
  </r>
  <r>
    <s v="YK262300367"/>
    <x v="3"/>
    <x v="3"/>
    <n v="1"/>
    <x v="3"/>
    <d v="2026-08-19T07:13:15"/>
    <x v="12"/>
    <x v="6"/>
    <x v="12"/>
    <s v="17IA15.60"/>
    <x v="0"/>
    <x v="0"/>
    <m/>
    <m/>
    <m/>
  </r>
  <r>
    <s v="YK262300368"/>
    <x v="0"/>
    <x v="0"/>
    <n v="1"/>
    <x v="0"/>
    <d v="2026-07-16T06:22:50"/>
    <x v="12"/>
    <x v="6"/>
    <x v="12"/>
    <s v="17IA15.60"/>
    <x v="0"/>
    <x v="0"/>
    <m/>
    <m/>
    <m/>
  </r>
  <r>
    <s v="YK262300369"/>
    <x v="0"/>
    <x v="0"/>
    <n v="1"/>
    <x v="0"/>
    <d v="2026-07-10T08:36:19"/>
    <x v="12"/>
    <x v="6"/>
    <x v="12"/>
    <s v="17IA15.60"/>
    <x v="0"/>
    <x v="0"/>
    <m/>
    <m/>
    <m/>
  </r>
  <r>
    <s v="YK262300370"/>
    <x v="0"/>
    <x v="0"/>
    <n v="1"/>
    <x v="0"/>
    <d v="2026-07-20T10:40:11"/>
    <x v="12"/>
    <x v="6"/>
    <x v="12"/>
    <s v="17IA15.60"/>
    <x v="0"/>
    <x v="0"/>
    <m/>
    <m/>
    <m/>
  </r>
  <r>
    <s v="YK262300371"/>
    <x v="0"/>
    <x v="0"/>
    <n v="1"/>
    <x v="0"/>
    <d v="2026-07-16T06:22:53"/>
    <x v="12"/>
    <x v="6"/>
    <x v="12"/>
    <s v="17IA15.60"/>
    <x v="0"/>
    <x v="0"/>
    <m/>
    <m/>
    <m/>
  </r>
  <r>
    <s v="YK262300372"/>
    <x v="0"/>
    <x v="0"/>
    <n v="1"/>
    <x v="0"/>
    <d v="2026-08-05T08:52:43"/>
    <x v="12"/>
    <x v="6"/>
    <x v="12"/>
    <s v="17IA15.60"/>
    <x v="0"/>
    <x v="0"/>
    <m/>
    <m/>
    <m/>
  </r>
  <r>
    <s v="YK262300373"/>
    <x v="0"/>
    <x v="0"/>
    <n v="1"/>
    <x v="0"/>
    <d v="2026-07-13T08:47:02"/>
    <x v="12"/>
    <x v="6"/>
    <x v="12"/>
    <s v="17IA15.60"/>
    <x v="0"/>
    <x v="0"/>
    <m/>
    <m/>
    <m/>
  </r>
  <r>
    <s v="YK262300374"/>
    <x v="0"/>
    <x v="0"/>
    <n v="1"/>
    <x v="0"/>
    <d v="2026-07-14T13:35:44"/>
    <x v="12"/>
    <x v="6"/>
    <x v="12"/>
    <s v="17IA15.60"/>
    <x v="0"/>
    <x v="0"/>
    <m/>
    <m/>
    <m/>
  </r>
  <r>
    <s v="YK262300375"/>
    <x v="0"/>
    <x v="0"/>
    <n v="1"/>
    <x v="0"/>
    <d v="2026-07-14T13:35:47"/>
    <x v="12"/>
    <x v="6"/>
    <x v="12"/>
    <s v="17IA15.60"/>
    <x v="0"/>
    <x v="0"/>
    <m/>
    <m/>
    <m/>
  </r>
  <r>
    <s v="YK262300376"/>
    <x v="3"/>
    <x v="3"/>
    <n v="1"/>
    <x v="3"/>
    <d v="2026-08-12T21:26:14"/>
    <x v="12"/>
    <x v="6"/>
    <x v="12"/>
    <s v="17IA15.60"/>
    <x v="0"/>
    <x v="0"/>
    <m/>
    <m/>
    <m/>
  </r>
  <r>
    <s v="YK262300001"/>
    <x v="0"/>
    <x v="0"/>
    <n v="1"/>
    <x v="0"/>
    <d v="2026-07-10T08:36:22"/>
    <x v="13"/>
    <x v="7"/>
    <x v="13"/>
    <s v="17IA15.70"/>
    <x v="0"/>
    <x v="0"/>
    <m/>
    <m/>
    <m/>
  </r>
  <r>
    <s v="YK262300002"/>
    <x v="0"/>
    <x v="0"/>
    <n v="1"/>
    <x v="0"/>
    <d v="2026-07-21T09:48:14"/>
    <x v="13"/>
    <x v="7"/>
    <x v="13"/>
    <s v="17IA15.70"/>
    <x v="0"/>
    <x v="0"/>
    <m/>
    <m/>
    <m/>
  </r>
  <r>
    <s v="YK262300003"/>
    <x v="0"/>
    <x v="0"/>
    <n v="1"/>
    <x v="0"/>
    <d v="2026-07-16T06:22:26"/>
    <x v="13"/>
    <x v="7"/>
    <x v="13"/>
    <s v="17IA15.70"/>
    <x v="0"/>
    <x v="0"/>
    <m/>
    <m/>
    <m/>
  </r>
  <r>
    <s v="YK262300004"/>
    <x v="0"/>
    <x v="0"/>
    <n v="1"/>
    <x v="0"/>
    <d v="2026-07-14T06:31:51"/>
    <x v="13"/>
    <x v="7"/>
    <x v="13"/>
    <s v="17IA15.70"/>
    <x v="0"/>
    <x v="0"/>
    <m/>
    <m/>
    <m/>
  </r>
  <r>
    <s v="YK262300005"/>
    <x v="0"/>
    <x v="0"/>
    <n v="1"/>
    <x v="0"/>
    <d v="2026-07-23T08:51:53"/>
    <x v="13"/>
    <x v="7"/>
    <x v="13"/>
    <s v="17IA15.70"/>
    <x v="0"/>
    <x v="0"/>
    <m/>
    <m/>
    <m/>
  </r>
  <r>
    <s v="YK262300006"/>
    <x v="0"/>
    <x v="0"/>
    <n v="1"/>
    <x v="0"/>
    <d v="2026-07-27T13:45:30"/>
    <x v="13"/>
    <x v="7"/>
    <x v="13"/>
    <s v="17IA15.70"/>
    <x v="0"/>
    <x v="0"/>
    <m/>
    <m/>
    <m/>
  </r>
  <r>
    <s v="YK262300007"/>
    <x v="3"/>
    <x v="3"/>
    <n v="1"/>
    <x v="3"/>
    <d v="2026-08-14T10:10:21"/>
    <x v="13"/>
    <x v="7"/>
    <x v="13"/>
    <s v="17IA15.70"/>
    <x v="0"/>
    <x v="0"/>
    <m/>
    <m/>
    <m/>
  </r>
  <r>
    <s v="YK262300008"/>
    <x v="0"/>
    <x v="0"/>
    <n v="1"/>
    <x v="0"/>
    <d v="2026-07-23T08:44:41"/>
    <x v="13"/>
    <x v="7"/>
    <x v="13"/>
    <s v="17IA15.70"/>
    <x v="0"/>
    <x v="0"/>
    <m/>
    <m/>
    <m/>
  </r>
  <r>
    <s v="YK262300009"/>
    <x v="0"/>
    <x v="0"/>
    <n v="1"/>
    <x v="0"/>
    <d v="2026-07-10T08:26:33"/>
    <x v="13"/>
    <x v="7"/>
    <x v="13"/>
    <s v="17IA15.70"/>
    <x v="0"/>
    <x v="0"/>
    <m/>
    <m/>
    <m/>
  </r>
  <r>
    <s v="YK262300010"/>
    <x v="0"/>
    <x v="0"/>
    <n v="1"/>
    <x v="0"/>
    <d v="2026-07-09T06:48:39"/>
    <x v="13"/>
    <x v="7"/>
    <x v="13"/>
    <s v="17IA15.70"/>
    <x v="0"/>
    <x v="0"/>
    <m/>
    <m/>
    <m/>
  </r>
  <r>
    <s v="YK262300011"/>
    <x v="0"/>
    <x v="0"/>
    <n v="1"/>
    <x v="0"/>
    <d v="2026-07-10T08:26:28"/>
    <x v="13"/>
    <x v="7"/>
    <x v="13"/>
    <s v="17IA15.70"/>
    <x v="0"/>
    <x v="0"/>
    <m/>
    <m/>
    <m/>
  </r>
  <r>
    <s v="YK262300012"/>
    <x v="0"/>
    <x v="0"/>
    <n v="1"/>
    <x v="0"/>
    <d v="2026-07-16T08:47:18"/>
    <x v="13"/>
    <x v="7"/>
    <x v="13"/>
    <s v="17IA15.70"/>
    <x v="0"/>
    <x v="0"/>
    <m/>
    <m/>
    <m/>
  </r>
  <r>
    <s v="YK262300013"/>
    <x v="0"/>
    <x v="0"/>
    <n v="1"/>
    <x v="0"/>
    <d v="2026-07-14T06:23:53"/>
    <x v="13"/>
    <x v="7"/>
    <x v="13"/>
    <s v="17IA15.70"/>
    <x v="0"/>
    <x v="0"/>
    <m/>
    <m/>
    <m/>
  </r>
  <r>
    <s v="YK262300014"/>
    <x v="0"/>
    <x v="0"/>
    <n v="1"/>
    <x v="0"/>
    <d v="2026-07-27T13:46:33"/>
    <x v="13"/>
    <x v="7"/>
    <x v="13"/>
    <s v="17IA15.70"/>
    <x v="0"/>
    <x v="0"/>
    <m/>
    <m/>
    <m/>
  </r>
  <r>
    <s v="YK262300015"/>
    <x v="0"/>
    <x v="0"/>
    <n v="1"/>
    <x v="0"/>
    <d v="2026-08-11T11:59:43"/>
    <x v="13"/>
    <x v="7"/>
    <x v="13"/>
    <s v="17IA15.70"/>
    <x v="0"/>
    <x v="0"/>
    <m/>
    <m/>
    <m/>
  </r>
  <r>
    <s v="YK262300016"/>
    <x v="0"/>
    <x v="0"/>
    <n v="1"/>
    <x v="0"/>
    <d v="2026-08-05T08:54:18"/>
    <x v="13"/>
    <x v="7"/>
    <x v="13"/>
    <s v="17IA15.70"/>
    <x v="0"/>
    <x v="0"/>
    <m/>
    <m/>
    <m/>
  </r>
  <r>
    <s v="YK262300017"/>
    <x v="0"/>
    <x v="0"/>
    <n v="1"/>
    <x v="0"/>
    <d v="2026-07-15T06:34:52"/>
    <x v="13"/>
    <x v="7"/>
    <x v="13"/>
    <s v="17IA15.70"/>
    <x v="0"/>
    <x v="0"/>
    <m/>
    <m/>
    <m/>
  </r>
  <r>
    <s v="YK262300018"/>
    <x v="3"/>
    <x v="3"/>
    <n v="1"/>
    <x v="3"/>
    <d v="2026-07-15T11:14:55"/>
    <x v="13"/>
    <x v="7"/>
    <x v="13"/>
    <s v="17IA15.70"/>
    <x v="0"/>
    <x v="0"/>
    <m/>
    <m/>
    <m/>
  </r>
  <r>
    <s v="YK262300019"/>
    <x v="0"/>
    <x v="0"/>
    <n v="1"/>
    <x v="0"/>
    <d v="2026-07-23T08:53:25"/>
    <x v="13"/>
    <x v="7"/>
    <x v="13"/>
    <s v="17IA15.70"/>
    <x v="0"/>
    <x v="0"/>
    <m/>
    <m/>
    <m/>
  </r>
  <r>
    <s v="YK262300020"/>
    <x v="0"/>
    <x v="0"/>
    <n v="1"/>
    <x v="0"/>
    <d v="2026-07-16T05:50:52"/>
    <x v="13"/>
    <x v="7"/>
    <x v="13"/>
    <s v="17IA15.70"/>
    <x v="0"/>
    <x v="0"/>
    <m/>
    <m/>
    <m/>
  </r>
  <r>
    <s v="YK262300021"/>
    <x v="0"/>
    <x v="0"/>
    <n v="1"/>
    <x v="0"/>
    <d v="2026-07-16T09:06:29"/>
    <x v="13"/>
    <x v="7"/>
    <x v="13"/>
    <s v="17IA15.70"/>
    <x v="0"/>
    <x v="0"/>
    <m/>
    <m/>
    <m/>
  </r>
  <r>
    <s v="YK262300022"/>
    <x v="0"/>
    <x v="0"/>
    <n v="1"/>
    <x v="0"/>
    <d v="2026-07-21T09:31:35"/>
    <x v="13"/>
    <x v="7"/>
    <x v="13"/>
    <s v="17IA15.70"/>
    <x v="0"/>
    <x v="0"/>
    <m/>
    <m/>
    <m/>
  </r>
  <r>
    <s v="YK262300023"/>
    <x v="0"/>
    <x v="0"/>
    <n v="1"/>
    <x v="0"/>
    <d v="2026-07-06T11:20:11"/>
    <x v="13"/>
    <x v="7"/>
    <x v="13"/>
    <s v="17IA15.70"/>
    <x v="0"/>
    <x v="0"/>
    <m/>
    <m/>
    <m/>
  </r>
  <r>
    <s v="YK262300024"/>
    <x v="0"/>
    <x v="0"/>
    <n v="1"/>
    <x v="0"/>
    <d v="2026-08-25T14:52:38"/>
    <x v="13"/>
    <x v="7"/>
    <x v="13"/>
    <s v="17IA15.70"/>
    <x v="0"/>
    <x v="0"/>
    <m/>
    <m/>
    <m/>
  </r>
  <r>
    <s v="YK262300025"/>
    <x v="0"/>
    <x v="0"/>
    <n v="1"/>
    <x v="0"/>
    <d v="2026-07-20T10:40:22"/>
    <x v="13"/>
    <x v="7"/>
    <x v="13"/>
    <s v="17IA15.70"/>
    <x v="0"/>
    <x v="0"/>
    <m/>
    <m/>
    <m/>
  </r>
  <r>
    <s v="YK262300026"/>
    <x v="0"/>
    <x v="0"/>
    <n v="1"/>
    <x v="0"/>
    <d v="2026-07-08T10:17:00"/>
    <x v="13"/>
    <x v="7"/>
    <x v="13"/>
    <s v="17IA15.70"/>
    <x v="0"/>
    <x v="0"/>
    <m/>
    <m/>
    <m/>
  </r>
  <r>
    <s v="YK262300027"/>
    <x v="3"/>
    <x v="3"/>
    <n v="1"/>
    <x v="3"/>
    <d v="2026-08-17T17:48:45"/>
    <x v="13"/>
    <x v="7"/>
    <x v="13"/>
    <s v="17IA15.70"/>
    <x v="0"/>
    <x v="0"/>
    <m/>
    <m/>
    <m/>
  </r>
  <r>
    <s v="YK262300028"/>
    <x v="0"/>
    <x v="0"/>
    <n v="1"/>
    <x v="0"/>
    <d v="2026-07-02T09:09:22"/>
    <x v="13"/>
    <x v="7"/>
    <x v="13"/>
    <s v="17IA15.70"/>
    <x v="0"/>
    <x v="0"/>
    <m/>
    <m/>
    <m/>
  </r>
  <r>
    <s v="YK262300029"/>
    <x v="0"/>
    <x v="0"/>
    <n v="1"/>
    <x v="0"/>
    <d v="2026-07-14T06:24:11"/>
    <x v="13"/>
    <x v="7"/>
    <x v="13"/>
    <s v="17IA15.70"/>
    <x v="0"/>
    <x v="0"/>
    <m/>
    <m/>
    <m/>
  </r>
  <r>
    <s v="YK262300030"/>
    <x v="0"/>
    <x v="0"/>
    <n v="1"/>
    <x v="0"/>
    <d v="2026-07-14T13:35:26"/>
    <x v="13"/>
    <x v="7"/>
    <x v="13"/>
    <s v="17IA15.70"/>
    <x v="0"/>
    <x v="0"/>
    <m/>
    <m/>
    <m/>
  </r>
  <r>
    <s v="YK262300031"/>
    <x v="4"/>
    <x v="4"/>
    <n v="1"/>
    <x v="4"/>
    <d v="2026-08-18T08:53:01"/>
    <x v="13"/>
    <x v="7"/>
    <x v="13"/>
    <s v="17IA15.70"/>
    <x v="0"/>
    <x v="0"/>
    <m/>
    <m/>
    <m/>
  </r>
  <r>
    <s v="YK262300032"/>
    <x v="0"/>
    <x v="0"/>
    <n v="1"/>
    <x v="0"/>
    <d v="2026-09-01T04:14:29"/>
    <x v="13"/>
    <x v="7"/>
    <x v="13"/>
    <s v="17IA15.70"/>
    <x v="0"/>
    <x v="0"/>
    <m/>
    <m/>
    <m/>
  </r>
  <r>
    <s v="YK262300033"/>
    <x v="0"/>
    <x v="0"/>
    <n v="1"/>
    <x v="0"/>
    <d v="2026-09-01T04:13:51"/>
    <x v="13"/>
    <x v="7"/>
    <x v="13"/>
    <s v="17IA15.70"/>
    <x v="0"/>
    <x v="0"/>
    <m/>
    <m/>
    <m/>
  </r>
  <r>
    <s v="YK262300034"/>
    <x v="3"/>
    <x v="3"/>
    <n v="1"/>
    <x v="3"/>
    <d v="2026-08-06T16:45:07"/>
    <x v="13"/>
    <x v="7"/>
    <x v="13"/>
    <s v="17IA15.70"/>
    <x v="0"/>
    <x v="0"/>
    <m/>
    <m/>
    <m/>
  </r>
  <r>
    <s v="YK262300035"/>
    <x v="0"/>
    <x v="0"/>
    <n v="1"/>
    <x v="0"/>
    <d v="2026-07-09T06:48:33"/>
    <x v="13"/>
    <x v="7"/>
    <x v="13"/>
    <s v="17IA15.70"/>
    <x v="0"/>
    <x v="0"/>
    <m/>
    <m/>
    <m/>
  </r>
  <r>
    <s v="YK262300036"/>
    <x v="0"/>
    <x v="0"/>
    <n v="1"/>
    <x v="0"/>
    <d v="2026-08-12T10:47:15"/>
    <x v="13"/>
    <x v="7"/>
    <x v="13"/>
    <s v="17IA15.70"/>
    <x v="0"/>
    <x v="0"/>
    <m/>
    <m/>
    <m/>
  </r>
  <r>
    <s v="YK262300037"/>
    <x v="0"/>
    <x v="0"/>
    <n v="1"/>
    <x v="0"/>
    <d v="2026-07-29T18:54:18"/>
    <x v="13"/>
    <x v="7"/>
    <x v="13"/>
    <s v="17IA15.70"/>
    <x v="0"/>
    <x v="0"/>
    <m/>
    <m/>
    <m/>
  </r>
  <r>
    <s v="YK262300038"/>
    <x v="0"/>
    <x v="0"/>
    <n v="1"/>
    <x v="0"/>
    <d v="2026-07-29T18:54:23"/>
    <x v="13"/>
    <x v="7"/>
    <x v="13"/>
    <s v="17IA15.70"/>
    <x v="0"/>
    <x v="0"/>
    <m/>
    <m/>
    <m/>
  </r>
  <r>
    <s v="YK262300039"/>
    <x v="0"/>
    <x v="0"/>
    <n v="1"/>
    <x v="0"/>
    <d v="2026-07-23T08:51:58"/>
    <x v="13"/>
    <x v="7"/>
    <x v="13"/>
    <s v="17IA15.70"/>
    <x v="0"/>
    <x v="0"/>
    <m/>
    <m/>
    <m/>
  </r>
  <r>
    <s v="YK262300040"/>
    <x v="0"/>
    <x v="0"/>
    <n v="1"/>
    <x v="0"/>
    <d v="2026-07-23T08:53:28"/>
    <x v="13"/>
    <x v="7"/>
    <x v="13"/>
    <s v="17IA15.70"/>
    <x v="0"/>
    <x v="0"/>
    <m/>
    <m/>
    <m/>
  </r>
  <r>
    <s v="YK262300041"/>
    <x v="0"/>
    <x v="0"/>
    <n v="1"/>
    <x v="0"/>
    <d v="2026-07-20T10:40:10"/>
    <x v="13"/>
    <x v="7"/>
    <x v="13"/>
    <s v="17IA15.70"/>
    <x v="0"/>
    <x v="0"/>
    <m/>
    <m/>
    <m/>
  </r>
  <r>
    <s v="YK262300042"/>
    <x v="0"/>
    <x v="0"/>
    <n v="1"/>
    <x v="0"/>
    <d v="2026-07-13T08:51:58"/>
    <x v="13"/>
    <x v="7"/>
    <x v="13"/>
    <s v="17IA15.70"/>
    <x v="0"/>
    <x v="0"/>
    <m/>
    <m/>
    <m/>
  </r>
  <r>
    <s v="YK262300043"/>
    <x v="0"/>
    <x v="0"/>
    <n v="1"/>
    <x v="0"/>
    <d v="2026-07-06T11:20:06"/>
    <x v="13"/>
    <x v="7"/>
    <x v="13"/>
    <s v="17IA15.70"/>
    <x v="0"/>
    <x v="0"/>
    <m/>
    <m/>
    <m/>
  </r>
  <r>
    <s v="YK262300044"/>
    <x v="0"/>
    <x v="0"/>
    <n v="1"/>
    <x v="0"/>
    <d v="2026-07-29T18:54:04"/>
    <x v="13"/>
    <x v="7"/>
    <x v="13"/>
    <s v="17IA15.70"/>
    <x v="0"/>
    <x v="0"/>
    <m/>
    <m/>
    <m/>
  </r>
  <r>
    <s v="YK262300045"/>
    <x v="0"/>
    <x v="0"/>
    <n v="1"/>
    <x v="0"/>
    <d v="2026-07-02T09:10:15"/>
    <x v="13"/>
    <x v="7"/>
    <x v="13"/>
    <s v="17IA15.70"/>
    <x v="0"/>
    <x v="0"/>
    <m/>
    <m/>
    <m/>
  </r>
  <r>
    <s v="YK262300046"/>
    <x v="0"/>
    <x v="0"/>
    <n v="1"/>
    <x v="0"/>
    <d v="2026-07-07T13:17:14"/>
    <x v="13"/>
    <x v="7"/>
    <x v="13"/>
    <s v="17IA15.70"/>
    <x v="0"/>
    <x v="0"/>
    <m/>
    <m/>
    <m/>
  </r>
  <r>
    <s v="YK262300047"/>
    <x v="0"/>
    <x v="0"/>
    <n v="1"/>
    <x v="0"/>
    <d v="2026-07-08T10:17:47"/>
    <x v="13"/>
    <x v="7"/>
    <x v="13"/>
    <s v="17IA15.70"/>
    <x v="0"/>
    <x v="0"/>
    <m/>
    <m/>
    <m/>
  </r>
  <r>
    <s v="YK262300048"/>
    <x v="0"/>
    <x v="0"/>
    <n v="1"/>
    <x v="0"/>
    <d v="2026-07-21T09:32:14"/>
    <x v="13"/>
    <x v="7"/>
    <x v="13"/>
    <s v="17IA15.70"/>
    <x v="0"/>
    <x v="0"/>
    <m/>
    <m/>
    <m/>
  </r>
  <r>
    <s v="YK262300049"/>
    <x v="0"/>
    <x v="0"/>
    <n v="1"/>
    <x v="0"/>
    <d v="2026-07-06T11:20:50"/>
    <x v="13"/>
    <x v="7"/>
    <x v="13"/>
    <s v="17IA15.70"/>
    <x v="0"/>
    <x v="0"/>
    <m/>
    <m/>
    <m/>
  </r>
  <r>
    <s v="YK262300050"/>
    <x v="0"/>
    <x v="0"/>
    <n v="1"/>
    <x v="0"/>
    <d v="2026-07-08T10:17:07"/>
    <x v="13"/>
    <x v="7"/>
    <x v="13"/>
    <s v="17IA15.70"/>
    <x v="0"/>
    <x v="0"/>
    <m/>
    <m/>
    <m/>
  </r>
  <r>
    <s v="YK262300051"/>
    <x v="0"/>
    <x v="0"/>
    <n v="1"/>
    <x v="0"/>
    <d v="2026-07-14T12:28:04"/>
    <x v="13"/>
    <x v="7"/>
    <x v="13"/>
    <s v="17IA15.70"/>
    <x v="0"/>
    <x v="0"/>
    <m/>
    <m/>
    <m/>
  </r>
  <r>
    <s v="YK262300052"/>
    <x v="0"/>
    <x v="0"/>
    <n v="1"/>
    <x v="0"/>
    <d v="2026-07-23T08:44:15"/>
    <x v="13"/>
    <x v="7"/>
    <x v="13"/>
    <s v="17IA15.70"/>
    <x v="0"/>
    <x v="0"/>
    <m/>
    <m/>
    <m/>
  </r>
  <r>
    <s v="YK262300053"/>
    <x v="0"/>
    <x v="0"/>
    <n v="1"/>
    <x v="0"/>
    <d v="2026-07-29T18:54:07"/>
    <x v="13"/>
    <x v="7"/>
    <x v="13"/>
    <s v="17IA15.70"/>
    <x v="0"/>
    <x v="0"/>
    <m/>
    <m/>
    <m/>
  </r>
  <r>
    <s v="YK262300054"/>
    <x v="0"/>
    <x v="0"/>
    <n v="1"/>
    <x v="0"/>
    <d v="2026-09-01T04:13:57"/>
    <x v="13"/>
    <x v="7"/>
    <x v="13"/>
    <s v="17IA15.70"/>
    <x v="0"/>
    <x v="0"/>
    <m/>
    <m/>
    <m/>
  </r>
  <r>
    <s v="YK262300055"/>
    <x v="0"/>
    <x v="0"/>
    <n v="1"/>
    <x v="0"/>
    <d v="2026-07-23T08:43:20"/>
    <x v="13"/>
    <x v="7"/>
    <x v="13"/>
    <s v="17IA15.70"/>
    <x v="0"/>
    <x v="0"/>
    <m/>
    <m/>
    <m/>
  </r>
  <r>
    <s v="YK262300056"/>
    <x v="0"/>
    <x v="0"/>
    <n v="1"/>
    <x v="0"/>
    <d v="2026-08-25T14:52:14"/>
    <x v="13"/>
    <x v="7"/>
    <x v="13"/>
    <s v="17IA15.70"/>
    <x v="0"/>
    <x v="0"/>
    <m/>
    <m/>
    <m/>
  </r>
  <r>
    <s v="YK262300057"/>
    <x v="0"/>
    <x v="0"/>
    <n v="1"/>
    <x v="0"/>
    <d v="2026-07-15T06:43:35"/>
    <x v="13"/>
    <x v="7"/>
    <x v="13"/>
    <s v="17IA15.70"/>
    <x v="0"/>
    <x v="0"/>
    <m/>
    <m/>
    <m/>
  </r>
  <r>
    <s v="YK262300058"/>
    <x v="0"/>
    <x v="0"/>
    <n v="1"/>
    <x v="0"/>
    <d v="2026-07-15T06:43:23"/>
    <x v="13"/>
    <x v="7"/>
    <x v="13"/>
    <s v="17IA15.70"/>
    <x v="0"/>
    <x v="0"/>
    <m/>
    <m/>
    <m/>
  </r>
  <r>
    <s v="YK262300059"/>
    <x v="3"/>
    <x v="3"/>
    <n v="1"/>
    <x v="3"/>
    <d v="2026-08-04T11:23:58"/>
    <x v="13"/>
    <x v="7"/>
    <x v="13"/>
    <s v="17IA15.70"/>
    <x v="0"/>
    <x v="0"/>
    <m/>
    <m/>
    <m/>
  </r>
  <r>
    <s v="YK262300060"/>
    <x v="3"/>
    <x v="3"/>
    <n v="1"/>
    <x v="3"/>
    <d v="2026-07-16T06:40:19"/>
    <x v="13"/>
    <x v="7"/>
    <x v="13"/>
    <s v="17IA15.70"/>
    <x v="0"/>
    <x v="0"/>
    <m/>
    <m/>
    <m/>
  </r>
  <r>
    <s v="YK262300061"/>
    <x v="0"/>
    <x v="0"/>
    <n v="1"/>
    <x v="0"/>
    <d v="2026-08-05T11:48:01"/>
    <x v="13"/>
    <x v="7"/>
    <x v="13"/>
    <s v="17IA15.70"/>
    <x v="0"/>
    <x v="0"/>
    <m/>
    <m/>
    <m/>
  </r>
  <r>
    <s v="YK262300062"/>
    <x v="0"/>
    <x v="0"/>
    <n v="1"/>
    <x v="0"/>
    <d v="2026-07-23T08:43:25"/>
    <x v="13"/>
    <x v="7"/>
    <x v="13"/>
    <s v="17IA15.70"/>
    <x v="0"/>
    <x v="0"/>
    <m/>
    <m/>
    <m/>
  </r>
  <r>
    <s v="YK262300063"/>
    <x v="0"/>
    <x v="0"/>
    <n v="1"/>
    <x v="0"/>
    <d v="2026-07-09T07:00:19"/>
    <x v="13"/>
    <x v="7"/>
    <x v="13"/>
    <s v="17IA15.70"/>
    <x v="0"/>
    <x v="0"/>
    <m/>
    <m/>
    <m/>
  </r>
  <r>
    <s v="YK262300064"/>
    <x v="0"/>
    <x v="0"/>
    <n v="1"/>
    <x v="0"/>
    <d v="2026-07-14T09:05:14"/>
    <x v="13"/>
    <x v="7"/>
    <x v="13"/>
    <s v="17IA15.70"/>
    <x v="0"/>
    <x v="0"/>
    <m/>
    <m/>
    <m/>
  </r>
  <r>
    <s v="YK262300065"/>
    <x v="0"/>
    <x v="0"/>
    <n v="1"/>
    <x v="0"/>
    <d v="2026-07-14T06:20:45"/>
    <x v="13"/>
    <x v="7"/>
    <x v="13"/>
    <s v="17IA15.70"/>
    <x v="0"/>
    <x v="0"/>
    <m/>
    <m/>
    <m/>
  </r>
  <r>
    <s v="YK262300066"/>
    <x v="0"/>
    <x v="0"/>
    <n v="1"/>
    <x v="0"/>
    <d v="2026-07-10T08:35:53"/>
    <x v="13"/>
    <x v="7"/>
    <x v="13"/>
    <s v="17IA15.70"/>
    <x v="0"/>
    <x v="0"/>
    <m/>
    <m/>
    <m/>
  </r>
  <r>
    <s v="YK262300067"/>
    <x v="0"/>
    <x v="0"/>
    <n v="1"/>
    <x v="0"/>
    <d v="2026-07-14T13:36:13"/>
    <x v="13"/>
    <x v="7"/>
    <x v="13"/>
    <s v="17IA15.70"/>
    <x v="0"/>
    <x v="0"/>
    <m/>
    <m/>
    <m/>
  </r>
  <r>
    <s v="YK262300068"/>
    <x v="0"/>
    <x v="0"/>
    <n v="1"/>
    <x v="0"/>
    <d v="2026-07-31T06:39:48"/>
    <x v="13"/>
    <x v="7"/>
    <x v="13"/>
    <s v="17IA15.70"/>
    <x v="0"/>
    <x v="0"/>
    <m/>
    <m/>
    <m/>
  </r>
  <r>
    <s v="YK262300069"/>
    <x v="0"/>
    <x v="0"/>
    <n v="1"/>
    <x v="0"/>
    <d v="2026-07-21T11:37:10"/>
    <x v="13"/>
    <x v="7"/>
    <x v="13"/>
    <s v="17IA15.70"/>
    <x v="0"/>
    <x v="0"/>
    <m/>
    <m/>
    <m/>
  </r>
  <r>
    <s v="YK262300070"/>
    <x v="0"/>
    <x v="0"/>
    <n v="1"/>
    <x v="0"/>
    <d v="2026-07-16T09:18:46"/>
    <x v="13"/>
    <x v="7"/>
    <x v="13"/>
    <s v="17IA15.70"/>
    <x v="0"/>
    <x v="0"/>
    <m/>
    <m/>
    <m/>
  </r>
  <r>
    <s v="YK262300071"/>
    <x v="0"/>
    <x v="0"/>
    <n v="1"/>
    <x v="0"/>
    <d v="2026-08-14T10:11:18"/>
    <x v="13"/>
    <x v="7"/>
    <x v="13"/>
    <s v="17IA15.70"/>
    <x v="0"/>
    <x v="0"/>
    <m/>
    <m/>
    <m/>
  </r>
  <r>
    <s v="YK262300072"/>
    <x v="0"/>
    <x v="0"/>
    <n v="1"/>
    <x v="0"/>
    <d v="2026-07-16T08:47:54"/>
    <x v="13"/>
    <x v="7"/>
    <x v="13"/>
    <s v="17IA15.70"/>
    <x v="0"/>
    <x v="0"/>
    <m/>
    <m/>
    <m/>
  </r>
  <r>
    <s v="YK262300073"/>
    <x v="0"/>
    <x v="0"/>
    <n v="1"/>
    <x v="0"/>
    <d v="2026-07-16T09:06:19"/>
    <x v="13"/>
    <x v="7"/>
    <x v="13"/>
    <s v="17IA15.70"/>
    <x v="0"/>
    <x v="0"/>
    <m/>
    <m/>
    <m/>
  </r>
  <r>
    <s v="YK262300074"/>
    <x v="0"/>
    <x v="0"/>
    <n v="1"/>
    <x v="0"/>
    <d v="2026-07-16T05:52:43"/>
    <x v="13"/>
    <x v="7"/>
    <x v="13"/>
    <s v="17IA15.70"/>
    <x v="0"/>
    <x v="0"/>
    <m/>
    <m/>
    <m/>
  </r>
  <r>
    <s v="YK262300075"/>
    <x v="0"/>
    <x v="0"/>
    <n v="1"/>
    <x v="0"/>
    <d v="2026-07-16T09:18:51"/>
    <x v="13"/>
    <x v="7"/>
    <x v="13"/>
    <s v="17IA15.70"/>
    <x v="0"/>
    <x v="0"/>
    <m/>
    <m/>
    <m/>
  </r>
  <r>
    <s v="YK262300076"/>
    <x v="0"/>
    <x v="0"/>
    <n v="1"/>
    <x v="0"/>
    <d v="2026-07-02T09:10:26"/>
    <x v="13"/>
    <x v="7"/>
    <x v="13"/>
    <s v="17IA15.70"/>
    <x v="0"/>
    <x v="0"/>
    <m/>
    <m/>
    <m/>
  </r>
  <r>
    <s v="YK262300077"/>
    <x v="3"/>
    <x v="3"/>
    <n v="1"/>
    <x v="3"/>
    <d v="2026-08-17T18:01:58"/>
    <x v="13"/>
    <x v="7"/>
    <x v="13"/>
    <s v="17IA15.70"/>
    <x v="0"/>
    <x v="0"/>
    <m/>
    <m/>
    <m/>
  </r>
  <r>
    <s v="YK262300078"/>
    <x v="0"/>
    <x v="0"/>
    <n v="1"/>
    <x v="0"/>
    <d v="2026-08-14T10:11:30"/>
    <x v="13"/>
    <x v="7"/>
    <x v="13"/>
    <s v="17IA15.70"/>
    <x v="0"/>
    <x v="0"/>
    <m/>
    <m/>
    <m/>
  </r>
  <r>
    <s v="YK262300079"/>
    <x v="0"/>
    <x v="0"/>
    <n v="1"/>
    <x v="0"/>
    <d v="2026-07-13T08:46:54"/>
    <x v="13"/>
    <x v="7"/>
    <x v="13"/>
    <s v="17IA15.70"/>
    <x v="0"/>
    <x v="0"/>
    <m/>
    <m/>
    <m/>
  </r>
  <r>
    <s v="YK262300080"/>
    <x v="0"/>
    <x v="0"/>
    <n v="1"/>
    <x v="0"/>
    <d v="2026-07-16T08:47:14"/>
    <x v="13"/>
    <x v="7"/>
    <x v="13"/>
    <s v="17IA15.70"/>
    <x v="0"/>
    <x v="0"/>
    <m/>
    <m/>
    <m/>
  </r>
  <r>
    <s v="YK262300081"/>
    <x v="0"/>
    <x v="0"/>
    <n v="1"/>
    <x v="0"/>
    <d v="2026-07-16T08:47:48"/>
    <x v="13"/>
    <x v="7"/>
    <x v="13"/>
    <s v="17IA15.70"/>
    <x v="0"/>
    <x v="0"/>
    <m/>
    <m/>
    <m/>
  </r>
  <r>
    <s v="YK262300082"/>
    <x v="0"/>
    <x v="0"/>
    <n v="1"/>
    <x v="0"/>
    <d v="2026-07-20T10:40:06"/>
    <x v="13"/>
    <x v="7"/>
    <x v="13"/>
    <s v="17IA15.70"/>
    <x v="0"/>
    <x v="0"/>
    <m/>
    <m/>
    <m/>
  </r>
  <r>
    <s v="YK262300083"/>
    <x v="0"/>
    <x v="0"/>
    <n v="1"/>
    <x v="0"/>
    <d v="2026-07-14T06:24:07"/>
    <x v="13"/>
    <x v="7"/>
    <x v="13"/>
    <s v="17IA15.70"/>
    <x v="0"/>
    <x v="0"/>
    <m/>
    <m/>
    <m/>
  </r>
  <r>
    <s v="YK262300084"/>
    <x v="0"/>
    <x v="0"/>
    <n v="1"/>
    <x v="0"/>
    <d v="2026-08-05T11:48:45"/>
    <x v="13"/>
    <x v="7"/>
    <x v="13"/>
    <s v="17IA15.70"/>
    <x v="0"/>
    <x v="0"/>
    <m/>
    <m/>
    <m/>
  </r>
  <r>
    <s v="YK262300085"/>
    <x v="0"/>
    <x v="0"/>
    <n v="1"/>
    <x v="0"/>
    <d v="2026-07-15T13:51:09"/>
    <x v="13"/>
    <x v="7"/>
    <x v="13"/>
    <s v="17IA15.70"/>
    <x v="0"/>
    <x v="0"/>
    <m/>
    <m/>
    <m/>
  </r>
  <r>
    <s v="YK262300086"/>
    <x v="0"/>
    <x v="0"/>
    <n v="1"/>
    <x v="0"/>
    <d v="2026-07-07T13:16:21"/>
    <x v="13"/>
    <x v="7"/>
    <x v="13"/>
    <s v="17IA15.70"/>
    <x v="0"/>
    <x v="0"/>
    <m/>
    <m/>
    <m/>
  </r>
  <r>
    <s v="YK262300087"/>
    <x v="0"/>
    <x v="0"/>
    <n v="1"/>
    <x v="0"/>
    <d v="2026-07-15T13:51:36"/>
    <x v="13"/>
    <x v="7"/>
    <x v="13"/>
    <s v="17IA15.70"/>
    <x v="0"/>
    <x v="0"/>
    <m/>
    <m/>
    <m/>
  </r>
  <r>
    <s v="YK262300088"/>
    <x v="0"/>
    <x v="0"/>
    <n v="1"/>
    <x v="0"/>
    <d v="2026-07-15T13:51:32"/>
    <x v="13"/>
    <x v="7"/>
    <x v="13"/>
    <s v="17IA15.70"/>
    <x v="0"/>
    <x v="0"/>
    <m/>
    <m/>
    <m/>
  </r>
  <r>
    <s v="YK262300089"/>
    <x v="3"/>
    <x v="3"/>
    <n v="1"/>
    <x v="3"/>
    <d v="2026-07-21T15:26:13"/>
    <x v="13"/>
    <x v="7"/>
    <x v="13"/>
    <s v="17IA15.70"/>
    <x v="0"/>
    <x v="0"/>
    <m/>
    <m/>
    <m/>
  </r>
  <r>
    <s v="YK262300090"/>
    <x v="0"/>
    <x v="0"/>
    <n v="1"/>
    <x v="0"/>
    <d v="2026-07-14T12:27:59"/>
    <x v="13"/>
    <x v="7"/>
    <x v="13"/>
    <s v="17IA15.70"/>
    <x v="0"/>
    <x v="0"/>
    <m/>
    <m/>
    <m/>
  </r>
  <r>
    <s v="YK262300091"/>
    <x v="0"/>
    <x v="0"/>
    <n v="1"/>
    <x v="0"/>
    <d v="2026-07-06T11:20:40"/>
    <x v="13"/>
    <x v="7"/>
    <x v="13"/>
    <s v="17IA15.70"/>
    <x v="0"/>
    <x v="0"/>
    <m/>
    <m/>
    <m/>
  </r>
  <r>
    <s v="YK262300092"/>
    <x v="0"/>
    <x v="0"/>
    <n v="1"/>
    <x v="0"/>
    <d v="2026-08-05T08:52:46"/>
    <x v="13"/>
    <x v="7"/>
    <x v="13"/>
    <s v="17IA15.70"/>
    <x v="0"/>
    <x v="0"/>
    <m/>
    <m/>
    <m/>
  </r>
  <r>
    <s v="YK262300093"/>
    <x v="0"/>
    <x v="0"/>
    <n v="1"/>
    <x v="0"/>
    <d v="2026-07-08T10:17:31"/>
    <x v="13"/>
    <x v="7"/>
    <x v="13"/>
    <s v="17IA15.70"/>
    <x v="0"/>
    <x v="0"/>
    <m/>
    <m/>
    <m/>
  </r>
  <r>
    <s v="YK262300094"/>
    <x v="0"/>
    <x v="0"/>
    <n v="1"/>
    <x v="0"/>
    <d v="2026-07-14T12:27:15"/>
    <x v="13"/>
    <x v="7"/>
    <x v="13"/>
    <s v="17IA15.70"/>
    <x v="0"/>
    <x v="0"/>
    <m/>
    <m/>
    <m/>
  </r>
  <r>
    <s v="YK262300095"/>
    <x v="0"/>
    <x v="0"/>
    <n v="1"/>
    <x v="0"/>
    <d v="2026-07-21T09:20:53"/>
    <x v="13"/>
    <x v="7"/>
    <x v="13"/>
    <s v="17IA15.70"/>
    <x v="0"/>
    <x v="0"/>
    <m/>
    <m/>
    <m/>
  </r>
  <r>
    <s v="YK262300096"/>
    <x v="0"/>
    <x v="0"/>
    <n v="1"/>
    <x v="0"/>
    <d v="2026-08-05T11:49:07"/>
    <x v="13"/>
    <x v="7"/>
    <x v="13"/>
    <s v="17IA15.70"/>
    <x v="0"/>
    <x v="0"/>
    <m/>
    <m/>
    <m/>
  </r>
  <r>
    <s v="YK262300097"/>
    <x v="0"/>
    <x v="0"/>
    <n v="1"/>
    <x v="0"/>
    <d v="2026-08-25T14:52:52"/>
    <x v="13"/>
    <x v="7"/>
    <x v="13"/>
    <s v="17IA15.70"/>
    <x v="0"/>
    <x v="0"/>
    <m/>
    <m/>
    <m/>
  </r>
  <r>
    <s v="YK262300098"/>
    <x v="0"/>
    <x v="0"/>
    <n v="1"/>
    <x v="0"/>
    <d v="2026-08-05T11:47:55"/>
    <x v="13"/>
    <x v="7"/>
    <x v="13"/>
    <s v="17IA15.70"/>
    <x v="0"/>
    <x v="0"/>
    <m/>
    <m/>
    <m/>
  </r>
  <r>
    <s v="YK262300099"/>
    <x v="0"/>
    <x v="0"/>
    <n v="1"/>
    <x v="0"/>
    <d v="2026-09-01T04:14:22"/>
    <x v="13"/>
    <x v="7"/>
    <x v="13"/>
    <s v="17IA15.70"/>
    <x v="0"/>
    <x v="0"/>
    <m/>
    <m/>
    <m/>
  </r>
  <r>
    <s v="YK262300100"/>
    <x v="0"/>
    <x v="0"/>
    <n v="1"/>
    <x v="0"/>
    <d v="2026-07-13T08:51:31"/>
    <x v="13"/>
    <x v="7"/>
    <x v="13"/>
    <s v="17IA15.70"/>
    <x v="0"/>
    <x v="0"/>
    <m/>
    <m/>
    <m/>
  </r>
  <r>
    <s v="YK262300101"/>
    <x v="0"/>
    <x v="0"/>
    <n v="1"/>
    <x v="0"/>
    <d v="2026-06-26T11:49:22"/>
    <x v="13"/>
    <x v="7"/>
    <x v="13"/>
    <s v="17IA15.70"/>
    <x v="0"/>
    <x v="0"/>
    <m/>
    <m/>
    <m/>
  </r>
  <r>
    <s v="YK262300102"/>
    <x v="0"/>
    <x v="0"/>
    <n v="1"/>
    <x v="0"/>
    <d v="2026-07-09T07:00:08"/>
    <x v="13"/>
    <x v="7"/>
    <x v="13"/>
    <s v="17IA15.70"/>
    <x v="0"/>
    <x v="0"/>
    <m/>
    <m/>
    <m/>
  </r>
  <r>
    <s v="YK262300103"/>
    <x v="0"/>
    <x v="0"/>
    <n v="1"/>
    <x v="0"/>
    <d v="2026-08-05T11:47:31"/>
    <x v="13"/>
    <x v="7"/>
    <x v="13"/>
    <s v="17IA15.70"/>
    <x v="0"/>
    <x v="0"/>
    <m/>
    <m/>
    <m/>
  </r>
  <r>
    <s v="YK262300104"/>
    <x v="0"/>
    <x v="0"/>
    <n v="1"/>
    <x v="0"/>
    <d v="2026-07-14T13:35:51"/>
    <x v="13"/>
    <x v="7"/>
    <x v="13"/>
    <s v="17IA15.70"/>
    <x v="0"/>
    <x v="0"/>
    <m/>
    <m/>
    <m/>
  </r>
  <r>
    <s v="YK262300105"/>
    <x v="0"/>
    <x v="0"/>
    <n v="1"/>
    <x v="0"/>
    <d v="2026-07-14T13:35:31"/>
    <x v="13"/>
    <x v="7"/>
    <x v="13"/>
    <s v="17IA15.70"/>
    <x v="0"/>
    <x v="0"/>
    <m/>
    <m/>
    <m/>
  </r>
  <r>
    <s v="YK262300106"/>
    <x v="0"/>
    <x v="0"/>
    <n v="1"/>
    <x v="0"/>
    <d v="2026-07-31T06:39:10"/>
    <x v="13"/>
    <x v="7"/>
    <x v="13"/>
    <s v="17IA15.70"/>
    <x v="0"/>
    <x v="0"/>
    <m/>
    <m/>
    <m/>
  </r>
  <r>
    <s v="YK262300107"/>
    <x v="0"/>
    <x v="0"/>
    <n v="1"/>
    <x v="0"/>
    <d v="2026-06-30T09:44:48"/>
    <x v="13"/>
    <x v="7"/>
    <x v="13"/>
    <s v="17IA15.70"/>
    <x v="0"/>
    <x v="0"/>
    <m/>
    <m/>
    <m/>
  </r>
  <r>
    <s v="YK262300108"/>
    <x v="1"/>
    <x v="1"/>
    <n v="1"/>
    <x v="1"/>
    <d v="2026-07-08T08:32:16"/>
    <x v="13"/>
    <x v="7"/>
    <x v="13"/>
    <s v="17IA15.70"/>
    <x v="0"/>
    <x v="0"/>
    <m/>
    <d v="2026-07-08T00:00:00"/>
    <m/>
  </r>
  <r>
    <s v="YK262300109"/>
    <x v="0"/>
    <x v="0"/>
    <n v="1"/>
    <x v="0"/>
    <d v="2026-07-13T08:51:35"/>
    <x v="13"/>
    <x v="7"/>
    <x v="13"/>
    <s v="17IA15.70"/>
    <x v="0"/>
    <x v="0"/>
    <m/>
    <m/>
    <m/>
  </r>
  <r>
    <s v="YK262300110"/>
    <x v="0"/>
    <x v="0"/>
    <n v="1"/>
    <x v="0"/>
    <d v="2026-07-15T06:43:53"/>
    <x v="13"/>
    <x v="7"/>
    <x v="13"/>
    <s v="17IA15.70"/>
    <x v="0"/>
    <x v="0"/>
    <m/>
    <m/>
    <m/>
  </r>
  <r>
    <s v="YK262300111"/>
    <x v="0"/>
    <x v="0"/>
    <n v="1"/>
    <x v="0"/>
    <d v="2026-07-14T09:06:01"/>
    <x v="13"/>
    <x v="7"/>
    <x v="13"/>
    <s v="17IA15.70"/>
    <x v="0"/>
    <x v="0"/>
    <m/>
    <m/>
    <m/>
  </r>
  <r>
    <s v="YK262300112"/>
    <x v="0"/>
    <x v="0"/>
    <n v="1"/>
    <x v="0"/>
    <d v="2026-07-21T09:32:10"/>
    <x v="13"/>
    <x v="7"/>
    <x v="13"/>
    <s v="17IA15.70"/>
    <x v="0"/>
    <x v="0"/>
    <m/>
    <m/>
    <m/>
  </r>
  <r>
    <s v="YK262300113"/>
    <x v="0"/>
    <x v="0"/>
    <n v="1"/>
    <x v="0"/>
    <d v="2026-07-02T09:09:14"/>
    <x v="13"/>
    <x v="7"/>
    <x v="13"/>
    <s v="17IA15.70"/>
    <x v="0"/>
    <x v="0"/>
    <m/>
    <m/>
    <m/>
  </r>
  <r>
    <s v="YK262300114"/>
    <x v="2"/>
    <x v="2"/>
    <n v="1"/>
    <x v="2"/>
    <d v="2026-06-30T13:48:52"/>
    <x v="13"/>
    <x v="7"/>
    <x v="13"/>
    <s v="17IA15.70"/>
    <x v="0"/>
    <x v="0"/>
    <m/>
    <m/>
    <m/>
  </r>
  <r>
    <s v="YK262300115"/>
    <x v="0"/>
    <x v="0"/>
    <n v="1"/>
    <x v="0"/>
    <d v="2026-08-27T12:19:47"/>
    <x v="13"/>
    <x v="7"/>
    <x v="13"/>
    <s v="17IA15.70"/>
    <x v="0"/>
    <x v="0"/>
    <m/>
    <m/>
    <m/>
  </r>
  <r>
    <s v="YK262300116"/>
    <x v="0"/>
    <x v="0"/>
    <n v="1"/>
    <x v="0"/>
    <d v="2026-08-12T10:47:38"/>
    <x v="13"/>
    <x v="7"/>
    <x v="13"/>
    <s v="17IA15.70"/>
    <x v="0"/>
    <x v="0"/>
    <m/>
    <m/>
    <m/>
  </r>
  <r>
    <s v="YK262300117"/>
    <x v="0"/>
    <x v="0"/>
    <n v="1"/>
    <x v="0"/>
    <d v="2026-07-21T09:47:11"/>
    <x v="13"/>
    <x v="7"/>
    <x v="13"/>
    <s v="17IA15.70"/>
    <x v="0"/>
    <x v="0"/>
    <m/>
    <m/>
    <m/>
  </r>
  <r>
    <s v="YK262300118"/>
    <x v="0"/>
    <x v="0"/>
    <n v="1"/>
    <x v="0"/>
    <d v="2026-07-10T08:26:07"/>
    <x v="13"/>
    <x v="7"/>
    <x v="13"/>
    <s v="17IA15.70"/>
    <x v="0"/>
    <x v="0"/>
    <m/>
    <m/>
    <m/>
  </r>
  <r>
    <s v="YK262300119"/>
    <x v="3"/>
    <x v="3"/>
    <n v="1"/>
    <x v="3"/>
    <d v="2026-07-15T16:55:13"/>
    <x v="13"/>
    <x v="7"/>
    <x v="13"/>
    <s v="17IA15.70"/>
    <x v="0"/>
    <x v="0"/>
    <m/>
    <m/>
    <m/>
  </r>
  <r>
    <s v="YK262300120"/>
    <x v="3"/>
    <x v="3"/>
    <n v="1"/>
    <x v="3"/>
    <d v="2026-08-11T13:10:44"/>
    <x v="13"/>
    <x v="7"/>
    <x v="13"/>
    <s v="17IA15.70"/>
    <x v="0"/>
    <x v="0"/>
    <m/>
    <m/>
    <m/>
  </r>
  <r>
    <s v="YK262300121"/>
    <x v="0"/>
    <x v="0"/>
    <n v="1"/>
    <x v="0"/>
    <d v="2026-07-14T12:27:32"/>
    <x v="13"/>
    <x v="7"/>
    <x v="13"/>
    <s v="17IA15.70"/>
    <x v="0"/>
    <x v="0"/>
    <m/>
    <m/>
    <m/>
  </r>
  <r>
    <s v="YK262300122"/>
    <x v="8"/>
    <x v="8"/>
    <n v="1"/>
    <x v="6"/>
    <d v="2026-08-18T14:09:29"/>
    <x v="13"/>
    <x v="7"/>
    <x v="13"/>
    <s v="17IA15.70"/>
    <x v="0"/>
    <x v="0"/>
    <m/>
    <m/>
    <m/>
  </r>
  <r>
    <s v="YK262300123"/>
    <x v="0"/>
    <x v="0"/>
    <n v="1"/>
    <x v="0"/>
    <d v="2026-07-14T06:20:17"/>
    <x v="13"/>
    <x v="7"/>
    <x v="13"/>
    <s v="17IA15.70"/>
    <x v="0"/>
    <x v="0"/>
    <m/>
    <m/>
    <m/>
  </r>
  <r>
    <s v="YK262300124"/>
    <x v="0"/>
    <x v="0"/>
    <n v="1"/>
    <x v="0"/>
    <d v="2026-07-21T11:23:05"/>
    <x v="13"/>
    <x v="7"/>
    <x v="13"/>
    <s v="17IA15.70"/>
    <x v="0"/>
    <x v="0"/>
    <m/>
    <m/>
    <m/>
  </r>
  <r>
    <s v="YK262300125"/>
    <x v="0"/>
    <x v="0"/>
    <n v="1"/>
    <x v="0"/>
    <d v="2026-07-14T06:20:20"/>
    <x v="13"/>
    <x v="7"/>
    <x v="13"/>
    <s v="17IA15.70"/>
    <x v="0"/>
    <x v="0"/>
    <m/>
    <m/>
    <m/>
  </r>
  <r>
    <s v="YK262300126"/>
    <x v="0"/>
    <x v="0"/>
    <n v="1"/>
    <x v="0"/>
    <d v="2026-07-14T06:20:40"/>
    <x v="13"/>
    <x v="7"/>
    <x v="13"/>
    <s v="17IA15.70"/>
    <x v="0"/>
    <x v="0"/>
    <m/>
    <m/>
    <m/>
  </r>
  <r>
    <s v="YK262300127"/>
    <x v="0"/>
    <x v="0"/>
    <n v="1"/>
    <x v="0"/>
    <d v="2026-07-24T09:27:45"/>
    <x v="13"/>
    <x v="7"/>
    <x v="13"/>
    <s v="17IA15.70"/>
    <x v="0"/>
    <x v="0"/>
    <m/>
    <m/>
    <m/>
  </r>
  <r>
    <s v="YK262300128"/>
    <x v="0"/>
    <x v="0"/>
    <n v="1"/>
    <x v="0"/>
    <d v="2026-07-16T06:22:57"/>
    <x v="13"/>
    <x v="7"/>
    <x v="13"/>
    <s v="17IA15.70"/>
    <x v="0"/>
    <x v="0"/>
    <m/>
    <m/>
    <m/>
  </r>
  <r>
    <s v="YK262300129"/>
    <x v="0"/>
    <x v="0"/>
    <n v="1"/>
    <x v="0"/>
    <d v="2026-07-23T08:52:51"/>
    <x v="13"/>
    <x v="7"/>
    <x v="13"/>
    <s v="17IA15.70"/>
    <x v="0"/>
    <x v="0"/>
    <m/>
    <m/>
    <m/>
  </r>
  <r>
    <s v="YK262300130"/>
    <x v="0"/>
    <x v="0"/>
    <n v="1"/>
    <x v="0"/>
    <d v="2026-07-21T11:23:17"/>
    <x v="13"/>
    <x v="7"/>
    <x v="13"/>
    <s v="17IA15.70"/>
    <x v="0"/>
    <x v="0"/>
    <m/>
    <m/>
    <m/>
  </r>
  <r>
    <s v="YK262300131"/>
    <x v="0"/>
    <x v="0"/>
    <n v="1"/>
    <x v="0"/>
    <d v="2026-07-16T06:22:29"/>
    <x v="13"/>
    <x v="7"/>
    <x v="13"/>
    <s v="17IA15.70"/>
    <x v="0"/>
    <x v="0"/>
    <m/>
    <m/>
    <m/>
  </r>
  <r>
    <s v="YK262300132"/>
    <x v="0"/>
    <x v="0"/>
    <n v="1"/>
    <x v="0"/>
    <d v="2026-07-07T13:16:11"/>
    <x v="13"/>
    <x v="7"/>
    <x v="13"/>
    <s v="17IA15.70"/>
    <x v="0"/>
    <x v="0"/>
    <m/>
    <m/>
    <m/>
  </r>
  <r>
    <s v="YK262300133"/>
    <x v="0"/>
    <x v="0"/>
    <n v="1"/>
    <x v="0"/>
    <d v="2026-08-25T14:52:17"/>
    <x v="13"/>
    <x v="7"/>
    <x v="13"/>
    <s v="17IA15.70"/>
    <x v="0"/>
    <x v="0"/>
    <m/>
    <m/>
    <m/>
  </r>
  <r>
    <s v="YK262300134"/>
    <x v="0"/>
    <x v="0"/>
    <n v="1"/>
    <x v="0"/>
    <d v="2026-08-05T11:48:42"/>
    <x v="13"/>
    <x v="7"/>
    <x v="13"/>
    <s v="17IA15.70"/>
    <x v="0"/>
    <x v="0"/>
    <m/>
    <m/>
    <m/>
  </r>
  <r>
    <s v="YK262300135"/>
    <x v="0"/>
    <x v="0"/>
    <n v="1"/>
    <x v="0"/>
    <d v="2026-07-21T09:47:08"/>
    <x v="13"/>
    <x v="7"/>
    <x v="13"/>
    <s v="17IA15.70"/>
    <x v="0"/>
    <x v="0"/>
    <m/>
    <m/>
    <m/>
  </r>
  <r>
    <s v="YK262300136"/>
    <x v="0"/>
    <x v="0"/>
    <n v="1"/>
    <x v="0"/>
    <d v="2026-07-21T11:22:05"/>
    <x v="13"/>
    <x v="7"/>
    <x v="13"/>
    <s v="17IA15.70"/>
    <x v="0"/>
    <x v="0"/>
    <m/>
    <m/>
    <m/>
  </r>
  <r>
    <s v="YK262300137"/>
    <x v="0"/>
    <x v="0"/>
    <n v="1"/>
    <x v="0"/>
    <d v="2026-07-13T08:51:55"/>
    <x v="13"/>
    <x v="7"/>
    <x v="13"/>
    <s v="17IA15.70"/>
    <x v="0"/>
    <x v="0"/>
    <m/>
    <m/>
    <m/>
  </r>
  <r>
    <s v="YK262300138"/>
    <x v="0"/>
    <x v="0"/>
    <n v="1"/>
    <x v="0"/>
    <d v="2026-07-20T10:40:20"/>
    <x v="13"/>
    <x v="7"/>
    <x v="13"/>
    <s v="17IA15.70"/>
    <x v="0"/>
    <x v="0"/>
    <m/>
    <m/>
    <m/>
  </r>
  <r>
    <s v="YK262300139"/>
    <x v="0"/>
    <x v="0"/>
    <n v="1"/>
    <x v="0"/>
    <d v="2026-07-14T09:05:47"/>
    <x v="13"/>
    <x v="7"/>
    <x v="13"/>
    <s v="17IA15.70"/>
    <x v="0"/>
    <x v="0"/>
    <m/>
    <m/>
    <m/>
  </r>
  <r>
    <s v="YK262300140"/>
    <x v="0"/>
    <x v="0"/>
    <n v="1"/>
    <x v="0"/>
    <d v="2026-07-21T09:20:28"/>
    <x v="13"/>
    <x v="7"/>
    <x v="13"/>
    <s v="17IA15.70"/>
    <x v="0"/>
    <x v="0"/>
    <m/>
    <m/>
    <m/>
  </r>
  <r>
    <s v="YK262300141"/>
    <x v="0"/>
    <x v="0"/>
    <n v="1"/>
    <x v="0"/>
    <d v="2026-07-16T09:06:21"/>
    <x v="13"/>
    <x v="7"/>
    <x v="13"/>
    <s v="17IA15.70"/>
    <x v="0"/>
    <x v="0"/>
    <m/>
    <m/>
    <m/>
  </r>
  <r>
    <s v="YK262300142"/>
    <x v="0"/>
    <x v="0"/>
    <n v="1"/>
    <x v="0"/>
    <d v="2026-08-05T08:52:36"/>
    <x v="13"/>
    <x v="7"/>
    <x v="13"/>
    <s v="17IA15.70"/>
    <x v="0"/>
    <x v="0"/>
    <m/>
    <m/>
    <m/>
  </r>
  <r>
    <s v="YK262300143"/>
    <x v="3"/>
    <x v="3"/>
    <n v="1"/>
    <x v="3"/>
    <d v="2026-07-15T15:46:32"/>
    <x v="13"/>
    <x v="7"/>
    <x v="13"/>
    <s v="17IA15.70"/>
    <x v="0"/>
    <x v="0"/>
    <m/>
    <m/>
    <m/>
  </r>
  <r>
    <s v="YK262300144"/>
    <x v="0"/>
    <x v="0"/>
    <n v="1"/>
    <x v="0"/>
    <d v="2026-07-27T13:45:57"/>
    <x v="13"/>
    <x v="7"/>
    <x v="13"/>
    <s v="17IA15.70"/>
    <x v="0"/>
    <x v="0"/>
    <m/>
    <m/>
    <m/>
  </r>
  <r>
    <s v="YK262300145"/>
    <x v="0"/>
    <x v="0"/>
    <n v="1"/>
    <x v="0"/>
    <d v="2026-07-14T09:05:18"/>
    <x v="13"/>
    <x v="7"/>
    <x v="13"/>
    <s v="17IA15.70"/>
    <x v="0"/>
    <x v="0"/>
    <m/>
    <m/>
    <m/>
  </r>
  <r>
    <s v="YK262300146"/>
    <x v="0"/>
    <x v="0"/>
    <n v="1"/>
    <x v="0"/>
    <d v="2026-07-16T06:23:03"/>
    <x v="13"/>
    <x v="7"/>
    <x v="13"/>
    <s v="17IA15.70"/>
    <x v="0"/>
    <x v="0"/>
    <m/>
    <m/>
    <m/>
  </r>
  <r>
    <s v="YK262300147"/>
    <x v="0"/>
    <x v="0"/>
    <n v="1"/>
    <x v="0"/>
    <d v="2026-07-16T05:52:57"/>
    <x v="13"/>
    <x v="7"/>
    <x v="13"/>
    <s v="17IA15.70"/>
    <x v="0"/>
    <x v="0"/>
    <m/>
    <m/>
    <m/>
  </r>
  <r>
    <s v="YK262300148"/>
    <x v="0"/>
    <x v="0"/>
    <n v="1"/>
    <x v="0"/>
    <d v="2026-07-10T08:26:02"/>
    <x v="13"/>
    <x v="7"/>
    <x v="13"/>
    <s v="17IA15.70"/>
    <x v="0"/>
    <x v="0"/>
    <m/>
    <m/>
    <m/>
  </r>
  <r>
    <s v="YK262300149"/>
    <x v="0"/>
    <x v="0"/>
    <n v="1"/>
    <x v="0"/>
    <d v="2026-07-31T06:39:18"/>
    <x v="13"/>
    <x v="7"/>
    <x v="13"/>
    <s v="17IA15.70"/>
    <x v="0"/>
    <x v="0"/>
    <m/>
    <m/>
    <m/>
  </r>
  <r>
    <s v="YK262300150"/>
    <x v="0"/>
    <x v="0"/>
    <n v="1"/>
    <x v="0"/>
    <d v="2026-07-16T09:06:32"/>
    <x v="13"/>
    <x v="7"/>
    <x v="13"/>
    <s v="17IA15.70"/>
    <x v="0"/>
    <x v="0"/>
    <m/>
    <m/>
    <m/>
  </r>
  <r>
    <s v="YK262300151"/>
    <x v="0"/>
    <x v="0"/>
    <n v="1"/>
    <x v="0"/>
    <d v="2026-07-16T09:21:31"/>
    <x v="13"/>
    <x v="7"/>
    <x v="13"/>
    <s v="17IA15.70"/>
    <x v="0"/>
    <x v="0"/>
    <m/>
    <m/>
    <m/>
  </r>
  <r>
    <s v="YK262300152"/>
    <x v="0"/>
    <x v="0"/>
    <n v="1"/>
    <x v="0"/>
    <d v="2026-07-31T06:39:31"/>
    <x v="13"/>
    <x v="7"/>
    <x v="13"/>
    <s v="17IA15.70"/>
    <x v="0"/>
    <x v="0"/>
    <m/>
    <m/>
    <m/>
  </r>
  <r>
    <s v="YK262300153"/>
    <x v="0"/>
    <x v="0"/>
    <n v="1"/>
    <x v="0"/>
    <d v="2026-07-16T09:21:34"/>
    <x v="13"/>
    <x v="7"/>
    <x v="13"/>
    <s v="17IA15.70"/>
    <x v="0"/>
    <x v="0"/>
    <m/>
    <m/>
    <m/>
  </r>
  <r>
    <s v="YK262300154"/>
    <x v="0"/>
    <x v="0"/>
    <n v="1"/>
    <x v="0"/>
    <d v="2026-07-07T13:17:04"/>
    <x v="13"/>
    <x v="7"/>
    <x v="13"/>
    <s v="17IA15.70"/>
    <x v="0"/>
    <x v="0"/>
    <m/>
    <m/>
    <m/>
  </r>
  <r>
    <s v="YK262300155"/>
    <x v="0"/>
    <x v="0"/>
    <n v="1"/>
    <x v="0"/>
    <d v="2026-07-21T09:20:47"/>
    <x v="13"/>
    <x v="7"/>
    <x v="13"/>
    <s v="17IA15.70"/>
    <x v="0"/>
    <x v="0"/>
    <m/>
    <m/>
    <m/>
  </r>
  <r>
    <s v="YK262300156"/>
    <x v="0"/>
    <x v="0"/>
    <n v="1"/>
    <x v="0"/>
    <d v="2026-07-27T13:45:33"/>
    <x v="13"/>
    <x v="7"/>
    <x v="13"/>
    <s v="17IA15.70"/>
    <x v="0"/>
    <x v="0"/>
    <m/>
    <m/>
    <m/>
  </r>
  <r>
    <s v="YK262300157"/>
    <x v="0"/>
    <x v="0"/>
    <n v="1"/>
    <x v="0"/>
    <d v="2026-07-13T08:48:13"/>
    <x v="13"/>
    <x v="7"/>
    <x v="13"/>
    <s v="17IA15.70"/>
    <x v="0"/>
    <x v="0"/>
    <m/>
    <m/>
    <m/>
  </r>
  <r>
    <s v="YK262300158"/>
    <x v="0"/>
    <x v="0"/>
    <n v="1"/>
    <x v="0"/>
    <d v="2026-07-10T08:45:26"/>
    <x v="13"/>
    <x v="7"/>
    <x v="13"/>
    <s v="17IA15.70"/>
    <x v="0"/>
    <x v="0"/>
    <m/>
    <m/>
    <m/>
  </r>
  <r>
    <s v="YK262300159"/>
    <x v="0"/>
    <x v="0"/>
    <n v="1"/>
    <x v="0"/>
    <d v="2026-08-27T12:19:31"/>
    <x v="13"/>
    <x v="7"/>
    <x v="13"/>
    <s v="17IA15.70"/>
    <x v="0"/>
    <x v="0"/>
    <m/>
    <m/>
    <m/>
  </r>
  <r>
    <s v="YK262300160"/>
    <x v="0"/>
    <x v="0"/>
    <n v="1"/>
    <x v="0"/>
    <d v="2026-08-05T08:54:09"/>
    <x v="13"/>
    <x v="7"/>
    <x v="13"/>
    <s v="17IA15.70"/>
    <x v="0"/>
    <x v="0"/>
    <m/>
    <m/>
    <m/>
  </r>
  <r>
    <s v="YK262300161"/>
    <x v="0"/>
    <x v="0"/>
    <n v="1"/>
    <x v="0"/>
    <d v="2026-07-10T08:51:08"/>
    <x v="13"/>
    <x v="7"/>
    <x v="13"/>
    <s v="17IA15.70"/>
    <x v="0"/>
    <x v="0"/>
    <m/>
    <m/>
    <m/>
  </r>
  <r>
    <s v="YK262300162"/>
    <x v="0"/>
    <x v="0"/>
    <n v="1"/>
    <x v="0"/>
    <d v="2026-07-16T11:23:46"/>
    <x v="13"/>
    <x v="7"/>
    <x v="13"/>
    <s v="17IA15.70"/>
    <x v="0"/>
    <x v="0"/>
    <m/>
    <m/>
    <m/>
  </r>
  <r>
    <s v="YK262300163"/>
    <x v="0"/>
    <x v="0"/>
    <n v="1"/>
    <x v="0"/>
    <d v="2026-07-23T08:52:54"/>
    <x v="13"/>
    <x v="7"/>
    <x v="13"/>
    <s v="17IA15.70"/>
    <x v="0"/>
    <x v="0"/>
    <m/>
    <m/>
    <m/>
  </r>
  <r>
    <s v="YK262300164"/>
    <x v="0"/>
    <x v="0"/>
    <n v="1"/>
    <x v="0"/>
    <d v="2026-08-12T10:47:11"/>
    <x v="13"/>
    <x v="7"/>
    <x v="13"/>
    <s v="17IA15.70"/>
    <x v="0"/>
    <x v="0"/>
    <m/>
    <m/>
    <m/>
  </r>
  <r>
    <s v="YK262300165"/>
    <x v="0"/>
    <x v="0"/>
    <n v="1"/>
    <x v="0"/>
    <d v="2026-07-16T11:23:37"/>
    <x v="13"/>
    <x v="7"/>
    <x v="13"/>
    <s v="17IA15.70"/>
    <x v="0"/>
    <x v="0"/>
    <m/>
    <m/>
    <m/>
  </r>
  <r>
    <s v="YK262300166"/>
    <x v="0"/>
    <x v="0"/>
    <n v="1"/>
    <x v="0"/>
    <d v="2026-07-13T08:48:02"/>
    <x v="13"/>
    <x v="7"/>
    <x v="13"/>
    <s v="17IA15.70"/>
    <x v="0"/>
    <x v="0"/>
    <m/>
    <m/>
    <m/>
  </r>
  <r>
    <s v="YK262300167"/>
    <x v="0"/>
    <x v="0"/>
    <n v="1"/>
    <x v="0"/>
    <d v="2026-07-13T08:46:50"/>
    <x v="13"/>
    <x v="7"/>
    <x v="13"/>
    <s v="17IA15.70"/>
    <x v="0"/>
    <x v="0"/>
    <m/>
    <m/>
    <m/>
  </r>
  <r>
    <s v="YK262300168"/>
    <x v="0"/>
    <x v="0"/>
    <n v="1"/>
    <x v="0"/>
    <d v="2026-07-16T11:23:05"/>
    <x v="13"/>
    <x v="7"/>
    <x v="13"/>
    <s v="17IA15.70"/>
    <x v="0"/>
    <x v="0"/>
    <m/>
    <m/>
    <m/>
  </r>
  <r>
    <s v="YK262300169"/>
    <x v="0"/>
    <x v="0"/>
    <n v="1"/>
    <x v="0"/>
    <d v="2026-07-21T09:31:40"/>
    <x v="13"/>
    <x v="7"/>
    <x v="13"/>
    <s v="17IA15.70"/>
    <x v="0"/>
    <x v="0"/>
    <m/>
    <m/>
    <m/>
  </r>
  <r>
    <s v="YK262300170"/>
    <x v="0"/>
    <x v="0"/>
    <n v="1"/>
    <x v="0"/>
    <d v="2026-07-21T09:20:23"/>
    <x v="13"/>
    <x v="7"/>
    <x v="13"/>
    <s v="17IA15.70"/>
    <x v="0"/>
    <x v="0"/>
    <m/>
    <m/>
    <m/>
  </r>
  <r>
    <s v="YK262300171"/>
    <x v="0"/>
    <x v="0"/>
    <n v="1"/>
    <x v="0"/>
    <d v="2026-08-05T08:54:08"/>
    <x v="13"/>
    <x v="7"/>
    <x v="13"/>
    <s v="17IA15.70"/>
    <x v="0"/>
    <x v="0"/>
    <m/>
    <m/>
    <m/>
  </r>
  <r>
    <s v="YK262300172"/>
    <x v="3"/>
    <x v="3"/>
    <n v="1"/>
    <x v="3"/>
    <d v="2026-07-15T10:46:06"/>
    <x v="13"/>
    <x v="7"/>
    <x v="13"/>
    <s v="17IA15.70"/>
    <x v="0"/>
    <x v="0"/>
    <m/>
    <m/>
    <m/>
  </r>
  <r>
    <s v="YK262300173"/>
    <x v="0"/>
    <x v="0"/>
    <n v="1"/>
    <x v="0"/>
    <d v="2026-07-27T07:50:58"/>
    <x v="13"/>
    <x v="7"/>
    <x v="13"/>
    <s v="17IA15.70"/>
    <x v="0"/>
    <x v="0"/>
    <m/>
    <m/>
    <m/>
  </r>
  <r>
    <s v="YK262300174"/>
    <x v="0"/>
    <x v="0"/>
    <n v="1"/>
    <x v="0"/>
    <d v="2026-07-21T11:36:43"/>
    <x v="13"/>
    <x v="7"/>
    <x v="13"/>
    <s v="17IA15.70"/>
    <x v="0"/>
    <x v="0"/>
    <m/>
    <m/>
    <m/>
  </r>
  <r>
    <s v="YK262300175"/>
    <x v="0"/>
    <x v="0"/>
    <n v="1"/>
    <x v="0"/>
    <d v="2026-08-12T10:47:47"/>
    <x v="13"/>
    <x v="7"/>
    <x v="13"/>
    <s v="17IA15.70"/>
    <x v="0"/>
    <x v="0"/>
    <m/>
    <m/>
    <m/>
  </r>
  <r>
    <s v="YK262300176"/>
    <x v="0"/>
    <x v="0"/>
    <n v="1"/>
    <x v="0"/>
    <d v="2026-08-05T08:54:20"/>
    <x v="13"/>
    <x v="7"/>
    <x v="13"/>
    <s v="17IA15.70"/>
    <x v="0"/>
    <x v="0"/>
    <m/>
    <m/>
    <m/>
  </r>
  <r>
    <s v="YK262300177"/>
    <x v="0"/>
    <x v="0"/>
    <n v="1"/>
    <x v="0"/>
    <d v="2026-07-16T11:23:11"/>
    <x v="13"/>
    <x v="7"/>
    <x v="13"/>
    <s v="17IA15.70"/>
    <x v="0"/>
    <x v="0"/>
    <m/>
    <m/>
    <m/>
  </r>
  <r>
    <s v="YK262300178"/>
    <x v="3"/>
    <x v="3"/>
    <n v="1"/>
    <x v="3"/>
    <d v="2026-07-15T10:41:34"/>
    <x v="13"/>
    <x v="7"/>
    <x v="13"/>
    <s v="17IA15.70"/>
    <x v="0"/>
    <x v="0"/>
    <m/>
    <m/>
    <m/>
  </r>
  <r>
    <s v="YK262300179"/>
    <x v="0"/>
    <x v="0"/>
    <n v="1"/>
    <x v="0"/>
    <d v="2026-07-15T06:34:35"/>
    <x v="13"/>
    <x v="7"/>
    <x v="13"/>
    <s v="17IA15.70"/>
    <x v="0"/>
    <x v="0"/>
    <m/>
    <m/>
    <m/>
  </r>
  <r>
    <s v="YK262300180"/>
    <x v="3"/>
    <x v="3"/>
    <n v="1"/>
    <x v="3"/>
    <d v="2026-07-15T11:07:05"/>
    <x v="13"/>
    <x v="7"/>
    <x v="13"/>
    <s v="17IA15.70"/>
    <x v="0"/>
    <x v="0"/>
    <m/>
    <m/>
    <m/>
  </r>
  <r>
    <s v="YK262300181"/>
    <x v="0"/>
    <x v="0"/>
    <n v="1"/>
    <x v="0"/>
    <d v="2026-07-15T06:34:56"/>
    <x v="13"/>
    <x v="7"/>
    <x v="13"/>
    <s v="17IA15.70"/>
    <x v="0"/>
    <x v="0"/>
    <m/>
    <m/>
    <m/>
  </r>
  <r>
    <s v="YK262300182"/>
    <x v="0"/>
    <x v="0"/>
    <n v="1"/>
    <x v="0"/>
    <d v="2026-08-27T12:21:15"/>
    <x v="13"/>
    <x v="7"/>
    <x v="13"/>
    <s v="17IA15.70"/>
    <x v="0"/>
    <x v="0"/>
    <m/>
    <m/>
    <m/>
  </r>
  <r>
    <s v="YK262300183"/>
    <x v="3"/>
    <x v="3"/>
    <n v="1"/>
    <x v="3"/>
    <d v="2026-07-15T16:00:23"/>
    <x v="13"/>
    <x v="7"/>
    <x v="13"/>
    <s v="17IA15.70"/>
    <x v="0"/>
    <x v="0"/>
    <m/>
    <m/>
    <m/>
  </r>
  <r>
    <s v="YK262300184"/>
    <x v="0"/>
    <x v="0"/>
    <n v="1"/>
    <x v="0"/>
    <d v="2026-07-21T11:22:08"/>
    <x v="13"/>
    <x v="7"/>
    <x v="13"/>
    <s v="17IA15.70"/>
    <x v="0"/>
    <x v="0"/>
    <m/>
    <m/>
    <m/>
  </r>
  <r>
    <s v="YK262300185"/>
    <x v="0"/>
    <x v="0"/>
    <n v="1"/>
    <x v="0"/>
    <d v="2026-07-21T11:37:23"/>
    <x v="13"/>
    <x v="7"/>
    <x v="13"/>
    <s v="17IA15.70"/>
    <x v="0"/>
    <x v="0"/>
    <m/>
    <m/>
    <m/>
  </r>
  <r>
    <s v="YK262300186"/>
    <x v="3"/>
    <x v="3"/>
    <n v="1"/>
    <x v="3"/>
    <d v="2026-07-15T15:32:13"/>
    <x v="13"/>
    <x v="7"/>
    <x v="13"/>
    <s v="17IA15.70"/>
    <x v="0"/>
    <x v="0"/>
    <m/>
    <m/>
    <m/>
  </r>
  <r>
    <s v="YK262300187"/>
    <x v="0"/>
    <x v="0"/>
    <n v="1"/>
    <x v="0"/>
    <d v="2026-07-21T11:36:44"/>
    <x v="13"/>
    <x v="7"/>
    <x v="13"/>
    <s v="17IA15.70"/>
    <x v="0"/>
    <x v="0"/>
    <m/>
    <m/>
    <m/>
  </r>
  <r>
    <s v="YK262300188"/>
    <x v="0"/>
    <x v="0"/>
    <n v="1"/>
    <x v="0"/>
    <d v="2026-08-05T11:49:21"/>
    <x v="13"/>
    <x v="7"/>
    <x v="13"/>
    <s v="17IA15.70"/>
    <x v="0"/>
    <x v="0"/>
    <m/>
    <m/>
    <m/>
  </r>
  <r>
    <s v="YK261802245"/>
    <x v="1"/>
    <x v="1"/>
    <n v="1"/>
    <x v="1"/>
    <d v="2026-06-10T09:06:50"/>
    <x v="14"/>
    <x v="6"/>
    <x v="14"/>
    <s v="17IA15.80"/>
    <x v="0"/>
    <x v="0"/>
    <m/>
    <m/>
    <m/>
  </r>
  <r>
    <s v="YK261802246"/>
    <x v="1"/>
    <x v="1"/>
    <n v="1"/>
    <x v="1"/>
    <d v="2026-06-10T07:55:59"/>
    <x v="14"/>
    <x v="6"/>
    <x v="14"/>
    <s v="17IA15.80"/>
    <x v="0"/>
    <x v="0"/>
    <m/>
    <d v="2026-05-13T00:00:00"/>
    <m/>
  </r>
  <r>
    <s v="YK261802247"/>
    <x v="1"/>
    <x v="1"/>
    <n v="1"/>
    <x v="1"/>
    <d v="2026-06-10T07:54:26"/>
    <x v="14"/>
    <x v="6"/>
    <x v="14"/>
    <s v="17IA15.80"/>
    <x v="0"/>
    <x v="0"/>
    <m/>
    <d v="2026-05-13T00:00:00"/>
    <m/>
  </r>
  <r>
    <s v="YK261802248"/>
    <x v="0"/>
    <x v="0"/>
    <n v="1"/>
    <x v="0"/>
    <d v="2026-05-27T13:08:31"/>
    <x v="14"/>
    <x v="6"/>
    <x v="14"/>
    <s v="17IA15.80"/>
    <x v="0"/>
    <x v="0"/>
    <m/>
    <m/>
    <m/>
  </r>
  <r>
    <s v="YK261802249"/>
    <x v="1"/>
    <x v="1"/>
    <n v="1"/>
    <x v="1"/>
    <d v="2026-06-10T07:56:57"/>
    <x v="14"/>
    <x v="6"/>
    <x v="14"/>
    <s v="17IA15.80"/>
    <x v="0"/>
    <x v="0"/>
    <m/>
    <d v="2026-05-13T00:00:00"/>
    <m/>
  </r>
  <r>
    <s v="YK261802250"/>
    <x v="1"/>
    <x v="1"/>
    <n v="1"/>
    <x v="1"/>
    <d v="2026-06-10T08:20:36"/>
    <x v="14"/>
    <x v="6"/>
    <x v="14"/>
    <s v="17IA15.80"/>
    <x v="0"/>
    <x v="0"/>
    <m/>
    <d v="2026-05-13T00:00:00"/>
    <m/>
  </r>
  <r>
    <s v="YK261802251"/>
    <x v="0"/>
    <x v="0"/>
    <n v="1"/>
    <x v="0"/>
    <d v="2026-06-01T10:13:49"/>
    <x v="14"/>
    <x v="6"/>
    <x v="14"/>
    <s v="17IA15.80"/>
    <x v="0"/>
    <x v="0"/>
    <m/>
    <m/>
    <m/>
  </r>
  <r>
    <s v="YK261802252"/>
    <x v="0"/>
    <x v="0"/>
    <n v="1"/>
    <x v="0"/>
    <d v="2026-05-27T09:14:04"/>
    <x v="14"/>
    <x v="6"/>
    <x v="14"/>
    <s v="17IA15.80"/>
    <x v="0"/>
    <x v="0"/>
    <m/>
    <m/>
    <m/>
  </r>
  <r>
    <s v="YK261802253"/>
    <x v="0"/>
    <x v="0"/>
    <n v="1"/>
    <x v="0"/>
    <d v="2026-05-28T11:54:28"/>
    <x v="14"/>
    <x v="6"/>
    <x v="14"/>
    <s v="17IA15.80"/>
    <x v="0"/>
    <x v="0"/>
    <m/>
    <m/>
    <m/>
  </r>
  <r>
    <s v="YK261802254"/>
    <x v="1"/>
    <x v="1"/>
    <n v="1"/>
    <x v="1"/>
    <d v="2026-06-10T08:21:54"/>
    <x v="14"/>
    <x v="6"/>
    <x v="14"/>
    <s v="17IA15.80"/>
    <x v="0"/>
    <x v="0"/>
    <m/>
    <d v="2026-05-13T00:00:00"/>
    <m/>
  </r>
  <r>
    <s v="YK261802255"/>
    <x v="1"/>
    <x v="1"/>
    <n v="1"/>
    <x v="1"/>
    <d v="2026-05-08T11:53:56"/>
    <x v="14"/>
    <x v="6"/>
    <x v="14"/>
    <s v="17IA15.80"/>
    <x v="0"/>
    <x v="0"/>
    <m/>
    <d v="2026-05-08T00:00:00"/>
    <m/>
  </r>
  <r>
    <s v="YK261802256"/>
    <x v="0"/>
    <x v="0"/>
    <n v="1"/>
    <x v="0"/>
    <d v="2026-05-27T13:07:33"/>
    <x v="14"/>
    <x v="6"/>
    <x v="14"/>
    <s v="17IA15.80"/>
    <x v="0"/>
    <x v="0"/>
    <m/>
    <m/>
    <m/>
  </r>
  <r>
    <s v="YK261802257"/>
    <x v="0"/>
    <x v="0"/>
    <n v="1"/>
    <x v="0"/>
    <d v="2026-06-01T10:14:03"/>
    <x v="14"/>
    <x v="6"/>
    <x v="14"/>
    <s v="17IA15.80"/>
    <x v="0"/>
    <x v="0"/>
    <m/>
    <m/>
    <m/>
  </r>
  <r>
    <s v="YK261802258"/>
    <x v="0"/>
    <x v="0"/>
    <n v="1"/>
    <x v="0"/>
    <d v="2026-06-01T10:13:30"/>
    <x v="14"/>
    <x v="6"/>
    <x v="14"/>
    <s v="17IA15.80"/>
    <x v="0"/>
    <x v="0"/>
    <m/>
    <m/>
    <m/>
  </r>
  <r>
    <s v="YK261802259"/>
    <x v="0"/>
    <x v="0"/>
    <n v="1"/>
    <x v="0"/>
    <d v="2026-06-01T10:13:54"/>
    <x v="14"/>
    <x v="6"/>
    <x v="14"/>
    <s v="17IA15.80"/>
    <x v="0"/>
    <x v="0"/>
    <m/>
    <m/>
    <m/>
  </r>
  <r>
    <s v="YK261802260"/>
    <x v="1"/>
    <x v="1"/>
    <n v="1"/>
    <x v="1"/>
    <d v="2026-05-08T07:43:37"/>
    <x v="14"/>
    <x v="6"/>
    <x v="14"/>
    <s v="17IA15.80"/>
    <x v="0"/>
    <x v="0"/>
    <m/>
    <d v="2026-05-08T00:00:00"/>
    <m/>
  </r>
  <r>
    <s v="YK261802261"/>
    <x v="1"/>
    <x v="1"/>
    <n v="1"/>
    <x v="1"/>
    <d v="2026-05-08T07:45:03"/>
    <x v="14"/>
    <x v="6"/>
    <x v="14"/>
    <s v="17IA15.80"/>
    <x v="0"/>
    <x v="0"/>
    <m/>
    <d v="2026-05-08T00:00:00"/>
    <m/>
  </r>
  <r>
    <s v="YK261802262"/>
    <x v="0"/>
    <x v="0"/>
    <n v="1"/>
    <x v="0"/>
    <d v="2026-05-27T13:07:52"/>
    <x v="14"/>
    <x v="6"/>
    <x v="14"/>
    <s v="17IA15.80"/>
    <x v="0"/>
    <x v="0"/>
    <m/>
    <m/>
    <m/>
  </r>
  <r>
    <s v="YK261802263"/>
    <x v="0"/>
    <x v="0"/>
    <n v="1"/>
    <x v="0"/>
    <d v="2026-05-27T13:08:14"/>
    <x v="14"/>
    <x v="6"/>
    <x v="14"/>
    <s v="17IA15.80"/>
    <x v="0"/>
    <x v="0"/>
    <m/>
    <m/>
    <m/>
  </r>
  <r>
    <s v="YK261802264"/>
    <x v="0"/>
    <x v="0"/>
    <n v="1"/>
    <x v="0"/>
    <d v="2026-05-28T11:55:15"/>
    <x v="14"/>
    <x v="6"/>
    <x v="14"/>
    <s v="17IA15.80"/>
    <x v="0"/>
    <x v="0"/>
    <m/>
    <m/>
    <m/>
  </r>
  <r>
    <s v="YK261802265"/>
    <x v="0"/>
    <x v="0"/>
    <n v="1"/>
    <x v="0"/>
    <d v="2026-05-28T11:54:43"/>
    <x v="14"/>
    <x v="6"/>
    <x v="14"/>
    <s v="17IA15.80"/>
    <x v="0"/>
    <x v="0"/>
    <m/>
    <m/>
    <m/>
  </r>
  <r>
    <s v="YK261802266"/>
    <x v="1"/>
    <x v="1"/>
    <n v="1"/>
    <x v="1"/>
    <d v="2026-06-10T08:23:21"/>
    <x v="14"/>
    <x v="6"/>
    <x v="14"/>
    <s v="17IA15.80"/>
    <x v="0"/>
    <x v="0"/>
    <m/>
    <d v="2026-05-13T00:00:00"/>
    <m/>
  </r>
  <r>
    <s v="YK261802267"/>
    <x v="0"/>
    <x v="0"/>
    <n v="1"/>
    <x v="0"/>
    <d v="2026-05-28T07:35:21"/>
    <x v="14"/>
    <x v="6"/>
    <x v="14"/>
    <s v="17IA15.80"/>
    <x v="0"/>
    <x v="0"/>
    <m/>
    <m/>
    <m/>
  </r>
  <r>
    <s v="YK261802268"/>
    <x v="0"/>
    <x v="0"/>
    <n v="1"/>
    <x v="0"/>
    <d v="2026-05-27T12:01:42"/>
    <x v="14"/>
    <x v="6"/>
    <x v="14"/>
    <s v="17IA15.80"/>
    <x v="0"/>
    <x v="0"/>
    <m/>
    <m/>
    <m/>
  </r>
  <r>
    <s v="YK261802269"/>
    <x v="0"/>
    <x v="0"/>
    <n v="1"/>
    <x v="0"/>
    <d v="2026-05-27T11:59:59"/>
    <x v="14"/>
    <x v="6"/>
    <x v="14"/>
    <s v="17IA15.80"/>
    <x v="0"/>
    <x v="0"/>
    <m/>
    <m/>
    <m/>
  </r>
  <r>
    <s v="YK261802270"/>
    <x v="1"/>
    <x v="1"/>
    <n v="1"/>
    <x v="1"/>
    <d v="2026-06-10T08:26:11"/>
    <x v="14"/>
    <x v="6"/>
    <x v="14"/>
    <s v="17IA15.80"/>
    <x v="0"/>
    <x v="0"/>
    <m/>
    <d v="2026-05-13T00:00:00"/>
    <m/>
  </r>
  <r>
    <s v="YK261802271"/>
    <x v="0"/>
    <x v="0"/>
    <n v="1"/>
    <x v="0"/>
    <d v="2026-05-28T09:00:48"/>
    <x v="14"/>
    <x v="6"/>
    <x v="14"/>
    <s v="17IA15.80"/>
    <x v="0"/>
    <x v="0"/>
    <m/>
    <m/>
    <m/>
  </r>
  <r>
    <s v="YK261802272"/>
    <x v="1"/>
    <x v="1"/>
    <n v="1"/>
    <x v="1"/>
    <d v="2026-06-10T08:27:00"/>
    <x v="14"/>
    <x v="6"/>
    <x v="14"/>
    <s v="17IA15.80"/>
    <x v="0"/>
    <x v="0"/>
    <m/>
    <d v="2026-05-13T00:00:00"/>
    <m/>
  </r>
  <r>
    <s v="YK261802273"/>
    <x v="0"/>
    <x v="0"/>
    <n v="1"/>
    <x v="0"/>
    <d v="2026-05-28T09:00:48"/>
    <x v="14"/>
    <x v="6"/>
    <x v="14"/>
    <s v="17IA15.80"/>
    <x v="0"/>
    <x v="0"/>
    <m/>
    <m/>
    <m/>
  </r>
  <r>
    <s v="YK261802274"/>
    <x v="1"/>
    <x v="1"/>
    <n v="1"/>
    <x v="1"/>
    <d v="2026-06-10T08:27:41"/>
    <x v="14"/>
    <x v="6"/>
    <x v="14"/>
    <s v="17IA15.80"/>
    <x v="0"/>
    <x v="0"/>
    <m/>
    <d v="2026-05-13T00:00:00"/>
    <m/>
  </r>
  <r>
    <s v="YK261802275"/>
    <x v="1"/>
    <x v="1"/>
    <n v="1"/>
    <x v="1"/>
    <d v="2026-06-10T08:30:04"/>
    <x v="14"/>
    <x v="6"/>
    <x v="14"/>
    <s v="17IA15.80"/>
    <x v="0"/>
    <x v="0"/>
    <m/>
    <d v="2026-05-13T00:00:00"/>
    <m/>
  </r>
  <r>
    <s v="YK261802276"/>
    <x v="0"/>
    <x v="0"/>
    <n v="1"/>
    <x v="0"/>
    <d v="2026-05-27T09:15:00"/>
    <x v="14"/>
    <x v="6"/>
    <x v="14"/>
    <s v="17IA15.80"/>
    <x v="0"/>
    <x v="0"/>
    <m/>
    <m/>
    <m/>
  </r>
  <r>
    <s v="YK261802277"/>
    <x v="0"/>
    <x v="0"/>
    <n v="1"/>
    <x v="0"/>
    <d v="2026-05-28T11:26:29"/>
    <x v="14"/>
    <x v="6"/>
    <x v="14"/>
    <s v="17IA15.80"/>
    <x v="0"/>
    <x v="0"/>
    <s v="Update to shipped"/>
    <d v="2026-05-13T00:00:00"/>
    <m/>
  </r>
  <r>
    <s v="YK261802278"/>
    <x v="0"/>
    <x v="0"/>
    <n v="1"/>
    <x v="0"/>
    <d v="2026-05-27T09:21:22"/>
    <x v="14"/>
    <x v="6"/>
    <x v="14"/>
    <s v="17IA15.80"/>
    <x v="0"/>
    <x v="0"/>
    <m/>
    <m/>
    <m/>
  </r>
  <r>
    <s v="YK261802279"/>
    <x v="1"/>
    <x v="1"/>
    <n v="1"/>
    <x v="1"/>
    <d v="2026-06-10T08:30:59"/>
    <x v="14"/>
    <x v="6"/>
    <x v="14"/>
    <s v="17IA15.80"/>
    <x v="0"/>
    <x v="0"/>
    <m/>
    <d v="2026-05-13T00:00:00"/>
    <m/>
  </r>
  <r>
    <s v="YK261802280"/>
    <x v="0"/>
    <x v="0"/>
    <n v="1"/>
    <x v="0"/>
    <d v="2026-05-27T12:00:23"/>
    <x v="14"/>
    <x v="6"/>
    <x v="14"/>
    <s v="17IA15.80"/>
    <x v="0"/>
    <x v="0"/>
    <m/>
    <m/>
    <m/>
  </r>
  <r>
    <s v="YK261802281"/>
    <x v="0"/>
    <x v="0"/>
    <n v="1"/>
    <x v="0"/>
    <d v="2026-05-27T09:20:22"/>
    <x v="14"/>
    <x v="6"/>
    <x v="14"/>
    <s v="17IA15.80"/>
    <x v="0"/>
    <x v="0"/>
    <m/>
    <m/>
    <m/>
  </r>
  <r>
    <s v="YK261802282"/>
    <x v="0"/>
    <x v="0"/>
    <n v="1"/>
    <x v="0"/>
    <d v="2026-05-27T09:20:37"/>
    <x v="14"/>
    <x v="6"/>
    <x v="14"/>
    <s v="17IA15.80"/>
    <x v="0"/>
    <x v="0"/>
    <m/>
    <m/>
    <m/>
  </r>
  <r>
    <s v="YK261802283"/>
    <x v="0"/>
    <x v="0"/>
    <n v="1"/>
    <x v="0"/>
    <d v="2026-05-28T11:27:01"/>
    <x v="14"/>
    <x v="6"/>
    <x v="14"/>
    <s v="17IA15.80"/>
    <x v="0"/>
    <x v="0"/>
    <m/>
    <m/>
    <m/>
  </r>
  <r>
    <s v="YK261802284"/>
    <x v="0"/>
    <x v="0"/>
    <n v="1"/>
    <x v="0"/>
    <d v="2026-05-27T09:14:44"/>
    <x v="14"/>
    <x v="6"/>
    <x v="14"/>
    <s v="17IA15.80"/>
    <x v="0"/>
    <x v="0"/>
    <m/>
    <m/>
    <m/>
  </r>
  <r>
    <s v="YK261802285"/>
    <x v="0"/>
    <x v="0"/>
    <n v="1"/>
    <x v="0"/>
    <d v="2026-05-27T09:13:13"/>
    <x v="14"/>
    <x v="6"/>
    <x v="14"/>
    <s v="17IA15.80"/>
    <x v="0"/>
    <x v="0"/>
    <m/>
    <m/>
    <m/>
  </r>
  <r>
    <s v="YK261802286"/>
    <x v="0"/>
    <x v="0"/>
    <n v="1"/>
    <x v="0"/>
    <d v="2026-05-27T09:13:38"/>
    <x v="14"/>
    <x v="6"/>
    <x v="14"/>
    <s v="17IA15.80"/>
    <x v="0"/>
    <x v="0"/>
    <m/>
    <m/>
    <m/>
  </r>
  <r>
    <s v="YK261802287"/>
    <x v="0"/>
    <x v="0"/>
    <n v="1"/>
    <x v="0"/>
    <d v="2026-05-28T07:34:56"/>
    <x v="14"/>
    <x v="6"/>
    <x v="14"/>
    <s v="17IA15.80"/>
    <x v="0"/>
    <x v="0"/>
    <m/>
    <m/>
    <m/>
  </r>
  <r>
    <s v="YK261802288"/>
    <x v="0"/>
    <x v="0"/>
    <n v="1"/>
    <x v="0"/>
    <d v="2026-05-28T11:27:12"/>
    <x v="14"/>
    <x v="6"/>
    <x v="14"/>
    <s v="17IA15.80"/>
    <x v="0"/>
    <x v="0"/>
    <m/>
    <m/>
    <m/>
  </r>
  <r>
    <s v="YK261802289"/>
    <x v="0"/>
    <x v="0"/>
    <n v="1"/>
    <x v="0"/>
    <d v="2026-05-28T07:57:03"/>
    <x v="14"/>
    <x v="6"/>
    <x v="14"/>
    <s v="17IA15.80"/>
    <x v="0"/>
    <x v="0"/>
    <m/>
    <m/>
    <m/>
  </r>
  <r>
    <s v="YK261802290"/>
    <x v="0"/>
    <x v="0"/>
    <n v="1"/>
    <x v="0"/>
    <d v="2026-05-27T09:20:58"/>
    <x v="14"/>
    <x v="6"/>
    <x v="14"/>
    <s v="17IA15.80"/>
    <x v="0"/>
    <x v="0"/>
    <m/>
    <m/>
    <m/>
  </r>
  <r>
    <s v="YK261802291"/>
    <x v="0"/>
    <x v="0"/>
    <n v="1"/>
    <x v="0"/>
    <d v="2026-05-27T09:14:02"/>
    <x v="14"/>
    <x v="6"/>
    <x v="14"/>
    <s v="17IA15.80"/>
    <x v="0"/>
    <x v="0"/>
    <m/>
    <m/>
    <m/>
  </r>
  <r>
    <s v="YK261802292"/>
    <x v="0"/>
    <x v="0"/>
    <n v="1"/>
    <x v="0"/>
    <d v="2026-05-28T07:36:05"/>
    <x v="14"/>
    <x v="6"/>
    <x v="14"/>
    <s v="17IA15.80"/>
    <x v="0"/>
    <x v="0"/>
    <m/>
    <m/>
    <m/>
  </r>
  <r>
    <s v="YK261802293"/>
    <x v="0"/>
    <x v="0"/>
    <n v="1"/>
    <x v="0"/>
    <d v="2026-05-28T07:49:11"/>
    <x v="14"/>
    <x v="6"/>
    <x v="14"/>
    <s v="17IA15.80"/>
    <x v="0"/>
    <x v="0"/>
    <m/>
    <m/>
    <m/>
  </r>
  <r>
    <s v="YK261802294"/>
    <x v="0"/>
    <x v="0"/>
    <n v="1"/>
    <x v="0"/>
    <d v="2026-05-28T11:26:44"/>
    <x v="14"/>
    <x v="6"/>
    <x v="14"/>
    <s v="17IA15.80"/>
    <x v="0"/>
    <x v="0"/>
    <m/>
    <m/>
    <m/>
  </r>
  <r>
    <s v="YK261802295"/>
    <x v="0"/>
    <x v="0"/>
    <n v="1"/>
    <x v="0"/>
    <d v="2026-05-28T11:54:58"/>
    <x v="14"/>
    <x v="6"/>
    <x v="14"/>
    <s v="17IA15.80"/>
    <x v="0"/>
    <x v="0"/>
    <m/>
    <m/>
    <m/>
  </r>
  <r>
    <s v="YK261802296"/>
    <x v="0"/>
    <x v="0"/>
    <n v="1"/>
    <x v="0"/>
    <d v="2026-05-28T09:00:47"/>
    <x v="14"/>
    <x v="6"/>
    <x v="14"/>
    <s v="17IA15.80"/>
    <x v="0"/>
    <x v="0"/>
    <m/>
    <m/>
    <m/>
  </r>
  <r>
    <s v="YK261802297"/>
    <x v="0"/>
    <x v="0"/>
    <n v="1"/>
    <x v="0"/>
    <d v="2026-05-27T09:14:23"/>
    <x v="14"/>
    <x v="6"/>
    <x v="14"/>
    <s v="17IA15.80"/>
    <x v="0"/>
    <x v="0"/>
    <m/>
    <m/>
    <m/>
  </r>
  <r>
    <s v="YK261802298"/>
    <x v="0"/>
    <x v="0"/>
    <n v="1"/>
    <x v="0"/>
    <d v="2026-05-28T09:00:31"/>
    <x v="14"/>
    <x v="6"/>
    <x v="14"/>
    <s v="17IA15.80"/>
    <x v="0"/>
    <x v="0"/>
    <m/>
    <m/>
    <m/>
  </r>
  <r>
    <s v="YK261802299"/>
    <x v="0"/>
    <x v="0"/>
    <n v="1"/>
    <x v="0"/>
    <d v="2026-05-28T07:35:39"/>
    <x v="14"/>
    <x v="6"/>
    <x v="14"/>
    <s v="17IA15.80"/>
    <x v="0"/>
    <x v="0"/>
    <m/>
    <m/>
    <m/>
  </r>
  <r>
    <s v="YK261802300"/>
    <x v="0"/>
    <x v="0"/>
    <n v="1"/>
    <x v="0"/>
    <d v="2026-05-27T09:14:41"/>
    <x v="14"/>
    <x v="6"/>
    <x v="14"/>
    <s v="17IA15.80"/>
    <x v="0"/>
    <x v="0"/>
    <m/>
    <m/>
    <m/>
  </r>
  <r>
    <s v="YK261802301"/>
    <x v="0"/>
    <x v="0"/>
    <n v="1"/>
    <x v="0"/>
    <d v="2026-05-28T07:48:54"/>
    <x v="14"/>
    <x v="6"/>
    <x v="14"/>
    <s v="17IA15.80"/>
    <x v="0"/>
    <x v="0"/>
    <m/>
    <m/>
    <m/>
  </r>
  <r>
    <s v="YK261802302"/>
    <x v="0"/>
    <x v="0"/>
    <n v="1"/>
    <x v="0"/>
    <d v="2026-05-28T07:49:49"/>
    <x v="14"/>
    <x v="6"/>
    <x v="14"/>
    <s v="17IA15.80"/>
    <x v="0"/>
    <x v="0"/>
    <s v="Update to shipped"/>
    <d v="2026-05-13T00:00:00"/>
    <m/>
  </r>
  <r>
    <s v="YK261802303"/>
    <x v="0"/>
    <x v="0"/>
    <n v="1"/>
    <x v="0"/>
    <d v="2026-05-27T12:02:10"/>
    <x v="14"/>
    <x v="6"/>
    <x v="14"/>
    <s v="17IA15.80"/>
    <x v="0"/>
    <x v="0"/>
    <m/>
    <m/>
    <m/>
  </r>
  <r>
    <s v="YK261802304"/>
    <x v="1"/>
    <x v="1"/>
    <n v="1"/>
    <x v="1"/>
    <d v="2026-06-10T08:33:46"/>
    <x v="14"/>
    <x v="6"/>
    <x v="14"/>
    <s v="17IA15.80"/>
    <x v="0"/>
    <x v="0"/>
    <m/>
    <d v="2026-06-22T00:00:00"/>
    <m/>
  </r>
  <r>
    <s v="YK261802305"/>
    <x v="1"/>
    <x v="1"/>
    <n v="1"/>
    <x v="1"/>
    <d v="2026-06-10T09:01:08"/>
    <x v="14"/>
    <x v="6"/>
    <x v="14"/>
    <s v="17IA15.80"/>
    <x v="0"/>
    <x v="0"/>
    <m/>
    <d v="2026-05-13T00:00:00"/>
    <m/>
  </r>
  <r>
    <s v="YK261802306"/>
    <x v="1"/>
    <x v="1"/>
    <n v="1"/>
    <x v="1"/>
    <d v="2026-05-08T11:53:22"/>
    <x v="14"/>
    <x v="6"/>
    <x v="14"/>
    <s v="17IA15.80"/>
    <x v="0"/>
    <x v="0"/>
    <m/>
    <d v="2026-05-08T00:00:00"/>
    <m/>
  </r>
  <r>
    <s v="YK261802183"/>
    <x v="0"/>
    <x v="0"/>
    <n v="1"/>
    <x v="0"/>
    <d v="2026-05-28T08:42:09"/>
    <x v="15"/>
    <x v="7"/>
    <x v="15"/>
    <s v="17IA15.90"/>
    <x v="0"/>
    <x v="0"/>
    <m/>
    <m/>
    <m/>
  </r>
  <r>
    <s v="YK261802184"/>
    <x v="1"/>
    <x v="1"/>
    <n v="1"/>
    <x v="1"/>
    <d v="2026-06-02T08:24:12"/>
    <x v="15"/>
    <x v="7"/>
    <x v="15"/>
    <s v="17IA15.90"/>
    <x v="0"/>
    <x v="0"/>
    <m/>
    <d v="2026-06-02T00:00:00"/>
    <m/>
  </r>
  <r>
    <s v="YK261802185"/>
    <x v="0"/>
    <x v="0"/>
    <n v="1"/>
    <x v="0"/>
    <d v="2026-05-28T11:27:25"/>
    <x v="15"/>
    <x v="7"/>
    <x v="15"/>
    <s v="17IA15.90"/>
    <x v="0"/>
    <x v="0"/>
    <m/>
    <m/>
    <m/>
  </r>
  <r>
    <s v="YK261802186"/>
    <x v="0"/>
    <x v="0"/>
    <n v="1"/>
    <x v="0"/>
    <d v="2026-05-28T11:26:05"/>
    <x v="15"/>
    <x v="7"/>
    <x v="15"/>
    <s v="17IA15.90"/>
    <x v="0"/>
    <x v="0"/>
    <m/>
    <m/>
    <m/>
  </r>
  <r>
    <s v="YK261802187"/>
    <x v="1"/>
    <x v="1"/>
    <n v="1"/>
    <x v="1"/>
    <d v="2026-06-02T08:33:37"/>
    <x v="15"/>
    <x v="7"/>
    <x v="15"/>
    <s v="17IA15.90"/>
    <x v="0"/>
    <x v="0"/>
    <m/>
    <d v="2026-06-02T00:00:00"/>
    <m/>
  </r>
  <r>
    <s v="YK261802188"/>
    <x v="0"/>
    <x v="0"/>
    <n v="1"/>
    <x v="0"/>
    <d v="2026-06-01T10:13:26"/>
    <x v="15"/>
    <x v="7"/>
    <x v="15"/>
    <s v="17IA15.90"/>
    <x v="0"/>
    <x v="0"/>
    <m/>
    <m/>
    <m/>
  </r>
  <r>
    <s v="YK261802189"/>
    <x v="0"/>
    <x v="0"/>
    <n v="1"/>
    <x v="0"/>
    <d v="2026-05-27T09:21:48"/>
    <x v="15"/>
    <x v="7"/>
    <x v="15"/>
    <s v="17IA15.90"/>
    <x v="0"/>
    <x v="0"/>
    <m/>
    <m/>
    <m/>
  </r>
  <r>
    <s v="YK261802190"/>
    <x v="0"/>
    <x v="0"/>
    <n v="1"/>
    <x v="0"/>
    <d v="2026-05-28T07:34:33"/>
    <x v="15"/>
    <x v="7"/>
    <x v="15"/>
    <s v="17IA15.90"/>
    <x v="0"/>
    <x v="0"/>
    <m/>
    <m/>
    <m/>
  </r>
  <r>
    <s v="YK261802191"/>
    <x v="0"/>
    <x v="0"/>
    <n v="1"/>
    <x v="0"/>
    <d v="2026-05-27T09:19:49"/>
    <x v="15"/>
    <x v="7"/>
    <x v="15"/>
    <s v="17IA15.90"/>
    <x v="0"/>
    <x v="0"/>
    <m/>
    <m/>
    <m/>
  </r>
  <r>
    <s v="YK261802192"/>
    <x v="0"/>
    <x v="0"/>
    <n v="1"/>
    <x v="0"/>
    <d v="2026-05-27T11:59:37"/>
    <x v="15"/>
    <x v="7"/>
    <x v="15"/>
    <s v="17IA15.90"/>
    <x v="0"/>
    <x v="0"/>
    <m/>
    <m/>
    <m/>
  </r>
  <r>
    <s v="YK261802193"/>
    <x v="0"/>
    <x v="0"/>
    <n v="1"/>
    <x v="0"/>
    <d v="2026-05-28T11:26:17"/>
    <x v="15"/>
    <x v="7"/>
    <x v="15"/>
    <s v="17IA15.90"/>
    <x v="0"/>
    <x v="0"/>
    <m/>
    <m/>
    <m/>
  </r>
  <r>
    <s v="YK261802194"/>
    <x v="1"/>
    <x v="1"/>
    <n v="1"/>
    <x v="1"/>
    <d v="2026-06-02T08:27:17"/>
    <x v="15"/>
    <x v="7"/>
    <x v="15"/>
    <s v="17IA15.90"/>
    <x v="0"/>
    <x v="0"/>
    <m/>
    <d v="2026-06-02T00:00:00"/>
    <m/>
  </r>
  <r>
    <s v="YK261802195"/>
    <x v="0"/>
    <x v="0"/>
    <n v="1"/>
    <x v="0"/>
    <d v="2026-05-28T07:33:58"/>
    <x v="15"/>
    <x v="7"/>
    <x v="15"/>
    <s v="17IA15.90"/>
    <x v="0"/>
    <x v="0"/>
    <m/>
    <m/>
    <m/>
  </r>
  <r>
    <s v="YK261802196"/>
    <x v="0"/>
    <x v="0"/>
    <n v="1"/>
    <x v="0"/>
    <d v="2026-05-28T11:27:45"/>
    <x v="15"/>
    <x v="7"/>
    <x v="15"/>
    <s v="17IA15.90"/>
    <x v="0"/>
    <x v="0"/>
    <m/>
    <m/>
    <m/>
  </r>
  <r>
    <s v="YK261802197"/>
    <x v="0"/>
    <x v="0"/>
    <n v="1"/>
    <x v="0"/>
    <d v="2026-05-27T12:02:29"/>
    <x v="15"/>
    <x v="7"/>
    <x v="15"/>
    <s v="17IA15.90"/>
    <x v="0"/>
    <x v="0"/>
    <m/>
    <m/>
    <m/>
  </r>
  <r>
    <s v="YK261802198"/>
    <x v="0"/>
    <x v="0"/>
    <n v="1"/>
    <x v="0"/>
    <d v="2026-05-28T07:36:48"/>
    <x v="15"/>
    <x v="7"/>
    <x v="15"/>
    <s v="17IA15.90"/>
    <x v="0"/>
    <x v="0"/>
    <m/>
    <m/>
    <m/>
  </r>
  <r>
    <s v="YK261802199"/>
    <x v="1"/>
    <x v="1"/>
    <n v="1"/>
    <x v="1"/>
    <d v="2026-06-02T08:01:55"/>
    <x v="15"/>
    <x v="7"/>
    <x v="15"/>
    <s v="17IA15.90"/>
    <x v="0"/>
    <x v="0"/>
    <m/>
    <d v="2026-06-02T00:00:00"/>
    <m/>
  </r>
  <r>
    <s v="YK261802200"/>
    <x v="0"/>
    <x v="0"/>
    <n v="1"/>
    <x v="0"/>
    <d v="2026-05-28T11:55:55"/>
    <x v="15"/>
    <x v="7"/>
    <x v="15"/>
    <s v="17IA15.90"/>
    <x v="0"/>
    <x v="0"/>
    <m/>
    <m/>
    <m/>
  </r>
  <r>
    <s v="YK261802201"/>
    <x v="0"/>
    <x v="0"/>
    <n v="1"/>
    <x v="0"/>
    <d v="2026-05-27T09:21:34"/>
    <x v="15"/>
    <x v="7"/>
    <x v="15"/>
    <s v="17IA15.90"/>
    <x v="0"/>
    <x v="0"/>
    <m/>
    <m/>
    <m/>
  </r>
  <r>
    <s v="YK261802202"/>
    <x v="0"/>
    <x v="0"/>
    <n v="1"/>
    <x v="0"/>
    <d v="2026-05-27T09:20:07"/>
    <x v="15"/>
    <x v="7"/>
    <x v="15"/>
    <s v="17IA15.90"/>
    <x v="0"/>
    <x v="0"/>
    <m/>
    <m/>
    <m/>
  </r>
  <r>
    <s v="YK261802203"/>
    <x v="1"/>
    <x v="1"/>
    <n v="1"/>
    <x v="1"/>
    <d v="2026-06-02T08:26:32"/>
    <x v="15"/>
    <x v="7"/>
    <x v="15"/>
    <s v="17IA15.90"/>
    <x v="0"/>
    <x v="0"/>
    <m/>
    <d v="2026-06-02T00:00:00"/>
    <m/>
  </r>
  <r>
    <s v="YK261802204"/>
    <x v="0"/>
    <x v="0"/>
    <n v="1"/>
    <x v="0"/>
    <d v="2026-05-28T07:36:30"/>
    <x v="15"/>
    <x v="7"/>
    <x v="15"/>
    <s v="17IA15.90"/>
    <x v="0"/>
    <x v="0"/>
    <m/>
    <m/>
    <m/>
  </r>
  <r>
    <s v="YK261802205"/>
    <x v="0"/>
    <x v="0"/>
    <n v="1"/>
    <x v="0"/>
    <d v="2026-06-23T15:26:18"/>
    <x v="15"/>
    <x v="7"/>
    <x v="15"/>
    <s v="17IA15.90"/>
    <x v="0"/>
    <x v="0"/>
    <m/>
    <m/>
    <m/>
  </r>
  <r>
    <s v="YK261802206"/>
    <x v="0"/>
    <x v="0"/>
    <n v="1"/>
    <x v="0"/>
    <d v="2026-05-28T07:48:28"/>
    <x v="15"/>
    <x v="7"/>
    <x v="15"/>
    <s v="17IA15.90"/>
    <x v="0"/>
    <x v="0"/>
    <m/>
    <m/>
    <m/>
  </r>
  <r>
    <s v="YK261802207"/>
    <x v="0"/>
    <x v="0"/>
    <n v="1"/>
    <x v="0"/>
    <d v="2026-05-28T11:54:14"/>
    <x v="15"/>
    <x v="7"/>
    <x v="15"/>
    <s v="17IA15.90"/>
    <x v="0"/>
    <x v="0"/>
    <m/>
    <m/>
    <m/>
  </r>
  <r>
    <s v="YK261802208"/>
    <x v="0"/>
    <x v="0"/>
    <n v="1"/>
    <x v="0"/>
    <d v="2026-05-28T08:44:28"/>
    <x v="15"/>
    <x v="7"/>
    <x v="15"/>
    <s v="17IA15.90"/>
    <x v="0"/>
    <x v="0"/>
    <m/>
    <m/>
    <m/>
  </r>
  <r>
    <s v="YK261802209"/>
    <x v="0"/>
    <x v="0"/>
    <n v="1"/>
    <x v="0"/>
    <d v="2026-05-28T08:44:10"/>
    <x v="15"/>
    <x v="7"/>
    <x v="15"/>
    <s v="17IA15.90"/>
    <x v="0"/>
    <x v="0"/>
    <m/>
    <m/>
    <m/>
  </r>
  <r>
    <s v="YK261802210"/>
    <x v="0"/>
    <x v="0"/>
    <n v="1"/>
    <x v="0"/>
    <d v="2026-05-27T09:12:41"/>
    <x v="15"/>
    <x v="7"/>
    <x v="15"/>
    <s v="17IA15.90"/>
    <x v="0"/>
    <x v="0"/>
    <m/>
    <m/>
    <m/>
  </r>
  <r>
    <s v="YK261802211"/>
    <x v="1"/>
    <x v="1"/>
    <n v="1"/>
    <x v="1"/>
    <d v="2026-06-02T08:22:38"/>
    <x v="15"/>
    <x v="7"/>
    <x v="15"/>
    <s v="17IA15.90"/>
    <x v="0"/>
    <x v="0"/>
    <m/>
    <d v="2026-06-02T00:00:00"/>
    <m/>
  </r>
  <r>
    <s v="YK261802212"/>
    <x v="1"/>
    <x v="1"/>
    <n v="1"/>
    <x v="1"/>
    <d v="2026-06-02T08:28:00"/>
    <x v="15"/>
    <x v="7"/>
    <x v="15"/>
    <s v="17IA15.90"/>
    <x v="0"/>
    <x v="0"/>
    <m/>
    <d v="2026-06-02T00:00:00"/>
    <m/>
  </r>
  <r>
    <s v="YK261802213"/>
    <x v="1"/>
    <x v="1"/>
    <n v="1"/>
    <x v="1"/>
    <d v="2026-06-02T08:30:17"/>
    <x v="15"/>
    <x v="7"/>
    <x v="15"/>
    <s v="17IA15.90"/>
    <x v="0"/>
    <x v="0"/>
    <m/>
    <d v="2026-06-02T00:00:00"/>
    <m/>
  </r>
  <r>
    <s v="YK261802214"/>
    <x v="0"/>
    <x v="0"/>
    <n v="1"/>
    <x v="0"/>
    <d v="2026-05-28T11:55:35"/>
    <x v="15"/>
    <x v="7"/>
    <x v="15"/>
    <s v="17IA15.90"/>
    <x v="0"/>
    <x v="0"/>
    <m/>
    <m/>
    <m/>
  </r>
  <r>
    <s v="YK261802215"/>
    <x v="1"/>
    <x v="1"/>
    <n v="1"/>
    <x v="1"/>
    <d v="2026-06-02T08:28:45"/>
    <x v="15"/>
    <x v="7"/>
    <x v="15"/>
    <s v="17IA15.90"/>
    <x v="0"/>
    <x v="0"/>
    <m/>
    <d v="2026-06-02T00:00:00"/>
    <m/>
  </r>
  <r>
    <s v="YK261802216"/>
    <x v="0"/>
    <x v="0"/>
    <n v="1"/>
    <x v="0"/>
    <d v="2026-06-05T12:14:18"/>
    <x v="15"/>
    <x v="7"/>
    <x v="15"/>
    <s v="17IA15.90"/>
    <x v="0"/>
    <x v="0"/>
    <m/>
    <m/>
    <m/>
  </r>
  <r>
    <s v="YK261802217"/>
    <x v="0"/>
    <x v="0"/>
    <n v="1"/>
    <x v="0"/>
    <d v="2026-05-28T11:54:02"/>
    <x v="15"/>
    <x v="7"/>
    <x v="15"/>
    <s v="17IA15.90"/>
    <x v="0"/>
    <x v="0"/>
    <m/>
    <m/>
    <m/>
  </r>
  <r>
    <s v="YK261802218"/>
    <x v="0"/>
    <x v="0"/>
    <n v="1"/>
    <x v="0"/>
    <d v="2026-05-27T09:15:16"/>
    <x v="15"/>
    <x v="7"/>
    <x v="15"/>
    <s v="17IA15.90"/>
    <x v="0"/>
    <x v="0"/>
    <m/>
    <m/>
    <m/>
  </r>
  <r>
    <s v="YK261802219"/>
    <x v="3"/>
    <x v="3"/>
    <n v="1"/>
    <x v="3"/>
    <d v="2026-07-15T12:50:05"/>
    <x v="15"/>
    <x v="7"/>
    <x v="15"/>
    <s v="17IA15.90"/>
    <x v="0"/>
    <x v="0"/>
    <m/>
    <d v="2026-09-08T00:00:00"/>
    <m/>
  </r>
  <r>
    <s v="YK261802220"/>
    <x v="0"/>
    <x v="0"/>
    <n v="1"/>
    <x v="0"/>
    <d v="2026-05-29T12:38:41"/>
    <x v="15"/>
    <x v="7"/>
    <x v="15"/>
    <s v="17IA15.90"/>
    <x v="0"/>
    <x v="0"/>
    <m/>
    <m/>
    <m/>
  </r>
  <r>
    <s v="YK261802221"/>
    <x v="1"/>
    <x v="1"/>
    <n v="1"/>
    <x v="1"/>
    <d v="2026-06-02T08:32:43"/>
    <x v="15"/>
    <x v="7"/>
    <x v="15"/>
    <s v="17IA15.90"/>
    <x v="0"/>
    <x v="0"/>
    <m/>
    <d v="2026-06-02T00:00:00"/>
    <m/>
  </r>
  <r>
    <s v="YK261802222"/>
    <x v="0"/>
    <x v="0"/>
    <n v="1"/>
    <x v="0"/>
    <d v="2026-05-27T13:08:59"/>
    <x v="15"/>
    <x v="7"/>
    <x v="15"/>
    <s v="17IA15.90"/>
    <x v="0"/>
    <x v="0"/>
    <m/>
    <m/>
    <m/>
  </r>
  <r>
    <s v="YK261802223"/>
    <x v="0"/>
    <x v="0"/>
    <n v="1"/>
    <x v="0"/>
    <d v="2026-05-27T11:59:17"/>
    <x v="15"/>
    <x v="7"/>
    <x v="15"/>
    <s v="17IA15.90"/>
    <x v="0"/>
    <x v="0"/>
    <m/>
    <m/>
    <m/>
  </r>
  <r>
    <s v="YK261802224"/>
    <x v="0"/>
    <x v="0"/>
    <n v="1"/>
    <x v="0"/>
    <d v="2026-05-27T13:07:12"/>
    <x v="15"/>
    <x v="7"/>
    <x v="15"/>
    <s v="17IA15.90"/>
    <x v="0"/>
    <x v="0"/>
    <m/>
    <m/>
    <m/>
  </r>
  <r>
    <s v="YK261802225"/>
    <x v="0"/>
    <x v="0"/>
    <n v="1"/>
    <x v="0"/>
    <d v="2026-05-28T08:42:31"/>
    <x v="15"/>
    <x v="7"/>
    <x v="15"/>
    <s v="17IA15.90"/>
    <x v="0"/>
    <x v="0"/>
    <m/>
    <m/>
    <m/>
  </r>
  <r>
    <s v="YK261802226"/>
    <x v="0"/>
    <x v="0"/>
    <n v="1"/>
    <x v="0"/>
    <d v="2026-06-09T10:25:58"/>
    <x v="15"/>
    <x v="7"/>
    <x v="15"/>
    <s v="17IA15.90"/>
    <x v="0"/>
    <x v="0"/>
    <m/>
    <m/>
    <m/>
  </r>
  <r>
    <s v="YK261802227"/>
    <x v="0"/>
    <x v="0"/>
    <n v="1"/>
    <x v="0"/>
    <d v="2026-05-28T07:50:19"/>
    <x v="15"/>
    <x v="7"/>
    <x v="15"/>
    <s v="17IA15.90"/>
    <x v="0"/>
    <x v="0"/>
    <m/>
    <m/>
    <m/>
  </r>
  <r>
    <s v="YK261802228"/>
    <x v="0"/>
    <x v="0"/>
    <n v="1"/>
    <x v="0"/>
    <d v="2026-05-27T09:13:04"/>
    <x v="15"/>
    <x v="7"/>
    <x v="15"/>
    <s v="17IA15.90"/>
    <x v="0"/>
    <x v="0"/>
    <m/>
    <m/>
    <m/>
  </r>
  <r>
    <s v="YK261802229"/>
    <x v="0"/>
    <x v="0"/>
    <n v="1"/>
    <x v="0"/>
    <d v="2026-06-01T10:13:22"/>
    <x v="15"/>
    <x v="7"/>
    <x v="15"/>
    <s v="17IA15.90"/>
    <x v="0"/>
    <x v="0"/>
    <m/>
    <m/>
    <m/>
  </r>
  <r>
    <s v="YK261802230"/>
    <x v="0"/>
    <x v="0"/>
    <n v="1"/>
    <x v="0"/>
    <d v="2026-05-27T13:06:30"/>
    <x v="15"/>
    <x v="7"/>
    <x v="15"/>
    <s v="17IA15.90"/>
    <x v="0"/>
    <x v="0"/>
    <m/>
    <m/>
    <m/>
  </r>
  <r>
    <s v="YK261802231"/>
    <x v="0"/>
    <x v="0"/>
    <n v="1"/>
    <x v="0"/>
    <d v="2026-05-27T09:15:43"/>
    <x v="15"/>
    <x v="7"/>
    <x v="15"/>
    <s v="17IA15.90"/>
    <x v="0"/>
    <x v="0"/>
    <m/>
    <m/>
    <m/>
  </r>
  <r>
    <s v="YK261802232"/>
    <x v="1"/>
    <x v="1"/>
    <n v="1"/>
    <x v="1"/>
    <d v="2026-06-02T08:25:54"/>
    <x v="15"/>
    <x v="7"/>
    <x v="15"/>
    <s v="17IA15.90"/>
    <x v="0"/>
    <x v="0"/>
    <m/>
    <d v="2026-06-02T00:00:00"/>
    <m/>
  </r>
  <r>
    <s v="YK261802233"/>
    <x v="0"/>
    <x v="0"/>
    <n v="1"/>
    <x v="0"/>
    <d v="2026-05-27T09:12:51"/>
    <x v="15"/>
    <x v="7"/>
    <x v="15"/>
    <s v="17IA15.90"/>
    <x v="0"/>
    <x v="0"/>
    <m/>
    <m/>
    <m/>
  </r>
  <r>
    <s v="YK261802234"/>
    <x v="0"/>
    <x v="0"/>
    <n v="1"/>
    <x v="0"/>
    <d v="2026-05-27T09:12:26"/>
    <x v="15"/>
    <x v="7"/>
    <x v="15"/>
    <s v="17IA15.90"/>
    <x v="0"/>
    <x v="0"/>
    <m/>
    <m/>
    <m/>
  </r>
  <r>
    <s v="YK261802235"/>
    <x v="0"/>
    <x v="0"/>
    <n v="1"/>
    <x v="0"/>
    <d v="2026-05-27T09:14:57"/>
    <x v="15"/>
    <x v="7"/>
    <x v="15"/>
    <s v="17IA15.90"/>
    <x v="0"/>
    <x v="0"/>
    <m/>
    <m/>
    <m/>
  </r>
  <r>
    <s v="YK261802236"/>
    <x v="1"/>
    <x v="1"/>
    <n v="1"/>
    <x v="1"/>
    <d v="2026-06-02T08:29:36"/>
    <x v="15"/>
    <x v="7"/>
    <x v="15"/>
    <s v="17IA15.90"/>
    <x v="0"/>
    <x v="0"/>
    <m/>
    <d v="2026-06-02T00:00:00"/>
    <m/>
  </r>
  <r>
    <s v="YK261802237"/>
    <x v="1"/>
    <x v="1"/>
    <n v="1"/>
    <x v="1"/>
    <d v="2026-06-02T08:23:16"/>
    <x v="15"/>
    <x v="7"/>
    <x v="15"/>
    <s v="17IA15.90"/>
    <x v="0"/>
    <x v="0"/>
    <m/>
    <d v="2026-06-02T00:00:00"/>
    <m/>
  </r>
  <r>
    <s v="YK261802238"/>
    <x v="1"/>
    <x v="1"/>
    <n v="1"/>
    <x v="1"/>
    <d v="2026-06-02T08:25:08"/>
    <x v="15"/>
    <x v="7"/>
    <x v="15"/>
    <s v="17IA15.90"/>
    <x v="0"/>
    <x v="0"/>
    <m/>
    <d v="2026-06-02T00:00:00"/>
    <m/>
  </r>
  <r>
    <s v="YK261802239"/>
    <x v="0"/>
    <x v="0"/>
    <n v="1"/>
    <x v="0"/>
    <d v="2026-05-28T07:48:10"/>
    <x v="15"/>
    <x v="7"/>
    <x v="15"/>
    <s v="17IA15.90"/>
    <x v="0"/>
    <x v="0"/>
    <m/>
    <m/>
    <m/>
  </r>
  <r>
    <s v="YK261802240"/>
    <x v="0"/>
    <x v="0"/>
    <n v="1"/>
    <x v="0"/>
    <d v="2026-06-01T10:14:08"/>
    <x v="15"/>
    <x v="7"/>
    <x v="15"/>
    <s v="17IA15.90"/>
    <x v="0"/>
    <x v="0"/>
    <m/>
    <m/>
    <m/>
  </r>
  <r>
    <s v="YK261802241"/>
    <x v="0"/>
    <x v="0"/>
    <n v="1"/>
    <x v="0"/>
    <d v="2026-07-27T07:51:45"/>
    <x v="15"/>
    <x v="7"/>
    <x v="15"/>
    <s v="17IA15.90"/>
    <x v="0"/>
    <x v="0"/>
    <m/>
    <m/>
    <m/>
  </r>
  <r>
    <s v="YK261802242"/>
    <x v="0"/>
    <x v="0"/>
    <n v="1"/>
    <x v="0"/>
    <d v="2026-05-28T07:50:05"/>
    <x v="15"/>
    <x v="7"/>
    <x v="15"/>
    <s v="17IA15.90"/>
    <x v="0"/>
    <x v="0"/>
    <m/>
    <m/>
    <m/>
  </r>
  <r>
    <s v="YK261802243"/>
    <x v="0"/>
    <x v="0"/>
    <n v="1"/>
    <x v="0"/>
    <d v="2026-05-27T09:15:27"/>
    <x v="15"/>
    <x v="7"/>
    <x v="15"/>
    <s v="17IA15.90"/>
    <x v="0"/>
    <x v="0"/>
    <m/>
    <m/>
    <m/>
  </r>
  <r>
    <s v="YK261802244"/>
    <x v="0"/>
    <x v="0"/>
    <n v="1"/>
    <x v="0"/>
    <d v="2026-05-27T12:02:45"/>
    <x v="15"/>
    <x v="7"/>
    <x v="15"/>
    <s v="17IA15.90"/>
    <x v="0"/>
    <x v="0"/>
    <m/>
    <m/>
    <m/>
  </r>
  <r>
    <s v="YK262100946"/>
    <x v="0"/>
    <x v="0"/>
    <n v="1"/>
    <x v="0"/>
    <d v="2026-06-19T13:59:33"/>
    <x v="16"/>
    <x v="6"/>
    <x v="16"/>
    <s v="17IA15.95"/>
    <x v="0"/>
    <x v="0"/>
    <m/>
    <m/>
    <m/>
  </r>
  <r>
    <s v="YK262100947"/>
    <x v="0"/>
    <x v="0"/>
    <n v="1"/>
    <x v="0"/>
    <d v="2026-06-05T12:14:40"/>
    <x v="16"/>
    <x v="6"/>
    <x v="16"/>
    <s v="17IA15.95"/>
    <x v="0"/>
    <x v="0"/>
    <m/>
    <m/>
    <m/>
  </r>
  <r>
    <s v="YK262100948"/>
    <x v="0"/>
    <x v="0"/>
    <n v="1"/>
    <x v="0"/>
    <d v="2026-06-08T17:05:39"/>
    <x v="16"/>
    <x v="6"/>
    <x v="16"/>
    <s v="17IA15.95"/>
    <x v="0"/>
    <x v="0"/>
    <m/>
    <m/>
    <m/>
  </r>
  <r>
    <s v="YK262100949"/>
    <x v="0"/>
    <x v="0"/>
    <n v="1"/>
    <x v="0"/>
    <d v="2026-06-10T06:27:45"/>
    <x v="16"/>
    <x v="6"/>
    <x v="16"/>
    <s v="17IA15.95"/>
    <x v="0"/>
    <x v="0"/>
    <m/>
    <m/>
    <m/>
  </r>
  <r>
    <s v="YK262100950"/>
    <x v="0"/>
    <x v="0"/>
    <n v="1"/>
    <x v="0"/>
    <d v="2026-06-10T06:27:01"/>
    <x v="16"/>
    <x v="6"/>
    <x v="16"/>
    <s v="17IA15.95"/>
    <x v="0"/>
    <x v="0"/>
    <m/>
    <m/>
    <m/>
  </r>
  <r>
    <s v="YK262100951"/>
    <x v="0"/>
    <x v="0"/>
    <n v="1"/>
    <x v="0"/>
    <d v="2026-06-06T11:57:56"/>
    <x v="16"/>
    <x v="6"/>
    <x v="16"/>
    <s v="17IA15.95"/>
    <x v="0"/>
    <x v="0"/>
    <m/>
    <m/>
    <m/>
  </r>
  <r>
    <s v="YK262100952"/>
    <x v="0"/>
    <x v="0"/>
    <n v="1"/>
    <x v="0"/>
    <d v="2026-06-23T15:26:25"/>
    <x v="16"/>
    <x v="6"/>
    <x v="16"/>
    <s v="17IA15.95"/>
    <x v="0"/>
    <x v="0"/>
    <m/>
    <m/>
    <m/>
  </r>
  <r>
    <s v="YK262100953"/>
    <x v="0"/>
    <x v="0"/>
    <n v="1"/>
    <x v="0"/>
    <d v="2026-06-10T06:27:30"/>
    <x v="16"/>
    <x v="6"/>
    <x v="16"/>
    <s v="17IA15.95"/>
    <x v="0"/>
    <x v="0"/>
    <m/>
    <m/>
    <m/>
  </r>
  <r>
    <s v="YK262100954"/>
    <x v="0"/>
    <x v="0"/>
    <n v="1"/>
    <x v="0"/>
    <d v="2026-06-10T14:14:50"/>
    <x v="16"/>
    <x v="6"/>
    <x v="16"/>
    <s v="17IA15.95"/>
    <x v="0"/>
    <x v="0"/>
    <m/>
    <m/>
    <m/>
  </r>
  <r>
    <s v="YK262100955"/>
    <x v="0"/>
    <x v="0"/>
    <n v="1"/>
    <x v="0"/>
    <d v="2026-06-10T10:46:23"/>
    <x v="16"/>
    <x v="6"/>
    <x v="16"/>
    <s v="17IA15.95"/>
    <x v="0"/>
    <x v="0"/>
    <m/>
    <m/>
    <m/>
  </r>
  <r>
    <s v="YK262100956"/>
    <x v="0"/>
    <x v="0"/>
    <n v="1"/>
    <x v="0"/>
    <d v="2026-06-16T11:18:50"/>
    <x v="16"/>
    <x v="6"/>
    <x v="16"/>
    <s v="17IA15.95"/>
    <x v="0"/>
    <x v="0"/>
    <m/>
    <m/>
    <m/>
  </r>
  <r>
    <s v="YK262100957"/>
    <x v="0"/>
    <x v="0"/>
    <n v="1"/>
    <x v="0"/>
    <d v="2026-06-11T14:09:56"/>
    <x v="16"/>
    <x v="6"/>
    <x v="16"/>
    <s v="17IA15.95"/>
    <x v="0"/>
    <x v="0"/>
    <m/>
    <m/>
    <m/>
  </r>
  <r>
    <s v="YK262100958"/>
    <x v="0"/>
    <x v="0"/>
    <n v="1"/>
    <x v="0"/>
    <d v="2026-06-23T13:19:55"/>
    <x v="16"/>
    <x v="6"/>
    <x v="16"/>
    <s v="17IA15.95"/>
    <x v="0"/>
    <x v="0"/>
    <m/>
    <m/>
    <m/>
  </r>
  <r>
    <s v="YK262100959"/>
    <x v="0"/>
    <x v="0"/>
    <n v="1"/>
    <x v="0"/>
    <d v="2026-07-09T13:16:40"/>
    <x v="16"/>
    <x v="6"/>
    <x v="16"/>
    <s v="17IA15.95"/>
    <x v="0"/>
    <x v="0"/>
    <m/>
    <m/>
    <m/>
  </r>
  <r>
    <s v="YK262100960"/>
    <x v="0"/>
    <x v="0"/>
    <n v="1"/>
    <x v="0"/>
    <d v="2026-06-24T13:30:14"/>
    <x v="16"/>
    <x v="6"/>
    <x v="16"/>
    <s v="17IA15.95"/>
    <x v="0"/>
    <x v="0"/>
    <m/>
    <m/>
    <m/>
  </r>
  <r>
    <s v="YK262100961"/>
    <x v="0"/>
    <x v="0"/>
    <n v="1"/>
    <x v="0"/>
    <d v="2026-06-16T11:18:43"/>
    <x v="16"/>
    <x v="6"/>
    <x v="16"/>
    <s v="17IA15.95"/>
    <x v="0"/>
    <x v="0"/>
    <m/>
    <m/>
    <m/>
  </r>
  <r>
    <s v="YK262100962"/>
    <x v="0"/>
    <x v="0"/>
    <n v="1"/>
    <x v="0"/>
    <d v="2026-06-08T17:06:02"/>
    <x v="16"/>
    <x v="6"/>
    <x v="16"/>
    <s v="17IA15.95"/>
    <x v="0"/>
    <x v="0"/>
    <m/>
    <m/>
    <m/>
  </r>
  <r>
    <s v="YK262100963"/>
    <x v="0"/>
    <x v="0"/>
    <n v="1"/>
    <x v="0"/>
    <d v="2026-06-06T11:58:35"/>
    <x v="16"/>
    <x v="6"/>
    <x v="16"/>
    <s v="17IA15.95"/>
    <x v="0"/>
    <x v="0"/>
    <m/>
    <m/>
    <m/>
  </r>
  <r>
    <s v="YK262100964"/>
    <x v="0"/>
    <x v="0"/>
    <n v="1"/>
    <x v="0"/>
    <d v="2026-06-10T10:46:10"/>
    <x v="16"/>
    <x v="6"/>
    <x v="16"/>
    <s v="17IA15.95"/>
    <x v="0"/>
    <x v="0"/>
    <m/>
    <m/>
    <m/>
  </r>
  <r>
    <s v="YK262100965"/>
    <x v="0"/>
    <x v="0"/>
    <n v="1"/>
    <x v="0"/>
    <d v="2026-06-10T10:45:54"/>
    <x v="16"/>
    <x v="6"/>
    <x v="16"/>
    <s v="17IA15.95"/>
    <x v="0"/>
    <x v="0"/>
    <m/>
    <m/>
    <m/>
  </r>
  <r>
    <s v="YK262100966"/>
    <x v="0"/>
    <x v="0"/>
    <n v="1"/>
    <x v="0"/>
    <d v="2026-06-17T10:46:22"/>
    <x v="16"/>
    <x v="6"/>
    <x v="16"/>
    <s v="17IA15.95"/>
    <x v="0"/>
    <x v="0"/>
    <m/>
    <m/>
    <m/>
  </r>
  <r>
    <s v="YK262100967"/>
    <x v="0"/>
    <x v="0"/>
    <n v="1"/>
    <x v="0"/>
    <d v="2026-06-25T10:35:57"/>
    <x v="16"/>
    <x v="6"/>
    <x v="16"/>
    <s v="17IA15.95"/>
    <x v="0"/>
    <x v="0"/>
    <m/>
    <m/>
    <m/>
  </r>
  <r>
    <s v="YK262100968"/>
    <x v="0"/>
    <x v="0"/>
    <n v="1"/>
    <x v="0"/>
    <d v="2026-06-10T10:44:47"/>
    <x v="16"/>
    <x v="6"/>
    <x v="16"/>
    <s v="17IA15.95"/>
    <x v="0"/>
    <x v="0"/>
    <m/>
    <m/>
    <m/>
  </r>
  <r>
    <s v="YK262100969"/>
    <x v="0"/>
    <x v="0"/>
    <n v="1"/>
    <x v="0"/>
    <d v="2026-06-17T11:41:19"/>
    <x v="16"/>
    <x v="6"/>
    <x v="16"/>
    <s v="17IA15.95"/>
    <x v="0"/>
    <x v="0"/>
    <m/>
    <m/>
    <m/>
  </r>
  <r>
    <s v="YK262100970"/>
    <x v="0"/>
    <x v="0"/>
    <n v="1"/>
    <x v="0"/>
    <d v="2026-06-11T06:52:09"/>
    <x v="16"/>
    <x v="6"/>
    <x v="16"/>
    <s v="17IA15.95"/>
    <x v="0"/>
    <x v="0"/>
    <m/>
    <m/>
    <m/>
  </r>
  <r>
    <s v="YK262100971"/>
    <x v="0"/>
    <x v="0"/>
    <n v="1"/>
    <x v="0"/>
    <d v="2026-06-11T07:58:08"/>
    <x v="16"/>
    <x v="6"/>
    <x v="16"/>
    <s v="17IA15.95"/>
    <x v="0"/>
    <x v="0"/>
    <m/>
    <m/>
    <m/>
  </r>
  <r>
    <s v="YK262100972"/>
    <x v="0"/>
    <x v="0"/>
    <n v="1"/>
    <x v="0"/>
    <d v="2026-06-08T17:05:19"/>
    <x v="16"/>
    <x v="6"/>
    <x v="16"/>
    <s v="17IA15.95"/>
    <x v="0"/>
    <x v="0"/>
    <m/>
    <m/>
    <m/>
  </r>
  <r>
    <s v="YK262100973"/>
    <x v="0"/>
    <x v="0"/>
    <n v="1"/>
    <x v="0"/>
    <d v="2026-06-17T10:46:16"/>
    <x v="16"/>
    <x v="6"/>
    <x v="16"/>
    <s v="17IA15.95"/>
    <x v="0"/>
    <x v="0"/>
    <m/>
    <m/>
    <m/>
  </r>
  <r>
    <s v="YK262100974"/>
    <x v="0"/>
    <x v="0"/>
    <n v="1"/>
    <x v="0"/>
    <d v="2026-06-24T13:25:46"/>
    <x v="16"/>
    <x v="6"/>
    <x v="16"/>
    <s v="17IA15.95"/>
    <x v="0"/>
    <x v="0"/>
    <m/>
    <m/>
    <m/>
  </r>
  <r>
    <s v="YK262100975"/>
    <x v="0"/>
    <x v="0"/>
    <n v="1"/>
    <x v="0"/>
    <d v="2026-06-10T17:14:31"/>
    <x v="16"/>
    <x v="6"/>
    <x v="16"/>
    <s v="17IA15.95"/>
    <x v="0"/>
    <x v="0"/>
    <m/>
    <m/>
    <m/>
  </r>
  <r>
    <s v="YK262100976"/>
    <x v="0"/>
    <x v="0"/>
    <n v="1"/>
    <x v="0"/>
    <d v="2026-06-24T13:30:09"/>
    <x v="16"/>
    <x v="6"/>
    <x v="16"/>
    <s v="17IA15.95"/>
    <x v="0"/>
    <x v="0"/>
    <m/>
    <m/>
    <m/>
  </r>
  <r>
    <s v="YK262100977"/>
    <x v="0"/>
    <x v="0"/>
    <n v="1"/>
    <x v="0"/>
    <d v="2026-06-11T06:51:40"/>
    <x v="16"/>
    <x v="6"/>
    <x v="16"/>
    <s v="17IA15.95"/>
    <x v="0"/>
    <x v="0"/>
    <m/>
    <m/>
    <m/>
  </r>
  <r>
    <s v="YK262100978"/>
    <x v="0"/>
    <x v="0"/>
    <n v="1"/>
    <x v="0"/>
    <d v="2026-06-10T17:13:25"/>
    <x v="16"/>
    <x v="6"/>
    <x v="16"/>
    <s v="17IA15.95"/>
    <x v="0"/>
    <x v="0"/>
    <m/>
    <m/>
    <m/>
  </r>
  <r>
    <s v="YK262100979"/>
    <x v="0"/>
    <x v="0"/>
    <n v="1"/>
    <x v="0"/>
    <d v="2026-07-16T09:00:53"/>
    <x v="16"/>
    <x v="6"/>
    <x v="16"/>
    <s v="17IA15.95"/>
    <x v="0"/>
    <x v="0"/>
    <m/>
    <m/>
    <m/>
  </r>
  <r>
    <s v="YK262100980"/>
    <x v="1"/>
    <x v="1"/>
    <n v="1"/>
    <x v="1"/>
    <d v="2026-06-22T13:13:34"/>
    <x v="16"/>
    <x v="6"/>
    <x v="16"/>
    <s v="17IA15.95"/>
    <x v="0"/>
    <x v="0"/>
    <m/>
    <d v="2026-06-23T00:00:00"/>
    <m/>
  </r>
  <r>
    <s v="YK262100981"/>
    <x v="0"/>
    <x v="0"/>
    <n v="1"/>
    <x v="0"/>
    <d v="2026-06-23T15:26:27"/>
    <x v="16"/>
    <x v="6"/>
    <x v="16"/>
    <s v="17IA15.95"/>
    <x v="0"/>
    <x v="0"/>
    <m/>
    <m/>
    <m/>
  </r>
  <r>
    <s v="YK262100982"/>
    <x v="0"/>
    <x v="0"/>
    <n v="1"/>
    <x v="0"/>
    <d v="2026-07-23T08:53:04"/>
    <x v="16"/>
    <x v="6"/>
    <x v="16"/>
    <s v="17IA15.95"/>
    <x v="0"/>
    <x v="0"/>
    <m/>
    <m/>
    <m/>
  </r>
  <r>
    <s v="YK262100983"/>
    <x v="0"/>
    <x v="0"/>
    <n v="1"/>
    <x v="0"/>
    <d v="2026-06-11T06:52:30"/>
    <x v="16"/>
    <x v="6"/>
    <x v="16"/>
    <s v="17IA15.95"/>
    <x v="0"/>
    <x v="0"/>
    <m/>
    <m/>
    <m/>
  </r>
  <r>
    <s v="YK262100984"/>
    <x v="0"/>
    <x v="0"/>
    <n v="1"/>
    <x v="0"/>
    <d v="2026-06-16T13:46:24"/>
    <x v="16"/>
    <x v="6"/>
    <x v="16"/>
    <s v="17IA15.95"/>
    <x v="0"/>
    <x v="0"/>
    <m/>
    <m/>
    <m/>
  </r>
  <r>
    <s v="YK262100985"/>
    <x v="0"/>
    <x v="0"/>
    <n v="1"/>
    <x v="0"/>
    <d v="2026-06-08T13:14:41"/>
    <x v="16"/>
    <x v="6"/>
    <x v="16"/>
    <s v="17IA15.95"/>
    <x v="0"/>
    <x v="0"/>
    <m/>
    <m/>
    <m/>
  </r>
  <r>
    <s v="YK262100986"/>
    <x v="0"/>
    <x v="0"/>
    <n v="1"/>
    <x v="0"/>
    <d v="2026-06-23T13:19:51"/>
    <x v="16"/>
    <x v="6"/>
    <x v="16"/>
    <s v="17IA15.95"/>
    <x v="0"/>
    <x v="0"/>
    <m/>
    <m/>
    <m/>
  </r>
  <r>
    <s v="YK262100987"/>
    <x v="0"/>
    <x v="0"/>
    <n v="1"/>
    <x v="0"/>
    <d v="2026-06-15T14:22:34"/>
    <x v="16"/>
    <x v="6"/>
    <x v="16"/>
    <s v="17IA15.95"/>
    <x v="0"/>
    <x v="0"/>
    <m/>
    <m/>
    <m/>
  </r>
  <r>
    <s v="YK262100988"/>
    <x v="0"/>
    <x v="0"/>
    <n v="1"/>
    <x v="0"/>
    <d v="2026-06-08T13:13:56"/>
    <x v="16"/>
    <x v="6"/>
    <x v="16"/>
    <s v="17IA15.95"/>
    <x v="0"/>
    <x v="0"/>
    <m/>
    <m/>
    <m/>
  </r>
  <r>
    <s v="YK262100989"/>
    <x v="0"/>
    <x v="0"/>
    <n v="1"/>
    <x v="0"/>
    <d v="2026-06-08T13:13:28"/>
    <x v="16"/>
    <x v="6"/>
    <x v="16"/>
    <s v="17IA15.95"/>
    <x v="0"/>
    <x v="0"/>
    <m/>
    <m/>
    <m/>
  </r>
  <r>
    <s v="YK262100990"/>
    <x v="0"/>
    <x v="0"/>
    <n v="1"/>
    <x v="0"/>
    <d v="2026-06-10T14:13:18"/>
    <x v="16"/>
    <x v="6"/>
    <x v="16"/>
    <s v="17IA15.95"/>
    <x v="0"/>
    <x v="0"/>
    <m/>
    <m/>
    <m/>
  </r>
  <r>
    <s v="YK262100991"/>
    <x v="0"/>
    <x v="0"/>
    <n v="1"/>
    <x v="0"/>
    <d v="2026-06-24T13:30:24"/>
    <x v="16"/>
    <x v="6"/>
    <x v="16"/>
    <s v="17IA15.95"/>
    <x v="0"/>
    <x v="0"/>
    <m/>
    <m/>
    <m/>
  </r>
  <r>
    <s v="YK262100992"/>
    <x v="0"/>
    <x v="0"/>
    <n v="1"/>
    <x v="0"/>
    <d v="2026-06-11T14:10:05"/>
    <x v="16"/>
    <x v="6"/>
    <x v="16"/>
    <s v="17IA15.95"/>
    <x v="0"/>
    <x v="0"/>
    <m/>
    <m/>
    <m/>
  </r>
  <r>
    <s v="YK262100993"/>
    <x v="0"/>
    <x v="0"/>
    <n v="1"/>
    <x v="0"/>
    <d v="2026-06-25T10:53:32"/>
    <x v="16"/>
    <x v="6"/>
    <x v="16"/>
    <s v="17IA15.95"/>
    <x v="0"/>
    <x v="0"/>
    <m/>
    <m/>
    <m/>
  </r>
  <r>
    <s v="YK262100994"/>
    <x v="0"/>
    <x v="0"/>
    <n v="1"/>
    <x v="0"/>
    <d v="2026-06-11T07:58:26"/>
    <x v="16"/>
    <x v="6"/>
    <x v="16"/>
    <s v="17IA15.95"/>
    <x v="0"/>
    <x v="0"/>
    <m/>
    <m/>
    <m/>
  </r>
  <r>
    <s v="YK262100995"/>
    <x v="0"/>
    <x v="0"/>
    <n v="1"/>
    <x v="0"/>
    <d v="2026-06-15T14:22:45"/>
    <x v="16"/>
    <x v="6"/>
    <x v="16"/>
    <s v="17IA15.95"/>
    <x v="0"/>
    <x v="0"/>
    <m/>
    <m/>
    <m/>
  </r>
  <r>
    <s v="YK262100996"/>
    <x v="0"/>
    <x v="0"/>
    <n v="1"/>
    <x v="0"/>
    <d v="2026-08-25T14:52:27"/>
    <x v="16"/>
    <x v="6"/>
    <x v="16"/>
    <s v="17IA15.95"/>
    <x v="0"/>
    <x v="0"/>
    <m/>
    <m/>
    <m/>
  </r>
  <r>
    <s v="YK262100997"/>
    <x v="0"/>
    <x v="0"/>
    <n v="1"/>
    <x v="0"/>
    <d v="2026-06-16T13:11:03"/>
    <x v="16"/>
    <x v="6"/>
    <x v="16"/>
    <s v="17IA15.95"/>
    <x v="0"/>
    <x v="0"/>
    <m/>
    <m/>
    <m/>
  </r>
  <r>
    <s v="YK262100998"/>
    <x v="2"/>
    <x v="2"/>
    <n v="1"/>
    <x v="2"/>
    <d v="2026-08-17T10:21:45"/>
    <x v="16"/>
    <x v="6"/>
    <x v="16"/>
    <s v="17IA15.95"/>
    <x v="0"/>
    <x v="0"/>
    <m/>
    <m/>
    <m/>
  </r>
  <r>
    <s v="YK262100999"/>
    <x v="0"/>
    <x v="0"/>
    <n v="1"/>
    <x v="0"/>
    <d v="2026-06-23T15:26:30"/>
    <x v="16"/>
    <x v="6"/>
    <x v="16"/>
    <s v="17IA15.95"/>
    <x v="0"/>
    <x v="0"/>
    <m/>
    <m/>
    <m/>
  </r>
  <r>
    <s v="YK262101000"/>
    <x v="0"/>
    <x v="0"/>
    <n v="1"/>
    <x v="0"/>
    <d v="2026-06-19T13:59:29"/>
    <x v="16"/>
    <x v="6"/>
    <x v="16"/>
    <s v="17IA15.95"/>
    <x v="0"/>
    <x v="0"/>
    <m/>
    <m/>
    <m/>
  </r>
  <r>
    <s v="YK262101001"/>
    <x v="0"/>
    <x v="0"/>
    <n v="1"/>
    <x v="0"/>
    <d v="2026-07-29T18:54:14"/>
    <x v="16"/>
    <x v="6"/>
    <x v="16"/>
    <s v="17IA15.95"/>
    <x v="0"/>
    <x v="0"/>
    <m/>
    <m/>
    <m/>
  </r>
  <r>
    <s v="YK262101002"/>
    <x v="0"/>
    <x v="0"/>
    <n v="1"/>
    <x v="0"/>
    <d v="2026-06-10T06:27:15"/>
    <x v="16"/>
    <x v="6"/>
    <x v="16"/>
    <s v="17IA15.95"/>
    <x v="0"/>
    <x v="0"/>
    <m/>
    <m/>
    <m/>
  </r>
  <r>
    <s v="YK262101003"/>
    <x v="0"/>
    <x v="0"/>
    <n v="1"/>
    <x v="0"/>
    <d v="2026-06-16T15:20:32"/>
    <x v="16"/>
    <x v="6"/>
    <x v="16"/>
    <s v="17IA15.95"/>
    <x v="0"/>
    <x v="0"/>
    <m/>
    <m/>
    <m/>
  </r>
  <r>
    <s v="YK262101004"/>
    <x v="0"/>
    <x v="0"/>
    <n v="1"/>
    <x v="0"/>
    <d v="2026-06-13T11:15:36"/>
    <x v="16"/>
    <x v="6"/>
    <x v="16"/>
    <s v="17IA15.95"/>
    <x v="0"/>
    <x v="0"/>
    <m/>
    <m/>
    <m/>
  </r>
  <r>
    <s v="YK262101005"/>
    <x v="0"/>
    <x v="0"/>
    <n v="1"/>
    <x v="0"/>
    <d v="2026-06-17T10:46:01"/>
    <x v="16"/>
    <x v="6"/>
    <x v="16"/>
    <s v="17IA15.95"/>
    <x v="0"/>
    <x v="0"/>
    <m/>
    <m/>
    <m/>
  </r>
  <r>
    <s v="YK262101006"/>
    <x v="0"/>
    <x v="0"/>
    <n v="1"/>
    <x v="0"/>
    <d v="2026-06-16T15:20:42"/>
    <x v="16"/>
    <x v="6"/>
    <x v="16"/>
    <s v="17IA15.95"/>
    <x v="0"/>
    <x v="0"/>
    <m/>
    <m/>
    <m/>
  </r>
  <r>
    <s v="YK262101007"/>
    <x v="0"/>
    <x v="0"/>
    <n v="1"/>
    <x v="0"/>
    <d v="2026-06-24T13:25:49"/>
    <x v="16"/>
    <x v="6"/>
    <x v="16"/>
    <s v="17IA15.95"/>
    <x v="0"/>
    <x v="0"/>
    <m/>
    <m/>
    <m/>
  </r>
  <r>
    <s v="YK262101008"/>
    <x v="0"/>
    <x v="0"/>
    <n v="1"/>
    <x v="0"/>
    <d v="2026-06-05T12:14:57"/>
    <x v="16"/>
    <x v="6"/>
    <x v="16"/>
    <s v="17IA15.95"/>
    <x v="0"/>
    <x v="0"/>
    <m/>
    <m/>
    <m/>
  </r>
  <r>
    <s v="YK262101009"/>
    <x v="0"/>
    <x v="0"/>
    <n v="1"/>
    <x v="0"/>
    <d v="2026-06-06T11:57:18"/>
    <x v="16"/>
    <x v="6"/>
    <x v="16"/>
    <s v="17IA15.95"/>
    <x v="0"/>
    <x v="0"/>
    <m/>
    <m/>
    <m/>
  </r>
  <r>
    <s v="YK262101010"/>
    <x v="0"/>
    <x v="0"/>
    <n v="1"/>
    <x v="0"/>
    <d v="2026-06-10T14:15:23"/>
    <x v="16"/>
    <x v="6"/>
    <x v="16"/>
    <s v="17IA15.95"/>
    <x v="0"/>
    <x v="0"/>
    <m/>
    <m/>
    <m/>
  </r>
  <r>
    <s v="YK262101011"/>
    <x v="0"/>
    <x v="0"/>
    <n v="1"/>
    <x v="0"/>
    <d v="2026-06-06T11:57:35"/>
    <x v="16"/>
    <x v="6"/>
    <x v="16"/>
    <s v="17IA15.95"/>
    <x v="0"/>
    <x v="0"/>
    <m/>
    <m/>
    <m/>
  </r>
  <r>
    <s v="YK262101012"/>
    <x v="0"/>
    <x v="0"/>
    <n v="1"/>
    <x v="0"/>
    <d v="2026-06-05T12:16:03"/>
    <x v="16"/>
    <x v="6"/>
    <x v="16"/>
    <s v="17IA15.95"/>
    <x v="0"/>
    <x v="0"/>
    <m/>
    <m/>
    <m/>
  </r>
  <r>
    <s v="YK262101013"/>
    <x v="0"/>
    <x v="0"/>
    <n v="1"/>
    <x v="0"/>
    <d v="2026-06-26T11:49:27"/>
    <x v="16"/>
    <x v="6"/>
    <x v="16"/>
    <s v="17IA15.95"/>
    <x v="0"/>
    <x v="0"/>
    <m/>
    <m/>
    <m/>
  </r>
  <r>
    <s v="YK262101014"/>
    <x v="0"/>
    <x v="0"/>
    <n v="1"/>
    <x v="0"/>
    <d v="2026-06-05T12:15:31"/>
    <x v="16"/>
    <x v="6"/>
    <x v="16"/>
    <s v="17IA15.95"/>
    <x v="0"/>
    <x v="0"/>
    <m/>
    <m/>
    <m/>
  </r>
  <r>
    <s v="YK262101015"/>
    <x v="0"/>
    <x v="0"/>
    <n v="1"/>
    <x v="0"/>
    <d v="2026-06-11T14:10:04"/>
    <x v="16"/>
    <x v="6"/>
    <x v="16"/>
    <s v="17IA15.95"/>
    <x v="0"/>
    <x v="0"/>
    <m/>
    <m/>
    <m/>
  </r>
  <r>
    <s v="YK262101016"/>
    <x v="0"/>
    <x v="0"/>
    <n v="1"/>
    <x v="0"/>
    <d v="2026-06-19T12:04:59"/>
    <x v="16"/>
    <x v="6"/>
    <x v="16"/>
    <s v="17IA15.95"/>
    <x v="0"/>
    <x v="0"/>
    <m/>
    <m/>
    <m/>
  </r>
  <r>
    <s v="YK262101017"/>
    <x v="0"/>
    <x v="0"/>
    <n v="1"/>
    <x v="0"/>
    <d v="2026-07-20T10:40:13"/>
    <x v="16"/>
    <x v="6"/>
    <x v="16"/>
    <s v="17IA15.95"/>
    <x v="0"/>
    <x v="0"/>
    <m/>
    <m/>
    <m/>
  </r>
  <r>
    <s v="YK262101018"/>
    <x v="3"/>
    <x v="3"/>
    <n v="1"/>
    <x v="3"/>
    <d v="2026-08-06T14:15:29"/>
    <x v="16"/>
    <x v="6"/>
    <x v="16"/>
    <s v="17IA15.95"/>
    <x v="0"/>
    <x v="0"/>
    <m/>
    <m/>
    <m/>
  </r>
  <r>
    <s v="YK262101019"/>
    <x v="0"/>
    <x v="0"/>
    <n v="1"/>
    <x v="0"/>
    <d v="2026-06-23T15:26:28"/>
    <x v="16"/>
    <x v="6"/>
    <x v="16"/>
    <s v="17IA15.95"/>
    <x v="0"/>
    <x v="0"/>
    <m/>
    <m/>
    <m/>
  </r>
  <r>
    <s v="YK262101020"/>
    <x v="0"/>
    <x v="0"/>
    <n v="1"/>
    <x v="0"/>
    <d v="2026-06-25T10:53:40"/>
    <x v="16"/>
    <x v="6"/>
    <x v="16"/>
    <s v="17IA15.95"/>
    <x v="0"/>
    <x v="0"/>
    <m/>
    <m/>
    <m/>
  </r>
  <r>
    <s v="YK262101021"/>
    <x v="0"/>
    <x v="0"/>
    <n v="1"/>
    <x v="0"/>
    <d v="2026-06-24T13:30:08"/>
    <x v="16"/>
    <x v="6"/>
    <x v="16"/>
    <s v="17IA15.95"/>
    <x v="0"/>
    <x v="0"/>
    <m/>
    <m/>
    <m/>
  </r>
  <r>
    <s v="YK262101022"/>
    <x v="0"/>
    <x v="0"/>
    <n v="1"/>
    <x v="0"/>
    <d v="2026-06-25T11:03:33"/>
    <x v="16"/>
    <x v="6"/>
    <x v="16"/>
    <s v="17IA15.95"/>
    <x v="0"/>
    <x v="0"/>
    <m/>
    <m/>
    <m/>
  </r>
  <r>
    <s v="YK262101023"/>
    <x v="0"/>
    <x v="0"/>
    <n v="1"/>
    <x v="0"/>
    <d v="2026-06-17T10:46:09"/>
    <x v="16"/>
    <x v="6"/>
    <x v="16"/>
    <s v="17IA15.95"/>
    <x v="0"/>
    <x v="0"/>
    <m/>
    <m/>
    <m/>
  </r>
  <r>
    <s v="YK262101024"/>
    <x v="0"/>
    <x v="0"/>
    <n v="1"/>
    <x v="0"/>
    <d v="2026-06-17T11:41:30"/>
    <x v="16"/>
    <x v="6"/>
    <x v="16"/>
    <s v="17IA15.95"/>
    <x v="0"/>
    <x v="0"/>
    <m/>
    <m/>
    <m/>
  </r>
  <r>
    <s v="YK262101025"/>
    <x v="0"/>
    <x v="0"/>
    <n v="1"/>
    <x v="0"/>
    <d v="2026-07-21T09:31:53"/>
    <x v="16"/>
    <x v="6"/>
    <x v="16"/>
    <s v="17IA15.95"/>
    <x v="0"/>
    <x v="0"/>
    <m/>
    <m/>
    <m/>
  </r>
  <r>
    <s v="YK262101026"/>
    <x v="0"/>
    <x v="0"/>
    <n v="1"/>
    <x v="0"/>
    <d v="2026-06-11T06:51:16"/>
    <x v="16"/>
    <x v="6"/>
    <x v="16"/>
    <s v="17IA15.95"/>
    <x v="0"/>
    <x v="0"/>
    <m/>
    <m/>
    <m/>
  </r>
  <r>
    <s v="YK262101027"/>
    <x v="0"/>
    <x v="0"/>
    <n v="1"/>
    <x v="0"/>
    <d v="2026-06-26T11:49:32"/>
    <x v="16"/>
    <x v="6"/>
    <x v="16"/>
    <s v="17IA15.95"/>
    <x v="0"/>
    <x v="0"/>
    <m/>
    <m/>
    <m/>
  </r>
  <r>
    <s v="YK262101028"/>
    <x v="0"/>
    <x v="0"/>
    <n v="1"/>
    <x v="0"/>
    <d v="2026-06-10T14:14:15"/>
    <x v="16"/>
    <x v="6"/>
    <x v="16"/>
    <s v="17IA15.95"/>
    <x v="0"/>
    <x v="0"/>
    <m/>
    <m/>
    <m/>
  </r>
  <r>
    <s v="YK262101029"/>
    <x v="0"/>
    <x v="0"/>
    <n v="1"/>
    <x v="0"/>
    <d v="2026-06-26T11:49:33"/>
    <x v="16"/>
    <x v="6"/>
    <x v="16"/>
    <s v="17IA15.95"/>
    <x v="0"/>
    <x v="0"/>
    <m/>
    <m/>
    <m/>
  </r>
  <r>
    <s v="YK262101030"/>
    <x v="0"/>
    <x v="0"/>
    <n v="1"/>
    <x v="0"/>
    <d v="2026-07-06T11:20:21"/>
    <x v="16"/>
    <x v="6"/>
    <x v="16"/>
    <s v="17IA15.95"/>
    <x v="0"/>
    <x v="0"/>
    <m/>
    <m/>
    <m/>
  </r>
  <r>
    <s v="YK262101031"/>
    <x v="0"/>
    <x v="0"/>
    <n v="1"/>
    <x v="0"/>
    <d v="2026-07-16T09:06:24"/>
    <x v="16"/>
    <x v="6"/>
    <x v="16"/>
    <s v="17IA15.95"/>
    <x v="0"/>
    <x v="0"/>
    <m/>
    <m/>
    <m/>
  </r>
  <r>
    <s v="YK262101032"/>
    <x v="0"/>
    <x v="0"/>
    <n v="1"/>
    <x v="0"/>
    <d v="2026-06-25T10:36:05"/>
    <x v="16"/>
    <x v="6"/>
    <x v="16"/>
    <s v="17IA15.95"/>
    <x v="0"/>
    <x v="0"/>
    <m/>
    <m/>
    <m/>
  </r>
  <r>
    <s v="YK262101033"/>
    <x v="0"/>
    <x v="0"/>
    <n v="1"/>
    <x v="0"/>
    <d v="2026-06-19T12:04:46"/>
    <x v="16"/>
    <x v="6"/>
    <x v="16"/>
    <s v="17IA15.95"/>
    <x v="0"/>
    <x v="0"/>
    <m/>
    <m/>
    <m/>
  </r>
  <r>
    <s v="YK262101034"/>
    <x v="0"/>
    <x v="0"/>
    <n v="1"/>
    <x v="0"/>
    <d v="2026-06-19T12:05:06"/>
    <x v="16"/>
    <x v="6"/>
    <x v="16"/>
    <s v="17IA15.95"/>
    <x v="0"/>
    <x v="0"/>
    <m/>
    <m/>
    <m/>
  </r>
  <r>
    <s v="YK262101035"/>
    <x v="0"/>
    <x v="0"/>
    <n v="1"/>
    <x v="0"/>
    <d v="2026-07-06T11:20:17"/>
    <x v="16"/>
    <x v="6"/>
    <x v="16"/>
    <s v="17IA15.95"/>
    <x v="0"/>
    <x v="0"/>
    <m/>
    <m/>
    <m/>
  </r>
  <r>
    <s v="YK262101036"/>
    <x v="0"/>
    <x v="0"/>
    <n v="1"/>
    <x v="0"/>
    <d v="2026-06-17T14:06:43"/>
    <x v="16"/>
    <x v="6"/>
    <x v="16"/>
    <s v="17IA15.95"/>
    <x v="0"/>
    <x v="0"/>
    <m/>
    <m/>
    <m/>
  </r>
  <r>
    <s v="YK262101037"/>
    <x v="0"/>
    <x v="0"/>
    <n v="1"/>
    <x v="0"/>
    <d v="2026-06-13T11:15:57"/>
    <x v="16"/>
    <x v="6"/>
    <x v="16"/>
    <s v="17IA15.95"/>
    <x v="0"/>
    <x v="0"/>
    <m/>
    <m/>
    <m/>
  </r>
  <r>
    <s v="YK262101038"/>
    <x v="0"/>
    <x v="0"/>
    <n v="1"/>
    <x v="0"/>
    <d v="2026-06-25T10:53:44"/>
    <x v="16"/>
    <x v="6"/>
    <x v="16"/>
    <s v="17IA15.95"/>
    <x v="0"/>
    <x v="0"/>
    <m/>
    <m/>
    <m/>
  </r>
  <r>
    <s v="YK262101039"/>
    <x v="0"/>
    <x v="0"/>
    <n v="1"/>
    <x v="0"/>
    <d v="2026-06-24T12:31:48"/>
    <x v="16"/>
    <x v="6"/>
    <x v="16"/>
    <s v="17IA15.95"/>
    <x v="0"/>
    <x v="0"/>
    <m/>
    <m/>
    <m/>
  </r>
  <r>
    <s v="YK262101040"/>
    <x v="0"/>
    <x v="0"/>
    <n v="1"/>
    <x v="0"/>
    <d v="2026-06-13T11:14:45"/>
    <x v="16"/>
    <x v="6"/>
    <x v="16"/>
    <s v="17IA15.95"/>
    <x v="0"/>
    <x v="0"/>
    <m/>
    <m/>
    <m/>
  </r>
  <r>
    <s v="YK262101041"/>
    <x v="0"/>
    <x v="0"/>
    <n v="1"/>
    <x v="0"/>
    <d v="2026-06-25T10:35:51"/>
    <x v="16"/>
    <x v="6"/>
    <x v="16"/>
    <s v="17IA15.95"/>
    <x v="0"/>
    <x v="0"/>
    <m/>
    <m/>
    <m/>
  </r>
  <r>
    <s v="YK262101042"/>
    <x v="0"/>
    <x v="0"/>
    <n v="1"/>
    <x v="0"/>
    <d v="2026-06-17T09:29:45"/>
    <x v="16"/>
    <x v="6"/>
    <x v="16"/>
    <s v="17IA15.95"/>
    <x v="0"/>
    <x v="0"/>
    <m/>
    <m/>
    <m/>
  </r>
  <r>
    <s v="YK262101043"/>
    <x v="0"/>
    <x v="0"/>
    <n v="1"/>
    <x v="0"/>
    <d v="2026-07-06T11:20:31"/>
    <x v="16"/>
    <x v="6"/>
    <x v="16"/>
    <s v="17IA15.95"/>
    <x v="0"/>
    <x v="0"/>
    <m/>
    <m/>
    <m/>
  </r>
  <r>
    <s v="YK262101044"/>
    <x v="0"/>
    <x v="0"/>
    <n v="1"/>
    <x v="0"/>
    <d v="2026-06-13T06:26:05"/>
    <x v="16"/>
    <x v="6"/>
    <x v="16"/>
    <s v="17IA15.95"/>
    <x v="0"/>
    <x v="0"/>
    <m/>
    <m/>
    <m/>
  </r>
  <r>
    <s v="YK262101045"/>
    <x v="0"/>
    <x v="0"/>
    <n v="1"/>
    <x v="0"/>
    <d v="2026-06-10T17:13:41"/>
    <x v="16"/>
    <x v="6"/>
    <x v="16"/>
    <s v="17IA15.95"/>
    <x v="0"/>
    <x v="0"/>
    <m/>
    <m/>
    <m/>
  </r>
  <r>
    <s v="YK262101046"/>
    <x v="0"/>
    <x v="0"/>
    <n v="1"/>
    <x v="0"/>
    <d v="2026-06-25T11:03:37"/>
    <x v="16"/>
    <x v="6"/>
    <x v="16"/>
    <s v="17IA15.95"/>
    <x v="0"/>
    <x v="0"/>
    <m/>
    <m/>
    <m/>
  </r>
  <r>
    <s v="YK262101047"/>
    <x v="0"/>
    <x v="0"/>
    <n v="1"/>
    <x v="0"/>
    <d v="2026-06-24T12:31:54"/>
    <x v="16"/>
    <x v="6"/>
    <x v="16"/>
    <s v="17IA15.95"/>
    <x v="0"/>
    <x v="0"/>
    <m/>
    <m/>
    <m/>
  </r>
  <r>
    <s v="YK262101048"/>
    <x v="0"/>
    <x v="0"/>
    <n v="1"/>
    <x v="0"/>
    <d v="2026-06-17T14:06:54"/>
    <x v="16"/>
    <x v="6"/>
    <x v="16"/>
    <s v="17IA15.95"/>
    <x v="0"/>
    <x v="0"/>
    <m/>
    <m/>
    <m/>
  </r>
  <r>
    <s v="YK262101049"/>
    <x v="0"/>
    <x v="0"/>
    <n v="1"/>
    <x v="0"/>
    <d v="2026-06-13T11:16:19"/>
    <x v="16"/>
    <x v="6"/>
    <x v="16"/>
    <s v="17IA15.95"/>
    <x v="0"/>
    <x v="0"/>
    <m/>
    <m/>
    <m/>
  </r>
  <r>
    <s v="YK262101050"/>
    <x v="0"/>
    <x v="0"/>
    <n v="1"/>
    <x v="0"/>
    <d v="2026-06-24T13:25:43"/>
    <x v="16"/>
    <x v="6"/>
    <x v="16"/>
    <s v="17IA15.95"/>
    <x v="0"/>
    <x v="0"/>
    <m/>
    <m/>
    <m/>
  </r>
  <r>
    <s v="YK262101051"/>
    <x v="0"/>
    <x v="0"/>
    <n v="1"/>
    <x v="0"/>
    <d v="2026-06-26T11:49:31"/>
    <x v="16"/>
    <x v="6"/>
    <x v="16"/>
    <s v="17IA15.95"/>
    <x v="0"/>
    <x v="0"/>
    <m/>
    <m/>
    <m/>
  </r>
  <r>
    <s v="YK262101052"/>
    <x v="0"/>
    <x v="0"/>
    <n v="1"/>
    <x v="0"/>
    <d v="2026-06-17T09:29:40"/>
    <x v="16"/>
    <x v="6"/>
    <x v="16"/>
    <s v="17IA15.95"/>
    <x v="0"/>
    <x v="0"/>
    <m/>
    <m/>
    <m/>
  </r>
  <r>
    <s v="YK262101053"/>
    <x v="0"/>
    <x v="0"/>
    <n v="1"/>
    <x v="0"/>
    <d v="2026-06-25T11:03:41"/>
    <x v="16"/>
    <x v="6"/>
    <x v="16"/>
    <s v="17IA15.95"/>
    <x v="0"/>
    <x v="0"/>
    <m/>
    <m/>
    <m/>
  </r>
  <r>
    <s v="YK262101054"/>
    <x v="0"/>
    <x v="0"/>
    <n v="1"/>
    <x v="0"/>
    <d v="2026-06-08T17:04:55"/>
    <x v="16"/>
    <x v="6"/>
    <x v="16"/>
    <s v="17IA15.95"/>
    <x v="0"/>
    <x v="0"/>
    <m/>
    <m/>
    <m/>
  </r>
  <r>
    <s v="YK262101055"/>
    <x v="0"/>
    <x v="0"/>
    <n v="1"/>
    <x v="0"/>
    <d v="2026-06-25T10:35:46"/>
    <x v="16"/>
    <x v="6"/>
    <x v="16"/>
    <s v="17IA15.95"/>
    <x v="0"/>
    <x v="0"/>
    <m/>
    <m/>
    <m/>
  </r>
  <r>
    <s v="YK262101056"/>
    <x v="0"/>
    <x v="0"/>
    <n v="1"/>
    <x v="0"/>
    <d v="2026-06-16T11:18:38"/>
    <x v="16"/>
    <x v="6"/>
    <x v="16"/>
    <s v="17IA15.95"/>
    <x v="0"/>
    <x v="0"/>
    <m/>
    <m/>
    <m/>
  </r>
  <r>
    <s v="YK262101057"/>
    <x v="0"/>
    <x v="0"/>
    <n v="1"/>
    <x v="0"/>
    <d v="2026-06-19T12:05:08"/>
    <x v="16"/>
    <x v="6"/>
    <x v="16"/>
    <s v="17IA15.95"/>
    <x v="0"/>
    <x v="0"/>
    <m/>
    <m/>
    <m/>
  </r>
  <r>
    <s v="YK262101058"/>
    <x v="0"/>
    <x v="0"/>
    <n v="1"/>
    <x v="0"/>
    <d v="2026-06-15T14:23:02"/>
    <x v="16"/>
    <x v="6"/>
    <x v="16"/>
    <s v="17IA15.95"/>
    <x v="0"/>
    <x v="0"/>
    <m/>
    <m/>
    <m/>
  </r>
  <r>
    <s v="YK262101059"/>
    <x v="2"/>
    <x v="2"/>
    <n v="1"/>
    <x v="2"/>
    <d v="2026-06-19T06:50:45"/>
    <x v="16"/>
    <x v="6"/>
    <x v="16"/>
    <s v="17IA15.95"/>
    <x v="0"/>
    <x v="0"/>
    <m/>
    <m/>
    <m/>
  </r>
  <r>
    <s v="YK262101060"/>
    <x v="0"/>
    <x v="0"/>
    <n v="1"/>
    <x v="0"/>
    <d v="2026-06-19T13:59:36"/>
    <x v="16"/>
    <x v="6"/>
    <x v="16"/>
    <s v="17IA15.95"/>
    <x v="0"/>
    <x v="0"/>
    <m/>
    <m/>
    <m/>
  </r>
  <r>
    <s v="YK262101061"/>
    <x v="0"/>
    <x v="0"/>
    <n v="1"/>
    <x v="0"/>
    <d v="2026-06-08T13:15:07"/>
    <x v="16"/>
    <x v="6"/>
    <x v="16"/>
    <s v="17IA15.95"/>
    <x v="0"/>
    <x v="0"/>
    <m/>
    <m/>
    <m/>
  </r>
  <r>
    <s v="YK262101062"/>
    <x v="1"/>
    <x v="1"/>
    <n v="1"/>
    <x v="1"/>
    <d v="2026-06-22T13:17:45"/>
    <x v="16"/>
    <x v="6"/>
    <x v="16"/>
    <s v="17IA15.95"/>
    <x v="0"/>
    <x v="0"/>
    <m/>
    <d v="2026-06-23T00:00:00"/>
    <m/>
  </r>
  <r>
    <s v="YK262101063"/>
    <x v="1"/>
    <x v="1"/>
    <n v="1"/>
    <x v="1"/>
    <d v="2026-06-12T10:34:08"/>
    <x v="16"/>
    <x v="6"/>
    <x v="16"/>
    <s v="17IA15.95"/>
    <x v="0"/>
    <x v="0"/>
    <m/>
    <d v="2026-06-16T00:00:00"/>
    <m/>
  </r>
  <r>
    <s v="YK262101064"/>
    <x v="0"/>
    <x v="0"/>
    <n v="1"/>
    <x v="0"/>
    <d v="2026-07-29T18:54:16"/>
    <x v="16"/>
    <x v="6"/>
    <x v="16"/>
    <s v="17IA15.95"/>
    <x v="0"/>
    <x v="0"/>
    <m/>
    <m/>
    <m/>
  </r>
  <r>
    <s v="YK262101065"/>
    <x v="8"/>
    <x v="8"/>
    <n v="1"/>
    <x v="6"/>
    <d v="2026-09-04T07:42:53"/>
    <x v="16"/>
    <x v="6"/>
    <x v="16"/>
    <s v="17IA15.95"/>
    <x v="0"/>
    <x v="0"/>
    <m/>
    <m/>
    <m/>
  </r>
  <r>
    <s v="YK262101066"/>
    <x v="0"/>
    <x v="0"/>
    <n v="1"/>
    <x v="0"/>
    <d v="2026-06-23T13:20:07"/>
    <x v="16"/>
    <x v="6"/>
    <x v="16"/>
    <s v="17IA15.95"/>
    <x v="0"/>
    <x v="0"/>
    <m/>
    <m/>
    <m/>
  </r>
  <r>
    <s v="YK262101067"/>
    <x v="0"/>
    <x v="0"/>
    <n v="1"/>
    <x v="0"/>
    <d v="2026-06-23T13:20:01"/>
    <x v="16"/>
    <x v="6"/>
    <x v="16"/>
    <s v="17IA15.95"/>
    <x v="0"/>
    <x v="0"/>
    <m/>
    <m/>
    <m/>
  </r>
  <r>
    <s v="YK262101068"/>
    <x v="3"/>
    <x v="3"/>
    <n v="1"/>
    <x v="3"/>
    <d v="2026-08-06T14:02:56"/>
    <x v="16"/>
    <x v="6"/>
    <x v="16"/>
    <s v="17IA15.95"/>
    <x v="0"/>
    <x v="0"/>
    <m/>
    <m/>
    <m/>
  </r>
  <r>
    <s v="YK262101069"/>
    <x v="0"/>
    <x v="0"/>
    <n v="1"/>
    <x v="0"/>
    <d v="2026-06-19T13:59:39"/>
    <x v="16"/>
    <x v="6"/>
    <x v="16"/>
    <s v="17IA15.95"/>
    <x v="0"/>
    <x v="0"/>
    <m/>
    <m/>
    <m/>
  </r>
  <r>
    <s v="YK262101070"/>
    <x v="0"/>
    <x v="0"/>
    <n v="1"/>
    <x v="0"/>
    <d v="2026-08-25T14:52:25"/>
    <x v="16"/>
    <x v="6"/>
    <x v="16"/>
    <s v="17IA15.95"/>
    <x v="0"/>
    <x v="0"/>
    <m/>
    <m/>
    <m/>
  </r>
  <r>
    <s v="YK262101071"/>
    <x v="0"/>
    <x v="0"/>
    <n v="1"/>
    <x v="0"/>
    <d v="2026-06-16T15:55:43"/>
    <x v="16"/>
    <x v="6"/>
    <x v="16"/>
    <s v="17IA15.95"/>
    <x v="0"/>
    <x v="0"/>
    <m/>
    <m/>
    <m/>
  </r>
  <r>
    <s v="YK262101072"/>
    <x v="1"/>
    <x v="1"/>
    <n v="1"/>
    <x v="1"/>
    <d v="2026-06-22T13:18:34"/>
    <x v="16"/>
    <x v="6"/>
    <x v="16"/>
    <s v="17IA15.95"/>
    <x v="0"/>
    <x v="0"/>
    <m/>
    <d v="2026-06-23T00:00:00"/>
    <m/>
  </r>
  <r>
    <s v="YK262101073"/>
    <x v="1"/>
    <x v="1"/>
    <n v="1"/>
    <x v="1"/>
    <d v="2026-06-22T13:23:40"/>
    <x v="16"/>
    <x v="6"/>
    <x v="16"/>
    <s v="17IA15.95"/>
    <x v="0"/>
    <x v="0"/>
    <m/>
    <d v="2026-06-23T00:00:00"/>
    <m/>
  </r>
  <r>
    <s v="YK262101074"/>
    <x v="1"/>
    <x v="1"/>
    <n v="1"/>
    <x v="1"/>
    <d v="2026-06-22T13:18:05"/>
    <x v="16"/>
    <x v="6"/>
    <x v="16"/>
    <s v="17IA15.95"/>
    <x v="0"/>
    <x v="0"/>
    <m/>
    <d v="2026-06-23T00:00:00"/>
    <m/>
  </r>
  <r>
    <s v="YK262101075"/>
    <x v="0"/>
    <x v="0"/>
    <n v="1"/>
    <x v="0"/>
    <d v="2026-06-24T12:32:08"/>
    <x v="16"/>
    <x v="6"/>
    <x v="16"/>
    <s v="17IA15.95"/>
    <x v="0"/>
    <x v="0"/>
    <m/>
    <m/>
    <m/>
  </r>
  <r>
    <s v="YK262101076"/>
    <x v="0"/>
    <x v="0"/>
    <n v="1"/>
    <x v="0"/>
    <d v="2026-06-17T14:06:21"/>
    <x v="16"/>
    <x v="6"/>
    <x v="16"/>
    <s v="17IA15.95"/>
    <x v="0"/>
    <x v="0"/>
    <m/>
    <m/>
    <m/>
  </r>
  <r>
    <s v="YK262101077"/>
    <x v="0"/>
    <x v="0"/>
    <n v="1"/>
    <x v="0"/>
    <d v="2026-06-17T11:41:22"/>
    <x v="16"/>
    <x v="6"/>
    <x v="16"/>
    <s v="17IA15.95"/>
    <x v="0"/>
    <x v="0"/>
    <m/>
    <m/>
    <m/>
  </r>
  <r>
    <s v="YK262101078"/>
    <x v="0"/>
    <x v="0"/>
    <n v="1"/>
    <x v="0"/>
    <d v="2026-06-24T12:31:44"/>
    <x v="16"/>
    <x v="6"/>
    <x v="16"/>
    <s v="17IA15.95"/>
    <x v="0"/>
    <x v="0"/>
    <m/>
    <m/>
    <m/>
  </r>
  <r>
    <s v="YK262101079"/>
    <x v="0"/>
    <x v="0"/>
    <n v="1"/>
    <x v="0"/>
    <d v="2026-06-17T11:41:27"/>
    <x v="16"/>
    <x v="6"/>
    <x v="16"/>
    <s v="17IA15.95"/>
    <x v="0"/>
    <x v="0"/>
    <m/>
    <m/>
    <m/>
  </r>
  <r>
    <s v="YK262101080"/>
    <x v="0"/>
    <x v="0"/>
    <n v="1"/>
    <x v="0"/>
    <d v="2026-06-17T09:29:42"/>
    <x v="16"/>
    <x v="6"/>
    <x v="16"/>
    <s v="17IA15.95"/>
    <x v="0"/>
    <x v="0"/>
    <m/>
    <m/>
    <m/>
  </r>
  <r>
    <s v="YK262101081"/>
    <x v="0"/>
    <x v="0"/>
    <n v="1"/>
    <x v="0"/>
    <d v="2026-06-25T11:03:45"/>
    <x v="16"/>
    <x v="6"/>
    <x v="16"/>
    <s v="17IA15.95"/>
    <x v="0"/>
    <x v="0"/>
    <m/>
    <m/>
    <m/>
  </r>
  <r>
    <s v="YK262101082"/>
    <x v="0"/>
    <x v="0"/>
    <n v="1"/>
    <x v="0"/>
    <d v="2026-06-17T09:29:47"/>
    <x v="16"/>
    <x v="6"/>
    <x v="16"/>
    <s v="17IA15.95"/>
    <x v="0"/>
    <x v="0"/>
    <m/>
    <m/>
    <m/>
  </r>
  <r>
    <s v="YK262101083"/>
    <x v="0"/>
    <x v="0"/>
    <n v="1"/>
    <x v="0"/>
    <d v="2026-06-17T14:06:46"/>
    <x v="16"/>
    <x v="6"/>
    <x v="16"/>
    <s v="17IA15.95"/>
    <x v="0"/>
    <x v="0"/>
    <m/>
    <m/>
    <m/>
  </r>
  <r>
    <s v="YK262101084"/>
    <x v="0"/>
    <x v="0"/>
    <n v="1"/>
    <x v="0"/>
    <d v="2026-07-02T09:09:29"/>
    <x v="16"/>
    <x v="6"/>
    <x v="16"/>
    <s v="17IA15.95"/>
    <x v="0"/>
    <x v="0"/>
    <m/>
    <m/>
    <m/>
  </r>
  <r>
    <s v="YK262101085"/>
    <x v="0"/>
    <x v="0"/>
    <n v="1"/>
    <x v="0"/>
    <d v="2026-06-24T13:25:52"/>
    <x v="16"/>
    <x v="6"/>
    <x v="16"/>
    <s v="17IA15.95"/>
    <x v="0"/>
    <x v="0"/>
    <m/>
    <m/>
    <m/>
  </r>
  <r>
    <s v="YK262100005"/>
    <x v="0"/>
    <x v="0"/>
    <n v="1"/>
    <x v="0"/>
    <d v="2026-06-17T14:06:59"/>
    <x v="17"/>
    <x v="7"/>
    <x v="17"/>
    <s v="17IA15.96"/>
    <x v="0"/>
    <x v="0"/>
    <m/>
    <m/>
    <m/>
  </r>
  <r>
    <s v="YK262100006"/>
    <x v="1"/>
    <x v="1"/>
    <n v="1"/>
    <x v="1"/>
    <d v="2026-06-22T13:12:53"/>
    <x v="17"/>
    <x v="7"/>
    <x v="17"/>
    <s v="17IA15.96"/>
    <x v="0"/>
    <x v="0"/>
    <m/>
    <d v="2026-06-23T00:00:00"/>
    <m/>
  </r>
  <r>
    <s v="YK262100007"/>
    <x v="0"/>
    <x v="0"/>
    <n v="1"/>
    <x v="0"/>
    <d v="2026-08-05T08:52:47"/>
    <x v="17"/>
    <x v="7"/>
    <x v="17"/>
    <s v="17IA15.96"/>
    <x v="0"/>
    <x v="0"/>
    <m/>
    <m/>
    <m/>
  </r>
  <r>
    <s v="YK262100008"/>
    <x v="0"/>
    <x v="0"/>
    <n v="1"/>
    <x v="0"/>
    <d v="2026-08-05T08:52:39"/>
    <x v="17"/>
    <x v="7"/>
    <x v="17"/>
    <s v="17IA15.96"/>
    <x v="0"/>
    <x v="0"/>
    <m/>
    <m/>
    <m/>
  </r>
  <r>
    <s v="YK262100009"/>
    <x v="0"/>
    <x v="0"/>
    <n v="1"/>
    <x v="0"/>
    <d v="2026-07-15T13:51:12"/>
    <x v="17"/>
    <x v="7"/>
    <x v="17"/>
    <s v="17IA15.96"/>
    <x v="0"/>
    <x v="0"/>
    <m/>
    <m/>
    <m/>
  </r>
  <r>
    <s v="YK262100010"/>
    <x v="0"/>
    <x v="0"/>
    <n v="1"/>
    <x v="0"/>
    <d v="2026-06-16T11:19:04"/>
    <x v="17"/>
    <x v="7"/>
    <x v="17"/>
    <s v="17IA15.96"/>
    <x v="0"/>
    <x v="0"/>
    <m/>
    <m/>
    <m/>
  </r>
  <r>
    <s v="YK262100011"/>
    <x v="3"/>
    <x v="3"/>
    <n v="1"/>
    <x v="3"/>
    <d v="2026-08-13T07:30:48"/>
    <x v="17"/>
    <x v="7"/>
    <x v="17"/>
    <s v="17IA15.96"/>
    <x v="0"/>
    <x v="0"/>
    <m/>
    <m/>
    <m/>
  </r>
  <r>
    <s v="YK262100012"/>
    <x v="0"/>
    <x v="0"/>
    <n v="1"/>
    <x v="0"/>
    <d v="2026-06-24T13:30:05"/>
    <x v="17"/>
    <x v="7"/>
    <x v="17"/>
    <s v="17IA15.96"/>
    <x v="0"/>
    <x v="0"/>
    <m/>
    <m/>
    <m/>
  </r>
  <r>
    <s v="YK262100013"/>
    <x v="0"/>
    <x v="0"/>
    <n v="1"/>
    <x v="0"/>
    <d v="2026-06-13T06:27:06"/>
    <x v="17"/>
    <x v="7"/>
    <x v="17"/>
    <s v="17IA15.96"/>
    <x v="0"/>
    <x v="0"/>
    <m/>
    <m/>
    <m/>
  </r>
  <r>
    <s v="YK262100014"/>
    <x v="0"/>
    <x v="0"/>
    <n v="1"/>
    <x v="0"/>
    <d v="2026-06-23T15:26:35"/>
    <x v="17"/>
    <x v="7"/>
    <x v="17"/>
    <s v="17IA15.96"/>
    <x v="0"/>
    <x v="0"/>
    <m/>
    <m/>
    <m/>
  </r>
  <r>
    <s v="YK262100015"/>
    <x v="0"/>
    <x v="0"/>
    <n v="1"/>
    <x v="0"/>
    <d v="2026-06-10T10:46:56"/>
    <x v="17"/>
    <x v="7"/>
    <x v="17"/>
    <s v="17IA15.96"/>
    <x v="0"/>
    <x v="0"/>
    <m/>
    <m/>
    <m/>
  </r>
  <r>
    <s v="YK262100016"/>
    <x v="0"/>
    <x v="0"/>
    <n v="1"/>
    <x v="0"/>
    <d v="2026-06-24T12:31:28"/>
    <x v="17"/>
    <x v="7"/>
    <x v="17"/>
    <s v="17IA15.96"/>
    <x v="0"/>
    <x v="0"/>
    <m/>
    <m/>
    <m/>
  </r>
  <r>
    <s v="YK262100017"/>
    <x v="0"/>
    <x v="0"/>
    <n v="1"/>
    <x v="0"/>
    <d v="2026-06-10T14:12:03"/>
    <x v="17"/>
    <x v="7"/>
    <x v="17"/>
    <s v="17IA15.96"/>
    <x v="0"/>
    <x v="0"/>
    <m/>
    <m/>
    <m/>
  </r>
  <r>
    <s v="YK262100018"/>
    <x v="0"/>
    <x v="0"/>
    <n v="1"/>
    <x v="0"/>
    <d v="2026-06-11T13:57:08"/>
    <x v="17"/>
    <x v="7"/>
    <x v="17"/>
    <s v="17IA15.96"/>
    <x v="0"/>
    <x v="0"/>
    <m/>
    <m/>
    <m/>
  </r>
  <r>
    <s v="YK262100019"/>
    <x v="0"/>
    <x v="0"/>
    <n v="1"/>
    <x v="0"/>
    <d v="2026-06-25T11:03:28"/>
    <x v="17"/>
    <x v="7"/>
    <x v="17"/>
    <s v="17IA15.96"/>
    <x v="0"/>
    <x v="0"/>
    <m/>
    <m/>
    <m/>
  </r>
  <r>
    <s v="YK262100020"/>
    <x v="0"/>
    <x v="0"/>
    <n v="1"/>
    <x v="0"/>
    <d v="2026-06-25T10:36:11"/>
    <x v="17"/>
    <x v="7"/>
    <x v="17"/>
    <s v="17IA15.96"/>
    <x v="0"/>
    <x v="0"/>
    <m/>
    <m/>
    <m/>
  </r>
  <r>
    <s v="YK262100021"/>
    <x v="0"/>
    <x v="0"/>
    <n v="1"/>
    <x v="0"/>
    <d v="2026-06-08T17:03:48"/>
    <x v="17"/>
    <x v="7"/>
    <x v="17"/>
    <s v="17IA15.96"/>
    <x v="0"/>
    <x v="0"/>
    <m/>
    <m/>
    <m/>
  </r>
  <r>
    <s v="YK262100022"/>
    <x v="0"/>
    <x v="0"/>
    <n v="1"/>
    <x v="0"/>
    <d v="2026-06-16T11:19:09"/>
    <x v="17"/>
    <x v="7"/>
    <x v="17"/>
    <s v="17IA15.96"/>
    <x v="0"/>
    <x v="0"/>
    <m/>
    <m/>
    <m/>
  </r>
  <r>
    <s v="YK262100023"/>
    <x v="0"/>
    <x v="0"/>
    <n v="1"/>
    <x v="0"/>
    <d v="2026-06-25T11:03:24"/>
    <x v="17"/>
    <x v="7"/>
    <x v="17"/>
    <s v="17IA15.96"/>
    <x v="0"/>
    <x v="0"/>
    <m/>
    <m/>
    <m/>
  </r>
  <r>
    <s v="YK262100024"/>
    <x v="0"/>
    <x v="0"/>
    <n v="1"/>
    <x v="0"/>
    <d v="2026-06-25T10:53:23"/>
    <x v="17"/>
    <x v="7"/>
    <x v="17"/>
    <s v="17IA15.96"/>
    <x v="0"/>
    <x v="0"/>
    <m/>
    <m/>
    <m/>
  </r>
  <r>
    <s v="YK262100025"/>
    <x v="0"/>
    <x v="0"/>
    <n v="1"/>
    <x v="0"/>
    <d v="2026-06-10T17:14:58"/>
    <x v="17"/>
    <x v="7"/>
    <x v="17"/>
    <s v="17IA15.96"/>
    <x v="0"/>
    <x v="0"/>
    <m/>
    <m/>
    <m/>
  </r>
  <r>
    <s v="YK262100026"/>
    <x v="0"/>
    <x v="0"/>
    <n v="1"/>
    <x v="0"/>
    <d v="2026-06-25T11:03:52"/>
    <x v="17"/>
    <x v="7"/>
    <x v="17"/>
    <s v="17IA15.96"/>
    <x v="0"/>
    <x v="0"/>
    <m/>
    <m/>
    <m/>
  </r>
  <r>
    <s v="YK262100027"/>
    <x v="3"/>
    <x v="3"/>
    <n v="1"/>
    <x v="3"/>
    <d v="2026-08-06T16:28:51"/>
    <x v="17"/>
    <x v="7"/>
    <x v="17"/>
    <s v="17IA15.96"/>
    <x v="0"/>
    <x v="0"/>
    <m/>
    <m/>
    <m/>
  </r>
  <r>
    <s v="YK262100028"/>
    <x v="0"/>
    <x v="0"/>
    <n v="1"/>
    <x v="0"/>
    <d v="2026-07-23T06:15:27"/>
    <x v="17"/>
    <x v="7"/>
    <x v="17"/>
    <s v="17IA15.96"/>
    <x v="0"/>
    <x v="0"/>
    <m/>
    <m/>
    <m/>
  </r>
  <r>
    <s v="YK262100029"/>
    <x v="0"/>
    <x v="0"/>
    <n v="1"/>
    <x v="0"/>
    <d v="2026-06-23T13:19:47"/>
    <x v="17"/>
    <x v="7"/>
    <x v="17"/>
    <s v="17IA15.96"/>
    <x v="0"/>
    <x v="0"/>
    <m/>
    <m/>
    <m/>
  </r>
  <r>
    <s v="YK262100030"/>
    <x v="0"/>
    <x v="0"/>
    <n v="1"/>
    <x v="0"/>
    <d v="2026-06-13T06:24:49"/>
    <x v="17"/>
    <x v="7"/>
    <x v="17"/>
    <s v="17IA15.96"/>
    <x v="0"/>
    <x v="0"/>
    <m/>
    <m/>
    <m/>
  </r>
  <r>
    <s v="YK262100031"/>
    <x v="0"/>
    <x v="0"/>
    <n v="1"/>
    <x v="0"/>
    <d v="2026-06-19T12:05:13"/>
    <x v="17"/>
    <x v="7"/>
    <x v="17"/>
    <s v="17IA15.96"/>
    <x v="0"/>
    <x v="0"/>
    <m/>
    <m/>
    <m/>
  </r>
  <r>
    <s v="YK262100032"/>
    <x v="0"/>
    <x v="0"/>
    <n v="1"/>
    <x v="0"/>
    <d v="2026-06-10T17:15:12"/>
    <x v="17"/>
    <x v="7"/>
    <x v="17"/>
    <s v="17IA15.96"/>
    <x v="0"/>
    <x v="0"/>
    <m/>
    <m/>
    <m/>
  </r>
  <r>
    <s v="YK262100033"/>
    <x v="0"/>
    <x v="0"/>
    <n v="1"/>
    <x v="0"/>
    <d v="2026-06-10T10:44:33"/>
    <x v="17"/>
    <x v="7"/>
    <x v="17"/>
    <s v="17IA15.96"/>
    <x v="0"/>
    <x v="0"/>
    <m/>
    <m/>
    <m/>
  </r>
  <r>
    <s v="YK262100034"/>
    <x v="0"/>
    <x v="0"/>
    <n v="1"/>
    <x v="0"/>
    <d v="2026-06-24T12:32:20"/>
    <x v="17"/>
    <x v="7"/>
    <x v="17"/>
    <s v="17IA15.96"/>
    <x v="0"/>
    <x v="0"/>
    <m/>
    <m/>
    <m/>
  </r>
  <r>
    <s v="YK262100035"/>
    <x v="3"/>
    <x v="3"/>
    <n v="1"/>
    <x v="3"/>
    <d v="2026-07-21T13:37:34"/>
    <x v="17"/>
    <x v="7"/>
    <x v="17"/>
    <s v="17IA15.96"/>
    <x v="0"/>
    <x v="0"/>
    <m/>
    <m/>
    <m/>
  </r>
  <r>
    <s v="YK262100036"/>
    <x v="3"/>
    <x v="3"/>
    <n v="1"/>
    <x v="3"/>
    <d v="2026-08-17T17:33:33"/>
    <x v="17"/>
    <x v="7"/>
    <x v="17"/>
    <s v="17IA15.96"/>
    <x v="0"/>
    <x v="0"/>
    <m/>
    <m/>
    <m/>
  </r>
  <r>
    <s v="YK262100037"/>
    <x v="0"/>
    <x v="0"/>
    <n v="1"/>
    <x v="0"/>
    <d v="2026-06-19T12:04:31"/>
    <x v="17"/>
    <x v="7"/>
    <x v="17"/>
    <s v="17IA15.96"/>
    <x v="0"/>
    <x v="0"/>
    <m/>
    <m/>
    <m/>
  </r>
  <r>
    <s v="YK262100038"/>
    <x v="0"/>
    <x v="0"/>
    <n v="1"/>
    <x v="0"/>
    <d v="2026-06-24T13:26:00"/>
    <x v="17"/>
    <x v="7"/>
    <x v="17"/>
    <s v="17IA15.96"/>
    <x v="0"/>
    <x v="0"/>
    <m/>
    <m/>
    <m/>
  </r>
  <r>
    <s v="YK262100039"/>
    <x v="0"/>
    <x v="0"/>
    <n v="1"/>
    <x v="0"/>
    <d v="2026-06-17T14:06:18"/>
    <x v="17"/>
    <x v="7"/>
    <x v="17"/>
    <s v="17IA15.96"/>
    <x v="0"/>
    <x v="0"/>
    <m/>
    <m/>
    <m/>
  </r>
  <r>
    <s v="YK262100040"/>
    <x v="0"/>
    <x v="0"/>
    <n v="1"/>
    <x v="0"/>
    <d v="2026-06-11T07:59:21"/>
    <x v="17"/>
    <x v="7"/>
    <x v="17"/>
    <s v="17IA15.96"/>
    <x v="0"/>
    <x v="0"/>
    <m/>
    <m/>
    <m/>
  </r>
  <r>
    <s v="YK262100041"/>
    <x v="0"/>
    <x v="0"/>
    <n v="1"/>
    <x v="0"/>
    <d v="2026-06-06T11:59:16"/>
    <x v="17"/>
    <x v="7"/>
    <x v="17"/>
    <s v="17IA15.96"/>
    <x v="0"/>
    <x v="0"/>
    <m/>
    <m/>
    <m/>
  </r>
  <r>
    <s v="YK262100042"/>
    <x v="0"/>
    <x v="0"/>
    <n v="1"/>
    <x v="0"/>
    <d v="2026-06-24T13:30:03"/>
    <x v="17"/>
    <x v="7"/>
    <x v="17"/>
    <s v="17IA15.96"/>
    <x v="0"/>
    <x v="0"/>
    <m/>
    <m/>
    <m/>
  </r>
  <r>
    <s v="YK262100043"/>
    <x v="0"/>
    <x v="0"/>
    <n v="1"/>
    <x v="0"/>
    <d v="2026-06-25T10:53:28"/>
    <x v="17"/>
    <x v="7"/>
    <x v="17"/>
    <s v="17IA15.96"/>
    <x v="0"/>
    <x v="0"/>
    <m/>
    <m/>
    <m/>
  </r>
  <r>
    <s v="YK262100044"/>
    <x v="0"/>
    <x v="0"/>
    <n v="1"/>
    <x v="0"/>
    <d v="2026-06-16T13:47:27"/>
    <x v="17"/>
    <x v="7"/>
    <x v="17"/>
    <s v="17IA15.96"/>
    <x v="0"/>
    <x v="0"/>
    <m/>
    <m/>
    <m/>
  </r>
  <r>
    <s v="YK262100045"/>
    <x v="0"/>
    <x v="0"/>
    <n v="1"/>
    <x v="0"/>
    <d v="2026-06-11T06:52:50"/>
    <x v="17"/>
    <x v="7"/>
    <x v="17"/>
    <s v="17IA15.96"/>
    <x v="0"/>
    <x v="0"/>
    <m/>
    <m/>
    <m/>
  </r>
  <r>
    <s v="YK262100046"/>
    <x v="0"/>
    <x v="0"/>
    <n v="1"/>
    <x v="0"/>
    <d v="2026-08-05T11:47:24"/>
    <x v="17"/>
    <x v="7"/>
    <x v="17"/>
    <s v="17IA15.96"/>
    <x v="0"/>
    <x v="0"/>
    <m/>
    <m/>
    <m/>
  </r>
  <r>
    <s v="YK262100047"/>
    <x v="9"/>
    <x v="9"/>
    <n v="1"/>
    <x v="2"/>
    <d v="2026-06-02T07:40:31"/>
    <x v="17"/>
    <x v="7"/>
    <x v="17"/>
    <s v="17IA15.96"/>
    <x v="0"/>
    <x v="0"/>
    <m/>
    <m/>
    <m/>
  </r>
  <r>
    <s v="YK262100048"/>
    <x v="0"/>
    <x v="0"/>
    <n v="1"/>
    <x v="0"/>
    <d v="2026-06-16T15:20:10"/>
    <x v="17"/>
    <x v="7"/>
    <x v="17"/>
    <s v="17IA15.96"/>
    <x v="0"/>
    <x v="0"/>
    <m/>
    <m/>
    <m/>
  </r>
  <r>
    <s v="YK262100049"/>
    <x v="3"/>
    <x v="3"/>
    <n v="1"/>
    <x v="3"/>
    <d v="2026-08-04T15:11:22"/>
    <x v="17"/>
    <x v="7"/>
    <x v="17"/>
    <s v="17IA15.96"/>
    <x v="0"/>
    <x v="0"/>
    <m/>
    <m/>
    <m/>
  </r>
  <r>
    <s v="YK262100050"/>
    <x v="0"/>
    <x v="0"/>
    <n v="1"/>
    <x v="0"/>
    <d v="2026-06-05T12:13:50"/>
    <x v="17"/>
    <x v="7"/>
    <x v="17"/>
    <s v="17IA15.96"/>
    <x v="0"/>
    <x v="0"/>
    <m/>
    <m/>
    <m/>
  </r>
  <r>
    <s v="YK262100051"/>
    <x v="0"/>
    <x v="0"/>
    <n v="1"/>
    <x v="0"/>
    <d v="2026-06-24T13:30:26"/>
    <x v="17"/>
    <x v="7"/>
    <x v="17"/>
    <s v="17IA15.96"/>
    <x v="0"/>
    <x v="0"/>
    <m/>
    <m/>
    <m/>
  </r>
  <r>
    <s v="YK262100052"/>
    <x v="0"/>
    <x v="0"/>
    <n v="1"/>
    <x v="0"/>
    <d v="2026-06-06T11:56:38"/>
    <x v="17"/>
    <x v="7"/>
    <x v="17"/>
    <s v="17IA15.96"/>
    <x v="0"/>
    <x v="0"/>
    <m/>
    <m/>
    <m/>
  </r>
  <r>
    <s v="YK262100053"/>
    <x v="0"/>
    <x v="0"/>
    <n v="1"/>
    <x v="0"/>
    <d v="2026-06-17T14:06:12"/>
    <x v="17"/>
    <x v="7"/>
    <x v="17"/>
    <s v="17IA15.96"/>
    <x v="0"/>
    <x v="0"/>
    <m/>
    <m/>
    <m/>
  </r>
  <r>
    <s v="YK262100054"/>
    <x v="0"/>
    <x v="0"/>
    <n v="1"/>
    <x v="0"/>
    <d v="2026-06-25T10:53:54"/>
    <x v="17"/>
    <x v="7"/>
    <x v="17"/>
    <s v="17IA15.96"/>
    <x v="0"/>
    <x v="0"/>
    <m/>
    <m/>
    <m/>
  </r>
  <r>
    <s v="YK262100055"/>
    <x v="4"/>
    <x v="4"/>
    <n v="1"/>
    <x v="4"/>
    <d v="2026-08-11T08:30:17"/>
    <x v="17"/>
    <x v="7"/>
    <x v="17"/>
    <s v="17IA15.96"/>
    <x v="0"/>
    <x v="0"/>
    <m/>
    <m/>
    <m/>
  </r>
  <r>
    <s v="YK262100056"/>
    <x v="0"/>
    <x v="0"/>
    <n v="1"/>
    <x v="0"/>
    <d v="2026-06-08T17:06:15"/>
    <x v="17"/>
    <x v="7"/>
    <x v="17"/>
    <s v="17IA15.96"/>
    <x v="0"/>
    <x v="0"/>
    <m/>
    <m/>
    <m/>
  </r>
  <r>
    <s v="YK262100057"/>
    <x v="12"/>
    <x v="12"/>
    <n v="1"/>
    <x v="2"/>
    <d v="2026-06-24T07:41:04"/>
    <x v="17"/>
    <x v="7"/>
    <x v="17"/>
    <s v="17IA15.96"/>
    <x v="0"/>
    <x v="0"/>
    <m/>
    <m/>
    <m/>
  </r>
  <r>
    <s v="YK262100058"/>
    <x v="0"/>
    <x v="0"/>
    <n v="1"/>
    <x v="0"/>
    <d v="2026-06-25T10:53:49"/>
    <x v="17"/>
    <x v="7"/>
    <x v="17"/>
    <s v="17IA15.96"/>
    <x v="0"/>
    <x v="0"/>
    <m/>
    <m/>
    <m/>
  </r>
  <r>
    <s v="YK262100059"/>
    <x v="0"/>
    <x v="0"/>
    <n v="1"/>
    <x v="0"/>
    <d v="2026-06-24T13:25:25"/>
    <x v="17"/>
    <x v="7"/>
    <x v="17"/>
    <s v="17IA15.96"/>
    <x v="0"/>
    <x v="0"/>
    <m/>
    <m/>
    <m/>
  </r>
  <r>
    <s v="YK262100060"/>
    <x v="0"/>
    <x v="0"/>
    <n v="1"/>
    <x v="0"/>
    <d v="2026-06-23T13:20:10"/>
    <x v="17"/>
    <x v="7"/>
    <x v="17"/>
    <s v="17IA15.96"/>
    <x v="0"/>
    <x v="0"/>
    <m/>
    <m/>
    <m/>
  </r>
  <r>
    <s v="YK262100061"/>
    <x v="0"/>
    <x v="0"/>
    <n v="1"/>
    <x v="0"/>
    <d v="2026-07-27T07:51:16"/>
    <x v="17"/>
    <x v="7"/>
    <x v="17"/>
    <s v="17IA15.96"/>
    <x v="0"/>
    <x v="0"/>
    <m/>
    <m/>
    <m/>
  </r>
  <r>
    <s v="YK262100062"/>
    <x v="0"/>
    <x v="0"/>
    <n v="1"/>
    <x v="0"/>
    <d v="2026-08-27T12:20:38"/>
    <x v="17"/>
    <x v="7"/>
    <x v="17"/>
    <s v="17IA15.96"/>
    <x v="0"/>
    <x v="0"/>
    <m/>
    <m/>
    <m/>
  </r>
  <r>
    <s v="YK262100063"/>
    <x v="0"/>
    <x v="0"/>
    <n v="1"/>
    <x v="0"/>
    <d v="2026-06-24T12:32:14"/>
    <x v="17"/>
    <x v="7"/>
    <x v="17"/>
    <s v="17IA15.96"/>
    <x v="0"/>
    <x v="0"/>
    <m/>
    <m/>
    <m/>
  </r>
  <r>
    <s v="YK262100064"/>
    <x v="0"/>
    <x v="0"/>
    <n v="1"/>
    <x v="0"/>
    <d v="2026-06-06T11:55:42"/>
    <x v="17"/>
    <x v="7"/>
    <x v="17"/>
    <s v="17IA15.96"/>
    <x v="0"/>
    <x v="0"/>
    <m/>
    <m/>
    <m/>
  </r>
  <r>
    <s v="YK262100065"/>
    <x v="0"/>
    <x v="0"/>
    <n v="1"/>
    <x v="0"/>
    <d v="2026-06-24T13:25:30"/>
    <x v="17"/>
    <x v="7"/>
    <x v="17"/>
    <s v="17IA15.96"/>
    <x v="0"/>
    <x v="0"/>
    <m/>
    <m/>
    <m/>
  </r>
  <r>
    <s v="YK262100066"/>
    <x v="0"/>
    <x v="0"/>
    <n v="1"/>
    <x v="0"/>
    <d v="2026-06-23T13:20:20"/>
    <x v="17"/>
    <x v="7"/>
    <x v="17"/>
    <s v="17IA15.96"/>
    <x v="0"/>
    <x v="0"/>
    <m/>
    <m/>
    <m/>
  </r>
  <r>
    <s v="YK262100067"/>
    <x v="0"/>
    <x v="0"/>
    <n v="1"/>
    <x v="0"/>
    <d v="2026-06-10T06:26:47"/>
    <x v="17"/>
    <x v="7"/>
    <x v="17"/>
    <s v="17IA15.96"/>
    <x v="0"/>
    <x v="0"/>
    <m/>
    <m/>
    <m/>
  </r>
  <r>
    <s v="YK262100068"/>
    <x v="0"/>
    <x v="0"/>
    <n v="1"/>
    <x v="0"/>
    <d v="2026-06-06T11:58:59"/>
    <x v="17"/>
    <x v="7"/>
    <x v="17"/>
    <s v="17IA15.96"/>
    <x v="0"/>
    <x v="0"/>
    <m/>
    <m/>
    <m/>
  </r>
  <r>
    <s v="YK262100069"/>
    <x v="0"/>
    <x v="0"/>
    <n v="1"/>
    <x v="0"/>
    <d v="2026-06-13T06:26:54"/>
    <x v="17"/>
    <x v="7"/>
    <x v="17"/>
    <s v="17IA15.96"/>
    <x v="0"/>
    <x v="0"/>
    <m/>
    <m/>
    <m/>
  </r>
  <r>
    <s v="YK262100070"/>
    <x v="0"/>
    <x v="0"/>
    <n v="1"/>
    <x v="0"/>
    <d v="2026-06-10T14:12:48"/>
    <x v="17"/>
    <x v="7"/>
    <x v="17"/>
    <s v="17IA15.96"/>
    <x v="0"/>
    <x v="0"/>
    <m/>
    <m/>
    <m/>
  </r>
  <r>
    <s v="YK262100071"/>
    <x v="0"/>
    <x v="0"/>
    <n v="1"/>
    <x v="0"/>
    <d v="2026-06-26T12:27:50"/>
    <x v="17"/>
    <x v="7"/>
    <x v="17"/>
    <s v="17IA15.96"/>
    <x v="0"/>
    <x v="0"/>
    <m/>
    <m/>
    <m/>
  </r>
  <r>
    <s v="YK262100072"/>
    <x v="0"/>
    <x v="0"/>
    <n v="1"/>
    <x v="0"/>
    <d v="2026-06-23T15:26:23"/>
    <x v="17"/>
    <x v="7"/>
    <x v="17"/>
    <s v="17IA15.96"/>
    <x v="0"/>
    <x v="0"/>
    <m/>
    <m/>
    <m/>
  </r>
  <r>
    <s v="YK262100073"/>
    <x v="0"/>
    <x v="0"/>
    <n v="1"/>
    <x v="0"/>
    <d v="2026-06-11T06:53:04"/>
    <x v="17"/>
    <x v="7"/>
    <x v="17"/>
    <s v="17IA15.96"/>
    <x v="0"/>
    <x v="0"/>
    <m/>
    <m/>
    <m/>
  </r>
  <r>
    <s v="YK262100074"/>
    <x v="0"/>
    <x v="0"/>
    <n v="1"/>
    <x v="0"/>
    <d v="2026-06-16T15:20:20"/>
    <x v="17"/>
    <x v="7"/>
    <x v="17"/>
    <s v="17IA15.96"/>
    <x v="0"/>
    <x v="0"/>
    <m/>
    <m/>
    <m/>
  </r>
  <r>
    <s v="YK262100075"/>
    <x v="0"/>
    <x v="0"/>
    <n v="1"/>
    <x v="0"/>
    <d v="2026-06-16T11:18:32"/>
    <x v="17"/>
    <x v="7"/>
    <x v="17"/>
    <s v="17IA15.96"/>
    <x v="0"/>
    <x v="0"/>
    <m/>
    <m/>
    <m/>
  </r>
  <r>
    <s v="YK262100076"/>
    <x v="1"/>
    <x v="1"/>
    <n v="1"/>
    <x v="1"/>
    <d v="2026-06-22T13:16:00"/>
    <x v="17"/>
    <x v="7"/>
    <x v="17"/>
    <s v="17IA15.96"/>
    <x v="0"/>
    <x v="0"/>
    <m/>
    <d v="2026-06-23T00:00:00"/>
    <m/>
  </r>
  <r>
    <s v="YK262100077"/>
    <x v="0"/>
    <x v="0"/>
    <n v="1"/>
    <x v="0"/>
    <d v="2026-06-24T13:30:29"/>
    <x v="17"/>
    <x v="7"/>
    <x v="17"/>
    <s v="17IA15.96"/>
    <x v="0"/>
    <x v="0"/>
    <m/>
    <m/>
    <m/>
  </r>
  <r>
    <s v="YK262100078"/>
    <x v="0"/>
    <x v="0"/>
    <n v="1"/>
    <x v="0"/>
    <d v="2026-06-19T12:05:20"/>
    <x v="17"/>
    <x v="7"/>
    <x v="17"/>
    <s v="17IA15.96"/>
    <x v="0"/>
    <x v="0"/>
    <m/>
    <m/>
    <m/>
  </r>
  <r>
    <s v="YK262100079"/>
    <x v="0"/>
    <x v="0"/>
    <n v="1"/>
    <x v="0"/>
    <d v="2026-06-25T11:03:56"/>
    <x v="17"/>
    <x v="7"/>
    <x v="17"/>
    <s v="17IA15.96"/>
    <x v="0"/>
    <x v="0"/>
    <m/>
    <m/>
    <m/>
  </r>
  <r>
    <s v="YK262100080"/>
    <x v="0"/>
    <x v="0"/>
    <n v="1"/>
    <x v="0"/>
    <d v="2026-06-08T13:12:27"/>
    <x v="17"/>
    <x v="7"/>
    <x v="17"/>
    <s v="17IA15.96"/>
    <x v="0"/>
    <x v="0"/>
    <m/>
    <m/>
    <m/>
  </r>
  <r>
    <s v="YK262100081"/>
    <x v="0"/>
    <x v="0"/>
    <n v="1"/>
    <x v="0"/>
    <d v="2026-06-08T17:06:31"/>
    <x v="17"/>
    <x v="7"/>
    <x v="17"/>
    <s v="17IA15.96"/>
    <x v="0"/>
    <x v="0"/>
    <m/>
    <m/>
    <m/>
  </r>
  <r>
    <s v="YK262100082"/>
    <x v="0"/>
    <x v="0"/>
    <n v="1"/>
    <x v="0"/>
    <d v="2026-06-08T13:15:29"/>
    <x v="17"/>
    <x v="7"/>
    <x v="17"/>
    <s v="17IA15.96"/>
    <x v="0"/>
    <x v="0"/>
    <m/>
    <m/>
    <m/>
  </r>
  <r>
    <s v="YK262100083"/>
    <x v="0"/>
    <x v="0"/>
    <n v="1"/>
    <x v="0"/>
    <d v="2026-06-05T12:16:22"/>
    <x v="17"/>
    <x v="7"/>
    <x v="17"/>
    <s v="17IA15.96"/>
    <x v="0"/>
    <x v="0"/>
    <m/>
    <m/>
    <m/>
  </r>
  <r>
    <s v="YK262100084"/>
    <x v="0"/>
    <x v="0"/>
    <n v="1"/>
    <x v="0"/>
    <d v="2026-06-08T13:13:00"/>
    <x v="17"/>
    <x v="7"/>
    <x v="17"/>
    <s v="17IA15.96"/>
    <x v="0"/>
    <x v="0"/>
    <m/>
    <m/>
    <m/>
  </r>
  <r>
    <s v="YK262100085"/>
    <x v="0"/>
    <x v="0"/>
    <n v="1"/>
    <x v="0"/>
    <d v="2026-06-05T12:16:43"/>
    <x v="17"/>
    <x v="7"/>
    <x v="17"/>
    <s v="17IA15.96"/>
    <x v="0"/>
    <x v="0"/>
    <m/>
    <m/>
    <m/>
  </r>
  <r>
    <s v="YK262100086"/>
    <x v="0"/>
    <x v="0"/>
    <n v="1"/>
    <x v="0"/>
    <d v="2026-07-27T07:51:49"/>
    <x v="17"/>
    <x v="7"/>
    <x v="17"/>
    <s v="17IA15.96"/>
    <x v="0"/>
    <x v="0"/>
    <m/>
    <m/>
    <m/>
  </r>
  <r>
    <s v="YK262100087"/>
    <x v="0"/>
    <x v="0"/>
    <n v="1"/>
    <x v="0"/>
    <d v="2026-06-08T13:15:58"/>
    <x v="17"/>
    <x v="7"/>
    <x v="17"/>
    <s v="17IA15.96"/>
    <x v="0"/>
    <x v="0"/>
    <m/>
    <m/>
    <m/>
  </r>
  <r>
    <s v="YK262100088"/>
    <x v="0"/>
    <x v="0"/>
    <n v="1"/>
    <x v="0"/>
    <d v="2026-06-11T13:55:00"/>
    <x v="17"/>
    <x v="7"/>
    <x v="17"/>
    <s v="17IA15.96"/>
    <x v="0"/>
    <x v="0"/>
    <m/>
    <m/>
    <m/>
  </r>
  <r>
    <s v="YK262100089"/>
    <x v="0"/>
    <x v="0"/>
    <n v="1"/>
    <x v="0"/>
    <d v="2026-06-16T13:10:54"/>
    <x v="17"/>
    <x v="7"/>
    <x v="17"/>
    <s v="17IA15.96"/>
    <x v="0"/>
    <x v="0"/>
    <m/>
    <m/>
    <m/>
  </r>
  <r>
    <s v="YK262100090"/>
    <x v="0"/>
    <x v="0"/>
    <n v="1"/>
    <x v="0"/>
    <d v="2026-06-25T10:36:17"/>
    <x v="17"/>
    <x v="7"/>
    <x v="17"/>
    <s v="17IA15.96"/>
    <x v="0"/>
    <x v="0"/>
    <m/>
    <m/>
    <m/>
  </r>
  <r>
    <s v="YK262100091"/>
    <x v="0"/>
    <x v="0"/>
    <n v="1"/>
    <x v="0"/>
    <d v="2026-06-11T07:59:36"/>
    <x v="17"/>
    <x v="7"/>
    <x v="17"/>
    <s v="17IA15.96"/>
    <x v="0"/>
    <x v="0"/>
    <m/>
    <m/>
    <m/>
  </r>
  <r>
    <s v="YK262100092"/>
    <x v="0"/>
    <x v="0"/>
    <n v="1"/>
    <x v="0"/>
    <d v="2026-06-11T13:54:43"/>
    <x v="17"/>
    <x v="7"/>
    <x v="17"/>
    <s v="17IA15.96"/>
    <x v="0"/>
    <x v="0"/>
    <m/>
    <m/>
    <m/>
  </r>
  <r>
    <s v="YK262100093"/>
    <x v="0"/>
    <x v="0"/>
    <n v="1"/>
    <x v="0"/>
    <d v="2026-06-10T06:27:58"/>
    <x v="17"/>
    <x v="7"/>
    <x v="17"/>
    <s v="17IA15.96"/>
    <x v="0"/>
    <x v="0"/>
    <m/>
    <m/>
    <m/>
  </r>
  <r>
    <s v="YK262100094"/>
    <x v="0"/>
    <x v="0"/>
    <n v="1"/>
    <x v="0"/>
    <d v="2026-07-21T09:48:10"/>
    <x v="17"/>
    <x v="7"/>
    <x v="17"/>
    <s v="17IA15.96"/>
    <x v="0"/>
    <x v="0"/>
    <m/>
    <m/>
    <m/>
  </r>
  <r>
    <s v="YK262100095"/>
    <x v="0"/>
    <x v="0"/>
    <n v="1"/>
    <x v="0"/>
    <d v="2026-06-19T13:59:44"/>
    <x v="17"/>
    <x v="7"/>
    <x v="17"/>
    <s v="17IA15.96"/>
    <x v="0"/>
    <x v="0"/>
    <m/>
    <m/>
    <m/>
  </r>
  <r>
    <s v="YK262100096"/>
    <x v="0"/>
    <x v="0"/>
    <n v="1"/>
    <x v="0"/>
    <d v="2026-06-10T17:12:48"/>
    <x v="17"/>
    <x v="7"/>
    <x v="17"/>
    <s v="17IA15.96"/>
    <x v="0"/>
    <x v="0"/>
    <m/>
    <m/>
    <m/>
  </r>
  <r>
    <s v="YK262100097"/>
    <x v="1"/>
    <x v="1"/>
    <n v="1"/>
    <x v="1"/>
    <d v="2026-06-22T13:14:26"/>
    <x v="17"/>
    <x v="7"/>
    <x v="17"/>
    <s v="17IA15.96"/>
    <x v="0"/>
    <x v="0"/>
    <m/>
    <d v="2026-06-23T00:00:00"/>
    <m/>
  </r>
  <r>
    <s v="YK262100098"/>
    <x v="0"/>
    <x v="0"/>
    <n v="1"/>
    <x v="0"/>
    <d v="2026-06-10T10:46:36"/>
    <x v="17"/>
    <x v="7"/>
    <x v="17"/>
    <s v="17IA15.96"/>
    <x v="0"/>
    <x v="0"/>
    <m/>
    <m/>
    <m/>
  </r>
  <r>
    <s v="YK262100099"/>
    <x v="0"/>
    <x v="0"/>
    <n v="1"/>
    <x v="0"/>
    <d v="2026-06-17T14:07:07"/>
    <x v="17"/>
    <x v="7"/>
    <x v="17"/>
    <s v="17IA15.96"/>
    <x v="0"/>
    <x v="0"/>
    <m/>
    <m/>
    <m/>
  </r>
  <r>
    <s v="YK262100100"/>
    <x v="0"/>
    <x v="0"/>
    <n v="1"/>
    <x v="0"/>
    <d v="2026-06-13T06:25:22"/>
    <x v="17"/>
    <x v="7"/>
    <x v="17"/>
    <s v="17IA15.96"/>
    <x v="0"/>
    <x v="0"/>
    <m/>
    <m/>
    <m/>
  </r>
  <r>
    <s v="YK262100101"/>
    <x v="0"/>
    <x v="0"/>
    <n v="1"/>
    <x v="0"/>
    <d v="2026-06-23T15:26:31"/>
    <x v="17"/>
    <x v="7"/>
    <x v="17"/>
    <s v="17IA15.96"/>
    <x v="0"/>
    <x v="0"/>
    <m/>
    <m/>
    <m/>
  </r>
  <r>
    <s v="YK262100102"/>
    <x v="0"/>
    <x v="0"/>
    <n v="1"/>
    <x v="0"/>
    <d v="2026-06-19T12:04:42"/>
    <x v="17"/>
    <x v="7"/>
    <x v="17"/>
    <s v="17IA15.96"/>
    <x v="0"/>
    <x v="0"/>
    <m/>
    <m/>
    <m/>
  </r>
  <r>
    <s v="YK262100103"/>
    <x v="0"/>
    <x v="0"/>
    <n v="1"/>
    <x v="0"/>
    <d v="2026-06-24T13:25:53"/>
    <x v="17"/>
    <x v="7"/>
    <x v="17"/>
    <s v="17IA15.96"/>
    <x v="0"/>
    <x v="0"/>
    <m/>
    <m/>
    <m/>
  </r>
  <r>
    <s v="YK262100104"/>
    <x v="0"/>
    <x v="0"/>
    <n v="1"/>
    <x v="0"/>
    <d v="2026-06-23T13:19:41"/>
    <x v="17"/>
    <x v="7"/>
    <x v="17"/>
    <s v="17IA15.96"/>
    <x v="0"/>
    <x v="0"/>
    <m/>
    <m/>
    <m/>
  </r>
  <r>
    <s v="YK262100105"/>
    <x v="8"/>
    <x v="8"/>
    <n v="1"/>
    <x v="6"/>
    <d v="2026-08-31T08:00:52"/>
    <x v="17"/>
    <x v="7"/>
    <x v="17"/>
    <s v="17IA15.96"/>
    <x v="0"/>
    <x v="0"/>
    <m/>
    <m/>
    <m/>
  </r>
  <r>
    <s v="YK262100106"/>
    <x v="0"/>
    <x v="0"/>
    <n v="1"/>
    <x v="0"/>
    <d v="2026-06-13T11:13:39"/>
    <x v="17"/>
    <x v="7"/>
    <x v="17"/>
    <s v="17IA15.96"/>
    <x v="0"/>
    <x v="0"/>
    <m/>
    <m/>
    <m/>
  </r>
  <r>
    <s v="YK262100107"/>
    <x v="1"/>
    <x v="1"/>
    <n v="1"/>
    <x v="1"/>
    <d v="2026-06-22T13:24:40"/>
    <x v="17"/>
    <x v="7"/>
    <x v="17"/>
    <s v="17IA15.96"/>
    <x v="0"/>
    <x v="0"/>
    <m/>
    <d v="2026-06-23T00:00:00"/>
    <m/>
  </r>
  <r>
    <s v="YK262100108"/>
    <x v="0"/>
    <x v="0"/>
    <n v="1"/>
    <x v="0"/>
    <d v="2026-06-17T11:41:33"/>
    <x v="17"/>
    <x v="7"/>
    <x v="17"/>
    <s v="17IA15.96"/>
    <x v="0"/>
    <x v="0"/>
    <m/>
    <m/>
    <m/>
  </r>
  <r>
    <s v="YK262100109"/>
    <x v="0"/>
    <x v="0"/>
    <n v="1"/>
    <x v="0"/>
    <d v="2026-06-24T12:31:40"/>
    <x v="17"/>
    <x v="7"/>
    <x v="17"/>
    <s v="17IA15.96"/>
    <x v="0"/>
    <x v="0"/>
    <m/>
    <m/>
    <m/>
  </r>
  <r>
    <s v="YK262100110"/>
    <x v="0"/>
    <x v="0"/>
    <n v="1"/>
    <x v="0"/>
    <d v="2026-06-17T11:41:15"/>
    <x v="17"/>
    <x v="7"/>
    <x v="17"/>
    <s v="17IA15.96"/>
    <x v="0"/>
    <x v="0"/>
    <m/>
    <m/>
    <m/>
  </r>
  <r>
    <s v="YK262100111"/>
    <x v="0"/>
    <x v="0"/>
    <n v="1"/>
    <x v="0"/>
    <d v="2026-06-17T10:46:35"/>
    <x v="17"/>
    <x v="7"/>
    <x v="17"/>
    <s v="17IA15.96"/>
    <x v="0"/>
    <x v="0"/>
    <m/>
    <m/>
    <m/>
  </r>
  <r>
    <s v="YK262100112"/>
    <x v="0"/>
    <x v="0"/>
    <n v="1"/>
    <x v="0"/>
    <d v="2026-06-17T09:29:38"/>
    <x v="17"/>
    <x v="7"/>
    <x v="17"/>
    <s v="17IA15.96"/>
    <x v="0"/>
    <x v="0"/>
    <m/>
    <m/>
    <m/>
  </r>
  <r>
    <s v="YK262100113"/>
    <x v="0"/>
    <x v="0"/>
    <n v="1"/>
    <x v="0"/>
    <d v="2026-06-13T11:17:00"/>
    <x v="17"/>
    <x v="7"/>
    <x v="17"/>
    <s v="17IA15.96"/>
    <x v="0"/>
    <x v="0"/>
    <m/>
    <m/>
    <m/>
  </r>
  <r>
    <s v="YK262100114"/>
    <x v="0"/>
    <x v="0"/>
    <n v="1"/>
    <x v="0"/>
    <d v="2026-06-13T11:14:05"/>
    <x v="17"/>
    <x v="7"/>
    <x v="17"/>
    <s v="17IA15.96"/>
    <x v="0"/>
    <x v="0"/>
    <m/>
    <m/>
    <m/>
  </r>
  <r>
    <s v="YK262100115"/>
    <x v="0"/>
    <x v="0"/>
    <n v="1"/>
    <x v="0"/>
    <d v="2026-06-17T09:29:49"/>
    <x v="17"/>
    <x v="7"/>
    <x v="17"/>
    <s v="17IA15.96"/>
    <x v="0"/>
    <x v="0"/>
    <m/>
    <m/>
    <m/>
  </r>
  <r>
    <s v="YK262100116"/>
    <x v="0"/>
    <x v="0"/>
    <n v="1"/>
    <x v="0"/>
    <d v="2026-06-10T14:15:50"/>
    <x v="17"/>
    <x v="7"/>
    <x v="17"/>
    <s v="17IA15.96"/>
    <x v="0"/>
    <x v="0"/>
    <m/>
    <m/>
    <m/>
  </r>
  <r>
    <s v="YK262100117"/>
    <x v="0"/>
    <x v="0"/>
    <n v="1"/>
    <x v="0"/>
    <d v="2026-06-17T11:41:12"/>
    <x v="17"/>
    <x v="7"/>
    <x v="17"/>
    <s v="17IA15.96"/>
    <x v="0"/>
    <x v="0"/>
    <m/>
    <m/>
    <m/>
  </r>
  <r>
    <s v="YK262100118"/>
    <x v="0"/>
    <x v="0"/>
    <n v="1"/>
    <x v="0"/>
    <d v="2026-06-25T10:35:41"/>
    <x v="17"/>
    <x v="7"/>
    <x v="17"/>
    <s v="17IA15.96"/>
    <x v="0"/>
    <x v="0"/>
    <m/>
    <m/>
    <m/>
  </r>
  <r>
    <s v="YK262100119"/>
    <x v="0"/>
    <x v="0"/>
    <n v="1"/>
    <x v="0"/>
    <d v="2026-06-17T09:29:54"/>
    <x v="17"/>
    <x v="7"/>
    <x v="17"/>
    <s v="17IA15.96"/>
    <x v="0"/>
    <x v="0"/>
    <m/>
    <m/>
    <m/>
  </r>
  <r>
    <s v="YK262100120"/>
    <x v="3"/>
    <x v="3"/>
    <n v="1"/>
    <x v="3"/>
    <d v="2026-07-21T12:17:38"/>
    <x v="17"/>
    <x v="7"/>
    <x v="17"/>
    <s v="17IA15.96"/>
    <x v="0"/>
    <x v="0"/>
    <m/>
    <m/>
    <m/>
  </r>
  <r>
    <s v="YK262100121"/>
    <x v="4"/>
    <x v="4"/>
    <n v="1"/>
    <x v="4"/>
    <d v="2026-07-08T10:43:01"/>
    <x v="17"/>
    <x v="7"/>
    <x v="17"/>
    <s v="17IA15.96"/>
    <x v="0"/>
    <x v="0"/>
    <m/>
    <m/>
    <m/>
  </r>
  <r>
    <s v="YK262100122"/>
    <x v="0"/>
    <x v="0"/>
    <n v="1"/>
    <x v="0"/>
    <d v="2026-06-10T10:44:15"/>
    <x v="17"/>
    <x v="7"/>
    <x v="17"/>
    <s v="17IA15.96"/>
    <x v="0"/>
    <x v="0"/>
    <m/>
    <m/>
    <m/>
  </r>
  <r>
    <s v="YK262100123"/>
    <x v="0"/>
    <x v="0"/>
    <n v="1"/>
    <x v="0"/>
    <d v="2026-06-10T14:16:14"/>
    <x v="17"/>
    <x v="7"/>
    <x v="17"/>
    <s v="17IA15.96"/>
    <x v="0"/>
    <x v="0"/>
    <m/>
    <m/>
    <m/>
  </r>
  <r>
    <s v="YK262100124"/>
    <x v="0"/>
    <x v="0"/>
    <n v="1"/>
    <x v="0"/>
    <d v="2026-06-19T13:59:51"/>
    <x v="17"/>
    <x v="7"/>
    <x v="17"/>
    <s v="17IA15.96"/>
    <x v="0"/>
    <x v="0"/>
    <m/>
    <m/>
    <m/>
  </r>
  <r>
    <s v="YK262100125"/>
    <x v="0"/>
    <x v="0"/>
    <n v="1"/>
    <x v="0"/>
    <d v="2026-06-17T10:46:41"/>
    <x v="17"/>
    <x v="7"/>
    <x v="17"/>
    <s v="17IA15.96"/>
    <x v="0"/>
    <x v="0"/>
    <m/>
    <m/>
    <m/>
  </r>
  <r>
    <s v="YK262100126"/>
    <x v="0"/>
    <x v="0"/>
    <n v="1"/>
    <x v="0"/>
    <d v="2026-06-17T10:45:48"/>
    <x v="17"/>
    <x v="7"/>
    <x v="17"/>
    <s v="17IA15.96"/>
    <x v="0"/>
    <x v="0"/>
    <m/>
    <m/>
    <m/>
  </r>
  <r>
    <s v="YK262100127"/>
    <x v="0"/>
    <x v="0"/>
    <n v="1"/>
    <x v="0"/>
    <d v="2026-06-08T17:04:25"/>
    <x v="17"/>
    <x v="7"/>
    <x v="17"/>
    <s v="17IA15.96"/>
    <x v="0"/>
    <x v="0"/>
    <m/>
    <m/>
    <m/>
  </r>
  <r>
    <s v="YK262100128"/>
    <x v="0"/>
    <x v="0"/>
    <n v="1"/>
    <x v="0"/>
    <d v="2026-06-25T10:35:36"/>
    <x v="17"/>
    <x v="7"/>
    <x v="17"/>
    <s v="17IA15.96"/>
    <x v="0"/>
    <x v="0"/>
    <m/>
    <m/>
    <m/>
  </r>
  <r>
    <s v="YK262100129"/>
    <x v="0"/>
    <x v="0"/>
    <n v="1"/>
    <x v="0"/>
    <d v="2026-06-10T06:25:52"/>
    <x v="17"/>
    <x v="7"/>
    <x v="17"/>
    <s v="17IA15.96"/>
    <x v="0"/>
    <x v="0"/>
    <m/>
    <m/>
    <m/>
  </r>
  <r>
    <s v="YK262100130"/>
    <x v="0"/>
    <x v="0"/>
    <n v="1"/>
    <x v="0"/>
    <d v="2026-06-11T06:49:52"/>
    <x v="17"/>
    <x v="7"/>
    <x v="17"/>
    <s v="17IA15.96"/>
    <x v="0"/>
    <x v="0"/>
    <m/>
    <m/>
    <m/>
  </r>
  <r>
    <s v="YK262100131"/>
    <x v="0"/>
    <x v="0"/>
    <n v="1"/>
    <x v="0"/>
    <d v="2026-06-10T17:26:19"/>
    <x v="17"/>
    <x v="7"/>
    <x v="17"/>
    <s v="17IA15.96"/>
    <x v="0"/>
    <x v="0"/>
    <m/>
    <m/>
    <m/>
  </r>
  <r>
    <s v="YK262100132"/>
    <x v="0"/>
    <x v="0"/>
    <n v="1"/>
    <x v="0"/>
    <d v="2026-06-10T06:28:14"/>
    <x v="17"/>
    <x v="7"/>
    <x v="17"/>
    <s v="17IA15.96"/>
    <x v="0"/>
    <x v="0"/>
    <m/>
    <m/>
    <m/>
  </r>
  <r>
    <s v="YK262100133"/>
    <x v="0"/>
    <x v="0"/>
    <n v="1"/>
    <x v="0"/>
    <d v="2026-06-11T06:50:44"/>
    <x v="17"/>
    <x v="7"/>
    <x v="17"/>
    <s v="17IA15.96"/>
    <x v="0"/>
    <x v="0"/>
    <m/>
    <m/>
    <m/>
  </r>
  <r>
    <s v="YK262100134"/>
    <x v="4"/>
    <x v="4"/>
    <n v="1"/>
    <x v="4"/>
    <d v="2026-08-18T07:53:47"/>
    <x v="17"/>
    <x v="7"/>
    <x v="17"/>
    <s v="17IA15.96"/>
    <x v="0"/>
    <x v="0"/>
    <m/>
    <m/>
    <m/>
  </r>
  <r>
    <s v="YK262100135"/>
    <x v="0"/>
    <x v="0"/>
    <n v="1"/>
    <x v="0"/>
    <d v="2026-06-17T09:29:29"/>
    <x v="17"/>
    <x v="7"/>
    <x v="17"/>
    <s v="17IA15.96"/>
    <x v="0"/>
    <x v="0"/>
    <m/>
    <m/>
    <m/>
  </r>
  <r>
    <s v="YK262100136"/>
    <x v="0"/>
    <x v="0"/>
    <n v="1"/>
    <x v="0"/>
    <d v="2026-06-13T11:16:40"/>
    <x v="17"/>
    <x v="7"/>
    <x v="17"/>
    <s v="17IA15.96"/>
    <x v="0"/>
    <x v="0"/>
    <m/>
    <m/>
    <m/>
  </r>
  <r>
    <s v="YK262100137"/>
    <x v="1"/>
    <x v="1"/>
    <n v="1"/>
    <x v="1"/>
    <d v="2026-06-22T13:25:42"/>
    <x v="17"/>
    <x v="7"/>
    <x v="17"/>
    <s v="17IA15.96"/>
    <x v="0"/>
    <x v="0"/>
    <m/>
    <d v="2026-06-23T00:00:00"/>
    <m/>
  </r>
  <r>
    <s v="YK262100138"/>
    <x v="1"/>
    <x v="1"/>
    <n v="1"/>
    <x v="1"/>
    <d v="2026-06-22T13:24:09"/>
    <x v="17"/>
    <x v="7"/>
    <x v="17"/>
    <s v="17IA15.96"/>
    <x v="0"/>
    <x v="0"/>
    <m/>
    <d v="2026-06-23T00:00:00"/>
    <m/>
  </r>
  <r>
    <s v="YK262100139"/>
    <x v="0"/>
    <x v="0"/>
    <n v="1"/>
    <x v="0"/>
    <d v="2026-06-19T13:59:23"/>
    <x v="17"/>
    <x v="7"/>
    <x v="17"/>
    <s v="17IA15.96"/>
    <x v="0"/>
    <x v="0"/>
    <m/>
    <m/>
    <m/>
  </r>
  <r>
    <s v="YK262100140"/>
    <x v="0"/>
    <x v="0"/>
    <n v="1"/>
    <x v="0"/>
    <d v="2026-06-17T11:41:39"/>
    <x v="17"/>
    <x v="7"/>
    <x v="17"/>
    <s v="17IA15.96"/>
    <x v="0"/>
    <x v="0"/>
    <m/>
    <m/>
    <m/>
  </r>
  <r>
    <s v="YK262100141"/>
    <x v="0"/>
    <x v="0"/>
    <n v="1"/>
    <x v="0"/>
    <d v="2026-06-17T10:45:53"/>
    <x v="17"/>
    <x v="7"/>
    <x v="17"/>
    <s v="17IA15.96"/>
    <x v="0"/>
    <x v="0"/>
    <m/>
    <m/>
    <m/>
  </r>
  <r>
    <s v="YK262100142"/>
    <x v="1"/>
    <x v="1"/>
    <n v="1"/>
    <x v="1"/>
    <d v="2026-08-18T09:27:45"/>
    <x v="17"/>
    <x v="7"/>
    <x v="17"/>
    <s v="17IA15.96"/>
    <x v="0"/>
    <x v="0"/>
    <m/>
    <d v="2026-06-23T00:00:00"/>
    <m/>
  </r>
  <r>
    <s v="YK262100143"/>
    <x v="0"/>
    <x v="0"/>
    <n v="1"/>
    <x v="0"/>
    <d v="2026-06-26T12:27:47"/>
    <x v="17"/>
    <x v="7"/>
    <x v="17"/>
    <s v="17IA15.96"/>
    <x v="0"/>
    <x v="0"/>
    <m/>
    <m/>
    <m/>
  </r>
  <r>
    <s v="YK262100144"/>
    <x v="0"/>
    <x v="0"/>
    <n v="1"/>
    <x v="0"/>
    <d v="2026-06-19T13:59:26"/>
    <x v="17"/>
    <x v="7"/>
    <x v="17"/>
    <s v="17IA15.96"/>
    <x v="0"/>
    <x v="0"/>
    <m/>
    <m/>
    <m/>
  </r>
  <r>
    <s v="YK260400002"/>
    <x v="0"/>
    <x v="0"/>
    <n v="1"/>
    <x v="0"/>
    <d v="2026-02-19T13:11:57"/>
    <x v="18"/>
    <x v="8"/>
    <x v="18"/>
    <s v="17IA23.00"/>
    <x v="0"/>
    <x v="1"/>
    <m/>
    <m/>
    <m/>
  </r>
  <r>
    <s v="YK260400003"/>
    <x v="1"/>
    <x v="1"/>
    <n v="1"/>
    <x v="1"/>
    <d v="2026-02-17T12:28:44"/>
    <x v="18"/>
    <x v="8"/>
    <x v="18"/>
    <s v="17IA23.00"/>
    <x v="0"/>
    <x v="1"/>
    <m/>
    <d v="2026-02-05T00:00:00"/>
    <m/>
  </r>
  <r>
    <s v="YK260400004"/>
    <x v="1"/>
    <x v="1"/>
    <n v="1"/>
    <x v="1"/>
    <d v="2026-02-11T11:25:38"/>
    <x v="18"/>
    <x v="8"/>
    <x v="18"/>
    <s v="17IA23.00"/>
    <x v="0"/>
    <x v="1"/>
    <m/>
    <d v="2026-02-11T00:00:00"/>
    <m/>
  </r>
  <r>
    <s v="YK260400005"/>
    <x v="1"/>
    <x v="1"/>
    <n v="1"/>
    <x v="1"/>
    <d v="2026-03-12T09:52:06"/>
    <x v="18"/>
    <x v="8"/>
    <x v="18"/>
    <s v="17IA23.00"/>
    <x v="0"/>
    <x v="1"/>
    <m/>
    <d v="2026-03-19T00:00:00"/>
    <m/>
  </r>
  <r>
    <s v="YK260400006"/>
    <x v="1"/>
    <x v="1"/>
    <n v="1"/>
    <x v="1"/>
    <d v="2026-03-10T11:11:06"/>
    <x v="18"/>
    <x v="8"/>
    <x v="18"/>
    <s v="17IA23.00"/>
    <x v="0"/>
    <x v="1"/>
    <m/>
    <d v="2026-03-11T00:00:00"/>
    <m/>
  </r>
  <r>
    <s v="YK260400007"/>
    <x v="1"/>
    <x v="1"/>
    <n v="1"/>
    <x v="1"/>
    <d v="2026-06-10T09:59:24"/>
    <x v="18"/>
    <x v="8"/>
    <x v="18"/>
    <s v="17IA23.00"/>
    <x v="0"/>
    <x v="1"/>
    <m/>
    <m/>
    <m/>
  </r>
  <r>
    <s v="YK260400008"/>
    <x v="0"/>
    <x v="0"/>
    <n v="1"/>
    <x v="0"/>
    <d v="2026-03-11T07:40:30"/>
    <x v="18"/>
    <x v="8"/>
    <x v="18"/>
    <s v="17IA23.00"/>
    <x v="0"/>
    <x v="1"/>
    <m/>
    <m/>
    <m/>
  </r>
  <r>
    <s v="YK260400009"/>
    <x v="0"/>
    <x v="0"/>
    <n v="1"/>
    <x v="0"/>
    <d v="2026-02-18T10:29:06"/>
    <x v="18"/>
    <x v="8"/>
    <x v="18"/>
    <s v="17IA23.00"/>
    <x v="0"/>
    <x v="1"/>
    <m/>
    <m/>
    <m/>
  </r>
  <r>
    <s v="YK260400010"/>
    <x v="1"/>
    <x v="1"/>
    <n v="1"/>
    <x v="1"/>
    <d v="2026-06-10T10:38:45"/>
    <x v="18"/>
    <x v="8"/>
    <x v="18"/>
    <s v="17IA23.00"/>
    <x v="0"/>
    <x v="1"/>
    <m/>
    <m/>
    <m/>
  </r>
  <r>
    <s v="YK260400011"/>
    <x v="0"/>
    <x v="0"/>
    <n v="1"/>
    <x v="0"/>
    <d v="2026-02-20T09:35:59"/>
    <x v="18"/>
    <x v="8"/>
    <x v="18"/>
    <s v="17IA23.00"/>
    <x v="0"/>
    <x v="1"/>
    <m/>
    <m/>
    <m/>
  </r>
  <r>
    <s v="YK260400012"/>
    <x v="0"/>
    <x v="0"/>
    <n v="1"/>
    <x v="0"/>
    <d v="2026-03-19T06:44:25"/>
    <x v="18"/>
    <x v="8"/>
    <x v="18"/>
    <s v="17IA23.00"/>
    <x v="0"/>
    <x v="1"/>
    <m/>
    <m/>
    <m/>
  </r>
  <r>
    <s v="YK260400013"/>
    <x v="0"/>
    <x v="0"/>
    <n v="1"/>
    <x v="0"/>
    <d v="2026-03-16T12:06:41"/>
    <x v="18"/>
    <x v="8"/>
    <x v="18"/>
    <s v="17IA23.00"/>
    <x v="0"/>
    <x v="1"/>
    <m/>
    <m/>
    <m/>
  </r>
  <r>
    <s v="YK260400014"/>
    <x v="1"/>
    <x v="1"/>
    <n v="1"/>
    <x v="1"/>
    <d v="2026-06-10T10:39:49"/>
    <x v="18"/>
    <x v="8"/>
    <x v="18"/>
    <s v="17IA23.00"/>
    <x v="0"/>
    <x v="1"/>
    <m/>
    <m/>
    <m/>
  </r>
  <r>
    <s v="YK260400015"/>
    <x v="0"/>
    <x v="0"/>
    <n v="1"/>
    <x v="0"/>
    <d v="2026-02-19T07:39:06"/>
    <x v="18"/>
    <x v="8"/>
    <x v="18"/>
    <s v="17IA23.00"/>
    <x v="0"/>
    <x v="1"/>
    <m/>
    <m/>
    <m/>
  </r>
  <r>
    <s v="YK260400016"/>
    <x v="1"/>
    <x v="1"/>
    <n v="1"/>
    <x v="1"/>
    <d v="2026-03-30T13:11:00"/>
    <x v="18"/>
    <x v="8"/>
    <x v="18"/>
    <s v="17IA23.00"/>
    <x v="0"/>
    <x v="1"/>
    <m/>
    <m/>
    <m/>
  </r>
  <r>
    <s v="YK260400017"/>
    <x v="1"/>
    <x v="1"/>
    <n v="1"/>
    <x v="1"/>
    <d v="2026-06-10T10:44:29"/>
    <x v="18"/>
    <x v="8"/>
    <x v="18"/>
    <s v="17IA23.00"/>
    <x v="0"/>
    <x v="1"/>
    <m/>
    <m/>
    <m/>
  </r>
  <r>
    <s v="YK260400018"/>
    <x v="0"/>
    <x v="0"/>
    <n v="1"/>
    <x v="0"/>
    <d v="2026-02-19T10:46:52"/>
    <x v="18"/>
    <x v="8"/>
    <x v="18"/>
    <s v="17IA23.00"/>
    <x v="0"/>
    <x v="1"/>
    <m/>
    <m/>
    <m/>
  </r>
  <r>
    <s v="YK260400019"/>
    <x v="0"/>
    <x v="0"/>
    <n v="1"/>
    <x v="0"/>
    <d v="2026-02-18T09:54:04"/>
    <x v="18"/>
    <x v="8"/>
    <x v="18"/>
    <s v="17IA23.00"/>
    <x v="0"/>
    <x v="1"/>
    <m/>
    <m/>
    <m/>
  </r>
  <r>
    <s v="YK260400020"/>
    <x v="0"/>
    <x v="0"/>
    <n v="1"/>
    <x v="0"/>
    <d v="2026-03-10T14:24:50"/>
    <x v="18"/>
    <x v="8"/>
    <x v="18"/>
    <s v="17IA23.00"/>
    <x v="0"/>
    <x v="1"/>
    <m/>
    <m/>
    <m/>
  </r>
  <r>
    <s v="YK260400021"/>
    <x v="1"/>
    <x v="1"/>
    <n v="1"/>
    <x v="1"/>
    <d v="2026-06-10T10:47:03"/>
    <x v="18"/>
    <x v="8"/>
    <x v="18"/>
    <s v="17IA23.00"/>
    <x v="0"/>
    <x v="1"/>
    <m/>
    <m/>
    <m/>
  </r>
  <r>
    <s v="YK260400022"/>
    <x v="0"/>
    <x v="0"/>
    <n v="1"/>
    <x v="0"/>
    <d v="2026-03-16T09:00:33"/>
    <x v="18"/>
    <x v="8"/>
    <x v="18"/>
    <s v="17IA23.00"/>
    <x v="0"/>
    <x v="1"/>
    <m/>
    <m/>
    <m/>
  </r>
  <r>
    <s v="YK260400023"/>
    <x v="1"/>
    <x v="1"/>
    <n v="1"/>
    <x v="1"/>
    <d v="2026-03-30T13:12:28"/>
    <x v="18"/>
    <x v="8"/>
    <x v="18"/>
    <s v="17IA23.00"/>
    <x v="0"/>
    <x v="1"/>
    <m/>
    <m/>
    <m/>
  </r>
  <r>
    <s v="YK260400024"/>
    <x v="1"/>
    <x v="1"/>
    <n v="1"/>
    <x v="1"/>
    <d v="2026-06-10T10:48:49"/>
    <x v="18"/>
    <x v="8"/>
    <x v="18"/>
    <s v="17IA23.00"/>
    <x v="0"/>
    <x v="1"/>
    <m/>
    <m/>
    <m/>
  </r>
  <r>
    <s v="YK260400025"/>
    <x v="1"/>
    <x v="1"/>
    <n v="1"/>
    <x v="1"/>
    <d v="2026-06-10T10:49:49"/>
    <x v="18"/>
    <x v="8"/>
    <x v="18"/>
    <s v="17IA23.00"/>
    <x v="0"/>
    <x v="1"/>
    <m/>
    <m/>
    <m/>
  </r>
  <r>
    <s v="YK260400026"/>
    <x v="1"/>
    <x v="1"/>
    <n v="1"/>
    <x v="1"/>
    <d v="2026-02-11T11:20:12"/>
    <x v="18"/>
    <x v="8"/>
    <x v="18"/>
    <s v="17IA23.00"/>
    <x v="0"/>
    <x v="1"/>
    <m/>
    <d v="2026-02-11T00:00:00"/>
    <m/>
  </r>
  <r>
    <s v="YK261100002"/>
    <x v="1"/>
    <x v="1"/>
    <n v="1"/>
    <x v="1"/>
    <d v="2026-06-01T11:45:21"/>
    <x v="19"/>
    <x v="9"/>
    <x v="19"/>
    <s v="17IA24.00"/>
    <x v="0"/>
    <x v="1"/>
    <m/>
    <d v="2026-04-22T00:00:00"/>
    <m/>
  </r>
  <r>
    <s v="YK261100003"/>
    <x v="0"/>
    <x v="0"/>
    <n v="1"/>
    <x v="0"/>
    <d v="2026-05-07T13:26:46"/>
    <x v="19"/>
    <x v="9"/>
    <x v="19"/>
    <s v="17IA24.00"/>
    <x v="0"/>
    <x v="1"/>
    <m/>
    <m/>
    <m/>
  </r>
  <r>
    <s v="YK261100004"/>
    <x v="0"/>
    <x v="0"/>
    <n v="1"/>
    <x v="0"/>
    <d v="2026-05-08T09:00:56"/>
    <x v="19"/>
    <x v="9"/>
    <x v="19"/>
    <s v="17IA24.00"/>
    <x v="0"/>
    <x v="1"/>
    <m/>
    <m/>
    <m/>
  </r>
  <r>
    <s v="YK261100005"/>
    <x v="0"/>
    <x v="0"/>
    <n v="1"/>
    <x v="0"/>
    <d v="2026-05-07T09:55:22"/>
    <x v="19"/>
    <x v="9"/>
    <x v="19"/>
    <s v="17IA24.00"/>
    <x v="0"/>
    <x v="1"/>
    <m/>
    <m/>
    <m/>
  </r>
  <r>
    <s v="YK261100006"/>
    <x v="1"/>
    <x v="1"/>
    <n v="1"/>
    <x v="1"/>
    <d v="2026-06-01T11:46:22"/>
    <x v="19"/>
    <x v="9"/>
    <x v="19"/>
    <s v="17IA24.00"/>
    <x v="0"/>
    <x v="1"/>
    <m/>
    <d v="2026-04-22T00:00:00"/>
    <m/>
  </r>
  <r>
    <s v="YK261100007"/>
    <x v="0"/>
    <x v="0"/>
    <n v="1"/>
    <x v="0"/>
    <d v="2026-05-12T06:58:44"/>
    <x v="19"/>
    <x v="9"/>
    <x v="19"/>
    <s v="17IA24.00"/>
    <x v="0"/>
    <x v="1"/>
    <m/>
    <m/>
    <m/>
  </r>
  <r>
    <s v="YK261100008"/>
    <x v="0"/>
    <x v="0"/>
    <n v="1"/>
    <x v="0"/>
    <d v="2026-04-11T06:40:00"/>
    <x v="19"/>
    <x v="9"/>
    <x v="19"/>
    <s v="17IA24.00"/>
    <x v="0"/>
    <x v="1"/>
    <m/>
    <m/>
    <m/>
  </r>
  <r>
    <s v="YK261100009"/>
    <x v="1"/>
    <x v="1"/>
    <n v="1"/>
    <x v="1"/>
    <d v="2026-06-30T07:37:16"/>
    <x v="19"/>
    <x v="9"/>
    <x v="19"/>
    <s v="17IA24.00"/>
    <x v="0"/>
    <x v="1"/>
    <m/>
    <d v="2026-04-22T00:00:00"/>
    <m/>
  </r>
  <r>
    <s v="YK261100010"/>
    <x v="0"/>
    <x v="0"/>
    <n v="1"/>
    <x v="0"/>
    <d v="2026-05-11T10:56:59"/>
    <x v="19"/>
    <x v="9"/>
    <x v="19"/>
    <s v="17IA24.00"/>
    <x v="0"/>
    <x v="1"/>
    <m/>
    <m/>
    <m/>
  </r>
  <r>
    <s v="YK261100011"/>
    <x v="0"/>
    <x v="0"/>
    <n v="1"/>
    <x v="0"/>
    <d v="2026-04-13T13:29:23"/>
    <x v="19"/>
    <x v="9"/>
    <x v="19"/>
    <s v="17IA24.00"/>
    <x v="0"/>
    <x v="1"/>
    <m/>
    <m/>
    <m/>
  </r>
  <r>
    <s v="YK261100012"/>
    <x v="0"/>
    <x v="0"/>
    <n v="1"/>
    <x v="0"/>
    <d v="2026-05-08T10:05:36"/>
    <x v="19"/>
    <x v="9"/>
    <x v="19"/>
    <s v="17IA24.00"/>
    <x v="0"/>
    <x v="1"/>
    <m/>
    <m/>
    <m/>
  </r>
  <r>
    <s v="YK261100013"/>
    <x v="1"/>
    <x v="1"/>
    <n v="1"/>
    <x v="1"/>
    <d v="2026-05-28T06:52:25"/>
    <x v="19"/>
    <x v="9"/>
    <x v="19"/>
    <s v="17IA24.00"/>
    <x v="0"/>
    <x v="1"/>
    <m/>
    <d v="2026-05-28T00:00:00"/>
    <m/>
  </r>
  <r>
    <s v="YK261100014"/>
    <x v="1"/>
    <x v="1"/>
    <n v="1"/>
    <x v="1"/>
    <d v="2026-03-27T14:15:59"/>
    <x v="19"/>
    <x v="9"/>
    <x v="19"/>
    <s v="17IA24.00"/>
    <x v="0"/>
    <x v="1"/>
    <m/>
    <d v="2026-03-27T00:00:00"/>
    <m/>
  </r>
  <r>
    <s v="YK261100015"/>
    <x v="0"/>
    <x v="0"/>
    <n v="1"/>
    <x v="0"/>
    <d v="2026-08-27T13:16:18"/>
    <x v="19"/>
    <x v="9"/>
    <x v="19"/>
    <s v="17IA24.00"/>
    <x v="0"/>
    <x v="1"/>
    <s v="Returned back to be used on X12 unit"/>
    <d v="2026-04-22T00:00:00"/>
    <m/>
  </r>
  <r>
    <s v="YK261100016"/>
    <x v="0"/>
    <x v="0"/>
    <n v="1"/>
    <x v="0"/>
    <d v="2026-04-15T06:57:42"/>
    <x v="19"/>
    <x v="9"/>
    <x v="19"/>
    <s v="17IA24.00"/>
    <x v="0"/>
    <x v="1"/>
    <m/>
    <m/>
    <m/>
  </r>
  <r>
    <s v="YK261100017"/>
    <x v="1"/>
    <x v="1"/>
    <n v="1"/>
    <x v="1"/>
    <d v="2026-04-27T07:47:49"/>
    <x v="19"/>
    <x v="9"/>
    <x v="19"/>
    <s v="17IA24.00"/>
    <x v="0"/>
    <x v="1"/>
    <m/>
    <d v="2026-04-27T00:00:00"/>
    <m/>
  </r>
  <r>
    <s v="YK261100018"/>
    <x v="0"/>
    <x v="0"/>
    <n v="1"/>
    <x v="0"/>
    <d v="2026-05-12T10:43:58"/>
    <x v="19"/>
    <x v="9"/>
    <x v="19"/>
    <s v="17IA24.00"/>
    <x v="0"/>
    <x v="1"/>
    <m/>
    <m/>
    <m/>
  </r>
  <r>
    <s v="YK261100019"/>
    <x v="0"/>
    <x v="0"/>
    <n v="1"/>
    <x v="0"/>
    <d v="2026-05-11T07:24:34"/>
    <x v="19"/>
    <x v="9"/>
    <x v="19"/>
    <s v="17IA24.00"/>
    <x v="0"/>
    <x v="1"/>
    <m/>
    <m/>
    <m/>
  </r>
  <r>
    <s v="YK261100020"/>
    <x v="1"/>
    <x v="1"/>
    <n v="1"/>
    <x v="1"/>
    <d v="2026-06-10T09:15:26"/>
    <x v="19"/>
    <x v="9"/>
    <x v="19"/>
    <s v="17IA24.00"/>
    <x v="0"/>
    <x v="1"/>
    <m/>
    <d v="2026-05-21T00:00:00"/>
    <m/>
  </r>
  <r>
    <s v="YK261100021"/>
    <x v="1"/>
    <x v="1"/>
    <n v="1"/>
    <x v="1"/>
    <d v="2026-06-01T11:49:14"/>
    <x v="19"/>
    <x v="9"/>
    <x v="19"/>
    <s v="17IA24.00"/>
    <x v="0"/>
    <x v="1"/>
    <m/>
    <d v="2026-04-22T00:00:00"/>
    <m/>
  </r>
  <r>
    <s v="YK261100022"/>
    <x v="1"/>
    <x v="1"/>
    <n v="1"/>
    <x v="1"/>
    <d v="2026-06-01T11:50:23"/>
    <x v="19"/>
    <x v="9"/>
    <x v="19"/>
    <s v="17IA24.00"/>
    <x v="0"/>
    <x v="1"/>
    <m/>
    <d v="2026-04-22T00:00:00"/>
    <m/>
  </r>
  <r>
    <s v="YK261100023"/>
    <x v="1"/>
    <x v="1"/>
    <n v="1"/>
    <x v="1"/>
    <d v="2026-06-10T09:14:42"/>
    <x v="19"/>
    <x v="9"/>
    <x v="19"/>
    <s v="17IA24.00"/>
    <x v="0"/>
    <x v="1"/>
    <m/>
    <d v="2026-05-21T00:00:00"/>
    <m/>
  </r>
  <r>
    <s v="YK261100024"/>
    <x v="1"/>
    <x v="1"/>
    <n v="1"/>
    <x v="1"/>
    <d v="2026-06-01T11:51:25"/>
    <x v="19"/>
    <x v="9"/>
    <x v="19"/>
    <s v="17IA24.00"/>
    <x v="0"/>
    <x v="1"/>
    <m/>
    <d v="2026-04-22T00:00:00"/>
    <m/>
  </r>
  <r>
    <s v="YK261100025"/>
    <x v="0"/>
    <x v="0"/>
    <n v="1"/>
    <x v="0"/>
    <d v="2026-05-11T13:04:34"/>
    <x v="19"/>
    <x v="9"/>
    <x v="19"/>
    <s v="17IA24.00"/>
    <x v="0"/>
    <x v="1"/>
    <m/>
    <m/>
    <m/>
  </r>
  <r>
    <s v="YK261100026"/>
    <x v="0"/>
    <x v="0"/>
    <n v="1"/>
    <x v="0"/>
    <d v="2026-05-07T14:15:08"/>
    <x v="19"/>
    <x v="9"/>
    <x v="19"/>
    <s v="17IA24.00"/>
    <x v="0"/>
    <x v="1"/>
    <m/>
    <m/>
    <m/>
  </r>
  <r>
    <s v="YK261100027"/>
    <x v="1"/>
    <x v="1"/>
    <n v="1"/>
    <x v="1"/>
    <d v="2026-06-10T09:10:27"/>
    <x v="19"/>
    <x v="9"/>
    <x v="19"/>
    <s v="17IA24.00"/>
    <x v="0"/>
    <x v="1"/>
    <m/>
    <d v="2026-05-21T00:00:00"/>
    <m/>
  </r>
  <r>
    <s v="YK261100028"/>
    <x v="0"/>
    <x v="0"/>
    <n v="1"/>
    <x v="0"/>
    <d v="2026-04-11T10:59:12"/>
    <x v="19"/>
    <x v="9"/>
    <x v="19"/>
    <s v="17IA24.00"/>
    <x v="0"/>
    <x v="1"/>
    <m/>
    <m/>
    <m/>
  </r>
  <r>
    <s v="YK261100029"/>
    <x v="0"/>
    <x v="0"/>
    <n v="1"/>
    <x v="0"/>
    <d v="2026-05-06T11:36:49"/>
    <x v="19"/>
    <x v="9"/>
    <x v="19"/>
    <s v="17IA24.00"/>
    <x v="0"/>
    <x v="1"/>
    <m/>
    <m/>
    <m/>
  </r>
  <r>
    <s v="YK261100030"/>
    <x v="1"/>
    <x v="1"/>
    <n v="1"/>
    <x v="1"/>
    <d v="2026-06-10T09:11:20"/>
    <x v="19"/>
    <x v="9"/>
    <x v="19"/>
    <s v="17IA24.00"/>
    <x v="0"/>
    <x v="1"/>
    <m/>
    <d v="2026-05-21T00:00:00"/>
    <m/>
  </r>
  <r>
    <s v="YK261700001"/>
    <x v="0"/>
    <x v="0"/>
    <n v="1"/>
    <x v="0"/>
    <d v="2026-06-17T11:40:12"/>
    <x v="20"/>
    <x v="10"/>
    <x v="20"/>
    <s v="17IA24.10"/>
    <x v="0"/>
    <x v="1"/>
    <m/>
    <m/>
    <m/>
  </r>
  <r>
    <s v="YK261700002"/>
    <x v="13"/>
    <x v="13"/>
    <n v="1"/>
    <x v="6"/>
    <d v="2026-08-28T12:05:44"/>
    <x v="20"/>
    <x v="10"/>
    <x v="20"/>
    <s v="17IA24.10"/>
    <x v="0"/>
    <x v="1"/>
    <m/>
    <m/>
    <m/>
  </r>
  <r>
    <s v="YK261700003"/>
    <x v="0"/>
    <x v="0"/>
    <n v="1"/>
    <x v="0"/>
    <d v="2026-05-28T08:41:28"/>
    <x v="20"/>
    <x v="10"/>
    <x v="20"/>
    <s v="17IA24.10"/>
    <x v="0"/>
    <x v="1"/>
    <m/>
    <m/>
    <m/>
  </r>
  <r>
    <s v="YK261700004"/>
    <x v="0"/>
    <x v="0"/>
    <n v="1"/>
    <x v="0"/>
    <d v="2026-06-17T15:16:31"/>
    <x v="20"/>
    <x v="10"/>
    <x v="20"/>
    <s v="17IA24.10"/>
    <x v="0"/>
    <x v="1"/>
    <m/>
    <m/>
    <m/>
  </r>
  <r>
    <s v="YK261700005"/>
    <x v="0"/>
    <x v="0"/>
    <n v="1"/>
    <x v="0"/>
    <d v="2026-06-13T07:15:09"/>
    <x v="20"/>
    <x v="10"/>
    <x v="20"/>
    <s v="17IA24.10"/>
    <x v="0"/>
    <x v="1"/>
    <m/>
    <m/>
    <m/>
  </r>
  <r>
    <s v="YK261700006"/>
    <x v="0"/>
    <x v="0"/>
    <n v="1"/>
    <x v="0"/>
    <d v="2026-06-22T10:03:52"/>
    <x v="20"/>
    <x v="10"/>
    <x v="20"/>
    <s v="17IA24.10"/>
    <x v="0"/>
    <x v="1"/>
    <m/>
    <m/>
    <m/>
  </r>
  <r>
    <s v="YK261700007"/>
    <x v="0"/>
    <x v="0"/>
    <n v="1"/>
    <x v="0"/>
    <d v="2026-08-05T12:06:12"/>
    <x v="20"/>
    <x v="10"/>
    <x v="20"/>
    <s v="17IA24.10"/>
    <x v="0"/>
    <x v="1"/>
    <m/>
    <m/>
    <m/>
  </r>
  <r>
    <s v="YK261700008"/>
    <x v="0"/>
    <x v="0"/>
    <n v="1"/>
    <x v="0"/>
    <d v="2026-06-10T14:57:46"/>
    <x v="20"/>
    <x v="10"/>
    <x v="20"/>
    <s v="17IA24.10"/>
    <x v="0"/>
    <x v="1"/>
    <m/>
    <m/>
    <m/>
  </r>
  <r>
    <s v="YK261700009"/>
    <x v="0"/>
    <x v="0"/>
    <n v="1"/>
    <x v="0"/>
    <d v="2026-06-17T11:21:43"/>
    <x v="20"/>
    <x v="10"/>
    <x v="20"/>
    <s v="17IA24.10"/>
    <x v="0"/>
    <x v="1"/>
    <m/>
    <m/>
    <m/>
  </r>
  <r>
    <s v="YK261700010"/>
    <x v="0"/>
    <x v="0"/>
    <n v="1"/>
    <x v="0"/>
    <d v="2026-07-23T09:24:54"/>
    <x v="20"/>
    <x v="10"/>
    <x v="20"/>
    <s v="17IA24.10"/>
    <x v="0"/>
    <x v="1"/>
    <m/>
    <m/>
    <m/>
  </r>
  <r>
    <s v="YK261700011"/>
    <x v="0"/>
    <x v="0"/>
    <n v="1"/>
    <x v="0"/>
    <d v="2026-06-06T12:54:18"/>
    <x v="20"/>
    <x v="10"/>
    <x v="20"/>
    <s v="17IA24.10"/>
    <x v="0"/>
    <x v="1"/>
    <m/>
    <m/>
    <m/>
  </r>
  <r>
    <s v="YK261700012"/>
    <x v="0"/>
    <x v="0"/>
    <n v="1"/>
    <x v="0"/>
    <d v="2026-06-08T17:39:28"/>
    <x v="20"/>
    <x v="10"/>
    <x v="20"/>
    <s v="17IA24.10"/>
    <x v="0"/>
    <x v="1"/>
    <m/>
    <m/>
    <m/>
  </r>
  <r>
    <s v="YK261700013"/>
    <x v="0"/>
    <x v="0"/>
    <n v="1"/>
    <x v="0"/>
    <d v="2026-06-17T13:25:42"/>
    <x v="20"/>
    <x v="10"/>
    <x v="20"/>
    <s v="17IA24.10"/>
    <x v="0"/>
    <x v="1"/>
    <m/>
    <m/>
    <m/>
  </r>
  <r>
    <s v="YK261700014"/>
    <x v="0"/>
    <x v="0"/>
    <n v="1"/>
    <x v="0"/>
    <d v="2026-06-13T11:42:05"/>
    <x v="20"/>
    <x v="10"/>
    <x v="20"/>
    <s v="17IA24.10"/>
    <x v="0"/>
    <x v="1"/>
    <m/>
    <m/>
    <m/>
  </r>
  <r>
    <s v="YK261700015"/>
    <x v="0"/>
    <x v="0"/>
    <n v="1"/>
    <x v="0"/>
    <d v="2026-05-28T12:12:29"/>
    <x v="20"/>
    <x v="10"/>
    <x v="20"/>
    <s v="17IA24.10"/>
    <x v="0"/>
    <x v="1"/>
    <m/>
    <m/>
    <m/>
  </r>
  <r>
    <s v="YK261700016"/>
    <x v="0"/>
    <x v="0"/>
    <n v="1"/>
    <x v="0"/>
    <d v="2026-06-11T07:46:12"/>
    <x v="20"/>
    <x v="10"/>
    <x v="20"/>
    <s v="17IA24.10"/>
    <x v="0"/>
    <x v="1"/>
    <m/>
    <m/>
    <m/>
  </r>
  <r>
    <s v="YK261700017"/>
    <x v="0"/>
    <x v="0"/>
    <n v="1"/>
    <x v="0"/>
    <d v="2026-05-28T12:02:40"/>
    <x v="20"/>
    <x v="10"/>
    <x v="20"/>
    <s v="17IA24.10"/>
    <x v="0"/>
    <x v="1"/>
    <m/>
    <m/>
    <m/>
  </r>
  <r>
    <s v="YK261700018"/>
    <x v="0"/>
    <x v="0"/>
    <n v="1"/>
    <x v="0"/>
    <d v="2026-06-16T13:56:17"/>
    <x v="20"/>
    <x v="10"/>
    <x v="20"/>
    <s v="17IA24.10"/>
    <x v="0"/>
    <x v="1"/>
    <m/>
    <m/>
    <m/>
  </r>
  <r>
    <s v="YK261700019"/>
    <x v="0"/>
    <x v="0"/>
    <n v="1"/>
    <x v="0"/>
    <d v="2026-05-27T09:21:53"/>
    <x v="20"/>
    <x v="10"/>
    <x v="20"/>
    <s v="17IA24.10"/>
    <x v="0"/>
    <x v="1"/>
    <m/>
    <m/>
    <m/>
  </r>
  <r>
    <s v="YK261700020"/>
    <x v="0"/>
    <x v="0"/>
    <n v="1"/>
    <x v="0"/>
    <d v="2026-06-17T14:39:50"/>
    <x v="20"/>
    <x v="10"/>
    <x v="20"/>
    <s v="17IA24.10"/>
    <x v="0"/>
    <x v="1"/>
    <m/>
    <m/>
    <m/>
  </r>
  <r>
    <s v="YK261700021"/>
    <x v="0"/>
    <x v="0"/>
    <n v="1"/>
    <x v="0"/>
    <d v="2026-06-05T13:44:01"/>
    <x v="20"/>
    <x v="10"/>
    <x v="20"/>
    <s v="17IA24.10"/>
    <x v="0"/>
    <x v="1"/>
    <m/>
    <m/>
    <m/>
  </r>
  <r>
    <s v="YK261700022"/>
    <x v="0"/>
    <x v="0"/>
    <n v="1"/>
    <x v="0"/>
    <d v="2026-06-19T13:54:13"/>
    <x v="20"/>
    <x v="10"/>
    <x v="20"/>
    <s v="17IA24.10"/>
    <x v="0"/>
    <x v="1"/>
    <m/>
    <m/>
    <m/>
  </r>
  <r>
    <s v="YK261700023"/>
    <x v="0"/>
    <x v="0"/>
    <n v="1"/>
    <x v="0"/>
    <d v="2026-07-29T21:01:32"/>
    <x v="20"/>
    <x v="10"/>
    <x v="20"/>
    <s v="17IA24.10"/>
    <x v="0"/>
    <x v="1"/>
    <m/>
    <m/>
    <m/>
  </r>
  <r>
    <s v="YK261700024"/>
    <x v="0"/>
    <x v="0"/>
    <n v="1"/>
    <x v="0"/>
    <d v="2026-05-27T09:39:47"/>
    <x v="20"/>
    <x v="10"/>
    <x v="20"/>
    <s v="17IA24.10"/>
    <x v="0"/>
    <x v="1"/>
    <m/>
    <m/>
    <m/>
  </r>
  <r>
    <s v="YK261700025"/>
    <x v="0"/>
    <x v="0"/>
    <n v="1"/>
    <x v="0"/>
    <d v="2026-06-11T10:33:59"/>
    <x v="20"/>
    <x v="10"/>
    <x v="20"/>
    <s v="17IA24.10"/>
    <x v="0"/>
    <x v="1"/>
    <m/>
    <m/>
    <m/>
  </r>
  <r>
    <s v="YK261700026"/>
    <x v="0"/>
    <x v="0"/>
    <n v="1"/>
    <x v="0"/>
    <d v="2026-06-10T17:46:40"/>
    <x v="20"/>
    <x v="10"/>
    <x v="20"/>
    <s v="17IA24.10"/>
    <x v="0"/>
    <x v="1"/>
    <m/>
    <m/>
    <m/>
  </r>
  <r>
    <s v="YK261700027"/>
    <x v="0"/>
    <x v="0"/>
    <n v="1"/>
    <x v="0"/>
    <d v="2026-06-10T06:38:08"/>
    <x v="20"/>
    <x v="10"/>
    <x v="20"/>
    <s v="17IA24.10"/>
    <x v="0"/>
    <x v="1"/>
    <m/>
    <m/>
    <m/>
  </r>
  <r>
    <s v="YK261700028"/>
    <x v="0"/>
    <x v="0"/>
    <n v="1"/>
    <x v="0"/>
    <d v="2026-08-05T12:05:45"/>
    <x v="20"/>
    <x v="10"/>
    <x v="20"/>
    <s v="17IA24.10"/>
    <x v="0"/>
    <x v="1"/>
    <m/>
    <m/>
    <m/>
  </r>
  <r>
    <s v="YK261700029"/>
    <x v="0"/>
    <x v="0"/>
    <n v="1"/>
    <x v="0"/>
    <d v="2026-06-08T13:39:44"/>
    <x v="20"/>
    <x v="10"/>
    <x v="20"/>
    <s v="17IA24.10"/>
    <x v="0"/>
    <x v="1"/>
    <m/>
    <m/>
    <m/>
  </r>
  <r>
    <s v="YK261700030"/>
    <x v="0"/>
    <x v="0"/>
    <n v="1"/>
    <x v="0"/>
    <d v="2026-06-13T13:01:17"/>
    <x v="20"/>
    <x v="10"/>
    <x v="20"/>
    <s v="17IA24.10"/>
    <x v="0"/>
    <x v="1"/>
    <m/>
    <m/>
    <m/>
  </r>
  <r>
    <s v="YK261700031"/>
    <x v="2"/>
    <x v="2"/>
    <n v="1"/>
    <x v="2"/>
    <d v="2026-08-19T13:49:58"/>
    <x v="20"/>
    <x v="10"/>
    <x v="20"/>
    <s v="17IA24.10"/>
    <x v="0"/>
    <x v="1"/>
    <m/>
    <m/>
    <m/>
  </r>
  <r>
    <s v="YK261700032"/>
    <x v="0"/>
    <x v="0"/>
    <n v="1"/>
    <x v="0"/>
    <d v="2026-05-28T09:26:00"/>
    <x v="20"/>
    <x v="10"/>
    <x v="20"/>
    <s v="17IA24.10"/>
    <x v="0"/>
    <x v="1"/>
    <m/>
    <m/>
    <m/>
  </r>
  <r>
    <s v="YK261700033"/>
    <x v="0"/>
    <x v="0"/>
    <n v="1"/>
    <x v="0"/>
    <d v="2026-07-07T13:38:17"/>
    <x v="20"/>
    <x v="10"/>
    <x v="20"/>
    <s v="17IA24.10"/>
    <x v="0"/>
    <x v="1"/>
    <m/>
    <m/>
    <m/>
  </r>
  <r>
    <s v="YK261700034"/>
    <x v="0"/>
    <x v="0"/>
    <n v="1"/>
    <x v="0"/>
    <d v="2026-07-09T13:15:43"/>
    <x v="20"/>
    <x v="10"/>
    <x v="20"/>
    <s v="17IA24.10"/>
    <x v="0"/>
    <x v="1"/>
    <m/>
    <m/>
    <m/>
  </r>
  <r>
    <s v="YK261700035"/>
    <x v="0"/>
    <x v="0"/>
    <n v="1"/>
    <x v="0"/>
    <d v="2026-05-28T08:30:31"/>
    <x v="20"/>
    <x v="10"/>
    <x v="20"/>
    <s v="17IA24.10"/>
    <x v="0"/>
    <x v="1"/>
    <m/>
    <m/>
    <m/>
  </r>
  <r>
    <s v="YK261700036"/>
    <x v="3"/>
    <x v="3"/>
    <n v="1"/>
    <x v="3"/>
    <d v="2026-08-10T17:25:52"/>
    <x v="20"/>
    <x v="10"/>
    <x v="20"/>
    <s v="17IA24.10"/>
    <x v="0"/>
    <x v="1"/>
    <m/>
    <m/>
    <m/>
  </r>
  <r>
    <s v="YK261700037"/>
    <x v="0"/>
    <x v="0"/>
    <n v="1"/>
    <x v="0"/>
    <d v="2026-06-11T15:55:27"/>
    <x v="20"/>
    <x v="10"/>
    <x v="20"/>
    <s v="17IA24.10"/>
    <x v="0"/>
    <x v="1"/>
    <m/>
    <m/>
    <m/>
  </r>
  <r>
    <s v="YK261700038"/>
    <x v="0"/>
    <x v="0"/>
    <n v="1"/>
    <x v="0"/>
    <d v="2026-05-27T09:34:47"/>
    <x v="20"/>
    <x v="10"/>
    <x v="20"/>
    <s v="17IA24.10"/>
    <x v="0"/>
    <x v="1"/>
    <m/>
    <m/>
    <m/>
  </r>
  <r>
    <s v="YK261700039"/>
    <x v="0"/>
    <x v="0"/>
    <n v="1"/>
    <x v="0"/>
    <d v="2026-05-28T12:13:31"/>
    <x v="20"/>
    <x v="10"/>
    <x v="20"/>
    <s v="17IA24.10"/>
    <x v="0"/>
    <x v="1"/>
    <m/>
    <m/>
    <m/>
  </r>
  <r>
    <s v="YK261700040"/>
    <x v="0"/>
    <x v="0"/>
    <n v="1"/>
    <x v="0"/>
    <d v="2026-06-23T13:52:15"/>
    <x v="20"/>
    <x v="10"/>
    <x v="20"/>
    <s v="17IA24.10"/>
    <x v="0"/>
    <x v="1"/>
    <m/>
    <m/>
    <m/>
  </r>
  <r>
    <s v="YK261700041"/>
    <x v="0"/>
    <x v="0"/>
    <n v="1"/>
    <x v="0"/>
    <d v="2026-05-27T13:17:49"/>
    <x v="20"/>
    <x v="10"/>
    <x v="20"/>
    <s v="17IA24.10"/>
    <x v="0"/>
    <x v="1"/>
    <m/>
    <m/>
    <m/>
  </r>
  <r>
    <s v="YK262500378"/>
    <x v="1"/>
    <x v="1"/>
    <n v="1"/>
    <x v="1"/>
    <d v="2026-08-07T13:51:19"/>
    <x v="21"/>
    <x v="11"/>
    <x v="21"/>
    <s v="17IA24.20"/>
    <x v="0"/>
    <x v="1"/>
    <m/>
    <d v="2026-08-07T00:00:00"/>
    <m/>
  </r>
  <r>
    <s v="YK262500379"/>
    <x v="8"/>
    <x v="8"/>
    <n v="1"/>
    <x v="6"/>
    <d v="2026-09-08T13:50:43"/>
    <x v="21"/>
    <x v="11"/>
    <x v="21"/>
    <s v="17IA24.20"/>
    <x v="0"/>
    <x v="1"/>
    <m/>
    <m/>
    <m/>
  </r>
  <r>
    <s v="YK262500380"/>
    <x v="8"/>
    <x v="8"/>
    <n v="1"/>
    <x v="6"/>
    <d v="2026-09-08T13:51:54"/>
    <x v="21"/>
    <x v="11"/>
    <x v="21"/>
    <s v="17IA24.20"/>
    <x v="0"/>
    <x v="1"/>
    <m/>
    <m/>
    <m/>
  </r>
  <r>
    <s v="YK262500381"/>
    <x v="1"/>
    <x v="1"/>
    <n v="1"/>
    <x v="1"/>
    <d v="2026-08-07T13:52:04"/>
    <x v="21"/>
    <x v="11"/>
    <x v="21"/>
    <s v="17IA24.20"/>
    <x v="0"/>
    <x v="1"/>
    <m/>
    <d v="2026-08-07T00:00:00"/>
    <m/>
  </r>
  <r>
    <s v="YK262500382"/>
    <x v="8"/>
    <x v="8"/>
    <n v="1"/>
    <x v="6"/>
    <d v="2026-09-08T13:52:44"/>
    <x v="21"/>
    <x v="11"/>
    <x v="21"/>
    <s v="17IA24.20"/>
    <x v="0"/>
    <x v="1"/>
    <m/>
    <m/>
    <m/>
  </r>
  <r>
    <s v="YK262500383"/>
    <x v="3"/>
    <x v="3"/>
    <n v="1"/>
    <x v="3"/>
    <d v="2026-08-11T06:59:08"/>
    <x v="21"/>
    <x v="11"/>
    <x v="21"/>
    <s v="17IA24.20"/>
    <x v="0"/>
    <x v="1"/>
    <m/>
    <m/>
    <m/>
  </r>
  <r>
    <s v="YK262500384"/>
    <x v="1"/>
    <x v="1"/>
    <n v="1"/>
    <x v="1"/>
    <d v="2026-07-21T06:25:09"/>
    <x v="21"/>
    <x v="11"/>
    <x v="21"/>
    <s v="17IA24.20"/>
    <x v="0"/>
    <x v="1"/>
    <m/>
    <d v="2026-07-21T00:00:00"/>
    <m/>
  </r>
  <r>
    <s v="YK262500385"/>
    <x v="8"/>
    <x v="8"/>
    <n v="1"/>
    <x v="6"/>
    <d v="2026-09-08T13:54:48"/>
    <x v="21"/>
    <x v="11"/>
    <x v="21"/>
    <s v="17IA24.20"/>
    <x v="0"/>
    <x v="1"/>
    <m/>
    <m/>
    <m/>
  </r>
  <r>
    <s v="YK262500386"/>
    <x v="1"/>
    <x v="1"/>
    <n v="1"/>
    <x v="1"/>
    <d v="2026-07-23T14:20:26"/>
    <x v="21"/>
    <x v="11"/>
    <x v="21"/>
    <s v="17IA24.20"/>
    <x v="0"/>
    <x v="1"/>
    <m/>
    <d v="2026-07-23T00:00:00"/>
    <m/>
  </r>
  <r>
    <s v="YK262500387"/>
    <x v="8"/>
    <x v="8"/>
    <n v="1"/>
    <x v="6"/>
    <d v="2026-09-08T13:55:47"/>
    <x v="21"/>
    <x v="11"/>
    <x v="21"/>
    <s v="17IA24.20"/>
    <x v="0"/>
    <x v="1"/>
    <m/>
    <m/>
    <m/>
  </r>
  <r>
    <s v="YK262500388"/>
    <x v="8"/>
    <x v="8"/>
    <n v="1"/>
    <x v="6"/>
    <d v="2026-09-08T13:56:40"/>
    <x v="21"/>
    <x v="11"/>
    <x v="21"/>
    <s v="17IA24.20"/>
    <x v="0"/>
    <x v="1"/>
    <m/>
    <m/>
    <m/>
  </r>
  <r>
    <s v="YK262500389"/>
    <x v="8"/>
    <x v="8"/>
    <n v="1"/>
    <x v="6"/>
    <d v="2026-09-09T11:25:31"/>
    <x v="21"/>
    <x v="11"/>
    <x v="21"/>
    <s v="17IA24.20"/>
    <x v="0"/>
    <x v="1"/>
    <m/>
    <m/>
    <m/>
  </r>
  <r>
    <s v="YK262500390"/>
    <x v="1"/>
    <x v="1"/>
    <n v="1"/>
    <x v="1"/>
    <d v="2026-07-23T14:20:48"/>
    <x v="21"/>
    <x v="11"/>
    <x v="21"/>
    <s v="17IA24.20"/>
    <x v="0"/>
    <x v="1"/>
    <m/>
    <d v="2026-07-23T00:00:00"/>
    <m/>
  </r>
  <r>
    <s v="YK262500391"/>
    <x v="8"/>
    <x v="8"/>
    <n v="1"/>
    <x v="6"/>
    <d v="2026-09-08T13:57:48"/>
    <x v="21"/>
    <x v="11"/>
    <x v="21"/>
    <s v="17IA24.20"/>
    <x v="0"/>
    <x v="1"/>
    <m/>
    <m/>
    <m/>
  </r>
  <r>
    <s v="YK262500392"/>
    <x v="8"/>
    <x v="8"/>
    <n v="1"/>
    <x v="6"/>
    <d v="2026-09-08T13:59:08"/>
    <x v="21"/>
    <x v="11"/>
    <x v="21"/>
    <s v="17IA24.20"/>
    <x v="0"/>
    <x v="1"/>
    <m/>
    <m/>
    <m/>
  </r>
  <r>
    <s v="YK262500393"/>
    <x v="8"/>
    <x v="8"/>
    <n v="1"/>
    <x v="6"/>
    <d v="2026-09-08T14:03:51"/>
    <x v="21"/>
    <x v="11"/>
    <x v="21"/>
    <s v="17IA24.20"/>
    <x v="0"/>
    <x v="1"/>
    <m/>
    <m/>
    <m/>
  </r>
  <r>
    <s v="YK262500394"/>
    <x v="8"/>
    <x v="8"/>
    <n v="1"/>
    <x v="6"/>
    <d v="2026-09-09T08:42:02"/>
    <x v="21"/>
    <x v="11"/>
    <x v="21"/>
    <s v="17IA24.20"/>
    <x v="0"/>
    <x v="1"/>
    <m/>
    <m/>
    <m/>
  </r>
  <r>
    <s v="YK262500395"/>
    <x v="1"/>
    <x v="1"/>
    <n v="1"/>
    <x v="1"/>
    <d v="2026-08-07T13:53:30"/>
    <x v="21"/>
    <x v="11"/>
    <x v="21"/>
    <s v="17IA24.20"/>
    <x v="0"/>
    <x v="1"/>
    <m/>
    <d v="2026-08-07T00:00:00"/>
    <m/>
  </r>
  <r>
    <s v="YK262500396"/>
    <x v="0"/>
    <x v="0"/>
    <n v="1"/>
    <x v="0"/>
    <d v="2026-08-25T16:24:43"/>
    <x v="21"/>
    <x v="11"/>
    <x v="21"/>
    <s v="17IA24.20"/>
    <x v="0"/>
    <x v="1"/>
    <m/>
    <m/>
    <m/>
  </r>
  <r>
    <s v="YK262500397"/>
    <x v="0"/>
    <x v="0"/>
    <n v="1"/>
    <x v="0"/>
    <d v="2026-08-25T12:03:18"/>
    <x v="21"/>
    <x v="11"/>
    <x v="21"/>
    <s v="17IA24.20"/>
    <x v="0"/>
    <x v="1"/>
    <m/>
    <m/>
    <m/>
  </r>
  <r>
    <s v="YK262500398"/>
    <x v="1"/>
    <x v="1"/>
    <n v="1"/>
    <x v="1"/>
    <d v="2026-08-07T13:52:36"/>
    <x v="21"/>
    <x v="11"/>
    <x v="21"/>
    <s v="17IA24.20"/>
    <x v="0"/>
    <x v="1"/>
    <m/>
    <d v="2026-08-07T00:00:00"/>
    <m/>
  </r>
  <r>
    <s v="YK262500399"/>
    <x v="1"/>
    <x v="1"/>
    <n v="1"/>
    <x v="1"/>
    <d v="2026-08-07T13:50:10"/>
    <x v="21"/>
    <x v="11"/>
    <x v="21"/>
    <s v="17IA24.20"/>
    <x v="0"/>
    <x v="1"/>
    <m/>
    <d v="2026-08-07T00:00:00"/>
    <m/>
  </r>
  <r>
    <s v="YK262500400"/>
    <x v="8"/>
    <x v="8"/>
    <n v="1"/>
    <x v="6"/>
    <d v="2026-09-08T13:49:30"/>
    <x v="21"/>
    <x v="11"/>
    <x v="21"/>
    <s v="17IA24.20"/>
    <x v="0"/>
    <x v="1"/>
    <m/>
    <m/>
    <m/>
  </r>
  <r>
    <s v="YK262500401"/>
    <x v="8"/>
    <x v="8"/>
    <n v="1"/>
    <x v="6"/>
    <d v="2026-09-09T11:44:42"/>
    <x v="21"/>
    <x v="11"/>
    <x v="21"/>
    <s v="17IA24.20"/>
    <x v="0"/>
    <x v="1"/>
    <m/>
    <m/>
    <m/>
  </r>
  <r>
    <s v="YK262500402"/>
    <x v="8"/>
    <x v="8"/>
    <n v="1"/>
    <x v="6"/>
    <d v="2026-09-08T14:04:48"/>
    <x v="21"/>
    <x v="11"/>
    <x v="21"/>
    <s v="17IA24.20"/>
    <x v="0"/>
    <x v="1"/>
    <m/>
    <m/>
    <m/>
  </r>
  <r>
    <s v="YK262500403"/>
    <x v="1"/>
    <x v="1"/>
    <n v="1"/>
    <x v="1"/>
    <d v="2026-08-07T13:54:41"/>
    <x v="21"/>
    <x v="11"/>
    <x v="21"/>
    <s v="17IA24.20"/>
    <x v="0"/>
    <x v="1"/>
    <m/>
    <d v="2026-08-07T00:00:00"/>
    <m/>
  </r>
  <r>
    <s v="YK262500404"/>
    <x v="8"/>
    <x v="8"/>
    <n v="1"/>
    <x v="6"/>
    <d v="2026-09-08T14:05:35"/>
    <x v="21"/>
    <x v="11"/>
    <x v="21"/>
    <s v="17IA24.20"/>
    <x v="0"/>
    <x v="1"/>
    <m/>
    <m/>
    <m/>
  </r>
  <r>
    <s v="YK262500405"/>
    <x v="1"/>
    <x v="1"/>
    <n v="1"/>
    <x v="1"/>
    <d v="2026-08-07T13:53:59"/>
    <x v="21"/>
    <x v="11"/>
    <x v="21"/>
    <s v="17IA24.20"/>
    <x v="0"/>
    <x v="1"/>
    <m/>
    <d v="2026-08-07T00:00:00"/>
    <m/>
  </r>
  <r>
    <s v="YK262500406"/>
    <x v="8"/>
    <x v="8"/>
    <n v="1"/>
    <x v="6"/>
    <d v="2026-09-08T13:25:10"/>
    <x v="21"/>
    <x v="11"/>
    <x v="21"/>
    <s v="17IA24.20"/>
    <x v="0"/>
    <x v="1"/>
    <m/>
    <m/>
    <m/>
  </r>
  <r>
    <s v="YK263300250"/>
    <x v="14"/>
    <x v="14"/>
    <n v="1"/>
    <x v="2"/>
    <d v="2026-08-14T09:02:43"/>
    <x v="22"/>
    <x v="11"/>
    <x v="22"/>
    <s v="17IA24.30"/>
    <x v="0"/>
    <x v="1"/>
    <m/>
    <m/>
    <m/>
  </r>
  <r>
    <s v="YK263300251"/>
    <x v="15"/>
    <x v="15"/>
    <n v="1"/>
    <x v="2"/>
    <d v="2026-08-15T10:36:35"/>
    <x v="22"/>
    <x v="11"/>
    <x v="22"/>
    <s v="17IA24.30"/>
    <x v="0"/>
    <x v="1"/>
    <m/>
    <m/>
    <m/>
  </r>
  <r>
    <s v="YK263300252"/>
    <x v="14"/>
    <x v="14"/>
    <n v="1"/>
    <x v="2"/>
    <d v="2026-08-27T05:24:51"/>
    <x v="22"/>
    <x v="11"/>
    <x v="22"/>
    <s v="17IA24.30"/>
    <x v="0"/>
    <x v="1"/>
    <m/>
    <m/>
    <m/>
  </r>
  <r>
    <s v="YK263300253"/>
    <x v="9"/>
    <x v="9"/>
    <n v="1"/>
    <x v="2"/>
    <d v="2026-08-27T15:02:26"/>
    <x v="22"/>
    <x v="11"/>
    <x v="22"/>
    <s v="17IA24.30"/>
    <x v="0"/>
    <x v="1"/>
    <m/>
    <m/>
    <m/>
  </r>
  <r>
    <s v="YK263300254"/>
    <x v="9"/>
    <x v="9"/>
    <n v="1"/>
    <x v="2"/>
    <d v="2026-08-27T15:27:52"/>
    <x v="22"/>
    <x v="11"/>
    <x v="22"/>
    <s v="17IA24.30"/>
    <x v="0"/>
    <x v="1"/>
    <m/>
    <m/>
    <m/>
  </r>
  <r>
    <s v="YK263300255"/>
    <x v="14"/>
    <x v="14"/>
    <n v="1"/>
    <x v="2"/>
    <d v="2026-08-27T06:01:28"/>
    <x v="22"/>
    <x v="11"/>
    <x v="22"/>
    <s v="17IA24.30"/>
    <x v="0"/>
    <x v="1"/>
    <m/>
    <m/>
    <m/>
  </r>
  <r>
    <s v="YK263300256"/>
    <x v="9"/>
    <x v="9"/>
    <n v="1"/>
    <x v="2"/>
    <d v="2026-08-27T15:21:41"/>
    <x v="22"/>
    <x v="11"/>
    <x v="22"/>
    <s v="17IA24.30"/>
    <x v="0"/>
    <x v="1"/>
    <m/>
    <m/>
    <m/>
  </r>
  <r>
    <s v="YK263300257"/>
    <x v="9"/>
    <x v="9"/>
    <n v="1"/>
    <x v="2"/>
    <d v="2026-08-27T15:27:23"/>
    <x v="22"/>
    <x v="11"/>
    <x v="22"/>
    <s v="17IA24.30"/>
    <x v="0"/>
    <x v="1"/>
    <m/>
    <m/>
    <m/>
  </r>
  <r>
    <s v="YK263300258"/>
    <x v="9"/>
    <x v="9"/>
    <n v="1"/>
    <x v="2"/>
    <d v="2026-08-14T12:13:47"/>
    <x v="22"/>
    <x v="11"/>
    <x v="22"/>
    <s v="17IA24.30"/>
    <x v="0"/>
    <x v="1"/>
    <m/>
    <m/>
    <m/>
  </r>
  <r>
    <s v="YK263300259"/>
    <x v="9"/>
    <x v="9"/>
    <n v="1"/>
    <x v="2"/>
    <d v="2026-08-14T12:14:37"/>
    <x v="22"/>
    <x v="11"/>
    <x v="22"/>
    <s v="17IA24.30"/>
    <x v="0"/>
    <x v="1"/>
    <m/>
    <m/>
    <m/>
  </r>
  <r>
    <s v="YK263300260"/>
    <x v="9"/>
    <x v="9"/>
    <n v="1"/>
    <x v="2"/>
    <d v="2026-08-14T12:14:55"/>
    <x v="22"/>
    <x v="11"/>
    <x v="22"/>
    <s v="17IA24.30"/>
    <x v="0"/>
    <x v="1"/>
    <m/>
    <m/>
    <m/>
  </r>
  <r>
    <s v="YK263300261"/>
    <x v="9"/>
    <x v="9"/>
    <n v="1"/>
    <x v="2"/>
    <d v="2026-08-14T12:15:03"/>
    <x v="22"/>
    <x v="11"/>
    <x v="22"/>
    <s v="17IA24.30"/>
    <x v="0"/>
    <x v="1"/>
    <m/>
    <m/>
    <m/>
  </r>
  <r>
    <s v="YK263300262"/>
    <x v="9"/>
    <x v="9"/>
    <n v="1"/>
    <x v="2"/>
    <d v="2026-08-14T13:31:53"/>
    <x v="22"/>
    <x v="11"/>
    <x v="22"/>
    <s v="17IA24.30"/>
    <x v="0"/>
    <x v="1"/>
    <m/>
    <m/>
    <m/>
  </r>
  <r>
    <s v="YK263300263"/>
    <x v="15"/>
    <x v="15"/>
    <n v="1"/>
    <x v="2"/>
    <d v="2026-09-05T11:48:13"/>
    <x v="22"/>
    <x v="11"/>
    <x v="22"/>
    <s v="17IA24.30"/>
    <x v="0"/>
    <x v="1"/>
    <m/>
    <m/>
    <m/>
  </r>
  <r>
    <s v="YK263300264"/>
    <x v="9"/>
    <x v="9"/>
    <n v="1"/>
    <x v="2"/>
    <d v="2026-08-14T13:42:25"/>
    <x v="22"/>
    <x v="11"/>
    <x v="22"/>
    <s v="17IA24.30"/>
    <x v="0"/>
    <x v="1"/>
    <m/>
    <m/>
    <m/>
  </r>
  <r>
    <s v="YK263300265"/>
    <x v="9"/>
    <x v="9"/>
    <n v="1"/>
    <x v="2"/>
    <d v="2026-08-27T15:06:59"/>
    <x v="22"/>
    <x v="11"/>
    <x v="22"/>
    <s v="17IA24.30"/>
    <x v="0"/>
    <x v="1"/>
    <m/>
    <m/>
    <m/>
  </r>
  <r>
    <s v="YK263300266"/>
    <x v="9"/>
    <x v="9"/>
    <n v="1"/>
    <x v="2"/>
    <d v="2026-08-27T15:13:52"/>
    <x v="22"/>
    <x v="11"/>
    <x v="22"/>
    <s v="17IA24.30"/>
    <x v="0"/>
    <x v="1"/>
    <m/>
    <m/>
    <m/>
  </r>
  <r>
    <s v="YK263300267"/>
    <x v="9"/>
    <x v="9"/>
    <n v="1"/>
    <x v="2"/>
    <d v="2026-08-14T14:00:00"/>
    <x v="22"/>
    <x v="11"/>
    <x v="22"/>
    <s v="17IA24.30"/>
    <x v="0"/>
    <x v="1"/>
    <m/>
    <m/>
    <m/>
  </r>
  <r>
    <s v="YK263300268"/>
    <x v="9"/>
    <x v="9"/>
    <n v="1"/>
    <x v="2"/>
    <d v="2026-08-14T14:13:23"/>
    <x v="22"/>
    <x v="11"/>
    <x v="22"/>
    <s v="17IA24.30"/>
    <x v="0"/>
    <x v="1"/>
    <m/>
    <m/>
    <m/>
  </r>
  <r>
    <s v="YK263300269"/>
    <x v="9"/>
    <x v="9"/>
    <n v="1"/>
    <x v="2"/>
    <d v="2026-08-14T14:16:26"/>
    <x v="22"/>
    <x v="11"/>
    <x v="22"/>
    <s v="17IA24.30"/>
    <x v="0"/>
    <x v="1"/>
    <m/>
    <m/>
    <m/>
  </r>
  <r>
    <s v="YK263300270"/>
    <x v="9"/>
    <x v="9"/>
    <n v="1"/>
    <x v="2"/>
    <d v="2026-08-14T14:16:31"/>
    <x v="22"/>
    <x v="11"/>
    <x v="22"/>
    <s v="17IA24.30"/>
    <x v="0"/>
    <x v="1"/>
    <m/>
    <m/>
    <m/>
  </r>
  <r>
    <s v="YK263300271"/>
    <x v="9"/>
    <x v="9"/>
    <n v="1"/>
    <x v="2"/>
    <d v="2026-08-14T14:18:12"/>
    <x v="22"/>
    <x v="11"/>
    <x v="22"/>
    <s v="17IA24.30"/>
    <x v="0"/>
    <x v="1"/>
    <m/>
    <m/>
    <m/>
  </r>
  <r>
    <s v="YK263300272"/>
    <x v="9"/>
    <x v="9"/>
    <n v="1"/>
    <x v="2"/>
    <d v="2026-08-14T14:31:23"/>
    <x v="22"/>
    <x v="11"/>
    <x v="22"/>
    <s v="17IA24.30"/>
    <x v="0"/>
    <x v="1"/>
    <m/>
    <m/>
    <m/>
  </r>
  <r>
    <s v="YK263300273"/>
    <x v="9"/>
    <x v="9"/>
    <n v="1"/>
    <x v="2"/>
    <d v="2026-08-14T14:33:59"/>
    <x v="22"/>
    <x v="11"/>
    <x v="22"/>
    <s v="17IA24.30"/>
    <x v="0"/>
    <x v="1"/>
    <m/>
    <m/>
    <m/>
  </r>
  <r>
    <s v="YK263300274"/>
    <x v="9"/>
    <x v="9"/>
    <n v="1"/>
    <x v="2"/>
    <d v="2026-08-14T14:38:55"/>
    <x v="22"/>
    <x v="11"/>
    <x v="22"/>
    <s v="17IA24.30"/>
    <x v="0"/>
    <x v="1"/>
    <m/>
    <m/>
    <m/>
  </r>
  <r>
    <s v="YK263300275"/>
    <x v="9"/>
    <x v="9"/>
    <n v="1"/>
    <x v="2"/>
    <d v="2026-08-14T15:03:00"/>
    <x v="22"/>
    <x v="11"/>
    <x v="22"/>
    <s v="17IA24.30"/>
    <x v="0"/>
    <x v="1"/>
    <m/>
    <m/>
    <m/>
  </r>
  <r>
    <s v="YK263300276"/>
    <x v="9"/>
    <x v="9"/>
    <n v="1"/>
    <x v="2"/>
    <d v="2026-08-14T15:03:07"/>
    <x v="22"/>
    <x v="11"/>
    <x v="22"/>
    <s v="17IA24.30"/>
    <x v="0"/>
    <x v="1"/>
    <m/>
    <m/>
    <m/>
  </r>
  <r>
    <s v="YK263300277"/>
    <x v="9"/>
    <x v="9"/>
    <n v="1"/>
    <x v="2"/>
    <d v="2026-08-14T15:51:15"/>
    <x v="22"/>
    <x v="11"/>
    <x v="22"/>
    <s v="17IA24.30"/>
    <x v="0"/>
    <x v="1"/>
    <m/>
    <m/>
    <m/>
  </r>
  <r>
    <s v="YK263300278"/>
    <x v="9"/>
    <x v="9"/>
    <n v="1"/>
    <x v="2"/>
    <d v="2026-08-14T15:51:44"/>
    <x v="22"/>
    <x v="11"/>
    <x v="22"/>
    <s v="17IA24.30"/>
    <x v="0"/>
    <x v="1"/>
    <m/>
    <m/>
    <m/>
  </r>
  <r>
    <s v="YK263300279"/>
    <x v="9"/>
    <x v="9"/>
    <n v="1"/>
    <x v="2"/>
    <d v="2026-09-01T15:46:13"/>
    <x v="22"/>
    <x v="11"/>
    <x v="22"/>
    <s v="17IA24.30"/>
    <x v="0"/>
    <x v="1"/>
    <m/>
    <m/>
    <m/>
  </r>
  <r>
    <s v="YK263300280"/>
    <x v="16"/>
    <x v="16"/>
    <n v="1"/>
    <x v="6"/>
    <d v="2026-08-20T15:18:22"/>
    <x v="22"/>
    <x v="11"/>
    <x v="22"/>
    <s v="17IA24.30"/>
    <x v="0"/>
    <x v="1"/>
    <m/>
    <m/>
    <m/>
  </r>
  <r>
    <s v="YK263300281"/>
    <x v="15"/>
    <x v="15"/>
    <n v="1"/>
    <x v="2"/>
    <d v="2026-08-27T10:03:27"/>
    <x v="22"/>
    <x v="11"/>
    <x v="22"/>
    <s v="17IA24.30"/>
    <x v="0"/>
    <x v="1"/>
    <m/>
    <m/>
    <m/>
  </r>
  <r>
    <s v="YK263300282"/>
    <x v="14"/>
    <x v="14"/>
    <n v="1"/>
    <x v="2"/>
    <d v="2026-08-27T04:59:00"/>
    <x v="22"/>
    <x v="11"/>
    <x v="22"/>
    <s v="17IA24.30"/>
    <x v="0"/>
    <x v="1"/>
    <m/>
    <m/>
    <m/>
  </r>
  <r>
    <s v="YK263300283"/>
    <x v="15"/>
    <x v="15"/>
    <n v="1"/>
    <x v="2"/>
    <d v="2026-08-27T11:01:46"/>
    <x v="22"/>
    <x v="11"/>
    <x v="22"/>
    <s v="17IA24.30"/>
    <x v="0"/>
    <x v="1"/>
    <m/>
    <m/>
    <m/>
  </r>
  <r>
    <s v="YK263300284"/>
    <x v="15"/>
    <x v="15"/>
    <n v="1"/>
    <x v="2"/>
    <d v="2026-09-02T06:12:59"/>
    <x v="22"/>
    <x v="11"/>
    <x v="22"/>
    <s v="17IA24.30"/>
    <x v="0"/>
    <x v="1"/>
    <m/>
    <m/>
    <m/>
  </r>
  <r>
    <s v="YK263300285"/>
    <x v="9"/>
    <x v="9"/>
    <n v="1"/>
    <x v="2"/>
    <d v="2026-08-27T15:15:29"/>
    <x v="22"/>
    <x v="11"/>
    <x v="22"/>
    <s v="17IA24.30"/>
    <x v="0"/>
    <x v="1"/>
    <m/>
    <m/>
    <m/>
  </r>
  <r>
    <s v="YK263300286"/>
    <x v="15"/>
    <x v="15"/>
    <n v="1"/>
    <x v="2"/>
    <d v="2026-08-24T13:54:43"/>
    <x v="22"/>
    <x v="11"/>
    <x v="22"/>
    <s v="17IA24.30"/>
    <x v="0"/>
    <x v="1"/>
    <m/>
    <m/>
    <m/>
  </r>
  <r>
    <s v="YK263300287"/>
    <x v="15"/>
    <x v="15"/>
    <n v="1"/>
    <x v="2"/>
    <d v="2026-08-27T10:27:00"/>
    <x v="22"/>
    <x v="11"/>
    <x v="22"/>
    <s v="17IA24.30"/>
    <x v="0"/>
    <x v="1"/>
    <m/>
    <m/>
    <m/>
  </r>
  <r>
    <s v="YK263300288"/>
    <x v="15"/>
    <x v="15"/>
    <n v="1"/>
    <x v="2"/>
    <d v="2026-08-27T09:57:57"/>
    <x v="22"/>
    <x v="11"/>
    <x v="22"/>
    <s v="17IA24.30"/>
    <x v="0"/>
    <x v="1"/>
    <m/>
    <m/>
    <m/>
  </r>
  <r>
    <s v="YK263300289"/>
    <x v="9"/>
    <x v="9"/>
    <n v="1"/>
    <x v="2"/>
    <d v="2026-09-01T13:59:56"/>
    <x v="22"/>
    <x v="11"/>
    <x v="22"/>
    <s v="17IA24.30"/>
    <x v="0"/>
    <x v="1"/>
    <m/>
    <m/>
    <m/>
  </r>
  <r>
    <s v="YK263300290"/>
    <x v="9"/>
    <x v="9"/>
    <n v="1"/>
    <x v="2"/>
    <d v="2026-08-27T14:50:11"/>
    <x v="22"/>
    <x v="11"/>
    <x v="22"/>
    <s v="17IA24.30"/>
    <x v="0"/>
    <x v="1"/>
    <m/>
    <m/>
    <m/>
  </r>
  <r>
    <s v="YK263300291"/>
    <x v="15"/>
    <x v="15"/>
    <n v="1"/>
    <x v="2"/>
    <d v="2026-09-05T12:12:31"/>
    <x v="22"/>
    <x v="11"/>
    <x v="22"/>
    <s v="17IA24.30"/>
    <x v="0"/>
    <x v="1"/>
    <m/>
    <m/>
    <m/>
  </r>
  <r>
    <s v="YK263300292"/>
    <x v="14"/>
    <x v="14"/>
    <n v="1"/>
    <x v="2"/>
    <d v="2026-08-27T16:21:38"/>
    <x v="22"/>
    <x v="11"/>
    <x v="22"/>
    <s v="17IA24.30"/>
    <x v="0"/>
    <x v="1"/>
    <m/>
    <m/>
    <m/>
  </r>
  <r>
    <s v="YK263300293"/>
    <x v="15"/>
    <x v="15"/>
    <n v="1"/>
    <x v="2"/>
    <d v="2026-09-05T13:22:12"/>
    <x v="22"/>
    <x v="11"/>
    <x v="22"/>
    <s v="17IA24.30"/>
    <x v="0"/>
    <x v="1"/>
    <m/>
    <m/>
    <m/>
  </r>
  <r>
    <s v="YK263300294"/>
    <x v="15"/>
    <x v="15"/>
    <n v="1"/>
    <x v="2"/>
    <d v="2026-08-24T14:14:24"/>
    <x v="22"/>
    <x v="11"/>
    <x v="22"/>
    <s v="17IA24.30"/>
    <x v="0"/>
    <x v="1"/>
    <m/>
    <m/>
    <m/>
  </r>
  <r>
    <s v="YK263300295"/>
    <x v="9"/>
    <x v="9"/>
    <n v="1"/>
    <x v="2"/>
    <d v="2026-08-27T14:43:06"/>
    <x v="22"/>
    <x v="11"/>
    <x v="22"/>
    <s v="17IA24.30"/>
    <x v="0"/>
    <x v="1"/>
    <m/>
    <m/>
    <m/>
  </r>
  <r>
    <s v="YK263300296"/>
    <x v="15"/>
    <x v="15"/>
    <n v="1"/>
    <x v="2"/>
    <d v="2026-08-27T16:13:48"/>
    <x v="22"/>
    <x v="11"/>
    <x v="22"/>
    <s v="17IA24.30"/>
    <x v="0"/>
    <x v="1"/>
    <m/>
    <m/>
    <m/>
  </r>
  <r>
    <s v="YK263300297"/>
    <x v="15"/>
    <x v="15"/>
    <n v="1"/>
    <x v="2"/>
    <d v="2026-09-01T13:30:34"/>
    <x v="22"/>
    <x v="11"/>
    <x v="22"/>
    <s v="17IA24.30"/>
    <x v="0"/>
    <x v="1"/>
    <m/>
    <m/>
    <m/>
  </r>
  <r>
    <s v="YK263300298"/>
    <x v="15"/>
    <x v="15"/>
    <n v="1"/>
    <x v="2"/>
    <d v="2026-09-01T15:42:31"/>
    <x v="22"/>
    <x v="11"/>
    <x v="22"/>
    <s v="17IA24.30"/>
    <x v="0"/>
    <x v="1"/>
    <m/>
    <m/>
    <m/>
  </r>
  <r>
    <s v="YK263300299"/>
    <x v="15"/>
    <x v="15"/>
    <n v="1"/>
    <x v="2"/>
    <d v="2026-08-27T15:50:51"/>
    <x v="22"/>
    <x v="11"/>
    <x v="22"/>
    <s v="17IA24.30"/>
    <x v="0"/>
    <x v="1"/>
    <m/>
    <m/>
    <m/>
  </r>
  <r>
    <s v="YK263300300"/>
    <x v="2"/>
    <x v="2"/>
    <n v="1"/>
    <x v="2"/>
    <d v="2026-09-09T09:57:08"/>
    <x v="22"/>
    <x v="11"/>
    <x v="22"/>
    <s v="17IA24.30"/>
    <x v="0"/>
    <x v="1"/>
    <m/>
    <m/>
    <m/>
  </r>
  <r>
    <s v="YK263300301"/>
    <x v="14"/>
    <x v="14"/>
    <n v="1"/>
    <x v="2"/>
    <d v="2026-08-27T16:28:21"/>
    <x v="22"/>
    <x v="11"/>
    <x v="22"/>
    <s v="17IA24.30"/>
    <x v="0"/>
    <x v="1"/>
    <m/>
    <m/>
    <m/>
  </r>
  <r>
    <s v="YK262300890"/>
    <x v="0"/>
    <x v="0"/>
    <n v="1"/>
    <x v="0"/>
    <d v="2026-06-24T14:13:32"/>
    <x v="23"/>
    <x v="10"/>
    <x v="23"/>
    <s v="17IA25.30"/>
    <x v="0"/>
    <x v="1"/>
    <m/>
    <m/>
    <m/>
  </r>
  <r>
    <s v="YK262300891"/>
    <x v="0"/>
    <x v="0"/>
    <n v="1"/>
    <x v="0"/>
    <d v="2026-06-26T13:25:57"/>
    <x v="23"/>
    <x v="10"/>
    <x v="23"/>
    <s v="17IA25.30"/>
    <x v="0"/>
    <x v="1"/>
    <m/>
    <m/>
    <m/>
  </r>
  <r>
    <s v="YK262300892"/>
    <x v="0"/>
    <x v="0"/>
    <n v="1"/>
    <x v="0"/>
    <d v="2026-07-28T09:36:58"/>
    <x v="23"/>
    <x v="10"/>
    <x v="23"/>
    <s v="17IA25.30"/>
    <x v="0"/>
    <x v="1"/>
    <m/>
    <m/>
    <m/>
  </r>
  <r>
    <s v="YK262300893"/>
    <x v="0"/>
    <x v="0"/>
    <n v="1"/>
    <x v="0"/>
    <d v="2026-07-02T09:41:13"/>
    <x v="23"/>
    <x v="10"/>
    <x v="23"/>
    <s v="17IA25.30"/>
    <x v="0"/>
    <x v="1"/>
    <m/>
    <m/>
    <m/>
  </r>
  <r>
    <s v="YK262300894"/>
    <x v="0"/>
    <x v="0"/>
    <n v="1"/>
    <x v="0"/>
    <d v="2026-07-14T14:31:59"/>
    <x v="23"/>
    <x v="10"/>
    <x v="23"/>
    <s v="17IA25.30"/>
    <x v="0"/>
    <x v="1"/>
    <m/>
    <m/>
    <m/>
  </r>
  <r>
    <s v="YK262300895"/>
    <x v="0"/>
    <x v="0"/>
    <n v="1"/>
    <x v="0"/>
    <d v="2026-07-14T07:33:34"/>
    <x v="23"/>
    <x v="10"/>
    <x v="23"/>
    <s v="17IA25.30"/>
    <x v="0"/>
    <x v="1"/>
    <m/>
    <m/>
    <m/>
  </r>
  <r>
    <s v="YK262300896"/>
    <x v="0"/>
    <x v="0"/>
    <n v="1"/>
    <x v="0"/>
    <d v="2026-06-26T06:48:31"/>
    <x v="23"/>
    <x v="10"/>
    <x v="23"/>
    <s v="17IA25.30"/>
    <x v="0"/>
    <x v="1"/>
    <m/>
    <m/>
    <m/>
  </r>
  <r>
    <s v="YK262300897"/>
    <x v="0"/>
    <x v="0"/>
    <n v="1"/>
    <x v="0"/>
    <d v="2026-07-16T10:51:02"/>
    <x v="23"/>
    <x v="10"/>
    <x v="23"/>
    <s v="17IA25.30"/>
    <x v="0"/>
    <x v="1"/>
    <m/>
    <m/>
    <m/>
  </r>
  <r>
    <s v="YK262300898"/>
    <x v="0"/>
    <x v="0"/>
    <n v="1"/>
    <x v="0"/>
    <d v="2026-07-06T12:12:37"/>
    <x v="23"/>
    <x v="10"/>
    <x v="23"/>
    <s v="17IA25.30"/>
    <x v="0"/>
    <x v="1"/>
    <m/>
    <m/>
    <m/>
  </r>
  <r>
    <s v="YK262300899"/>
    <x v="0"/>
    <x v="0"/>
    <n v="1"/>
    <x v="0"/>
    <d v="2026-07-17T06:07:16"/>
    <x v="23"/>
    <x v="10"/>
    <x v="23"/>
    <s v="17IA25.30"/>
    <x v="0"/>
    <x v="1"/>
    <m/>
    <m/>
    <m/>
  </r>
  <r>
    <s v="YK262300900"/>
    <x v="17"/>
    <x v="17"/>
    <n v="1"/>
    <x v="3"/>
    <d v="2026-06-26T09:20:20"/>
    <x v="23"/>
    <x v="10"/>
    <x v="23"/>
    <s v="17IA25.30"/>
    <x v="0"/>
    <x v="1"/>
    <m/>
    <m/>
    <m/>
  </r>
  <r>
    <s v="YK262300901"/>
    <x v="0"/>
    <x v="0"/>
    <n v="1"/>
    <x v="0"/>
    <d v="2026-06-24T14:05:45"/>
    <x v="23"/>
    <x v="10"/>
    <x v="23"/>
    <s v="17IA25.30"/>
    <x v="0"/>
    <x v="1"/>
    <m/>
    <m/>
    <m/>
  </r>
  <r>
    <s v="YK262300902"/>
    <x v="0"/>
    <x v="0"/>
    <n v="1"/>
    <x v="0"/>
    <d v="2026-07-21T13:42:40"/>
    <x v="23"/>
    <x v="10"/>
    <x v="23"/>
    <s v="17IA25.30"/>
    <x v="0"/>
    <x v="1"/>
    <m/>
    <m/>
    <m/>
  </r>
  <r>
    <s v="YK262300903"/>
    <x v="0"/>
    <x v="0"/>
    <n v="1"/>
    <x v="0"/>
    <d v="2026-08-12T11:03:03"/>
    <x v="23"/>
    <x v="10"/>
    <x v="23"/>
    <s v="17IA25.30"/>
    <x v="0"/>
    <x v="1"/>
    <m/>
    <m/>
    <m/>
  </r>
  <r>
    <s v="YK262300904"/>
    <x v="0"/>
    <x v="0"/>
    <n v="1"/>
    <x v="0"/>
    <d v="2026-07-23T10:59:07"/>
    <x v="23"/>
    <x v="10"/>
    <x v="23"/>
    <s v="17IA25.30"/>
    <x v="0"/>
    <x v="1"/>
    <m/>
    <m/>
    <m/>
  </r>
  <r>
    <s v="YK262300905"/>
    <x v="0"/>
    <x v="0"/>
    <n v="1"/>
    <x v="0"/>
    <d v="2026-07-13T09:45:37"/>
    <x v="23"/>
    <x v="10"/>
    <x v="23"/>
    <s v="17IA25.30"/>
    <x v="0"/>
    <x v="1"/>
    <m/>
    <m/>
    <m/>
  </r>
  <r>
    <s v="YK262300906"/>
    <x v="0"/>
    <x v="0"/>
    <n v="1"/>
    <x v="0"/>
    <d v="2026-07-16T13:23:35"/>
    <x v="23"/>
    <x v="10"/>
    <x v="23"/>
    <s v="17IA25.30"/>
    <x v="0"/>
    <x v="1"/>
    <m/>
    <m/>
    <m/>
  </r>
  <r>
    <s v="YK262300907"/>
    <x v="0"/>
    <x v="0"/>
    <n v="1"/>
    <x v="0"/>
    <d v="2026-06-24T14:07:01"/>
    <x v="23"/>
    <x v="10"/>
    <x v="23"/>
    <s v="17IA25.30"/>
    <x v="0"/>
    <x v="1"/>
    <m/>
    <m/>
    <m/>
  </r>
  <r>
    <s v="YK262300908"/>
    <x v="0"/>
    <x v="0"/>
    <n v="1"/>
    <x v="0"/>
    <d v="2026-08-27T06:24:31"/>
    <x v="23"/>
    <x v="10"/>
    <x v="23"/>
    <s v="17IA25.30"/>
    <x v="0"/>
    <x v="1"/>
    <m/>
    <m/>
    <m/>
  </r>
  <r>
    <s v="YK262300909"/>
    <x v="0"/>
    <x v="0"/>
    <n v="1"/>
    <x v="0"/>
    <d v="2026-07-15T10:20:30"/>
    <x v="23"/>
    <x v="10"/>
    <x v="23"/>
    <s v="17IA25.30"/>
    <x v="0"/>
    <x v="1"/>
    <m/>
    <m/>
    <m/>
  </r>
  <r>
    <s v="YK262300910"/>
    <x v="0"/>
    <x v="0"/>
    <n v="1"/>
    <x v="0"/>
    <d v="2026-07-21T10:24:08"/>
    <x v="23"/>
    <x v="10"/>
    <x v="23"/>
    <s v="17IA25.30"/>
    <x v="0"/>
    <x v="1"/>
    <m/>
    <m/>
    <m/>
  </r>
  <r>
    <s v="YK262300911"/>
    <x v="0"/>
    <x v="0"/>
    <n v="1"/>
    <x v="0"/>
    <d v="2026-09-01T06:56:02"/>
    <x v="23"/>
    <x v="10"/>
    <x v="23"/>
    <s v="17IA25.30"/>
    <x v="0"/>
    <x v="1"/>
    <m/>
    <m/>
    <m/>
  </r>
  <r>
    <s v="YK262300912"/>
    <x v="0"/>
    <x v="0"/>
    <n v="1"/>
    <x v="0"/>
    <d v="2026-07-09T07:13:20"/>
    <x v="23"/>
    <x v="10"/>
    <x v="23"/>
    <s v="17IA25.30"/>
    <x v="0"/>
    <x v="1"/>
    <m/>
    <m/>
    <m/>
  </r>
  <r>
    <s v="YK262300913"/>
    <x v="0"/>
    <x v="0"/>
    <n v="1"/>
    <x v="0"/>
    <d v="2026-07-14T11:02:09"/>
    <x v="23"/>
    <x v="10"/>
    <x v="23"/>
    <s v="17IA25.30"/>
    <x v="0"/>
    <x v="1"/>
    <m/>
    <m/>
    <m/>
  </r>
  <r>
    <s v="YK262300914"/>
    <x v="0"/>
    <x v="0"/>
    <n v="1"/>
    <x v="0"/>
    <d v="2026-07-15T08:52:12"/>
    <x v="23"/>
    <x v="10"/>
    <x v="23"/>
    <s v="17IA25.30"/>
    <x v="0"/>
    <x v="1"/>
    <m/>
    <m/>
    <m/>
  </r>
  <r>
    <s v="YK262300915"/>
    <x v="0"/>
    <x v="0"/>
    <n v="1"/>
    <x v="0"/>
    <d v="2026-07-16T05:35:21"/>
    <x v="23"/>
    <x v="10"/>
    <x v="23"/>
    <s v="17IA25.30"/>
    <x v="0"/>
    <x v="1"/>
    <m/>
    <m/>
    <m/>
  </r>
  <r>
    <s v="YK262300916"/>
    <x v="0"/>
    <x v="0"/>
    <n v="1"/>
    <x v="0"/>
    <d v="2026-07-10T09:26:49"/>
    <x v="23"/>
    <x v="10"/>
    <x v="23"/>
    <s v="17IA25.30"/>
    <x v="0"/>
    <x v="1"/>
    <m/>
    <m/>
    <m/>
  </r>
  <r>
    <s v="YK262300917"/>
    <x v="0"/>
    <x v="0"/>
    <n v="1"/>
    <x v="0"/>
    <d v="2026-07-16T09:53:30"/>
    <x v="23"/>
    <x v="10"/>
    <x v="23"/>
    <s v="17IA25.30"/>
    <x v="0"/>
    <x v="1"/>
    <m/>
    <m/>
    <m/>
  </r>
  <r>
    <s v="YK262300918"/>
    <x v="0"/>
    <x v="0"/>
    <n v="1"/>
    <x v="0"/>
    <d v="2026-06-25T13:12:35"/>
    <x v="23"/>
    <x v="10"/>
    <x v="23"/>
    <s v="17IA25.30"/>
    <x v="0"/>
    <x v="1"/>
    <m/>
    <m/>
    <m/>
  </r>
  <r>
    <s v="YK262300919"/>
    <x v="0"/>
    <x v="0"/>
    <n v="1"/>
    <x v="0"/>
    <d v="2026-07-28T06:11:43"/>
    <x v="23"/>
    <x v="10"/>
    <x v="23"/>
    <s v="17IA25.30"/>
    <x v="0"/>
    <x v="1"/>
    <m/>
    <m/>
    <m/>
  </r>
  <r>
    <s v="YK262300920"/>
    <x v="0"/>
    <x v="0"/>
    <n v="1"/>
    <x v="0"/>
    <d v="2026-08-05T09:32:18"/>
    <x v="23"/>
    <x v="10"/>
    <x v="23"/>
    <s v="17IA25.30"/>
    <x v="0"/>
    <x v="1"/>
    <m/>
    <m/>
    <m/>
  </r>
  <r>
    <s v="YK262300921"/>
    <x v="0"/>
    <x v="0"/>
    <n v="1"/>
    <x v="0"/>
    <d v="2026-07-10T09:17:13"/>
    <x v="23"/>
    <x v="10"/>
    <x v="23"/>
    <s v="17IA25.30"/>
    <x v="0"/>
    <x v="1"/>
    <m/>
    <m/>
    <m/>
  </r>
  <r>
    <s v="YK262300922"/>
    <x v="0"/>
    <x v="0"/>
    <n v="1"/>
    <x v="0"/>
    <d v="2026-07-21T11:04:54"/>
    <x v="23"/>
    <x v="10"/>
    <x v="23"/>
    <s v="17IA25.30"/>
    <x v="0"/>
    <x v="1"/>
    <m/>
    <m/>
    <m/>
  </r>
  <r>
    <s v="YK262300923"/>
    <x v="0"/>
    <x v="0"/>
    <n v="1"/>
    <x v="0"/>
    <d v="2026-07-08T11:10:31"/>
    <x v="23"/>
    <x v="10"/>
    <x v="23"/>
    <s v="17IA25.30"/>
    <x v="0"/>
    <x v="1"/>
    <m/>
    <m/>
    <m/>
  </r>
  <r>
    <s v="YK262300924"/>
    <x v="0"/>
    <x v="0"/>
    <n v="1"/>
    <x v="0"/>
    <d v="2026-07-20T11:30:18"/>
    <x v="23"/>
    <x v="10"/>
    <x v="23"/>
    <s v="17IA25.30"/>
    <x v="0"/>
    <x v="1"/>
    <m/>
    <m/>
    <m/>
  </r>
  <r>
    <s v="YK262300925"/>
    <x v="0"/>
    <x v="0"/>
    <n v="1"/>
    <x v="0"/>
    <d v="2026-08-10T17:27:08"/>
    <x v="23"/>
    <x v="10"/>
    <x v="23"/>
    <s v="17IA25.30"/>
    <x v="0"/>
    <x v="1"/>
    <m/>
    <m/>
    <m/>
  </r>
  <r>
    <s v="YK262300926"/>
    <x v="18"/>
    <x v="18"/>
    <n v="1"/>
    <x v="2"/>
    <d v="2026-09-01T13:43:03"/>
    <x v="23"/>
    <x v="10"/>
    <x v="23"/>
    <s v="17IA25.30"/>
    <x v="0"/>
    <x v="1"/>
    <m/>
    <m/>
    <m/>
  </r>
  <r>
    <s v="YK262300927"/>
    <x v="0"/>
    <x v="0"/>
    <n v="1"/>
    <x v="0"/>
    <d v="2026-07-23T06:16:00"/>
    <x v="23"/>
    <x v="10"/>
    <x v="23"/>
    <s v="17IA25.30"/>
    <x v="0"/>
    <x v="1"/>
    <m/>
    <m/>
    <m/>
  </r>
  <r>
    <s v="YK262300928"/>
    <x v="0"/>
    <x v="0"/>
    <n v="1"/>
    <x v="0"/>
    <d v="2026-07-24T09:27:57"/>
    <x v="23"/>
    <x v="10"/>
    <x v="23"/>
    <s v="17IA25.30"/>
    <x v="0"/>
    <x v="1"/>
    <m/>
    <m/>
    <m/>
  </r>
  <r>
    <s v="YK262300929"/>
    <x v="0"/>
    <x v="0"/>
    <n v="1"/>
    <x v="0"/>
    <d v="2026-07-21T10:43:56"/>
    <x v="23"/>
    <x v="10"/>
    <x v="23"/>
    <s v="17IA25.30"/>
    <x v="0"/>
    <x v="1"/>
    <m/>
    <m/>
    <m/>
  </r>
  <r>
    <s v="YK262300930"/>
    <x v="0"/>
    <x v="0"/>
    <n v="1"/>
    <x v="0"/>
    <d v="2026-07-15T13:44:46"/>
    <x v="23"/>
    <x v="10"/>
    <x v="23"/>
    <s v="17IA25.30"/>
    <x v="0"/>
    <x v="1"/>
    <m/>
    <m/>
    <m/>
  </r>
  <r>
    <s v="YK262300931"/>
    <x v="0"/>
    <x v="0"/>
    <n v="1"/>
    <x v="0"/>
    <d v="2026-07-31T08:24:30"/>
    <x v="23"/>
    <x v="10"/>
    <x v="23"/>
    <s v="17IA25.30"/>
    <x v="0"/>
    <x v="1"/>
    <m/>
    <m/>
    <m/>
  </r>
  <r>
    <s v="YK262300932"/>
    <x v="0"/>
    <x v="0"/>
    <n v="1"/>
    <x v="0"/>
    <d v="2026-08-25T15:16:59"/>
    <x v="23"/>
    <x v="10"/>
    <x v="23"/>
    <s v="17IA25.30"/>
    <x v="0"/>
    <x v="1"/>
    <m/>
    <m/>
    <m/>
  </r>
  <r>
    <s v="YK262300933"/>
    <x v="0"/>
    <x v="0"/>
    <n v="1"/>
    <x v="0"/>
    <d v="2026-06-23T15:55:15"/>
    <x v="23"/>
    <x v="10"/>
    <x v="23"/>
    <s v="17IA25.30"/>
    <x v="0"/>
    <x v="1"/>
    <m/>
    <m/>
    <m/>
  </r>
  <r>
    <s v="YK262300934"/>
    <x v="0"/>
    <x v="0"/>
    <n v="1"/>
    <x v="0"/>
    <d v="2026-07-14T14:00:26"/>
    <x v="23"/>
    <x v="10"/>
    <x v="23"/>
    <s v="17IA25.30"/>
    <x v="0"/>
    <x v="1"/>
    <m/>
    <m/>
    <m/>
  </r>
  <r>
    <s v="YK262300935"/>
    <x v="0"/>
    <x v="0"/>
    <n v="1"/>
    <x v="0"/>
    <d v="2026-07-21T13:43:28"/>
    <x v="23"/>
    <x v="10"/>
    <x v="23"/>
    <s v="17IA25.30"/>
    <x v="0"/>
    <x v="1"/>
    <m/>
    <m/>
    <m/>
  </r>
  <r>
    <s v="YK262300936"/>
    <x v="0"/>
    <x v="0"/>
    <n v="1"/>
    <x v="0"/>
    <d v="2026-07-16T09:49:08"/>
    <x v="23"/>
    <x v="10"/>
    <x v="23"/>
    <s v="17IA25.30"/>
    <x v="0"/>
    <x v="1"/>
    <m/>
    <m/>
    <m/>
  </r>
  <r>
    <s v="YK260400027"/>
    <x v="1"/>
    <x v="1"/>
    <n v="1"/>
    <x v="1"/>
    <d v="2026-03-04T12:05:48"/>
    <x v="24"/>
    <x v="12"/>
    <x v="24"/>
    <s v="17IA43.00"/>
    <x v="0"/>
    <x v="2"/>
    <m/>
    <d v="2026-02-12T00:00:00"/>
    <m/>
  </r>
  <r>
    <s v="YK260400028"/>
    <x v="1"/>
    <x v="1"/>
    <n v="1"/>
    <x v="1"/>
    <d v="2026-03-03T13:36:27"/>
    <x v="24"/>
    <x v="12"/>
    <x v="24"/>
    <s v="17IA43.00"/>
    <x v="0"/>
    <x v="2"/>
    <m/>
    <d v="2026-02-24T00:00:00"/>
    <m/>
  </r>
  <r>
    <s v="YK260400029"/>
    <x v="1"/>
    <x v="1"/>
    <n v="1"/>
    <x v="1"/>
    <d v="2026-03-17T06:28:36"/>
    <x v="24"/>
    <x v="12"/>
    <x v="24"/>
    <s v="17IA43.00"/>
    <x v="0"/>
    <x v="2"/>
    <m/>
    <d v="2026-02-13T00:00:00"/>
    <m/>
  </r>
  <r>
    <s v="YK260400030"/>
    <x v="1"/>
    <x v="1"/>
    <n v="1"/>
    <x v="1"/>
    <d v="2026-03-17T09:58:38"/>
    <x v="24"/>
    <x v="12"/>
    <x v="24"/>
    <s v="17IA43.00"/>
    <x v="0"/>
    <x v="2"/>
    <m/>
    <d v="2026-02-13T00:00:00"/>
    <m/>
  </r>
  <r>
    <s v="YK260400031"/>
    <x v="1"/>
    <x v="1"/>
    <n v="1"/>
    <x v="1"/>
    <d v="2026-03-04T07:41:22"/>
    <x v="24"/>
    <x v="12"/>
    <x v="24"/>
    <s v="17IA43.00"/>
    <x v="0"/>
    <x v="2"/>
    <m/>
    <d v="2026-02-13T00:00:00"/>
    <m/>
  </r>
  <r>
    <s v="YK260400032"/>
    <x v="1"/>
    <x v="1"/>
    <n v="1"/>
    <x v="1"/>
    <d v="2026-04-22T06:14:27"/>
    <x v="24"/>
    <x v="12"/>
    <x v="24"/>
    <s v="17IA43.00"/>
    <x v="0"/>
    <x v="2"/>
    <m/>
    <d v="2026-03-23T00:00:00"/>
    <m/>
  </r>
  <r>
    <s v="YK260400033"/>
    <x v="1"/>
    <x v="1"/>
    <n v="1"/>
    <x v="1"/>
    <d v="2026-03-04T12:04:47"/>
    <x v="24"/>
    <x v="12"/>
    <x v="24"/>
    <s v="17IA43.00"/>
    <x v="0"/>
    <x v="2"/>
    <m/>
    <d v="2026-03-04T00:00:00"/>
    <m/>
  </r>
  <r>
    <s v="YK260400034"/>
    <x v="1"/>
    <x v="1"/>
    <n v="1"/>
    <x v="1"/>
    <d v="2026-02-27T12:26:48"/>
    <x v="24"/>
    <x v="12"/>
    <x v="24"/>
    <s v="17IA43.00"/>
    <x v="0"/>
    <x v="2"/>
    <m/>
    <d v="2026-02-27T00:00:00"/>
    <m/>
  </r>
  <r>
    <s v="YK260400035"/>
    <x v="1"/>
    <x v="1"/>
    <n v="1"/>
    <x v="1"/>
    <d v="2026-04-22T06:15:29"/>
    <x v="24"/>
    <x v="12"/>
    <x v="24"/>
    <s v="17IA43.00"/>
    <x v="0"/>
    <x v="2"/>
    <m/>
    <d v="2026-03-20T00:00:00"/>
    <m/>
  </r>
  <r>
    <s v="YK260400036"/>
    <x v="1"/>
    <x v="1"/>
    <n v="1"/>
    <x v="1"/>
    <d v="2026-02-27T12:29:21"/>
    <x v="24"/>
    <x v="12"/>
    <x v="24"/>
    <s v="17IA43.00"/>
    <x v="0"/>
    <x v="2"/>
    <m/>
    <d v="2026-02-27T00:00:00"/>
    <m/>
  </r>
  <r>
    <s v="YK260400037"/>
    <x v="1"/>
    <x v="1"/>
    <n v="1"/>
    <x v="1"/>
    <d v="2026-03-04T12:07:09"/>
    <x v="24"/>
    <x v="12"/>
    <x v="24"/>
    <s v="17IA43.00"/>
    <x v="0"/>
    <x v="2"/>
    <m/>
    <d v="2026-03-04T00:00:00"/>
    <m/>
  </r>
  <r>
    <s v="YK260400038"/>
    <x v="1"/>
    <x v="1"/>
    <n v="1"/>
    <x v="1"/>
    <d v="2026-02-27T13:15:11"/>
    <x v="24"/>
    <x v="12"/>
    <x v="24"/>
    <s v="17IA43.00"/>
    <x v="0"/>
    <x v="2"/>
    <m/>
    <d v="2026-03-05T00:00:00"/>
    <m/>
  </r>
  <r>
    <s v="YK260400039"/>
    <x v="1"/>
    <x v="1"/>
    <n v="1"/>
    <x v="1"/>
    <d v="2026-02-27T12:30:55"/>
    <x v="24"/>
    <x v="12"/>
    <x v="24"/>
    <s v="17IA43.00"/>
    <x v="0"/>
    <x v="2"/>
    <m/>
    <d v="2026-02-27T00:00:00"/>
    <m/>
  </r>
  <r>
    <s v="YK260400040"/>
    <x v="1"/>
    <x v="1"/>
    <n v="1"/>
    <x v="1"/>
    <d v="2026-04-22T06:16:55"/>
    <x v="24"/>
    <x v="12"/>
    <x v="24"/>
    <s v="17IA43.00"/>
    <x v="0"/>
    <x v="2"/>
    <m/>
    <d v="2026-04-07T00:00:00"/>
    <m/>
  </r>
  <r>
    <s v="YK260400041"/>
    <x v="1"/>
    <x v="1"/>
    <n v="1"/>
    <x v="1"/>
    <d v="2026-03-17T07:26:14"/>
    <x v="24"/>
    <x v="12"/>
    <x v="24"/>
    <s v="17IA43.00"/>
    <x v="0"/>
    <x v="2"/>
    <m/>
    <d v="2026-03-16T00:00:00"/>
    <m/>
  </r>
  <r>
    <s v="YK260400042"/>
    <x v="1"/>
    <x v="1"/>
    <n v="1"/>
    <x v="1"/>
    <d v="2026-04-22T06:16:09"/>
    <x v="24"/>
    <x v="12"/>
    <x v="24"/>
    <s v="17IA43.00"/>
    <x v="0"/>
    <x v="2"/>
    <m/>
    <d v="2026-03-23T00:00:00"/>
    <m/>
  </r>
  <r>
    <s v="YK260400043"/>
    <x v="1"/>
    <x v="1"/>
    <n v="1"/>
    <x v="1"/>
    <d v="2026-03-16T08:50:34"/>
    <x v="24"/>
    <x v="12"/>
    <x v="24"/>
    <s v="17IA43.00"/>
    <x v="0"/>
    <x v="2"/>
    <m/>
    <d v="2026-03-12T00:00:00"/>
    <m/>
  </r>
  <r>
    <s v="YK260400044"/>
    <x v="1"/>
    <x v="1"/>
    <n v="1"/>
    <x v="1"/>
    <d v="2026-03-30T13:22:54"/>
    <x v="24"/>
    <x v="12"/>
    <x v="24"/>
    <s v="17IA43.00"/>
    <x v="0"/>
    <x v="2"/>
    <m/>
    <d v="2026-04-07T00:00:00"/>
    <m/>
  </r>
  <r>
    <s v="YK260400045"/>
    <x v="1"/>
    <x v="1"/>
    <n v="1"/>
    <x v="1"/>
    <d v="2026-03-30T13:24:58"/>
    <x v="24"/>
    <x v="12"/>
    <x v="24"/>
    <s v="17IA43.00"/>
    <x v="0"/>
    <x v="2"/>
    <m/>
    <d v="2026-04-07T00:00:00"/>
    <m/>
  </r>
  <r>
    <s v="YK260400046"/>
    <x v="1"/>
    <x v="1"/>
    <n v="1"/>
    <x v="1"/>
    <d v="2026-03-30T13:26:52"/>
    <x v="24"/>
    <x v="12"/>
    <x v="24"/>
    <s v="17IA43.00"/>
    <x v="0"/>
    <x v="2"/>
    <m/>
    <d v="2026-04-07T00:00:00"/>
    <m/>
  </r>
  <r>
    <s v="YK261200019"/>
    <x v="1"/>
    <x v="1"/>
    <n v="1"/>
    <x v="1"/>
    <d v="2026-07-02T10:31:21"/>
    <x v="25"/>
    <x v="13"/>
    <x v="25"/>
    <s v="17IA44.00"/>
    <x v="0"/>
    <x v="2"/>
    <m/>
    <d v="2026-05-22T00:00:00"/>
    <m/>
  </r>
  <r>
    <s v="YK261200020"/>
    <x v="1"/>
    <x v="1"/>
    <n v="1"/>
    <x v="1"/>
    <d v="2026-05-13T06:11:34"/>
    <x v="25"/>
    <x v="13"/>
    <x v="25"/>
    <s v="17IA44.00"/>
    <x v="0"/>
    <x v="2"/>
    <m/>
    <d v="2026-05-13T00:00:00"/>
    <m/>
  </r>
  <r>
    <s v="YK261200021"/>
    <x v="1"/>
    <x v="1"/>
    <n v="1"/>
    <x v="1"/>
    <d v="2026-05-13T06:38:12"/>
    <x v="25"/>
    <x v="13"/>
    <x v="25"/>
    <s v="17IA44.00"/>
    <x v="0"/>
    <x v="2"/>
    <m/>
    <d v="2026-05-13T00:00:00"/>
    <m/>
  </r>
  <r>
    <s v="YK261200022"/>
    <x v="1"/>
    <x v="1"/>
    <n v="1"/>
    <x v="1"/>
    <d v="2026-07-02T10:32:28"/>
    <x v="25"/>
    <x v="13"/>
    <x v="25"/>
    <s v="17IA44.00"/>
    <x v="0"/>
    <x v="2"/>
    <m/>
    <d v="2026-05-19T00:00:00"/>
    <m/>
  </r>
  <r>
    <s v="YK261200023"/>
    <x v="1"/>
    <x v="1"/>
    <n v="1"/>
    <x v="1"/>
    <d v="2026-05-13T06:43:42"/>
    <x v="25"/>
    <x v="13"/>
    <x v="25"/>
    <s v="17IA44.00"/>
    <x v="0"/>
    <x v="2"/>
    <m/>
    <d v="2026-05-08T00:00:00"/>
    <m/>
  </r>
  <r>
    <s v="YK261200024"/>
    <x v="1"/>
    <x v="1"/>
    <n v="1"/>
    <x v="1"/>
    <d v="2026-05-13T06:44:26"/>
    <x v="25"/>
    <x v="13"/>
    <x v="25"/>
    <s v="17IA44.00"/>
    <x v="0"/>
    <x v="2"/>
    <m/>
    <d v="2026-05-08T00:00:00"/>
    <m/>
  </r>
  <r>
    <s v="YK261200025"/>
    <x v="1"/>
    <x v="1"/>
    <n v="1"/>
    <x v="1"/>
    <d v="2026-05-13T06:44:55"/>
    <x v="25"/>
    <x v="13"/>
    <x v="25"/>
    <s v="17IA44.00"/>
    <x v="0"/>
    <x v="2"/>
    <m/>
    <d v="2026-05-08T00:00:00"/>
    <m/>
  </r>
  <r>
    <s v="YK261200026"/>
    <x v="1"/>
    <x v="1"/>
    <n v="1"/>
    <x v="1"/>
    <d v="2026-05-13T06:45:23"/>
    <x v="25"/>
    <x v="13"/>
    <x v="25"/>
    <s v="17IA44.00"/>
    <x v="0"/>
    <x v="2"/>
    <m/>
    <d v="2026-05-08T00:00:00"/>
    <m/>
  </r>
  <r>
    <s v="YK261200027"/>
    <x v="1"/>
    <x v="1"/>
    <n v="1"/>
    <x v="1"/>
    <d v="2026-07-02T10:33:12"/>
    <x v="25"/>
    <x v="13"/>
    <x v="25"/>
    <s v="17IA44.00"/>
    <x v="0"/>
    <x v="2"/>
    <m/>
    <d v="2026-05-20T00:00:00"/>
    <m/>
  </r>
  <r>
    <s v="YK261200028"/>
    <x v="1"/>
    <x v="1"/>
    <n v="1"/>
    <x v="1"/>
    <d v="2026-06-01T11:40:29"/>
    <x v="25"/>
    <x v="13"/>
    <x v="25"/>
    <s v="17IA44.00"/>
    <x v="0"/>
    <x v="2"/>
    <m/>
    <d v="2026-05-14T00:00:00"/>
    <m/>
  </r>
  <r>
    <s v="YK261200029"/>
    <x v="1"/>
    <x v="1"/>
    <n v="1"/>
    <x v="1"/>
    <d v="2026-05-13T06:41:59"/>
    <x v="25"/>
    <x v="13"/>
    <x v="25"/>
    <s v="17IA44.00"/>
    <x v="0"/>
    <x v="2"/>
    <m/>
    <d v="2026-05-13T00:00:00"/>
    <m/>
  </r>
  <r>
    <s v="YK261200030"/>
    <x v="1"/>
    <x v="1"/>
    <n v="1"/>
    <x v="1"/>
    <d v="2026-06-01T11:41:24"/>
    <x v="25"/>
    <x v="13"/>
    <x v="25"/>
    <s v="17IA44.00"/>
    <x v="0"/>
    <x v="2"/>
    <m/>
    <d v="2026-05-14T00:00:00"/>
    <m/>
  </r>
  <r>
    <s v="YK261200031"/>
    <x v="1"/>
    <x v="1"/>
    <n v="1"/>
    <x v="1"/>
    <d v="2026-05-13T06:42:52"/>
    <x v="25"/>
    <x v="13"/>
    <x v="25"/>
    <s v="17IA44.00"/>
    <x v="0"/>
    <x v="2"/>
    <m/>
    <d v="2026-05-13T00:00:00"/>
    <m/>
  </r>
  <r>
    <s v="YK261200032"/>
    <x v="1"/>
    <x v="1"/>
    <n v="1"/>
    <x v="1"/>
    <d v="2026-06-01T11:42:16"/>
    <x v="25"/>
    <x v="13"/>
    <x v="25"/>
    <s v="17IA44.00"/>
    <x v="0"/>
    <x v="2"/>
    <m/>
    <d v="2026-05-13T00:00:00"/>
    <m/>
  </r>
  <r>
    <s v="YK261200033"/>
    <x v="1"/>
    <x v="1"/>
    <n v="1"/>
    <x v="1"/>
    <d v="2026-07-02T10:34:11"/>
    <x v="25"/>
    <x v="13"/>
    <x v="25"/>
    <s v="17IA44.00"/>
    <x v="0"/>
    <x v="2"/>
    <m/>
    <d v="2026-05-22T00:00:00"/>
    <m/>
  </r>
  <r>
    <s v="YK262300796"/>
    <x v="1"/>
    <x v="1"/>
    <n v="1"/>
    <x v="1"/>
    <d v="2026-06-08T14:20:05"/>
    <x v="26"/>
    <x v="14"/>
    <x v="26"/>
    <s v="17IA44.10"/>
    <x v="0"/>
    <x v="3"/>
    <m/>
    <d v="2026-06-12T00:00:00"/>
    <m/>
  </r>
  <r>
    <s v="YK262300797"/>
    <x v="1"/>
    <x v="1"/>
    <n v="1"/>
    <x v="1"/>
    <d v="2026-06-12T10:27:52"/>
    <x v="26"/>
    <x v="14"/>
    <x v="26"/>
    <s v="17IA44.10"/>
    <x v="0"/>
    <x v="3"/>
    <m/>
    <d v="2026-06-12T00:00:00"/>
    <m/>
  </r>
  <r>
    <s v="YK262300798"/>
    <x v="1"/>
    <x v="1"/>
    <n v="1"/>
    <x v="1"/>
    <d v="2026-06-08T14:19:36"/>
    <x v="26"/>
    <x v="14"/>
    <x v="26"/>
    <s v="17IA44.10"/>
    <x v="0"/>
    <x v="3"/>
    <m/>
    <d v="2026-06-12T00:00:00"/>
    <m/>
  </r>
  <r>
    <s v="YK262300799"/>
    <x v="1"/>
    <x v="1"/>
    <n v="1"/>
    <x v="1"/>
    <d v="2026-06-12T10:27:22"/>
    <x v="26"/>
    <x v="14"/>
    <x v="26"/>
    <s v="17IA44.10"/>
    <x v="0"/>
    <x v="3"/>
    <m/>
    <d v="2026-06-12T00:00:00"/>
    <m/>
  </r>
  <r>
    <s v="YK262300800"/>
    <x v="1"/>
    <x v="1"/>
    <n v="1"/>
    <x v="1"/>
    <d v="2026-06-12T10:26:50"/>
    <x v="26"/>
    <x v="14"/>
    <x v="26"/>
    <s v="17IA44.10"/>
    <x v="0"/>
    <x v="3"/>
    <m/>
    <d v="2026-06-12T00:00:00"/>
    <m/>
  </r>
  <r>
    <s v="YK262300801"/>
    <x v="1"/>
    <x v="1"/>
    <n v="1"/>
    <x v="1"/>
    <d v="2026-06-18T07:42:59"/>
    <x v="26"/>
    <x v="14"/>
    <x v="26"/>
    <s v="17IA44.10"/>
    <x v="0"/>
    <x v="3"/>
    <m/>
    <d v="2026-06-19T00:00:00"/>
    <m/>
  </r>
  <r>
    <s v="YK262300802"/>
    <x v="1"/>
    <x v="1"/>
    <n v="1"/>
    <x v="1"/>
    <d v="2026-06-24T12:15:51"/>
    <x v="26"/>
    <x v="14"/>
    <x v="26"/>
    <s v="17IA44.10"/>
    <x v="0"/>
    <x v="3"/>
    <m/>
    <d v="2026-06-23T00:00:00"/>
    <m/>
  </r>
  <r>
    <s v="YK262300803"/>
    <x v="1"/>
    <x v="1"/>
    <n v="1"/>
    <x v="1"/>
    <d v="2026-07-02T07:12:10"/>
    <x v="26"/>
    <x v="14"/>
    <x v="26"/>
    <s v="17IA44.10"/>
    <x v="0"/>
    <x v="3"/>
    <m/>
    <d v="2026-06-19T00:00:00"/>
    <m/>
  </r>
  <r>
    <s v="YK262300804"/>
    <x v="1"/>
    <x v="1"/>
    <n v="1"/>
    <x v="1"/>
    <d v="2026-06-12T10:26:06"/>
    <x v="26"/>
    <x v="14"/>
    <x v="26"/>
    <s v="17IA44.10"/>
    <x v="0"/>
    <x v="3"/>
    <m/>
    <d v="2026-06-12T00:00:00"/>
    <m/>
  </r>
  <r>
    <s v="YK262300805"/>
    <x v="1"/>
    <x v="1"/>
    <n v="1"/>
    <x v="1"/>
    <d v="2026-06-24T12:16:27"/>
    <x v="26"/>
    <x v="14"/>
    <x v="26"/>
    <s v="17IA44.10"/>
    <x v="0"/>
    <x v="3"/>
    <m/>
    <d v="2026-06-23T00:00:00"/>
    <m/>
  </r>
  <r>
    <s v="YK262300806"/>
    <x v="1"/>
    <x v="1"/>
    <n v="1"/>
    <x v="1"/>
    <d v="2026-06-18T07:44:11"/>
    <x v="26"/>
    <x v="14"/>
    <x v="26"/>
    <s v="17IA44.10"/>
    <x v="0"/>
    <x v="3"/>
    <m/>
    <d v="2026-06-15T00:00:00"/>
    <m/>
  </r>
  <r>
    <s v="YK262300807"/>
    <x v="1"/>
    <x v="1"/>
    <n v="1"/>
    <x v="1"/>
    <d v="2026-06-16T08:44:09"/>
    <x v="26"/>
    <x v="14"/>
    <x v="26"/>
    <s v="17IA44.10"/>
    <x v="0"/>
    <x v="3"/>
    <m/>
    <d v="2026-06-18T00:00:00"/>
    <m/>
  </r>
  <r>
    <s v="YK262300808"/>
    <x v="1"/>
    <x v="1"/>
    <n v="1"/>
    <x v="1"/>
    <d v="2026-06-18T07:44:39"/>
    <x v="26"/>
    <x v="14"/>
    <x v="26"/>
    <s v="17IA44.10"/>
    <x v="0"/>
    <x v="3"/>
    <m/>
    <d v="2026-06-24T00:00:00"/>
    <m/>
  </r>
  <r>
    <s v="YK262300809"/>
    <x v="1"/>
    <x v="1"/>
    <n v="1"/>
    <x v="1"/>
    <d v="2026-06-24T12:16:59"/>
    <x v="26"/>
    <x v="14"/>
    <x v="26"/>
    <s v="17IA44.10"/>
    <x v="0"/>
    <x v="3"/>
    <m/>
    <d v="2026-06-24T00:00:00"/>
    <m/>
  </r>
  <r>
    <s v="YK262300810"/>
    <x v="1"/>
    <x v="1"/>
    <n v="1"/>
    <x v="1"/>
    <d v="2026-07-01T14:25:06"/>
    <x v="26"/>
    <x v="14"/>
    <x v="26"/>
    <s v="17IA44.10"/>
    <x v="0"/>
    <x v="3"/>
    <m/>
    <d v="2026-07-01T00:00:00"/>
    <m/>
  </r>
  <r>
    <s v="YK262300811"/>
    <x v="1"/>
    <x v="1"/>
    <n v="1"/>
    <x v="1"/>
    <d v="2026-06-18T07:45:19"/>
    <x v="26"/>
    <x v="14"/>
    <x v="26"/>
    <s v="17IA44.10"/>
    <x v="0"/>
    <x v="3"/>
    <m/>
    <d v="2026-06-19T00:00:00"/>
    <m/>
  </r>
  <r>
    <s v="YK262300812"/>
    <x v="1"/>
    <x v="1"/>
    <n v="1"/>
    <x v="1"/>
    <d v="2026-06-18T07:46:51"/>
    <x v="26"/>
    <x v="14"/>
    <x v="26"/>
    <s v="17IA44.10"/>
    <x v="0"/>
    <x v="3"/>
    <m/>
    <m/>
    <m/>
  </r>
  <r>
    <s v="YK262300813"/>
    <x v="1"/>
    <x v="1"/>
    <n v="1"/>
    <x v="1"/>
    <d v="2026-06-23T12:31:30"/>
    <x v="26"/>
    <x v="14"/>
    <x v="26"/>
    <s v="17IA44.10"/>
    <x v="0"/>
    <x v="3"/>
    <m/>
    <d v="2026-06-23T00:00:00"/>
    <m/>
  </r>
  <r>
    <s v="YK262300814"/>
    <x v="1"/>
    <x v="1"/>
    <n v="1"/>
    <x v="1"/>
    <d v="2026-06-25T09:34:23"/>
    <x v="26"/>
    <x v="14"/>
    <x v="26"/>
    <s v="17IA44.10"/>
    <x v="0"/>
    <x v="3"/>
    <m/>
    <d v="2026-06-26T00:00:00"/>
    <m/>
  </r>
  <r>
    <s v="YK262300815"/>
    <x v="1"/>
    <x v="1"/>
    <n v="1"/>
    <x v="1"/>
    <d v="2026-06-25T09:34:46"/>
    <x v="26"/>
    <x v="14"/>
    <x v="26"/>
    <s v="17IA44.10"/>
    <x v="0"/>
    <x v="3"/>
    <m/>
    <d v="2026-06-26T00:00:00"/>
    <m/>
  </r>
  <r>
    <s v="YK262300816"/>
    <x v="1"/>
    <x v="1"/>
    <n v="1"/>
    <x v="1"/>
    <d v="2026-06-24T12:11:25"/>
    <x v="26"/>
    <x v="14"/>
    <x v="26"/>
    <s v="17IA44.10"/>
    <x v="0"/>
    <x v="3"/>
    <m/>
    <d v="2026-06-25T00:00:00"/>
    <m/>
  </r>
  <r>
    <s v="YK262300817"/>
    <x v="1"/>
    <x v="1"/>
    <n v="1"/>
    <x v="1"/>
    <d v="2026-07-01T14:25:34"/>
    <x v="26"/>
    <x v="14"/>
    <x v="26"/>
    <s v="17IA44.10"/>
    <x v="0"/>
    <x v="3"/>
    <m/>
    <d v="2026-06-29T00:00:00"/>
    <m/>
  </r>
  <r>
    <s v="YK262300818"/>
    <x v="1"/>
    <x v="1"/>
    <n v="1"/>
    <x v="1"/>
    <d v="2026-08-18T09:31:10"/>
    <x v="26"/>
    <x v="14"/>
    <x v="26"/>
    <s v="17IA44.10"/>
    <x v="0"/>
    <x v="3"/>
    <m/>
    <d v="2026-08-04T00:00:00"/>
    <m/>
  </r>
  <r>
    <s v="YK262300819"/>
    <x v="1"/>
    <x v="1"/>
    <n v="1"/>
    <x v="1"/>
    <d v="2026-07-01T14:26:21"/>
    <x v="26"/>
    <x v="14"/>
    <x v="26"/>
    <s v="17IA44.10"/>
    <x v="0"/>
    <x v="3"/>
    <m/>
    <d v="2026-06-30T00:00:00"/>
    <m/>
  </r>
  <r>
    <s v="YK262300820"/>
    <x v="1"/>
    <x v="1"/>
    <n v="1"/>
    <x v="1"/>
    <d v="2026-07-02T06:50:22"/>
    <x v="26"/>
    <x v="14"/>
    <x v="26"/>
    <s v="17IA44.10"/>
    <x v="0"/>
    <x v="3"/>
    <m/>
    <d v="2026-06-30T00:00:00"/>
    <m/>
  </r>
  <r>
    <s v="YK262300821"/>
    <x v="1"/>
    <x v="1"/>
    <n v="1"/>
    <x v="1"/>
    <d v="2026-07-02T06:50:49"/>
    <x v="26"/>
    <x v="14"/>
    <x v="26"/>
    <s v="17IA44.10"/>
    <x v="0"/>
    <x v="3"/>
    <m/>
    <d v="2026-06-29T00:00:00"/>
    <m/>
  </r>
  <r>
    <s v="YK262300822"/>
    <x v="1"/>
    <x v="1"/>
    <n v="1"/>
    <x v="1"/>
    <d v="2026-07-02T06:51:39"/>
    <x v="26"/>
    <x v="14"/>
    <x v="26"/>
    <s v="17IA44.10"/>
    <x v="0"/>
    <x v="3"/>
    <m/>
    <d v="2026-06-30T00:00:00"/>
    <m/>
  </r>
  <r>
    <s v="YK262300823"/>
    <x v="1"/>
    <x v="1"/>
    <n v="1"/>
    <x v="1"/>
    <d v="2026-07-15T14:07:40"/>
    <x v="26"/>
    <x v="14"/>
    <x v="26"/>
    <s v="17IA44.10"/>
    <x v="0"/>
    <x v="3"/>
    <m/>
    <d v="2026-08-21T00:00:00"/>
    <m/>
  </r>
  <r>
    <s v="YK262300824"/>
    <x v="1"/>
    <x v="1"/>
    <n v="1"/>
    <x v="1"/>
    <d v="2026-07-15T14:09:14"/>
    <x v="26"/>
    <x v="14"/>
    <x v="26"/>
    <s v="17IA44.10"/>
    <x v="0"/>
    <x v="3"/>
    <m/>
    <d v="2026-07-13T00:00:00"/>
    <m/>
  </r>
  <r>
    <s v="YK262300825"/>
    <x v="1"/>
    <x v="1"/>
    <n v="1"/>
    <x v="1"/>
    <d v="2026-07-15T14:09:39"/>
    <x v="26"/>
    <x v="14"/>
    <x v="26"/>
    <s v="17IA44.10"/>
    <x v="0"/>
    <x v="3"/>
    <m/>
    <d v="2026-07-10T00:00:00"/>
    <m/>
  </r>
  <r>
    <s v="YK263403029"/>
    <x v="1"/>
    <x v="1"/>
    <n v="1"/>
    <x v="1"/>
    <d v="2026-08-28T09:00:44"/>
    <x v="27"/>
    <x v="15"/>
    <x v="27"/>
    <s v="17IA44.20"/>
    <x v="0"/>
    <x v="3"/>
    <m/>
    <d v="2026-08-27T00:00:00"/>
    <m/>
  </r>
  <r>
    <s v="YK263403030"/>
    <x v="2"/>
    <x v="2"/>
    <n v="1"/>
    <x v="2"/>
    <d v="2026-08-25T14:07:26"/>
    <x v="27"/>
    <x v="15"/>
    <x v="27"/>
    <s v="17IA44.20"/>
    <x v="0"/>
    <x v="3"/>
    <m/>
    <m/>
    <m/>
  </r>
  <r>
    <s v="YK263403031"/>
    <x v="2"/>
    <x v="2"/>
    <n v="1"/>
    <x v="2"/>
    <d v="2026-08-25T14:07:50"/>
    <x v="27"/>
    <x v="15"/>
    <x v="27"/>
    <s v="17IA44.20"/>
    <x v="0"/>
    <x v="3"/>
    <m/>
    <m/>
    <m/>
  </r>
  <r>
    <s v="YK263403032"/>
    <x v="19"/>
    <x v="19"/>
    <n v="1"/>
    <x v="8"/>
    <d v="2026-09-09T12:25:59"/>
    <x v="27"/>
    <x v="15"/>
    <x v="27"/>
    <s v="17IA44.20"/>
    <x v="0"/>
    <x v="3"/>
    <m/>
    <m/>
    <m/>
  </r>
  <r>
    <s v="YK263403033"/>
    <x v="19"/>
    <x v="19"/>
    <n v="1"/>
    <x v="8"/>
    <d v="2026-09-09T14:00:17"/>
    <x v="27"/>
    <x v="15"/>
    <x v="27"/>
    <s v="17IA44.20"/>
    <x v="0"/>
    <x v="3"/>
    <m/>
    <m/>
    <m/>
  </r>
  <r>
    <s v="YK263403034"/>
    <x v="0"/>
    <x v="0"/>
    <n v="1"/>
    <x v="7"/>
    <d v="2026-08-18T06:42:34"/>
    <x v="27"/>
    <x v="15"/>
    <x v="27"/>
    <s v="17IA44.20"/>
    <x v="0"/>
    <x v="3"/>
    <m/>
    <m/>
    <m/>
  </r>
  <r>
    <s v="YK263403035"/>
    <x v="0"/>
    <x v="0"/>
    <n v="1"/>
    <x v="7"/>
    <d v="2026-08-18T06:42:34"/>
    <x v="27"/>
    <x v="15"/>
    <x v="27"/>
    <s v="17IA44.20"/>
    <x v="0"/>
    <x v="3"/>
    <m/>
    <m/>
    <m/>
  </r>
  <r>
    <s v="YK263403036"/>
    <x v="0"/>
    <x v="0"/>
    <n v="1"/>
    <x v="7"/>
    <d v="2026-08-18T06:42:34"/>
    <x v="27"/>
    <x v="15"/>
    <x v="27"/>
    <s v="17IA44.20"/>
    <x v="0"/>
    <x v="3"/>
    <m/>
    <m/>
    <m/>
  </r>
  <r>
    <s v="YK263403037"/>
    <x v="0"/>
    <x v="0"/>
    <n v="1"/>
    <x v="7"/>
    <d v="2026-08-18T06:42:34"/>
    <x v="27"/>
    <x v="15"/>
    <x v="27"/>
    <s v="17IA44.20"/>
    <x v="0"/>
    <x v="3"/>
    <m/>
    <m/>
    <m/>
  </r>
  <r>
    <s v="YK263403038"/>
    <x v="0"/>
    <x v="0"/>
    <n v="1"/>
    <x v="7"/>
    <d v="2026-08-18T06:42:34"/>
    <x v="27"/>
    <x v="15"/>
    <x v="27"/>
    <s v="17IA44.20"/>
    <x v="0"/>
    <x v="3"/>
    <m/>
    <m/>
    <m/>
  </r>
  <r>
    <s v="YK263403039"/>
    <x v="0"/>
    <x v="0"/>
    <n v="1"/>
    <x v="7"/>
    <d v="2026-08-18T06:42:34"/>
    <x v="27"/>
    <x v="15"/>
    <x v="27"/>
    <s v="17IA44.20"/>
    <x v="0"/>
    <x v="3"/>
    <m/>
    <m/>
    <m/>
  </r>
  <r>
    <s v="YK263403040"/>
    <x v="0"/>
    <x v="0"/>
    <n v="1"/>
    <x v="7"/>
    <d v="2026-08-18T06:42:34"/>
    <x v="27"/>
    <x v="15"/>
    <x v="27"/>
    <s v="17IA44.20"/>
    <x v="0"/>
    <x v="3"/>
    <m/>
    <m/>
    <m/>
  </r>
  <r>
    <s v="YK263403041"/>
    <x v="0"/>
    <x v="0"/>
    <n v="1"/>
    <x v="7"/>
    <d v="2026-08-18T06:42:34"/>
    <x v="27"/>
    <x v="15"/>
    <x v="27"/>
    <s v="17IA44.20"/>
    <x v="0"/>
    <x v="3"/>
    <m/>
    <m/>
    <m/>
  </r>
  <r>
    <s v="YK263403042"/>
    <x v="0"/>
    <x v="0"/>
    <n v="1"/>
    <x v="7"/>
    <d v="2026-08-18T06:42:34"/>
    <x v="27"/>
    <x v="15"/>
    <x v="27"/>
    <s v="17IA44.20"/>
    <x v="0"/>
    <x v="3"/>
    <m/>
    <m/>
    <m/>
  </r>
  <r>
    <s v="YK263403043"/>
    <x v="0"/>
    <x v="0"/>
    <n v="1"/>
    <x v="7"/>
    <d v="2026-08-18T06:42:34"/>
    <x v="27"/>
    <x v="15"/>
    <x v="27"/>
    <s v="17IA44.20"/>
    <x v="0"/>
    <x v="3"/>
    <m/>
    <m/>
    <m/>
  </r>
  <r>
    <s v="YK262700620"/>
    <x v="1"/>
    <x v="1"/>
    <n v="1"/>
    <x v="1"/>
    <d v="2026-07-15T14:23:57"/>
    <x v="28"/>
    <x v="14"/>
    <x v="28"/>
    <s v="17IA45.30"/>
    <x v="0"/>
    <x v="3"/>
    <m/>
    <d v="2026-07-13T00:00:00"/>
    <m/>
  </r>
  <r>
    <s v="YK262700621"/>
    <x v="1"/>
    <x v="1"/>
    <n v="1"/>
    <x v="1"/>
    <d v="2026-07-15T14:16:55"/>
    <x v="28"/>
    <x v="14"/>
    <x v="28"/>
    <s v="17IA45.30"/>
    <x v="0"/>
    <x v="3"/>
    <m/>
    <d v="2026-07-13T00:00:00"/>
    <m/>
  </r>
  <r>
    <s v="YK262700622"/>
    <x v="1"/>
    <x v="1"/>
    <n v="1"/>
    <x v="1"/>
    <d v="2026-07-24T13:15:32"/>
    <x v="28"/>
    <x v="14"/>
    <x v="28"/>
    <s v="17IA45.30"/>
    <x v="0"/>
    <x v="3"/>
    <m/>
    <d v="2026-07-23T00:00:00"/>
    <m/>
  </r>
  <r>
    <s v="YK262700623"/>
    <x v="1"/>
    <x v="1"/>
    <n v="1"/>
    <x v="1"/>
    <d v="2026-07-15T14:17:30"/>
    <x v="28"/>
    <x v="14"/>
    <x v="28"/>
    <s v="17IA45.30"/>
    <x v="0"/>
    <x v="3"/>
    <m/>
    <d v="2026-07-17T00:00:00"/>
    <m/>
  </r>
  <r>
    <s v="YK262700624"/>
    <x v="1"/>
    <x v="1"/>
    <n v="1"/>
    <x v="1"/>
    <d v="2026-07-15T14:18:03"/>
    <x v="28"/>
    <x v="14"/>
    <x v="28"/>
    <s v="17IA45.30"/>
    <x v="0"/>
    <x v="3"/>
    <m/>
    <d v="2026-07-17T00:00:00"/>
    <m/>
  </r>
  <r>
    <s v="YK262700625"/>
    <x v="1"/>
    <x v="1"/>
    <n v="1"/>
    <x v="1"/>
    <d v="2026-07-15T14:23:22"/>
    <x v="28"/>
    <x v="14"/>
    <x v="28"/>
    <s v="17IA45.30"/>
    <x v="0"/>
    <x v="3"/>
    <m/>
    <d v="2026-07-17T00:00:00"/>
    <m/>
  </r>
  <r>
    <s v="YK262700626"/>
    <x v="1"/>
    <x v="1"/>
    <n v="1"/>
    <x v="1"/>
    <d v="2026-08-14T12:06:01"/>
    <x v="28"/>
    <x v="14"/>
    <x v="28"/>
    <s v="17IA45.30"/>
    <x v="0"/>
    <x v="3"/>
    <m/>
    <d v="2026-08-19T00:00:00"/>
    <m/>
  </r>
  <r>
    <s v="YK262700627"/>
    <x v="1"/>
    <x v="1"/>
    <n v="1"/>
    <x v="1"/>
    <d v="2026-07-21T09:06:08"/>
    <x v="28"/>
    <x v="14"/>
    <x v="28"/>
    <s v="17IA45.30"/>
    <x v="0"/>
    <x v="3"/>
    <m/>
    <d v="2026-07-21T00:00:00"/>
    <m/>
  </r>
  <r>
    <s v="YK262700628"/>
    <x v="1"/>
    <x v="1"/>
    <n v="1"/>
    <x v="1"/>
    <d v="2026-07-21T09:10:10"/>
    <x v="28"/>
    <x v="14"/>
    <x v="28"/>
    <s v="17IA45.30"/>
    <x v="0"/>
    <x v="3"/>
    <m/>
    <d v="2026-07-21T00:00:00"/>
    <m/>
  </r>
  <r>
    <s v="YK262700629"/>
    <x v="1"/>
    <x v="1"/>
    <n v="1"/>
    <x v="1"/>
    <d v="2026-07-21T09:09:43"/>
    <x v="28"/>
    <x v="14"/>
    <x v="28"/>
    <s v="17IA45.30"/>
    <x v="0"/>
    <x v="3"/>
    <m/>
    <d v="2026-07-21T00:00:00"/>
    <m/>
  </r>
  <r>
    <s v="YK262700630"/>
    <x v="1"/>
    <x v="1"/>
    <n v="1"/>
    <x v="1"/>
    <d v="2026-07-15T14:19:10"/>
    <x v="28"/>
    <x v="14"/>
    <x v="28"/>
    <s v="17IA45.30"/>
    <x v="0"/>
    <x v="3"/>
    <m/>
    <d v="2026-07-17T00:00:00"/>
    <m/>
  </r>
  <r>
    <s v="YK262700631"/>
    <x v="1"/>
    <x v="1"/>
    <n v="1"/>
    <x v="1"/>
    <d v="2026-07-15T14:19:39"/>
    <x v="28"/>
    <x v="14"/>
    <x v="28"/>
    <s v="17IA45.30"/>
    <x v="0"/>
    <x v="3"/>
    <m/>
    <d v="2026-08-21T00:00:00"/>
    <m/>
  </r>
  <r>
    <s v="YK262700632"/>
    <x v="1"/>
    <x v="1"/>
    <n v="1"/>
    <x v="1"/>
    <d v="2026-07-15T14:22:38"/>
    <x v="28"/>
    <x v="14"/>
    <x v="28"/>
    <s v="17IA45.30"/>
    <x v="0"/>
    <x v="3"/>
    <m/>
    <d v="2026-08-21T00:00:00"/>
    <m/>
  </r>
  <r>
    <s v="YK262700633"/>
    <x v="1"/>
    <x v="1"/>
    <n v="1"/>
    <x v="1"/>
    <d v="2026-07-20T09:17:24"/>
    <x v="28"/>
    <x v="14"/>
    <x v="28"/>
    <s v="17IA45.30"/>
    <x v="0"/>
    <x v="3"/>
    <m/>
    <d v="2026-07-17T00:00:00"/>
    <m/>
  </r>
  <r>
    <s v="YK262700634"/>
    <x v="1"/>
    <x v="1"/>
    <n v="1"/>
    <x v="1"/>
    <d v="2026-07-21T09:25:09"/>
    <x v="28"/>
    <x v="14"/>
    <x v="28"/>
    <s v="17IA45.30"/>
    <x v="0"/>
    <x v="3"/>
    <m/>
    <d v="2026-07-20T00:00:00"/>
    <m/>
  </r>
  <r>
    <s v="YK262700635"/>
    <x v="1"/>
    <x v="1"/>
    <n v="1"/>
    <x v="1"/>
    <d v="2026-08-05T12:29:29"/>
    <x v="28"/>
    <x v="14"/>
    <x v="28"/>
    <s v="17IA45.30"/>
    <x v="0"/>
    <x v="3"/>
    <m/>
    <d v="2026-08-11T00:00:00"/>
    <m/>
  </r>
  <r>
    <s v="YK262700636"/>
    <x v="1"/>
    <x v="1"/>
    <n v="1"/>
    <x v="1"/>
    <d v="2026-07-24T13:16:21"/>
    <x v="28"/>
    <x v="14"/>
    <x v="28"/>
    <s v="17IA45.30"/>
    <x v="0"/>
    <x v="3"/>
    <m/>
    <d v="2026-07-24T00:00:00"/>
    <m/>
  </r>
  <r>
    <s v="YK262700637"/>
    <x v="1"/>
    <x v="1"/>
    <n v="1"/>
    <x v="1"/>
    <d v="2026-07-21T09:26:20"/>
    <x v="28"/>
    <x v="14"/>
    <x v="28"/>
    <s v="17IA45.30"/>
    <x v="0"/>
    <x v="3"/>
    <m/>
    <d v="2026-07-22T00:00:00"/>
    <m/>
  </r>
  <r>
    <s v="YK262700638"/>
    <x v="1"/>
    <x v="1"/>
    <n v="1"/>
    <x v="1"/>
    <d v="2026-07-24T13:16:58"/>
    <x v="28"/>
    <x v="14"/>
    <x v="28"/>
    <s v="17IA45.30"/>
    <x v="0"/>
    <x v="3"/>
    <m/>
    <d v="2026-07-23T00:00:00"/>
    <m/>
  </r>
  <r>
    <s v="YK262700639"/>
    <x v="1"/>
    <x v="1"/>
    <n v="1"/>
    <x v="1"/>
    <d v="2026-07-21T09:31:23"/>
    <x v="28"/>
    <x v="14"/>
    <x v="28"/>
    <s v="17IA45.30"/>
    <x v="0"/>
    <x v="3"/>
    <m/>
    <d v="2026-08-11T00:00:00"/>
    <m/>
  </r>
  <r>
    <s v="YK262700640"/>
    <x v="1"/>
    <x v="1"/>
    <n v="1"/>
    <x v="1"/>
    <d v="2026-08-20T09:45:20"/>
    <x v="28"/>
    <x v="14"/>
    <x v="28"/>
    <s v="17IA45.30"/>
    <x v="0"/>
    <x v="3"/>
    <m/>
    <d v="2026-08-21T00:00:00"/>
    <m/>
  </r>
  <r>
    <s v="YK262700641"/>
    <x v="1"/>
    <x v="1"/>
    <n v="1"/>
    <x v="1"/>
    <d v="2026-07-20T09:19:04"/>
    <x v="28"/>
    <x v="14"/>
    <x v="28"/>
    <s v="17IA45.30"/>
    <x v="0"/>
    <x v="3"/>
    <m/>
    <d v="2026-08-21T00:00:00"/>
    <m/>
  </r>
  <r>
    <s v="YK262700642"/>
    <x v="1"/>
    <x v="1"/>
    <n v="1"/>
    <x v="1"/>
    <d v="2026-07-21T09:23:42"/>
    <x v="28"/>
    <x v="14"/>
    <x v="28"/>
    <s v="17IA45.30"/>
    <x v="0"/>
    <x v="3"/>
    <m/>
    <d v="2026-07-21T00:00:00"/>
    <m/>
  </r>
  <r>
    <s v="YK262700643"/>
    <x v="1"/>
    <x v="1"/>
    <n v="1"/>
    <x v="1"/>
    <d v="2026-07-24T13:17:56"/>
    <x v="28"/>
    <x v="14"/>
    <x v="28"/>
    <s v="17IA45.30"/>
    <x v="0"/>
    <x v="3"/>
    <s v="Golden"/>
    <d v="2026-07-27T00:00:00"/>
    <m/>
  </r>
  <r>
    <s v="YK262700644"/>
    <x v="1"/>
    <x v="1"/>
    <n v="1"/>
    <x v="1"/>
    <d v="2026-07-24T13:18:31"/>
    <x v="28"/>
    <x v="14"/>
    <x v="28"/>
    <s v="17IA45.30"/>
    <x v="0"/>
    <x v="3"/>
    <m/>
    <d v="2026-07-24T00:00:00"/>
    <m/>
  </r>
  <r>
    <s v="YK262700645"/>
    <x v="1"/>
    <x v="1"/>
    <n v="1"/>
    <x v="1"/>
    <d v="2026-07-21T09:22:36"/>
    <x v="28"/>
    <x v="14"/>
    <x v="28"/>
    <s v="17IA45.30"/>
    <x v="0"/>
    <x v="3"/>
    <m/>
    <d v="2026-07-21T00:00:00"/>
    <m/>
  </r>
  <r>
    <s v="YK262700646"/>
    <x v="1"/>
    <x v="1"/>
    <n v="1"/>
    <x v="1"/>
    <d v="2026-07-24T13:19:30"/>
    <x v="28"/>
    <x v="14"/>
    <x v="28"/>
    <s v="17IA45.30"/>
    <x v="0"/>
    <x v="3"/>
    <m/>
    <d v="2026-07-23T00:00:00"/>
    <m/>
  </r>
  <r>
    <s v="YK262700647"/>
    <x v="1"/>
    <x v="1"/>
    <n v="1"/>
    <x v="1"/>
    <d v="2026-08-05T12:27:43"/>
    <x v="28"/>
    <x v="14"/>
    <x v="28"/>
    <s v="17IA45.30"/>
    <x v="0"/>
    <x v="3"/>
    <m/>
    <d v="2026-08-11T00:00:00"/>
    <m/>
  </r>
  <r>
    <s v="YK262700648"/>
    <x v="1"/>
    <x v="1"/>
    <n v="1"/>
    <x v="1"/>
    <d v="2026-09-03T06:29:04"/>
    <x v="28"/>
    <x v="14"/>
    <x v="28"/>
    <s v="17IA45.30"/>
    <x v="0"/>
    <x v="3"/>
    <s v="Pack out"/>
    <d v="2026-09-04T00:00:00"/>
    <m/>
  </r>
  <r>
    <s v="YK262700649"/>
    <x v="1"/>
    <x v="1"/>
    <n v="1"/>
    <x v="1"/>
    <d v="2026-08-05T12:26:56"/>
    <x v="28"/>
    <x v="14"/>
    <x v="28"/>
    <s v="17IA45.30"/>
    <x v="0"/>
    <x v="3"/>
    <m/>
    <d v="2026-08-20T00:00:00"/>
    <m/>
  </r>
  <r>
    <s v="YK262700650"/>
    <x v="1"/>
    <x v="1"/>
    <n v="1"/>
    <x v="1"/>
    <d v="2026-08-12T08:55:02"/>
    <x v="28"/>
    <x v="14"/>
    <x v="28"/>
    <s v="17IA45.30"/>
    <x v="0"/>
    <x v="3"/>
    <m/>
    <d v="2026-08-19T00:00:00"/>
    <m/>
  </r>
  <r>
    <s v="YK262700651"/>
    <x v="1"/>
    <x v="1"/>
    <n v="1"/>
    <x v="1"/>
    <d v="2026-07-24T13:20:11"/>
    <x v="28"/>
    <x v="14"/>
    <x v="28"/>
    <s v="17IA45.30"/>
    <x v="0"/>
    <x v="3"/>
    <m/>
    <d v="2026-07-23T00:00:00"/>
    <m/>
  </r>
  <r>
    <s v="YK262700652"/>
    <x v="1"/>
    <x v="1"/>
    <n v="1"/>
    <x v="1"/>
    <d v="2026-07-24T13:20:57"/>
    <x v="28"/>
    <x v="14"/>
    <x v="28"/>
    <s v="17IA45.30"/>
    <x v="0"/>
    <x v="3"/>
    <s v="Golden"/>
    <d v="2026-07-27T00:00:00"/>
    <m/>
  </r>
  <r>
    <s v="YK262700653"/>
    <x v="1"/>
    <x v="1"/>
    <n v="1"/>
    <x v="1"/>
    <d v="2026-08-05T12:26:11"/>
    <x v="28"/>
    <x v="14"/>
    <x v="28"/>
    <s v="17IA45.30"/>
    <x v="0"/>
    <x v="3"/>
    <m/>
    <d v="2026-08-26T00:00:00"/>
    <m/>
  </r>
  <r>
    <s v="YK262700654"/>
    <x v="1"/>
    <x v="1"/>
    <n v="1"/>
    <x v="1"/>
    <d v="2026-07-24T13:22:29"/>
    <x v="28"/>
    <x v="14"/>
    <x v="28"/>
    <s v="17IA45.30"/>
    <x v="0"/>
    <x v="3"/>
    <m/>
    <d v="2026-07-24T00:00:00"/>
    <m/>
  </r>
  <r>
    <s v="YK262700655"/>
    <x v="19"/>
    <x v="19"/>
    <n v="1"/>
    <x v="8"/>
    <d v="2026-07-20T18:53:54"/>
    <x v="28"/>
    <x v="14"/>
    <x v="28"/>
    <s v="17IA45.30"/>
    <x v="0"/>
    <x v="3"/>
    <m/>
    <m/>
    <m/>
  </r>
  <r>
    <s v="YK262700656"/>
    <x v="1"/>
    <x v="1"/>
    <n v="1"/>
    <x v="1"/>
    <d v="2026-08-12T08:55:30"/>
    <x v="28"/>
    <x v="14"/>
    <x v="28"/>
    <s v="17IA45.30"/>
    <x v="0"/>
    <x v="3"/>
    <m/>
    <d v="2026-08-17T00:00:00"/>
    <m/>
  </r>
  <r>
    <s v="YK262700657"/>
    <x v="19"/>
    <x v="19"/>
    <n v="1"/>
    <x v="8"/>
    <d v="2026-07-20T19:26:48"/>
    <x v="28"/>
    <x v="14"/>
    <x v="28"/>
    <s v="17IA45.30"/>
    <x v="0"/>
    <x v="3"/>
    <m/>
    <m/>
    <m/>
  </r>
  <r>
    <s v="YK262700658"/>
    <x v="1"/>
    <x v="1"/>
    <n v="1"/>
    <x v="1"/>
    <d v="2026-08-05T12:25:05"/>
    <x v="28"/>
    <x v="14"/>
    <x v="28"/>
    <s v="17IA45.30"/>
    <x v="0"/>
    <x v="3"/>
    <m/>
    <d v="2026-07-23T00:00:00"/>
    <m/>
  </r>
  <r>
    <s v="YK262700659"/>
    <x v="2"/>
    <x v="2"/>
    <n v="1"/>
    <x v="2"/>
    <d v="2026-08-27T07:02:51"/>
    <x v="28"/>
    <x v="14"/>
    <x v="28"/>
    <s v="17IA45.30"/>
    <x v="0"/>
    <x v="3"/>
    <m/>
    <m/>
    <m/>
  </r>
  <r>
    <s v="YK262700660"/>
    <x v="19"/>
    <x v="19"/>
    <n v="1"/>
    <x v="8"/>
    <d v="2026-07-21T19:01:36"/>
    <x v="28"/>
    <x v="14"/>
    <x v="28"/>
    <s v="17IA45.30"/>
    <x v="0"/>
    <x v="3"/>
    <m/>
    <m/>
    <m/>
  </r>
  <r>
    <s v="YK262700661"/>
    <x v="1"/>
    <x v="1"/>
    <n v="1"/>
    <x v="1"/>
    <d v="2026-08-28T09:16:16"/>
    <x v="28"/>
    <x v="14"/>
    <x v="28"/>
    <s v="17IA45.30"/>
    <x v="0"/>
    <x v="3"/>
    <m/>
    <d v="2026-08-28T00:00:00"/>
    <m/>
  </r>
  <r>
    <s v="YK262700662"/>
    <x v="1"/>
    <x v="1"/>
    <n v="1"/>
    <x v="1"/>
    <d v="2026-08-12T08:56:18"/>
    <x v="28"/>
    <x v="14"/>
    <x v="28"/>
    <s v="17IA45.30"/>
    <x v="0"/>
    <x v="3"/>
    <m/>
    <d v="2026-08-17T00:00:00"/>
    <m/>
  </r>
  <r>
    <s v="YK262700663"/>
    <x v="1"/>
    <x v="1"/>
    <n v="1"/>
    <x v="1"/>
    <d v="2026-08-12T08:56:50"/>
    <x v="28"/>
    <x v="14"/>
    <x v="28"/>
    <s v="17IA45.30"/>
    <x v="0"/>
    <x v="3"/>
    <m/>
    <d v="2026-08-19T00:00:00"/>
    <m/>
  </r>
  <r>
    <s v="YK262700664"/>
    <x v="19"/>
    <x v="19"/>
    <n v="1"/>
    <x v="8"/>
    <d v="2026-07-21T22:16:57"/>
    <x v="28"/>
    <x v="14"/>
    <x v="28"/>
    <s v="17IA45.30"/>
    <x v="0"/>
    <x v="3"/>
    <m/>
    <m/>
    <m/>
  </r>
  <r>
    <s v="YK262700665"/>
    <x v="1"/>
    <x v="1"/>
    <n v="1"/>
    <x v="1"/>
    <d v="2026-08-20T09:44:40"/>
    <x v="28"/>
    <x v="14"/>
    <x v="28"/>
    <s v="17IA45.30"/>
    <x v="0"/>
    <x v="3"/>
    <m/>
    <d v="2026-08-19T00:00:00"/>
    <m/>
  </r>
  <r>
    <s v="YK262700666"/>
    <x v="1"/>
    <x v="1"/>
    <n v="1"/>
    <x v="1"/>
    <d v="2026-08-28T14:44:37"/>
    <x v="28"/>
    <x v="14"/>
    <x v="28"/>
    <s v="17IA45.30"/>
    <x v="0"/>
    <x v="3"/>
    <m/>
    <d v="2026-09-01T00:00:00"/>
    <m/>
  </r>
  <r>
    <s v="YK262101086"/>
    <x v="1"/>
    <x v="1"/>
    <n v="1"/>
    <x v="1"/>
    <d v="2026-05-29T07:06:59"/>
    <x v="29"/>
    <x v="14"/>
    <x v="29"/>
    <s v="17IA45.40"/>
    <x v="0"/>
    <x v="3"/>
    <m/>
    <d v="2026-05-28T00:00:00"/>
    <m/>
  </r>
  <r>
    <s v="YK262101087"/>
    <x v="1"/>
    <x v="1"/>
    <n v="1"/>
    <x v="1"/>
    <d v="2026-06-01T11:05:31"/>
    <x v="29"/>
    <x v="14"/>
    <x v="29"/>
    <s v="17IA45.40"/>
    <x v="0"/>
    <x v="3"/>
    <m/>
    <d v="2026-06-04T00:00:00"/>
    <m/>
  </r>
  <r>
    <s v="YK262101088"/>
    <x v="1"/>
    <x v="1"/>
    <n v="1"/>
    <x v="1"/>
    <d v="2026-05-29T07:07:25"/>
    <x v="29"/>
    <x v="14"/>
    <x v="29"/>
    <s v="17IA45.40"/>
    <x v="0"/>
    <x v="3"/>
    <m/>
    <d v="2026-05-28T00:00:00"/>
    <m/>
  </r>
  <r>
    <s v="YK262101089"/>
    <x v="1"/>
    <x v="1"/>
    <n v="1"/>
    <x v="1"/>
    <d v="2026-05-29T07:07:47"/>
    <x v="29"/>
    <x v="14"/>
    <x v="29"/>
    <s v="17IA45.40"/>
    <x v="0"/>
    <x v="3"/>
    <m/>
    <d v="2026-05-28T00:00:00"/>
    <m/>
  </r>
  <r>
    <s v="YK262101090"/>
    <x v="1"/>
    <x v="1"/>
    <n v="1"/>
    <x v="1"/>
    <d v="2026-06-01T11:07:14"/>
    <x v="29"/>
    <x v="14"/>
    <x v="29"/>
    <s v="17IA45.40"/>
    <x v="0"/>
    <x v="3"/>
    <m/>
    <d v="2026-06-04T00:00:00"/>
    <m/>
  </r>
  <r>
    <s v="YK262101091"/>
    <x v="1"/>
    <x v="1"/>
    <n v="1"/>
    <x v="1"/>
    <d v="2026-06-01T10:56:52"/>
    <x v="29"/>
    <x v="14"/>
    <x v="29"/>
    <s v="17IA45.40"/>
    <x v="0"/>
    <x v="3"/>
    <m/>
    <d v="2026-05-29T00:00:00"/>
    <m/>
  </r>
  <r>
    <s v="YK262101092"/>
    <x v="1"/>
    <x v="1"/>
    <n v="1"/>
    <x v="1"/>
    <d v="2026-06-01T11:10:53"/>
    <x v="29"/>
    <x v="14"/>
    <x v="29"/>
    <s v="17IA45.40"/>
    <x v="0"/>
    <x v="3"/>
    <m/>
    <d v="2026-05-29T00:00:00"/>
    <m/>
  </r>
  <r>
    <s v="YK262101093"/>
    <x v="1"/>
    <x v="1"/>
    <n v="1"/>
    <x v="1"/>
    <d v="2026-05-29T07:03:30"/>
    <x v="29"/>
    <x v="14"/>
    <x v="29"/>
    <s v="17IA45.40"/>
    <x v="0"/>
    <x v="3"/>
    <m/>
    <d v="2026-05-28T00:00:00"/>
    <m/>
  </r>
  <r>
    <s v="YK262101094"/>
    <x v="1"/>
    <x v="1"/>
    <n v="1"/>
    <x v="1"/>
    <d v="2026-06-01T11:11:40"/>
    <x v="29"/>
    <x v="14"/>
    <x v="29"/>
    <s v="17IA45.40"/>
    <x v="0"/>
    <x v="3"/>
    <m/>
    <d v="2026-05-29T00:00:00"/>
    <m/>
  </r>
  <r>
    <s v="YK262101095"/>
    <x v="1"/>
    <x v="1"/>
    <n v="1"/>
    <x v="1"/>
    <d v="2026-06-01T11:12:57"/>
    <x v="29"/>
    <x v="14"/>
    <x v="29"/>
    <s v="17IA45.40"/>
    <x v="0"/>
    <x v="3"/>
    <m/>
    <d v="2026-05-29T00:00:00"/>
    <m/>
  </r>
  <r>
    <s v="YK262101096"/>
    <x v="1"/>
    <x v="1"/>
    <n v="1"/>
    <x v="1"/>
    <d v="2026-06-16T08:38:10"/>
    <x v="29"/>
    <x v="14"/>
    <x v="29"/>
    <s v="17IA45.40"/>
    <x v="0"/>
    <x v="3"/>
    <m/>
    <d v="2026-06-18T00:00:00"/>
    <m/>
  </r>
  <r>
    <s v="YK263100801"/>
    <x v="9"/>
    <x v="9"/>
    <n v="1"/>
    <x v="2"/>
    <d v="2026-08-27T15:41:36"/>
    <x v="30"/>
    <x v="16"/>
    <x v="30"/>
    <s v="18OA12.00"/>
    <x v="1"/>
    <x v="0"/>
    <m/>
    <m/>
    <m/>
  </r>
  <r>
    <s v="YK263100802"/>
    <x v="7"/>
    <x v="7"/>
    <n v="1"/>
    <x v="2"/>
    <d v="2026-09-03T12:28:14"/>
    <x v="30"/>
    <x v="16"/>
    <x v="30"/>
    <s v="18OA12.00"/>
    <x v="1"/>
    <x v="0"/>
    <m/>
    <m/>
    <m/>
  </r>
  <r>
    <s v="YK263100803"/>
    <x v="7"/>
    <x v="7"/>
    <n v="1"/>
    <x v="2"/>
    <d v="2026-09-03T14:25:51"/>
    <x v="30"/>
    <x v="16"/>
    <x v="30"/>
    <s v="18OA12.00"/>
    <x v="1"/>
    <x v="0"/>
    <m/>
    <m/>
    <m/>
  </r>
  <r>
    <s v="YK263100804"/>
    <x v="7"/>
    <x v="7"/>
    <n v="1"/>
    <x v="2"/>
    <d v="2026-09-04T10:15:12"/>
    <x v="30"/>
    <x v="16"/>
    <x v="30"/>
    <s v="18OA12.00"/>
    <x v="1"/>
    <x v="0"/>
    <m/>
    <m/>
    <m/>
  </r>
  <r>
    <s v="YK263100805"/>
    <x v="7"/>
    <x v="7"/>
    <n v="1"/>
    <x v="2"/>
    <d v="2026-09-03T15:23:00"/>
    <x v="30"/>
    <x v="16"/>
    <x v="30"/>
    <s v="18OA12.00"/>
    <x v="1"/>
    <x v="0"/>
    <m/>
    <m/>
    <m/>
  </r>
  <r>
    <s v="YK263100806"/>
    <x v="7"/>
    <x v="7"/>
    <n v="1"/>
    <x v="2"/>
    <d v="2026-09-04T04:50:05"/>
    <x v="30"/>
    <x v="16"/>
    <x v="30"/>
    <s v="18OA12.00"/>
    <x v="1"/>
    <x v="0"/>
    <m/>
    <m/>
    <m/>
  </r>
  <r>
    <s v="YK263100807"/>
    <x v="7"/>
    <x v="7"/>
    <n v="1"/>
    <x v="2"/>
    <d v="2026-09-03T11:57:12"/>
    <x v="30"/>
    <x v="16"/>
    <x v="30"/>
    <s v="18OA12.00"/>
    <x v="1"/>
    <x v="0"/>
    <m/>
    <m/>
    <m/>
  </r>
  <r>
    <s v="YK263100808"/>
    <x v="7"/>
    <x v="7"/>
    <n v="1"/>
    <x v="2"/>
    <d v="2026-09-03T15:07:50"/>
    <x v="30"/>
    <x v="16"/>
    <x v="30"/>
    <s v="18OA12.00"/>
    <x v="1"/>
    <x v="0"/>
    <m/>
    <m/>
    <m/>
  </r>
  <r>
    <s v="YK263100809"/>
    <x v="7"/>
    <x v="7"/>
    <n v="1"/>
    <x v="2"/>
    <d v="2026-09-03T11:40:16"/>
    <x v="30"/>
    <x v="16"/>
    <x v="30"/>
    <s v="18OA12.00"/>
    <x v="1"/>
    <x v="0"/>
    <m/>
    <m/>
    <m/>
  </r>
  <r>
    <s v="YK263100810"/>
    <x v="7"/>
    <x v="7"/>
    <n v="1"/>
    <x v="2"/>
    <d v="2026-09-03T12:11:20"/>
    <x v="30"/>
    <x v="16"/>
    <x v="30"/>
    <s v="18OA12.00"/>
    <x v="1"/>
    <x v="0"/>
    <m/>
    <m/>
    <m/>
  </r>
  <r>
    <s v="YK263100811"/>
    <x v="7"/>
    <x v="7"/>
    <n v="1"/>
    <x v="2"/>
    <d v="2026-09-03T14:59:16"/>
    <x v="30"/>
    <x v="16"/>
    <x v="30"/>
    <s v="18OA12.00"/>
    <x v="1"/>
    <x v="0"/>
    <m/>
    <m/>
    <m/>
  </r>
  <r>
    <s v="YK263100812"/>
    <x v="7"/>
    <x v="7"/>
    <n v="1"/>
    <x v="2"/>
    <d v="2026-09-04T04:55:23"/>
    <x v="30"/>
    <x v="16"/>
    <x v="30"/>
    <s v="18OA12.00"/>
    <x v="1"/>
    <x v="0"/>
    <m/>
    <m/>
    <m/>
  </r>
  <r>
    <s v="YK263100813"/>
    <x v="7"/>
    <x v="7"/>
    <n v="1"/>
    <x v="2"/>
    <d v="2026-09-03T14:20:31"/>
    <x v="30"/>
    <x v="16"/>
    <x v="30"/>
    <s v="18OA12.00"/>
    <x v="1"/>
    <x v="0"/>
    <m/>
    <m/>
    <m/>
  </r>
  <r>
    <s v="YK263100814"/>
    <x v="7"/>
    <x v="7"/>
    <n v="1"/>
    <x v="2"/>
    <d v="2026-09-03T11:30:23"/>
    <x v="30"/>
    <x v="16"/>
    <x v="30"/>
    <s v="18OA12.00"/>
    <x v="1"/>
    <x v="0"/>
    <m/>
    <m/>
    <m/>
  </r>
  <r>
    <s v="YK263500001"/>
    <x v="0"/>
    <x v="0"/>
    <n v="1"/>
    <x v="7"/>
    <d v="2026-08-24T06:37:16"/>
    <x v="31"/>
    <x v="17"/>
    <x v="31"/>
    <s v="18OA21.00"/>
    <x v="1"/>
    <x v="1"/>
    <m/>
    <m/>
    <m/>
  </r>
  <r>
    <s v="YK263500002"/>
    <x v="0"/>
    <x v="0"/>
    <n v="1"/>
    <x v="7"/>
    <d v="2026-08-24T06:37:16"/>
    <x v="31"/>
    <x v="17"/>
    <x v="31"/>
    <s v="18OA21.00"/>
    <x v="1"/>
    <x v="1"/>
    <m/>
    <m/>
    <m/>
  </r>
  <r>
    <s v="YK263500003"/>
    <x v="9"/>
    <x v="9"/>
    <n v="1"/>
    <x v="2"/>
    <d v="2026-09-02T11:19:35"/>
    <x v="31"/>
    <x v="17"/>
    <x v="31"/>
    <s v="18OA21.00"/>
    <x v="1"/>
    <x v="1"/>
    <m/>
    <m/>
    <m/>
  </r>
  <r>
    <s v="YK263500004"/>
    <x v="9"/>
    <x v="9"/>
    <n v="1"/>
    <x v="2"/>
    <d v="2026-08-27T14:07:05"/>
    <x v="31"/>
    <x v="17"/>
    <x v="31"/>
    <s v="18OA21.00"/>
    <x v="1"/>
    <x v="1"/>
    <m/>
    <m/>
    <m/>
  </r>
  <r>
    <s v="YK263500005"/>
    <x v="9"/>
    <x v="9"/>
    <n v="1"/>
    <x v="2"/>
    <d v="2026-08-28T08:56:56"/>
    <x v="31"/>
    <x v="17"/>
    <x v="31"/>
    <s v="18OA21.00"/>
    <x v="1"/>
    <x v="1"/>
    <m/>
    <m/>
    <m/>
  </r>
  <r>
    <s v="YK263500006"/>
    <x v="9"/>
    <x v="9"/>
    <n v="1"/>
    <x v="2"/>
    <d v="2026-08-28T08:31:00"/>
    <x v="31"/>
    <x v="17"/>
    <x v="31"/>
    <s v="18OA21.00"/>
    <x v="1"/>
    <x v="1"/>
    <m/>
    <m/>
    <m/>
  </r>
  <r>
    <s v="YK263500007"/>
    <x v="14"/>
    <x v="14"/>
    <n v="1"/>
    <x v="2"/>
    <d v="2026-08-28T10:38:31"/>
    <x v="31"/>
    <x v="17"/>
    <x v="31"/>
    <s v="18OA21.00"/>
    <x v="1"/>
    <x v="1"/>
    <m/>
    <m/>
    <m/>
  </r>
  <r>
    <s v="YK263500008"/>
    <x v="9"/>
    <x v="9"/>
    <n v="1"/>
    <x v="2"/>
    <d v="2026-08-28T08:37:04"/>
    <x v="31"/>
    <x v="17"/>
    <x v="31"/>
    <s v="18OA21.00"/>
    <x v="1"/>
    <x v="1"/>
    <m/>
    <m/>
    <m/>
  </r>
  <r>
    <s v="YK263500009"/>
    <x v="9"/>
    <x v="9"/>
    <n v="1"/>
    <x v="2"/>
    <d v="2026-08-27T14:15:00"/>
    <x v="31"/>
    <x v="17"/>
    <x v="31"/>
    <s v="18OA21.00"/>
    <x v="1"/>
    <x v="1"/>
    <m/>
    <m/>
    <m/>
  </r>
  <r>
    <s v="YK263500010"/>
    <x v="9"/>
    <x v="9"/>
    <n v="1"/>
    <x v="2"/>
    <d v="2026-08-27T14:10:45"/>
    <x v="31"/>
    <x v="17"/>
    <x v="31"/>
    <s v="18OA21.00"/>
    <x v="1"/>
    <x v="1"/>
    <m/>
    <m/>
    <m/>
  </r>
  <r>
    <s v="YK263500011"/>
    <x v="9"/>
    <x v="9"/>
    <n v="1"/>
    <x v="2"/>
    <d v="2026-08-28T08:54:00"/>
    <x v="31"/>
    <x v="17"/>
    <x v="31"/>
    <s v="18OA21.00"/>
    <x v="1"/>
    <x v="1"/>
    <m/>
    <m/>
    <m/>
  </r>
  <r>
    <s v="YK261900001"/>
    <x v="1"/>
    <x v="1"/>
    <n v="1"/>
    <x v="1"/>
    <d v="2026-06-03T09:52:26"/>
    <x v="32"/>
    <x v="18"/>
    <x v="32"/>
    <s v="19BA11.00"/>
    <x v="2"/>
    <x v="0"/>
    <m/>
    <d v="2026-05-15T00:00:00"/>
    <m/>
  </r>
  <r>
    <s v="YK261900002"/>
    <x v="1"/>
    <x v="1"/>
    <n v="1"/>
    <x v="1"/>
    <d v="2026-06-10T09:28:51"/>
    <x v="32"/>
    <x v="18"/>
    <x v="32"/>
    <s v="19BA11.00"/>
    <x v="2"/>
    <x v="0"/>
    <m/>
    <m/>
    <m/>
  </r>
  <r>
    <s v="YK261900003"/>
    <x v="1"/>
    <x v="1"/>
    <n v="1"/>
    <x v="1"/>
    <d v="2026-06-10T09:18:20"/>
    <x v="32"/>
    <x v="18"/>
    <x v="32"/>
    <s v="19BA11.00"/>
    <x v="2"/>
    <x v="0"/>
    <m/>
    <m/>
    <m/>
  </r>
  <r>
    <s v="YK261900004"/>
    <x v="1"/>
    <x v="1"/>
    <n v="1"/>
    <x v="1"/>
    <d v="2026-06-03T09:53:44"/>
    <x v="32"/>
    <x v="18"/>
    <x v="32"/>
    <s v="19BA11.00"/>
    <x v="2"/>
    <x v="0"/>
    <m/>
    <d v="2026-05-15T00:00:00"/>
    <m/>
  </r>
  <r>
    <s v="YK261900005"/>
    <x v="1"/>
    <x v="1"/>
    <n v="1"/>
    <x v="1"/>
    <d v="2026-06-03T09:54:41"/>
    <x v="32"/>
    <x v="18"/>
    <x v="32"/>
    <s v="19BA11.00"/>
    <x v="2"/>
    <x v="0"/>
    <m/>
    <d v="2026-05-15T00:00:00"/>
    <m/>
  </r>
  <r>
    <s v="YK261900006"/>
    <x v="1"/>
    <x v="1"/>
    <n v="1"/>
    <x v="1"/>
    <d v="2026-06-03T09:55:39"/>
    <x v="32"/>
    <x v="18"/>
    <x v="32"/>
    <s v="19BA11.00"/>
    <x v="2"/>
    <x v="0"/>
    <m/>
    <d v="2026-05-15T00:00:00"/>
    <m/>
  </r>
  <r>
    <s v="YK261900007"/>
    <x v="1"/>
    <x v="1"/>
    <n v="1"/>
    <x v="1"/>
    <d v="2026-06-03T09:56:28"/>
    <x v="32"/>
    <x v="18"/>
    <x v="32"/>
    <s v="19BA11.00"/>
    <x v="2"/>
    <x v="0"/>
    <m/>
    <d v="2026-05-15T00:00:00"/>
    <m/>
  </r>
  <r>
    <s v="YK261900008"/>
    <x v="1"/>
    <x v="1"/>
    <n v="1"/>
    <x v="1"/>
    <d v="2026-06-10T09:29:33"/>
    <x v="32"/>
    <x v="18"/>
    <x v="32"/>
    <s v="19BA11.00"/>
    <x v="2"/>
    <x v="0"/>
    <m/>
    <d v="2026-06-01T00:00:00"/>
    <m/>
  </r>
  <r>
    <s v="YK261900009"/>
    <x v="1"/>
    <x v="1"/>
    <n v="1"/>
    <x v="1"/>
    <d v="2026-06-10T09:17:10"/>
    <x v="32"/>
    <x v="18"/>
    <x v="32"/>
    <s v="19BA11.00"/>
    <x v="2"/>
    <x v="0"/>
    <m/>
    <d v="2026-05-15T00:00:00"/>
    <m/>
  </r>
  <r>
    <s v="YK261900010"/>
    <x v="1"/>
    <x v="1"/>
    <n v="1"/>
    <x v="1"/>
    <d v="2026-06-10T09:30:27"/>
    <x v="32"/>
    <x v="18"/>
    <x v="32"/>
    <s v="19BA11.00"/>
    <x v="2"/>
    <x v="0"/>
    <m/>
    <d v="2026-06-01T00:00:00"/>
    <m/>
  </r>
  <r>
    <s v="YK261900011"/>
    <x v="1"/>
    <x v="1"/>
    <n v="1"/>
    <x v="1"/>
    <d v="2026-06-10T09:36:22"/>
    <x v="32"/>
    <x v="18"/>
    <x v="32"/>
    <s v="19BA11.00"/>
    <x v="2"/>
    <x v="0"/>
    <m/>
    <d v="2026-06-01T00:00:00"/>
    <m/>
  </r>
  <r>
    <s v="YK261900012"/>
    <x v="1"/>
    <x v="1"/>
    <n v="1"/>
    <x v="1"/>
    <d v="2026-06-10T09:41:58"/>
    <x v="32"/>
    <x v="18"/>
    <x v="32"/>
    <s v="19BA11.00"/>
    <x v="2"/>
    <x v="0"/>
    <m/>
    <d v="2026-06-01T00:00:00"/>
    <m/>
  </r>
  <r>
    <s v="YK261900013"/>
    <x v="1"/>
    <x v="1"/>
    <n v="1"/>
    <x v="1"/>
    <d v="2026-06-10T09:42:31"/>
    <x v="32"/>
    <x v="18"/>
    <x v="32"/>
    <s v="19BA11.00"/>
    <x v="2"/>
    <x v="0"/>
    <m/>
    <d v="2026-06-01T00:00:00"/>
    <m/>
  </r>
  <r>
    <s v="YK261900014"/>
    <x v="1"/>
    <x v="1"/>
    <n v="1"/>
    <x v="1"/>
    <d v="2026-06-10T09:43:15"/>
    <x v="32"/>
    <x v="18"/>
    <x v="32"/>
    <s v="19BA11.00"/>
    <x v="2"/>
    <x v="0"/>
    <m/>
    <d v="2026-06-01T00:00:00"/>
    <m/>
  </r>
  <r>
    <s v="YK261900015"/>
    <x v="1"/>
    <x v="1"/>
    <n v="1"/>
    <x v="1"/>
    <d v="2026-06-03T06:42:59"/>
    <x v="33"/>
    <x v="19"/>
    <x v="33"/>
    <s v="19BA11.10"/>
    <x v="2"/>
    <x v="0"/>
    <m/>
    <m/>
    <m/>
  </r>
  <r>
    <s v="YK261900016"/>
    <x v="1"/>
    <x v="1"/>
    <n v="1"/>
    <x v="1"/>
    <d v="2026-06-10T09:51:42"/>
    <x v="33"/>
    <x v="19"/>
    <x v="33"/>
    <s v="19BA11.10"/>
    <x v="2"/>
    <x v="0"/>
    <m/>
    <d v="2026-05-15T00:00:00"/>
    <m/>
  </r>
  <r>
    <s v="YK261900017"/>
    <x v="1"/>
    <x v="1"/>
    <n v="1"/>
    <x v="1"/>
    <d v="2026-06-10T09:52:20"/>
    <x v="33"/>
    <x v="19"/>
    <x v="33"/>
    <s v="19BA11.10"/>
    <x v="2"/>
    <x v="0"/>
    <m/>
    <d v="2026-05-15T00:00:00"/>
    <m/>
  </r>
  <r>
    <s v="YK261900018"/>
    <x v="1"/>
    <x v="1"/>
    <n v="1"/>
    <x v="1"/>
    <d v="2026-06-10T09:52:56"/>
    <x v="33"/>
    <x v="19"/>
    <x v="33"/>
    <s v="19BA11.10"/>
    <x v="2"/>
    <x v="0"/>
    <m/>
    <d v="2026-05-15T00:00:00"/>
    <m/>
  </r>
  <r>
    <s v="YK261900019"/>
    <x v="1"/>
    <x v="1"/>
    <n v="1"/>
    <x v="1"/>
    <d v="2026-06-10T09:53:32"/>
    <x v="33"/>
    <x v="19"/>
    <x v="33"/>
    <s v="19BA11.10"/>
    <x v="2"/>
    <x v="0"/>
    <m/>
    <d v="2026-05-15T00:00:00"/>
    <m/>
  </r>
  <r>
    <s v="YK261900020"/>
    <x v="1"/>
    <x v="1"/>
    <n v="1"/>
    <x v="1"/>
    <d v="2026-06-10T09:44:57"/>
    <x v="33"/>
    <x v="19"/>
    <x v="33"/>
    <s v="19BA11.10"/>
    <x v="2"/>
    <x v="0"/>
    <m/>
    <d v="2026-06-01T00:00:00"/>
    <m/>
  </r>
  <r>
    <s v="YK261900021"/>
    <x v="1"/>
    <x v="1"/>
    <n v="1"/>
    <x v="1"/>
    <d v="2026-06-10T09:54:08"/>
    <x v="33"/>
    <x v="19"/>
    <x v="33"/>
    <s v="19BA11.10"/>
    <x v="2"/>
    <x v="0"/>
    <m/>
    <d v="2026-05-15T00:00:00"/>
    <m/>
  </r>
  <r>
    <s v="YK261900022"/>
    <x v="1"/>
    <x v="1"/>
    <n v="1"/>
    <x v="1"/>
    <d v="2026-06-10T09:45:33"/>
    <x v="33"/>
    <x v="19"/>
    <x v="33"/>
    <s v="19BA11.10"/>
    <x v="2"/>
    <x v="0"/>
    <m/>
    <d v="2026-06-01T00:00:00"/>
    <m/>
  </r>
  <r>
    <s v="YK261900023"/>
    <x v="1"/>
    <x v="1"/>
    <n v="1"/>
    <x v="1"/>
    <d v="2026-06-10T09:46:18"/>
    <x v="33"/>
    <x v="19"/>
    <x v="33"/>
    <s v="19BA11.10"/>
    <x v="2"/>
    <x v="0"/>
    <m/>
    <d v="2026-06-01T00:00:00"/>
    <m/>
  </r>
  <r>
    <s v="YK261900024"/>
    <x v="1"/>
    <x v="1"/>
    <n v="1"/>
    <x v="1"/>
    <d v="2026-06-10T09:46:53"/>
    <x v="33"/>
    <x v="19"/>
    <x v="33"/>
    <s v="19BA11.10"/>
    <x v="2"/>
    <x v="0"/>
    <m/>
    <d v="2026-06-01T00:00:00"/>
    <m/>
  </r>
  <r>
    <s v="YK261900025"/>
    <x v="1"/>
    <x v="1"/>
    <n v="1"/>
    <x v="1"/>
    <d v="2026-06-10T09:47:40"/>
    <x v="33"/>
    <x v="19"/>
    <x v="33"/>
    <s v="19BA11.10"/>
    <x v="2"/>
    <x v="0"/>
    <m/>
    <d v="2026-06-01T00:00:00"/>
    <m/>
  </r>
  <r>
    <s v="YK261900026"/>
    <x v="1"/>
    <x v="1"/>
    <n v="1"/>
    <x v="1"/>
    <d v="2026-06-10T09:48:13"/>
    <x v="33"/>
    <x v="19"/>
    <x v="33"/>
    <s v="19BA11.10"/>
    <x v="2"/>
    <x v="0"/>
    <m/>
    <d v="2026-06-01T00:00:00"/>
    <m/>
  </r>
  <r>
    <s v="YK261900027"/>
    <x v="1"/>
    <x v="1"/>
    <n v="1"/>
    <x v="1"/>
    <d v="2026-06-10T09:48:55"/>
    <x v="33"/>
    <x v="19"/>
    <x v="33"/>
    <s v="19BA11.10"/>
    <x v="2"/>
    <x v="0"/>
    <m/>
    <d v="2026-06-01T00:00:00"/>
    <m/>
  </r>
  <r>
    <s v="YK261900028"/>
    <x v="1"/>
    <x v="1"/>
    <n v="1"/>
    <x v="1"/>
    <d v="2026-06-10T09:54:52"/>
    <x v="33"/>
    <x v="19"/>
    <x v="33"/>
    <s v="19BA11.10"/>
    <x v="2"/>
    <x v="0"/>
    <m/>
    <d v="2026-05-15T00:00:00"/>
    <m/>
  </r>
  <r>
    <s v="YK263100815"/>
    <x v="3"/>
    <x v="3"/>
    <n v="1"/>
    <x v="3"/>
    <d v="2026-08-11T17:00:25"/>
    <x v="34"/>
    <x v="18"/>
    <x v="34"/>
    <s v="19BA13.00"/>
    <x v="3"/>
    <x v="0"/>
    <m/>
    <m/>
    <m/>
  </r>
  <r>
    <s v="YK263100816"/>
    <x v="3"/>
    <x v="3"/>
    <n v="1"/>
    <x v="3"/>
    <d v="2026-08-14T11:21:07"/>
    <x v="34"/>
    <x v="18"/>
    <x v="34"/>
    <s v="19BA13.00"/>
    <x v="3"/>
    <x v="0"/>
    <m/>
    <m/>
    <m/>
  </r>
  <r>
    <s v="YK263100817"/>
    <x v="3"/>
    <x v="3"/>
    <n v="1"/>
    <x v="3"/>
    <d v="2026-08-11T17:17:41"/>
    <x v="34"/>
    <x v="18"/>
    <x v="34"/>
    <s v="19BA13.00"/>
    <x v="3"/>
    <x v="0"/>
    <m/>
    <m/>
    <m/>
  </r>
  <r>
    <s v="YK263100818"/>
    <x v="7"/>
    <x v="7"/>
    <n v="1"/>
    <x v="2"/>
    <d v="2026-08-25T06:09:00"/>
    <x v="34"/>
    <x v="18"/>
    <x v="34"/>
    <s v="19BA13.00"/>
    <x v="3"/>
    <x v="0"/>
    <m/>
    <m/>
    <m/>
  </r>
  <r>
    <s v="YK263100819"/>
    <x v="8"/>
    <x v="8"/>
    <n v="1"/>
    <x v="6"/>
    <d v="2026-09-04T08:50:55"/>
    <x v="34"/>
    <x v="18"/>
    <x v="34"/>
    <s v="19BA13.00"/>
    <x v="3"/>
    <x v="0"/>
    <m/>
    <m/>
    <m/>
  </r>
  <r>
    <s v="YK263100820"/>
    <x v="3"/>
    <x v="3"/>
    <n v="1"/>
    <x v="3"/>
    <d v="2026-08-21T10:32:46"/>
    <x v="34"/>
    <x v="18"/>
    <x v="34"/>
    <s v="19BA13.00"/>
    <x v="3"/>
    <x v="0"/>
    <m/>
    <m/>
    <m/>
  </r>
  <r>
    <s v="YK263100821"/>
    <x v="0"/>
    <x v="0"/>
    <n v="1"/>
    <x v="0"/>
    <d v="2026-08-14T10:47:43"/>
    <x v="34"/>
    <x v="18"/>
    <x v="34"/>
    <s v="19BA13.00"/>
    <x v="3"/>
    <x v="0"/>
    <m/>
    <m/>
    <m/>
  </r>
  <r>
    <s v="YK263100822"/>
    <x v="3"/>
    <x v="3"/>
    <n v="1"/>
    <x v="3"/>
    <d v="2026-08-21T10:26:03"/>
    <x v="34"/>
    <x v="18"/>
    <x v="34"/>
    <s v="19BA13.00"/>
    <x v="3"/>
    <x v="0"/>
    <m/>
    <m/>
    <m/>
  </r>
  <r>
    <s v="YK263100823"/>
    <x v="0"/>
    <x v="0"/>
    <n v="1"/>
    <x v="0"/>
    <d v="2026-08-14T15:55:34"/>
    <x v="34"/>
    <x v="18"/>
    <x v="34"/>
    <s v="19BA13.00"/>
    <x v="3"/>
    <x v="0"/>
    <m/>
    <m/>
    <m/>
  </r>
  <r>
    <s v="YK263100824"/>
    <x v="3"/>
    <x v="3"/>
    <n v="1"/>
    <x v="3"/>
    <d v="2026-08-11T17:23:22"/>
    <x v="34"/>
    <x v="18"/>
    <x v="34"/>
    <s v="19BA13.00"/>
    <x v="3"/>
    <x v="0"/>
    <m/>
    <m/>
    <m/>
  </r>
  <r>
    <s v="YK263100825"/>
    <x v="3"/>
    <x v="3"/>
    <n v="1"/>
    <x v="3"/>
    <d v="2026-08-21T10:40:32"/>
    <x v="34"/>
    <x v="18"/>
    <x v="34"/>
    <s v="19BA13.00"/>
    <x v="3"/>
    <x v="0"/>
    <m/>
    <m/>
    <m/>
  </r>
  <r>
    <s v="YK263100826"/>
    <x v="3"/>
    <x v="3"/>
    <n v="1"/>
    <x v="3"/>
    <d v="2026-08-11T13:31:10"/>
    <x v="34"/>
    <x v="18"/>
    <x v="34"/>
    <s v="19BA13.00"/>
    <x v="3"/>
    <x v="0"/>
    <m/>
    <m/>
    <m/>
  </r>
  <r>
    <s v="YK263100827"/>
    <x v="3"/>
    <x v="3"/>
    <n v="1"/>
    <x v="3"/>
    <d v="2026-08-17T18:54:28"/>
    <x v="34"/>
    <x v="18"/>
    <x v="34"/>
    <s v="19BA13.00"/>
    <x v="3"/>
    <x v="0"/>
    <m/>
    <m/>
    <m/>
  </r>
  <r>
    <s v="YK263100828"/>
    <x v="3"/>
    <x v="3"/>
    <n v="1"/>
    <x v="3"/>
    <d v="2026-08-12T11:43:28"/>
    <x v="34"/>
    <x v="18"/>
    <x v="34"/>
    <s v="19BA13.00"/>
    <x v="3"/>
    <x v="0"/>
    <m/>
    <m/>
    <m/>
  </r>
  <r>
    <s v="YK263100829"/>
    <x v="0"/>
    <x v="0"/>
    <n v="1"/>
    <x v="0"/>
    <d v="2026-08-31T21:23:57"/>
    <x v="34"/>
    <x v="18"/>
    <x v="34"/>
    <s v="19BA13.00"/>
    <x v="3"/>
    <x v="0"/>
    <m/>
    <m/>
    <m/>
  </r>
  <r>
    <s v="YK263100830"/>
    <x v="0"/>
    <x v="0"/>
    <n v="1"/>
    <x v="0"/>
    <d v="2026-08-14T10:46:17"/>
    <x v="34"/>
    <x v="18"/>
    <x v="34"/>
    <s v="19BA13.00"/>
    <x v="3"/>
    <x v="0"/>
    <m/>
    <m/>
    <m/>
  </r>
  <r>
    <s v="YK263100831"/>
    <x v="3"/>
    <x v="3"/>
    <n v="1"/>
    <x v="3"/>
    <d v="2026-08-21T12:13:14"/>
    <x v="34"/>
    <x v="18"/>
    <x v="34"/>
    <s v="19BA13.00"/>
    <x v="3"/>
    <x v="0"/>
    <m/>
    <m/>
    <m/>
  </r>
  <r>
    <s v="YK263100832"/>
    <x v="0"/>
    <x v="0"/>
    <n v="1"/>
    <x v="0"/>
    <d v="2026-08-31T21:23:57"/>
    <x v="34"/>
    <x v="18"/>
    <x v="34"/>
    <s v="19BA13.00"/>
    <x v="3"/>
    <x v="0"/>
    <m/>
    <m/>
    <m/>
  </r>
  <r>
    <s v="YK263100833"/>
    <x v="3"/>
    <x v="3"/>
    <n v="1"/>
    <x v="3"/>
    <d v="2026-08-21T11:32:05"/>
    <x v="34"/>
    <x v="18"/>
    <x v="34"/>
    <s v="19BA13.00"/>
    <x v="3"/>
    <x v="0"/>
    <m/>
    <m/>
    <m/>
  </r>
  <r>
    <s v="YK263100834"/>
    <x v="0"/>
    <x v="0"/>
    <n v="1"/>
    <x v="0"/>
    <d v="2026-09-01T13:44:27"/>
    <x v="34"/>
    <x v="18"/>
    <x v="34"/>
    <s v="19BA13.00"/>
    <x v="3"/>
    <x v="0"/>
    <m/>
    <m/>
    <m/>
  </r>
  <r>
    <s v="YK263100835"/>
    <x v="3"/>
    <x v="3"/>
    <n v="1"/>
    <x v="3"/>
    <d v="2026-08-13T10:39:17"/>
    <x v="34"/>
    <x v="18"/>
    <x v="34"/>
    <s v="19BA13.00"/>
    <x v="3"/>
    <x v="0"/>
    <m/>
    <m/>
    <m/>
  </r>
  <r>
    <s v="YK263100836"/>
    <x v="3"/>
    <x v="3"/>
    <n v="1"/>
    <x v="3"/>
    <d v="2026-08-21T11:37:50"/>
    <x v="34"/>
    <x v="18"/>
    <x v="34"/>
    <s v="19BA13.00"/>
    <x v="3"/>
    <x v="0"/>
    <m/>
    <m/>
    <m/>
  </r>
  <r>
    <s v="YK263100837"/>
    <x v="0"/>
    <x v="0"/>
    <n v="1"/>
    <x v="0"/>
    <d v="2026-08-31T10:27:53"/>
    <x v="34"/>
    <x v="18"/>
    <x v="34"/>
    <s v="19BA13.00"/>
    <x v="3"/>
    <x v="0"/>
    <m/>
    <m/>
    <m/>
  </r>
  <r>
    <s v="YK263100838"/>
    <x v="0"/>
    <x v="0"/>
    <n v="1"/>
    <x v="0"/>
    <d v="2026-08-31T10:33:19"/>
    <x v="34"/>
    <x v="18"/>
    <x v="34"/>
    <s v="19BA13.00"/>
    <x v="3"/>
    <x v="0"/>
    <m/>
    <m/>
    <m/>
  </r>
  <r>
    <s v="YK263100839"/>
    <x v="3"/>
    <x v="3"/>
    <n v="1"/>
    <x v="3"/>
    <d v="2026-08-20T08:33:22"/>
    <x v="34"/>
    <x v="18"/>
    <x v="34"/>
    <s v="19BA13.00"/>
    <x v="3"/>
    <x v="0"/>
    <m/>
    <m/>
    <m/>
  </r>
  <r>
    <s v="YK263100840"/>
    <x v="3"/>
    <x v="3"/>
    <n v="1"/>
    <x v="3"/>
    <d v="2026-08-11T13:16:49"/>
    <x v="34"/>
    <x v="18"/>
    <x v="34"/>
    <s v="19BA13.00"/>
    <x v="3"/>
    <x v="0"/>
    <m/>
    <m/>
    <m/>
  </r>
  <r>
    <s v="YK263100841"/>
    <x v="0"/>
    <x v="0"/>
    <n v="1"/>
    <x v="0"/>
    <d v="2026-08-14T10:46:33"/>
    <x v="34"/>
    <x v="18"/>
    <x v="34"/>
    <s v="19BA13.00"/>
    <x v="3"/>
    <x v="0"/>
    <m/>
    <m/>
    <m/>
  </r>
  <r>
    <s v="YK263100842"/>
    <x v="3"/>
    <x v="3"/>
    <n v="1"/>
    <x v="3"/>
    <d v="2026-08-14T11:02:34"/>
    <x v="34"/>
    <x v="18"/>
    <x v="34"/>
    <s v="19BA13.00"/>
    <x v="3"/>
    <x v="0"/>
    <m/>
    <m/>
    <m/>
  </r>
  <r>
    <s v="YK263100843"/>
    <x v="3"/>
    <x v="3"/>
    <n v="1"/>
    <x v="3"/>
    <d v="2026-08-13T10:52:54"/>
    <x v="34"/>
    <x v="18"/>
    <x v="34"/>
    <s v="19BA13.00"/>
    <x v="3"/>
    <x v="0"/>
    <m/>
    <m/>
    <m/>
  </r>
  <r>
    <s v="YK263100844"/>
    <x v="9"/>
    <x v="9"/>
    <n v="1"/>
    <x v="2"/>
    <d v="2026-08-01T12:59:32"/>
    <x v="34"/>
    <x v="18"/>
    <x v="34"/>
    <s v="19BA13.00"/>
    <x v="3"/>
    <x v="0"/>
    <m/>
    <m/>
    <m/>
  </r>
  <r>
    <s v="YK263100845"/>
    <x v="0"/>
    <x v="0"/>
    <n v="1"/>
    <x v="0"/>
    <d v="2026-09-02T09:46:15"/>
    <x v="34"/>
    <x v="18"/>
    <x v="34"/>
    <s v="19BA13.00"/>
    <x v="3"/>
    <x v="0"/>
    <m/>
    <m/>
    <m/>
  </r>
  <r>
    <s v="YK263100846"/>
    <x v="3"/>
    <x v="3"/>
    <n v="1"/>
    <x v="3"/>
    <d v="2026-09-08T08:05:15"/>
    <x v="34"/>
    <x v="18"/>
    <x v="34"/>
    <s v="19BA13.00"/>
    <x v="3"/>
    <x v="0"/>
    <m/>
    <m/>
    <m/>
  </r>
  <r>
    <s v="YK263100847"/>
    <x v="0"/>
    <x v="0"/>
    <n v="1"/>
    <x v="0"/>
    <d v="2026-08-14T15:54:47"/>
    <x v="34"/>
    <x v="18"/>
    <x v="34"/>
    <s v="19BA13.00"/>
    <x v="3"/>
    <x v="0"/>
    <m/>
    <m/>
    <m/>
  </r>
  <r>
    <s v="YK263100848"/>
    <x v="3"/>
    <x v="3"/>
    <n v="1"/>
    <x v="3"/>
    <d v="2026-08-24T11:28:40"/>
    <x v="34"/>
    <x v="18"/>
    <x v="34"/>
    <s v="19BA13.00"/>
    <x v="3"/>
    <x v="0"/>
    <m/>
    <m/>
    <m/>
  </r>
  <r>
    <s v="YK263100849"/>
    <x v="0"/>
    <x v="0"/>
    <n v="1"/>
    <x v="0"/>
    <d v="2026-09-01T08:29:15"/>
    <x v="34"/>
    <x v="18"/>
    <x v="34"/>
    <s v="19BA13.00"/>
    <x v="3"/>
    <x v="0"/>
    <m/>
    <m/>
    <m/>
  </r>
  <r>
    <s v="YK263100850"/>
    <x v="0"/>
    <x v="0"/>
    <n v="1"/>
    <x v="0"/>
    <d v="2026-08-14T15:54:26"/>
    <x v="34"/>
    <x v="18"/>
    <x v="34"/>
    <s v="19BA13.00"/>
    <x v="3"/>
    <x v="0"/>
    <m/>
    <m/>
    <m/>
  </r>
  <r>
    <s v="YK263100851"/>
    <x v="0"/>
    <x v="0"/>
    <n v="1"/>
    <x v="0"/>
    <d v="2026-08-14T10:47:28"/>
    <x v="34"/>
    <x v="18"/>
    <x v="34"/>
    <s v="19BA13.00"/>
    <x v="3"/>
    <x v="0"/>
    <m/>
    <m/>
    <m/>
  </r>
  <r>
    <s v="YK263100852"/>
    <x v="3"/>
    <x v="3"/>
    <n v="1"/>
    <x v="3"/>
    <d v="2026-08-12T20:41:20"/>
    <x v="34"/>
    <x v="18"/>
    <x v="34"/>
    <s v="19BA13.00"/>
    <x v="3"/>
    <x v="0"/>
    <m/>
    <m/>
    <m/>
  </r>
  <r>
    <s v="YK263100853"/>
    <x v="3"/>
    <x v="3"/>
    <n v="1"/>
    <x v="3"/>
    <d v="2026-08-24T11:04:35"/>
    <x v="34"/>
    <x v="18"/>
    <x v="34"/>
    <s v="19BA13.00"/>
    <x v="3"/>
    <x v="0"/>
    <m/>
    <m/>
    <m/>
  </r>
  <r>
    <s v="YK263100854"/>
    <x v="3"/>
    <x v="3"/>
    <n v="1"/>
    <x v="3"/>
    <d v="2026-08-20T08:26:49"/>
    <x v="34"/>
    <x v="18"/>
    <x v="34"/>
    <s v="19BA13.00"/>
    <x v="3"/>
    <x v="0"/>
    <m/>
    <m/>
    <m/>
  </r>
  <r>
    <s v="YK263100855"/>
    <x v="3"/>
    <x v="3"/>
    <n v="1"/>
    <x v="3"/>
    <d v="2026-08-17T19:13:15"/>
    <x v="34"/>
    <x v="18"/>
    <x v="34"/>
    <s v="19BA13.00"/>
    <x v="3"/>
    <x v="0"/>
    <m/>
    <m/>
    <m/>
  </r>
  <r>
    <s v="YK263100856"/>
    <x v="3"/>
    <x v="3"/>
    <n v="1"/>
    <x v="3"/>
    <d v="2026-08-19T10:54:13"/>
    <x v="34"/>
    <x v="18"/>
    <x v="34"/>
    <s v="19BA13.00"/>
    <x v="3"/>
    <x v="0"/>
    <m/>
    <m/>
    <m/>
  </r>
  <r>
    <s v="YK263100857"/>
    <x v="3"/>
    <x v="3"/>
    <n v="1"/>
    <x v="3"/>
    <d v="2026-09-08T09:25:10"/>
    <x v="34"/>
    <x v="18"/>
    <x v="34"/>
    <s v="19BA13.00"/>
    <x v="3"/>
    <x v="0"/>
    <m/>
    <m/>
    <m/>
  </r>
  <r>
    <s v="YK263100858"/>
    <x v="3"/>
    <x v="3"/>
    <n v="1"/>
    <x v="3"/>
    <d v="2026-08-11T07:04:25"/>
    <x v="34"/>
    <x v="18"/>
    <x v="34"/>
    <s v="19BA13.00"/>
    <x v="3"/>
    <x v="0"/>
    <m/>
    <m/>
    <m/>
  </r>
  <r>
    <s v="YK263100859"/>
    <x v="3"/>
    <x v="3"/>
    <n v="1"/>
    <x v="3"/>
    <d v="2026-08-24T10:53:20"/>
    <x v="34"/>
    <x v="18"/>
    <x v="34"/>
    <s v="19BA13.00"/>
    <x v="3"/>
    <x v="0"/>
    <m/>
    <m/>
    <m/>
  </r>
  <r>
    <s v="YK263100860"/>
    <x v="3"/>
    <x v="3"/>
    <n v="1"/>
    <x v="3"/>
    <d v="2026-08-24T11:23:38"/>
    <x v="34"/>
    <x v="18"/>
    <x v="34"/>
    <s v="19BA13.00"/>
    <x v="3"/>
    <x v="0"/>
    <m/>
    <m/>
    <m/>
  </r>
  <r>
    <s v="YK263100861"/>
    <x v="0"/>
    <x v="0"/>
    <n v="1"/>
    <x v="0"/>
    <d v="2026-08-31T15:33:50"/>
    <x v="34"/>
    <x v="18"/>
    <x v="34"/>
    <s v="19BA13.00"/>
    <x v="3"/>
    <x v="0"/>
    <m/>
    <m/>
    <m/>
  </r>
  <r>
    <s v="YK263100862"/>
    <x v="3"/>
    <x v="3"/>
    <n v="1"/>
    <x v="3"/>
    <d v="2026-08-12T11:33:11"/>
    <x v="34"/>
    <x v="18"/>
    <x v="34"/>
    <s v="19BA13.00"/>
    <x v="3"/>
    <x v="0"/>
    <m/>
    <m/>
    <m/>
  </r>
  <r>
    <s v="YK263100863"/>
    <x v="3"/>
    <x v="3"/>
    <n v="1"/>
    <x v="3"/>
    <d v="2026-09-03T08:49:23"/>
    <x v="34"/>
    <x v="18"/>
    <x v="34"/>
    <s v="19BA13.00"/>
    <x v="3"/>
    <x v="0"/>
    <m/>
    <m/>
    <m/>
  </r>
  <r>
    <s v="YK263100864"/>
    <x v="3"/>
    <x v="3"/>
    <n v="1"/>
    <x v="3"/>
    <d v="2026-08-12T20:36:32"/>
    <x v="34"/>
    <x v="18"/>
    <x v="34"/>
    <s v="19BA13.00"/>
    <x v="3"/>
    <x v="0"/>
    <m/>
    <m/>
    <m/>
  </r>
  <r>
    <s v="YK263100865"/>
    <x v="3"/>
    <x v="3"/>
    <n v="1"/>
    <x v="3"/>
    <d v="2026-08-20T09:07:08"/>
    <x v="34"/>
    <x v="18"/>
    <x v="34"/>
    <s v="19BA13.00"/>
    <x v="3"/>
    <x v="0"/>
    <m/>
    <m/>
    <m/>
  </r>
  <r>
    <s v="YK263100866"/>
    <x v="3"/>
    <x v="3"/>
    <n v="1"/>
    <x v="3"/>
    <d v="2026-09-03T11:10:49"/>
    <x v="34"/>
    <x v="18"/>
    <x v="34"/>
    <s v="19BA13.00"/>
    <x v="3"/>
    <x v="0"/>
    <m/>
    <m/>
    <m/>
  </r>
  <r>
    <s v="YK263100867"/>
    <x v="0"/>
    <x v="0"/>
    <n v="1"/>
    <x v="0"/>
    <d v="2026-08-31T10:27:43"/>
    <x v="34"/>
    <x v="18"/>
    <x v="34"/>
    <s v="19BA13.00"/>
    <x v="3"/>
    <x v="0"/>
    <m/>
    <m/>
    <m/>
  </r>
  <r>
    <s v="YK263100868"/>
    <x v="3"/>
    <x v="3"/>
    <n v="1"/>
    <x v="3"/>
    <d v="2026-08-17T19:05:22"/>
    <x v="34"/>
    <x v="18"/>
    <x v="34"/>
    <s v="19BA13.00"/>
    <x v="3"/>
    <x v="0"/>
    <m/>
    <m/>
    <m/>
  </r>
  <r>
    <s v="YK263100869"/>
    <x v="0"/>
    <x v="0"/>
    <n v="1"/>
    <x v="0"/>
    <d v="2026-09-01T08:30:17"/>
    <x v="34"/>
    <x v="18"/>
    <x v="34"/>
    <s v="19BA13.00"/>
    <x v="3"/>
    <x v="0"/>
    <m/>
    <m/>
    <m/>
  </r>
  <r>
    <s v="YK263100870"/>
    <x v="3"/>
    <x v="3"/>
    <n v="1"/>
    <x v="3"/>
    <d v="2026-08-11T07:50:39"/>
    <x v="34"/>
    <x v="18"/>
    <x v="34"/>
    <s v="19BA13.00"/>
    <x v="3"/>
    <x v="0"/>
    <m/>
    <m/>
    <m/>
  </r>
  <r>
    <s v="YK263100871"/>
    <x v="3"/>
    <x v="3"/>
    <n v="1"/>
    <x v="3"/>
    <d v="2026-08-12T11:26:59"/>
    <x v="34"/>
    <x v="18"/>
    <x v="34"/>
    <s v="19BA13.00"/>
    <x v="3"/>
    <x v="0"/>
    <m/>
    <m/>
    <m/>
  </r>
  <r>
    <s v="YK263100872"/>
    <x v="3"/>
    <x v="3"/>
    <n v="1"/>
    <x v="3"/>
    <d v="2026-08-20T11:46:19"/>
    <x v="34"/>
    <x v="18"/>
    <x v="34"/>
    <s v="19BA13.00"/>
    <x v="3"/>
    <x v="0"/>
    <m/>
    <m/>
    <m/>
  </r>
  <r>
    <s v="YK263100873"/>
    <x v="3"/>
    <x v="3"/>
    <n v="1"/>
    <x v="3"/>
    <d v="2026-08-20T08:47:05"/>
    <x v="34"/>
    <x v="18"/>
    <x v="34"/>
    <s v="19BA13.00"/>
    <x v="3"/>
    <x v="0"/>
    <m/>
    <m/>
    <m/>
  </r>
  <r>
    <s v="YK263100874"/>
    <x v="3"/>
    <x v="3"/>
    <n v="1"/>
    <x v="3"/>
    <d v="2026-08-12T11:16:20"/>
    <x v="34"/>
    <x v="18"/>
    <x v="34"/>
    <s v="19BA13.00"/>
    <x v="3"/>
    <x v="0"/>
    <m/>
    <m/>
    <m/>
  </r>
  <r>
    <s v="YK263100875"/>
    <x v="3"/>
    <x v="3"/>
    <n v="1"/>
    <x v="3"/>
    <d v="2026-09-03T09:06:35"/>
    <x v="34"/>
    <x v="18"/>
    <x v="34"/>
    <s v="19BA13.00"/>
    <x v="3"/>
    <x v="0"/>
    <m/>
    <m/>
    <m/>
  </r>
  <r>
    <s v="YK263100876"/>
    <x v="3"/>
    <x v="3"/>
    <n v="1"/>
    <x v="3"/>
    <d v="2026-08-12T16:45:44"/>
    <x v="34"/>
    <x v="18"/>
    <x v="34"/>
    <s v="19BA13.00"/>
    <x v="3"/>
    <x v="0"/>
    <m/>
    <m/>
    <m/>
  </r>
  <r>
    <s v="YK263100877"/>
    <x v="3"/>
    <x v="3"/>
    <n v="1"/>
    <x v="3"/>
    <d v="2026-08-11T06:45:38"/>
    <x v="34"/>
    <x v="18"/>
    <x v="34"/>
    <s v="19BA13.00"/>
    <x v="3"/>
    <x v="0"/>
    <m/>
    <m/>
    <m/>
  </r>
  <r>
    <s v="YK263100878"/>
    <x v="3"/>
    <x v="3"/>
    <n v="1"/>
    <x v="3"/>
    <d v="2026-08-12T10:59:03"/>
    <x v="34"/>
    <x v="18"/>
    <x v="34"/>
    <s v="19BA13.00"/>
    <x v="3"/>
    <x v="0"/>
    <m/>
    <m/>
    <m/>
  </r>
  <r>
    <s v="YK263100879"/>
    <x v="3"/>
    <x v="3"/>
    <n v="1"/>
    <x v="3"/>
    <d v="2026-08-20T08:53:12"/>
    <x v="34"/>
    <x v="18"/>
    <x v="34"/>
    <s v="19BA13.00"/>
    <x v="3"/>
    <x v="0"/>
    <m/>
    <m/>
    <m/>
  </r>
  <r>
    <s v="YK263100880"/>
    <x v="3"/>
    <x v="3"/>
    <n v="1"/>
    <x v="3"/>
    <d v="2026-08-11T16:46:21"/>
    <x v="34"/>
    <x v="18"/>
    <x v="34"/>
    <s v="19BA13.00"/>
    <x v="3"/>
    <x v="0"/>
    <m/>
    <m/>
    <m/>
  </r>
  <r>
    <s v="YK263100881"/>
    <x v="0"/>
    <x v="0"/>
    <n v="1"/>
    <x v="0"/>
    <d v="2026-08-14T15:55:50"/>
    <x v="34"/>
    <x v="18"/>
    <x v="34"/>
    <s v="19BA13.00"/>
    <x v="3"/>
    <x v="0"/>
    <m/>
    <m/>
    <m/>
  </r>
  <r>
    <s v="YK263100882"/>
    <x v="0"/>
    <x v="0"/>
    <n v="1"/>
    <x v="0"/>
    <d v="2026-08-31T10:34:02"/>
    <x v="34"/>
    <x v="18"/>
    <x v="34"/>
    <s v="19BA13.00"/>
    <x v="3"/>
    <x v="0"/>
    <m/>
    <m/>
    <m/>
  </r>
  <r>
    <s v="YK263100883"/>
    <x v="3"/>
    <x v="3"/>
    <n v="1"/>
    <x v="3"/>
    <d v="2026-08-12T11:21:40"/>
    <x v="34"/>
    <x v="18"/>
    <x v="34"/>
    <s v="19BA13.00"/>
    <x v="3"/>
    <x v="0"/>
    <m/>
    <m/>
    <m/>
  </r>
  <r>
    <s v="YK263100884"/>
    <x v="0"/>
    <x v="0"/>
    <n v="1"/>
    <x v="0"/>
    <d v="2026-09-01T08:29:31"/>
    <x v="34"/>
    <x v="18"/>
    <x v="34"/>
    <s v="19BA13.00"/>
    <x v="3"/>
    <x v="0"/>
    <m/>
    <m/>
    <m/>
  </r>
  <r>
    <s v="YK263100885"/>
    <x v="3"/>
    <x v="3"/>
    <n v="1"/>
    <x v="3"/>
    <d v="2026-08-14T11:25:43"/>
    <x v="34"/>
    <x v="18"/>
    <x v="34"/>
    <s v="19BA13.00"/>
    <x v="3"/>
    <x v="0"/>
    <m/>
    <m/>
    <m/>
  </r>
  <r>
    <s v="YK263100886"/>
    <x v="0"/>
    <x v="0"/>
    <n v="1"/>
    <x v="0"/>
    <d v="2026-09-01T13:45:41"/>
    <x v="34"/>
    <x v="18"/>
    <x v="34"/>
    <s v="19BA13.00"/>
    <x v="3"/>
    <x v="0"/>
    <m/>
    <m/>
    <m/>
  </r>
  <r>
    <s v="YK263100887"/>
    <x v="0"/>
    <x v="0"/>
    <n v="1"/>
    <x v="0"/>
    <d v="2026-09-02T09:48:18"/>
    <x v="34"/>
    <x v="18"/>
    <x v="34"/>
    <s v="19BA13.00"/>
    <x v="3"/>
    <x v="0"/>
    <m/>
    <m/>
    <m/>
  </r>
  <r>
    <s v="YK263100888"/>
    <x v="3"/>
    <x v="3"/>
    <n v="1"/>
    <x v="3"/>
    <d v="2026-08-11T07:24:24"/>
    <x v="34"/>
    <x v="18"/>
    <x v="34"/>
    <s v="19BA13.00"/>
    <x v="3"/>
    <x v="0"/>
    <m/>
    <m/>
    <m/>
  </r>
  <r>
    <s v="YK263100889"/>
    <x v="3"/>
    <x v="3"/>
    <n v="1"/>
    <x v="3"/>
    <d v="2026-08-11T13:22:39"/>
    <x v="34"/>
    <x v="18"/>
    <x v="34"/>
    <s v="19BA13.00"/>
    <x v="3"/>
    <x v="0"/>
    <m/>
    <m/>
    <m/>
  </r>
  <r>
    <s v="YK263100890"/>
    <x v="0"/>
    <x v="0"/>
    <n v="1"/>
    <x v="0"/>
    <d v="2026-09-01T17:45:16"/>
    <x v="34"/>
    <x v="18"/>
    <x v="34"/>
    <s v="19BA13.00"/>
    <x v="3"/>
    <x v="0"/>
    <m/>
    <m/>
    <m/>
  </r>
  <r>
    <s v="YK263100891"/>
    <x v="3"/>
    <x v="3"/>
    <n v="1"/>
    <x v="3"/>
    <d v="2026-08-11T17:10:53"/>
    <x v="34"/>
    <x v="18"/>
    <x v="34"/>
    <s v="19BA13.00"/>
    <x v="3"/>
    <x v="0"/>
    <m/>
    <m/>
    <m/>
  </r>
  <r>
    <s v="YK263100892"/>
    <x v="0"/>
    <x v="0"/>
    <n v="1"/>
    <x v="0"/>
    <d v="2026-09-01T17:45:23"/>
    <x v="34"/>
    <x v="18"/>
    <x v="34"/>
    <s v="19BA13.00"/>
    <x v="3"/>
    <x v="0"/>
    <m/>
    <m/>
    <m/>
  </r>
  <r>
    <s v="YK263100893"/>
    <x v="0"/>
    <x v="0"/>
    <n v="1"/>
    <x v="0"/>
    <d v="2026-08-31T15:33:36"/>
    <x v="34"/>
    <x v="18"/>
    <x v="34"/>
    <s v="19BA13.00"/>
    <x v="3"/>
    <x v="0"/>
    <m/>
    <m/>
    <m/>
  </r>
  <r>
    <s v="YK263100894"/>
    <x v="3"/>
    <x v="3"/>
    <n v="1"/>
    <x v="3"/>
    <d v="2026-08-11T07:15:19"/>
    <x v="34"/>
    <x v="18"/>
    <x v="34"/>
    <s v="19BA13.00"/>
    <x v="3"/>
    <x v="0"/>
    <m/>
    <m/>
    <m/>
  </r>
  <r>
    <s v="YK263100895"/>
    <x v="3"/>
    <x v="3"/>
    <n v="1"/>
    <x v="3"/>
    <d v="2026-08-11T07:10:15"/>
    <x v="34"/>
    <x v="18"/>
    <x v="34"/>
    <s v="19BA13.00"/>
    <x v="3"/>
    <x v="0"/>
    <m/>
    <m/>
    <m/>
  </r>
  <r>
    <s v="YK263100896"/>
    <x v="3"/>
    <x v="3"/>
    <n v="1"/>
    <x v="3"/>
    <d v="2026-08-11T15:54:51"/>
    <x v="34"/>
    <x v="18"/>
    <x v="34"/>
    <s v="19BA13.00"/>
    <x v="3"/>
    <x v="0"/>
    <m/>
    <m/>
    <m/>
  </r>
  <r>
    <s v="YK263100897"/>
    <x v="3"/>
    <x v="3"/>
    <n v="1"/>
    <x v="3"/>
    <d v="2026-08-11T19:10:06"/>
    <x v="34"/>
    <x v="18"/>
    <x v="34"/>
    <s v="19BA13.00"/>
    <x v="3"/>
    <x v="0"/>
    <m/>
    <m/>
    <m/>
  </r>
  <r>
    <s v="YK263100898"/>
    <x v="0"/>
    <x v="0"/>
    <n v="1"/>
    <x v="0"/>
    <d v="2026-09-02T13:40:38"/>
    <x v="34"/>
    <x v="18"/>
    <x v="34"/>
    <s v="19BA13.00"/>
    <x v="3"/>
    <x v="0"/>
    <m/>
    <m/>
    <m/>
  </r>
  <r>
    <s v="YK263100899"/>
    <x v="0"/>
    <x v="0"/>
    <n v="1"/>
    <x v="0"/>
    <d v="2026-09-02T13:42:50"/>
    <x v="34"/>
    <x v="18"/>
    <x v="34"/>
    <s v="19BA13.00"/>
    <x v="3"/>
    <x v="0"/>
    <m/>
    <m/>
    <m/>
  </r>
  <r>
    <s v="YK263100900"/>
    <x v="3"/>
    <x v="3"/>
    <n v="1"/>
    <x v="3"/>
    <d v="2026-08-11T19:31:30"/>
    <x v="34"/>
    <x v="18"/>
    <x v="34"/>
    <s v="19BA13.00"/>
    <x v="3"/>
    <x v="0"/>
    <m/>
    <m/>
    <m/>
  </r>
  <r>
    <s v="YK263100901"/>
    <x v="3"/>
    <x v="3"/>
    <n v="1"/>
    <x v="3"/>
    <d v="2026-08-11T19:05:04"/>
    <x v="34"/>
    <x v="18"/>
    <x v="34"/>
    <s v="19BA13.00"/>
    <x v="3"/>
    <x v="0"/>
    <m/>
    <m/>
    <m/>
  </r>
  <r>
    <s v="YK263100902"/>
    <x v="7"/>
    <x v="7"/>
    <n v="1"/>
    <x v="2"/>
    <d v="2026-08-28T07:50:13"/>
    <x v="34"/>
    <x v="18"/>
    <x v="34"/>
    <s v="19BA13.00"/>
    <x v="3"/>
    <x v="0"/>
    <m/>
    <m/>
    <m/>
  </r>
  <r>
    <s v="YK263100903"/>
    <x v="3"/>
    <x v="3"/>
    <n v="1"/>
    <x v="3"/>
    <d v="2026-08-11T17:50:23"/>
    <x v="34"/>
    <x v="18"/>
    <x v="34"/>
    <s v="19BA13.00"/>
    <x v="3"/>
    <x v="0"/>
    <m/>
    <m/>
    <m/>
  </r>
  <r>
    <s v="YK263100904"/>
    <x v="3"/>
    <x v="3"/>
    <n v="1"/>
    <x v="3"/>
    <d v="2026-08-11T19:15:18"/>
    <x v="34"/>
    <x v="18"/>
    <x v="34"/>
    <s v="19BA13.00"/>
    <x v="3"/>
    <x v="0"/>
    <m/>
    <m/>
    <m/>
  </r>
  <r>
    <s v="YK263100905"/>
    <x v="0"/>
    <x v="0"/>
    <n v="1"/>
    <x v="0"/>
    <d v="2026-08-31T21:21:33"/>
    <x v="34"/>
    <x v="18"/>
    <x v="34"/>
    <s v="19BA13.00"/>
    <x v="3"/>
    <x v="0"/>
    <m/>
    <m/>
    <m/>
  </r>
  <r>
    <s v="YK263100906"/>
    <x v="0"/>
    <x v="0"/>
    <n v="1"/>
    <x v="0"/>
    <d v="2026-08-31T10:26:56"/>
    <x v="34"/>
    <x v="18"/>
    <x v="34"/>
    <s v="19BA13.00"/>
    <x v="3"/>
    <x v="0"/>
    <m/>
    <m/>
    <m/>
  </r>
  <r>
    <s v="YK263100907"/>
    <x v="3"/>
    <x v="3"/>
    <n v="1"/>
    <x v="3"/>
    <d v="2026-08-11T07:58:07"/>
    <x v="34"/>
    <x v="18"/>
    <x v="34"/>
    <s v="19BA13.00"/>
    <x v="3"/>
    <x v="0"/>
    <m/>
    <m/>
    <m/>
  </r>
  <r>
    <s v="YK263100908"/>
    <x v="7"/>
    <x v="7"/>
    <n v="1"/>
    <x v="2"/>
    <d v="2026-08-28T08:21:06"/>
    <x v="34"/>
    <x v="18"/>
    <x v="34"/>
    <s v="19BA13.00"/>
    <x v="3"/>
    <x v="0"/>
    <m/>
    <m/>
    <m/>
  </r>
  <r>
    <s v="YK263100909"/>
    <x v="0"/>
    <x v="0"/>
    <n v="1"/>
    <x v="0"/>
    <d v="2026-09-02T13:42:14"/>
    <x v="34"/>
    <x v="18"/>
    <x v="34"/>
    <s v="19BA13.00"/>
    <x v="3"/>
    <x v="0"/>
    <m/>
    <m/>
    <m/>
  </r>
  <r>
    <s v="YK263100910"/>
    <x v="9"/>
    <x v="9"/>
    <n v="1"/>
    <x v="2"/>
    <d v="2026-08-15T11:49:49"/>
    <x v="34"/>
    <x v="18"/>
    <x v="34"/>
    <s v="19BA13.00"/>
    <x v="3"/>
    <x v="0"/>
    <m/>
    <m/>
    <m/>
  </r>
  <r>
    <s v="YK263100911"/>
    <x v="7"/>
    <x v="7"/>
    <n v="1"/>
    <x v="2"/>
    <d v="2026-08-28T07:50:57"/>
    <x v="34"/>
    <x v="18"/>
    <x v="34"/>
    <s v="19BA13.00"/>
    <x v="3"/>
    <x v="0"/>
    <m/>
    <m/>
    <m/>
  </r>
  <r>
    <s v="YK263100912"/>
    <x v="3"/>
    <x v="3"/>
    <n v="1"/>
    <x v="3"/>
    <d v="2026-08-11T17:44:30"/>
    <x v="34"/>
    <x v="18"/>
    <x v="34"/>
    <s v="19BA13.00"/>
    <x v="3"/>
    <x v="0"/>
    <m/>
    <m/>
    <m/>
  </r>
  <r>
    <s v="YK263100913"/>
    <x v="3"/>
    <x v="3"/>
    <n v="1"/>
    <x v="3"/>
    <d v="2026-08-11T19:25:46"/>
    <x v="34"/>
    <x v="18"/>
    <x v="34"/>
    <s v="19BA13.00"/>
    <x v="3"/>
    <x v="0"/>
    <m/>
    <m/>
    <m/>
  </r>
  <r>
    <s v="YK263100914"/>
    <x v="3"/>
    <x v="3"/>
    <n v="1"/>
    <x v="3"/>
    <d v="2026-08-11T12:12:16"/>
    <x v="34"/>
    <x v="18"/>
    <x v="34"/>
    <s v="19BA13.00"/>
    <x v="3"/>
    <x v="0"/>
    <m/>
    <m/>
    <m/>
  </r>
  <r>
    <s v="YK263100915"/>
    <x v="3"/>
    <x v="3"/>
    <n v="1"/>
    <x v="3"/>
    <d v="2026-08-11T11:59:28"/>
    <x v="34"/>
    <x v="18"/>
    <x v="34"/>
    <s v="19BA13.00"/>
    <x v="3"/>
    <x v="0"/>
    <m/>
    <m/>
    <m/>
  </r>
  <r>
    <s v="YK263100916"/>
    <x v="3"/>
    <x v="3"/>
    <n v="1"/>
    <x v="3"/>
    <d v="2026-08-11T13:50:20"/>
    <x v="34"/>
    <x v="18"/>
    <x v="34"/>
    <s v="19BA13.00"/>
    <x v="3"/>
    <x v="0"/>
    <m/>
    <m/>
    <m/>
  </r>
  <r>
    <s v="YK263100917"/>
    <x v="3"/>
    <x v="3"/>
    <n v="1"/>
    <x v="3"/>
    <d v="2026-08-17T15:14:15"/>
    <x v="34"/>
    <x v="18"/>
    <x v="34"/>
    <s v="19BA13.00"/>
    <x v="3"/>
    <x v="0"/>
    <m/>
    <m/>
    <m/>
  </r>
  <r>
    <s v="YK263100918"/>
    <x v="3"/>
    <x v="3"/>
    <n v="1"/>
    <x v="3"/>
    <d v="2026-08-17T19:17:55"/>
    <x v="34"/>
    <x v="18"/>
    <x v="34"/>
    <s v="19BA13.00"/>
    <x v="3"/>
    <x v="0"/>
    <m/>
    <m/>
    <m/>
  </r>
  <r>
    <s v="YK263100919"/>
    <x v="3"/>
    <x v="3"/>
    <n v="1"/>
    <x v="3"/>
    <d v="2026-08-12T16:49:58"/>
    <x v="34"/>
    <x v="18"/>
    <x v="34"/>
    <s v="19BA13.00"/>
    <x v="3"/>
    <x v="0"/>
    <m/>
    <m/>
    <m/>
  </r>
  <r>
    <s v="YK263100920"/>
    <x v="3"/>
    <x v="3"/>
    <n v="1"/>
    <x v="3"/>
    <d v="2026-08-24T11:18:45"/>
    <x v="34"/>
    <x v="18"/>
    <x v="34"/>
    <s v="19BA13.00"/>
    <x v="3"/>
    <x v="0"/>
    <m/>
    <m/>
    <m/>
  </r>
  <r>
    <s v="YK263100921"/>
    <x v="7"/>
    <x v="7"/>
    <n v="1"/>
    <x v="2"/>
    <d v="2026-08-28T07:49:42"/>
    <x v="34"/>
    <x v="18"/>
    <x v="34"/>
    <s v="19BA13.00"/>
    <x v="3"/>
    <x v="0"/>
    <m/>
    <m/>
    <m/>
  </r>
  <r>
    <s v="YK263100922"/>
    <x v="7"/>
    <x v="7"/>
    <n v="1"/>
    <x v="2"/>
    <d v="2026-08-24T11:22:23"/>
    <x v="34"/>
    <x v="18"/>
    <x v="34"/>
    <s v="19BA13.00"/>
    <x v="3"/>
    <x v="0"/>
    <m/>
    <m/>
    <m/>
  </r>
  <r>
    <s v="YK263100923"/>
    <x v="3"/>
    <x v="3"/>
    <n v="1"/>
    <x v="3"/>
    <d v="2026-08-11T14:05:33"/>
    <x v="34"/>
    <x v="18"/>
    <x v="34"/>
    <s v="19BA13.00"/>
    <x v="3"/>
    <x v="0"/>
    <m/>
    <m/>
    <m/>
  </r>
  <r>
    <s v="YK263100924"/>
    <x v="7"/>
    <x v="7"/>
    <n v="1"/>
    <x v="2"/>
    <d v="2026-08-28T07:49:21"/>
    <x v="34"/>
    <x v="18"/>
    <x v="34"/>
    <s v="19BA13.00"/>
    <x v="3"/>
    <x v="0"/>
    <m/>
    <m/>
    <m/>
  </r>
  <r>
    <s v="YK263100925"/>
    <x v="3"/>
    <x v="3"/>
    <n v="1"/>
    <x v="3"/>
    <d v="2026-08-11T09:50:13"/>
    <x v="34"/>
    <x v="18"/>
    <x v="34"/>
    <s v="19BA13.00"/>
    <x v="3"/>
    <x v="0"/>
    <m/>
    <m/>
    <m/>
  </r>
  <r>
    <s v="YK263100926"/>
    <x v="3"/>
    <x v="3"/>
    <n v="1"/>
    <x v="3"/>
    <d v="2026-08-14T11:31:58"/>
    <x v="34"/>
    <x v="18"/>
    <x v="34"/>
    <s v="19BA13.00"/>
    <x v="3"/>
    <x v="0"/>
    <m/>
    <m/>
    <m/>
  </r>
  <r>
    <s v="YK263100927"/>
    <x v="3"/>
    <x v="3"/>
    <n v="1"/>
    <x v="3"/>
    <d v="2026-08-14T11:50:48"/>
    <x v="34"/>
    <x v="18"/>
    <x v="34"/>
    <s v="19BA13.00"/>
    <x v="3"/>
    <x v="0"/>
    <m/>
    <m/>
    <m/>
  </r>
  <r>
    <s v="YK263100928"/>
    <x v="3"/>
    <x v="3"/>
    <n v="1"/>
    <x v="3"/>
    <d v="2026-08-10T14:28:33"/>
    <x v="34"/>
    <x v="18"/>
    <x v="34"/>
    <s v="19BA13.00"/>
    <x v="3"/>
    <x v="0"/>
    <m/>
    <m/>
    <m/>
  </r>
  <r>
    <s v="YK263100929"/>
    <x v="3"/>
    <x v="3"/>
    <n v="1"/>
    <x v="3"/>
    <d v="2026-08-21T11:21:39"/>
    <x v="34"/>
    <x v="18"/>
    <x v="34"/>
    <s v="19BA13.00"/>
    <x v="3"/>
    <x v="0"/>
    <m/>
    <m/>
    <m/>
  </r>
  <r>
    <s v="YK263100930"/>
    <x v="3"/>
    <x v="3"/>
    <n v="1"/>
    <x v="3"/>
    <d v="2026-08-21T11:48:26"/>
    <x v="34"/>
    <x v="18"/>
    <x v="34"/>
    <s v="19BA13.00"/>
    <x v="3"/>
    <x v="0"/>
    <m/>
    <m/>
    <m/>
  </r>
  <r>
    <s v="YK263100931"/>
    <x v="7"/>
    <x v="7"/>
    <n v="1"/>
    <x v="2"/>
    <d v="2026-08-28T07:50:08"/>
    <x v="34"/>
    <x v="18"/>
    <x v="34"/>
    <s v="19BA13.00"/>
    <x v="3"/>
    <x v="0"/>
    <m/>
    <m/>
    <m/>
  </r>
  <r>
    <s v="YK263100932"/>
    <x v="3"/>
    <x v="3"/>
    <n v="1"/>
    <x v="3"/>
    <d v="2026-08-21T12:07:47"/>
    <x v="34"/>
    <x v="18"/>
    <x v="34"/>
    <s v="19BA13.00"/>
    <x v="3"/>
    <x v="0"/>
    <m/>
    <m/>
    <m/>
  </r>
  <r>
    <s v="YK263100933"/>
    <x v="7"/>
    <x v="7"/>
    <n v="1"/>
    <x v="2"/>
    <d v="2026-08-28T07:47:43"/>
    <x v="34"/>
    <x v="18"/>
    <x v="34"/>
    <s v="19BA13.00"/>
    <x v="3"/>
    <x v="0"/>
    <m/>
    <m/>
    <m/>
  </r>
  <r>
    <s v="YK263100934"/>
    <x v="3"/>
    <x v="3"/>
    <n v="1"/>
    <x v="3"/>
    <d v="2026-08-11T06:34:22"/>
    <x v="34"/>
    <x v="18"/>
    <x v="34"/>
    <s v="19BA13.00"/>
    <x v="3"/>
    <x v="0"/>
    <m/>
    <m/>
    <m/>
  </r>
  <r>
    <s v="YK263100935"/>
    <x v="9"/>
    <x v="9"/>
    <n v="1"/>
    <x v="2"/>
    <d v="2026-08-15T11:49:18"/>
    <x v="34"/>
    <x v="18"/>
    <x v="34"/>
    <s v="19BA13.00"/>
    <x v="3"/>
    <x v="0"/>
    <m/>
    <m/>
    <m/>
  </r>
  <r>
    <s v="YK263100936"/>
    <x v="3"/>
    <x v="3"/>
    <n v="1"/>
    <x v="3"/>
    <d v="2026-08-12T20:46:07"/>
    <x v="34"/>
    <x v="18"/>
    <x v="34"/>
    <s v="19BA13.00"/>
    <x v="3"/>
    <x v="0"/>
    <m/>
    <m/>
    <m/>
  </r>
  <r>
    <s v="YK263100937"/>
    <x v="0"/>
    <x v="0"/>
    <n v="1"/>
    <x v="0"/>
    <d v="2026-09-01T13:45:28"/>
    <x v="34"/>
    <x v="18"/>
    <x v="34"/>
    <s v="19BA13.00"/>
    <x v="3"/>
    <x v="0"/>
    <m/>
    <m/>
    <m/>
  </r>
  <r>
    <s v="YK263100938"/>
    <x v="3"/>
    <x v="3"/>
    <n v="1"/>
    <x v="3"/>
    <d v="2026-08-12T10:35:20"/>
    <x v="34"/>
    <x v="18"/>
    <x v="34"/>
    <s v="19BA13.00"/>
    <x v="3"/>
    <x v="0"/>
    <m/>
    <m/>
    <m/>
  </r>
  <r>
    <s v="YK263100939"/>
    <x v="3"/>
    <x v="3"/>
    <n v="1"/>
    <x v="3"/>
    <d v="2026-08-11T19:20:16"/>
    <x v="34"/>
    <x v="18"/>
    <x v="34"/>
    <s v="19BA13.00"/>
    <x v="3"/>
    <x v="0"/>
    <m/>
    <m/>
    <m/>
  </r>
  <r>
    <s v="YK263100940"/>
    <x v="3"/>
    <x v="3"/>
    <n v="1"/>
    <x v="3"/>
    <d v="2026-08-11T16:17:38"/>
    <x v="34"/>
    <x v="18"/>
    <x v="34"/>
    <s v="19BA13.00"/>
    <x v="3"/>
    <x v="0"/>
    <m/>
    <m/>
    <m/>
  </r>
  <r>
    <s v="YK263100941"/>
    <x v="3"/>
    <x v="3"/>
    <n v="1"/>
    <x v="3"/>
    <d v="2026-08-12T11:48:45"/>
    <x v="34"/>
    <x v="18"/>
    <x v="34"/>
    <s v="19BA13.00"/>
    <x v="3"/>
    <x v="0"/>
    <m/>
    <m/>
    <m/>
  </r>
  <r>
    <s v="YK263100942"/>
    <x v="0"/>
    <x v="0"/>
    <n v="1"/>
    <x v="0"/>
    <d v="2026-09-01T17:45:06"/>
    <x v="34"/>
    <x v="18"/>
    <x v="34"/>
    <s v="19BA13.00"/>
    <x v="3"/>
    <x v="0"/>
    <m/>
    <m/>
    <m/>
  </r>
  <r>
    <s v="YK263100943"/>
    <x v="0"/>
    <x v="0"/>
    <n v="1"/>
    <x v="0"/>
    <d v="2026-08-31T10:35:39"/>
    <x v="34"/>
    <x v="18"/>
    <x v="34"/>
    <s v="19BA13.00"/>
    <x v="3"/>
    <x v="0"/>
    <m/>
    <m/>
    <m/>
  </r>
  <r>
    <s v="YK263100944"/>
    <x v="3"/>
    <x v="3"/>
    <n v="1"/>
    <x v="3"/>
    <d v="2026-08-14T11:44:50"/>
    <x v="34"/>
    <x v="18"/>
    <x v="34"/>
    <s v="19BA13.00"/>
    <x v="3"/>
    <x v="0"/>
    <m/>
    <m/>
    <m/>
  </r>
  <r>
    <s v="YK263100945"/>
    <x v="3"/>
    <x v="3"/>
    <n v="1"/>
    <x v="3"/>
    <d v="2026-08-11T06:24:10"/>
    <x v="34"/>
    <x v="18"/>
    <x v="34"/>
    <s v="19BA13.00"/>
    <x v="3"/>
    <x v="0"/>
    <m/>
    <m/>
    <m/>
  </r>
  <r>
    <s v="YK263100946"/>
    <x v="3"/>
    <x v="3"/>
    <n v="1"/>
    <x v="3"/>
    <d v="2026-08-19T08:50:27"/>
    <x v="34"/>
    <x v="18"/>
    <x v="34"/>
    <s v="19BA13.00"/>
    <x v="3"/>
    <x v="0"/>
    <m/>
    <m/>
    <m/>
  </r>
  <r>
    <s v="YK263100947"/>
    <x v="3"/>
    <x v="3"/>
    <n v="1"/>
    <x v="3"/>
    <d v="2026-08-12T11:38:33"/>
    <x v="34"/>
    <x v="18"/>
    <x v="34"/>
    <s v="19BA13.00"/>
    <x v="3"/>
    <x v="0"/>
    <m/>
    <m/>
    <m/>
  </r>
  <r>
    <s v="YK263100948"/>
    <x v="3"/>
    <x v="3"/>
    <n v="1"/>
    <x v="3"/>
    <d v="2026-09-03T08:56:36"/>
    <x v="34"/>
    <x v="18"/>
    <x v="34"/>
    <s v="19BA13.00"/>
    <x v="3"/>
    <x v="0"/>
    <m/>
    <m/>
    <m/>
  </r>
  <r>
    <s v="YK263100949"/>
    <x v="3"/>
    <x v="3"/>
    <n v="1"/>
    <x v="3"/>
    <d v="2026-08-12T10:30:21"/>
    <x v="34"/>
    <x v="18"/>
    <x v="34"/>
    <s v="19BA13.00"/>
    <x v="3"/>
    <x v="0"/>
    <m/>
    <m/>
    <m/>
  </r>
  <r>
    <s v="YK263100950"/>
    <x v="3"/>
    <x v="3"/>
    <n v="1"/>
    <x v="3"/>
    <d v="2026-08-11T17:33:50"/>
    <x v="34"/>
    <x v="18"/>
    <x v="34"/>
    <s v="19BA13.00"/>
    <x v="3"/>
    <x v="0"/>
    <m/>
    <m/>
    <m/>
  </r>
  <r>
    <s v="YK263100951"/>
    <x v="3"/>
    <x v="3"/>
    <n v="1"/>
    <x v="3"/>
    <d v="2026-08-11T07:34:03"/>
    <x v="34"/>
    <x v="18"/>
    <x v="34"/>
    <s v="19BA13.00"/>
    <x v="3"/>
    <x v="0"/>
    <m/>
    <m/>
    <m/>
  </r>
  <r>
    <s v="YK263100952"/>
    <x v="3"/>
    <x v="3"/>
    <n v="1"/>
    <x v="3"/>
    <d v="2026-08-17T19:23:29"/>
    <x v="34"/>
    <x v="18"/>
    <x v="34"/>
    <s v="19BA13.00"/>
    <x v="3"/>
    <x v="0"/>
    <m/>
    <m/>
    <m/>
  </r>
  <r>
    <s v="YK263100953"/>
    <x v="3"/>
    <x v="3"/>
    <n v="1"/>
    <x v="3"/>
    <d v="2026-08-11T13:37:08"/>
    <x v="34"/>
    <x v="18"/>
    <x v="34"/>
    <s v="19BA13.00"/>
    <x v="3"/>
    <x v="0"/>
    <m/>
    <m/>
    <m/>
  </r>
  <r>
    <s v="YK263100954"/>
    <x v="3"/>
    <x v="3"/>
    <n v="1"/>
    <x v="3"/>
    <d v="2026-08-11T16:38:26"/>
    <x v="34"/>
    <x v="18"/>
    <x v="34"/>
    <s v="19BA13.00"/>
    <x v="3"/>
    <x v="0"/>
    <m/>
    <m/>
    <m/>
  </r>
  <r>
    <s v="YK263100955"/>
    <x v="3"/>
    <x v="3"/>
    <n v="1"/>
    <x v="3"/>
    <d v="2026-08-11T13:42:24"/>
    <x v="34"/>
    <x v="18"/>
    <x v="34"/>
    <s v="19BA13.00"/>
    <x v="3"/>
    <x v="0"/>
    <m/>
    <m/>
    <m/>
  </r>
  <r>
    <s v="YK263100956"/>
    <x v="3"/>
    <x v="3"/>
    <n v="1"/>
    <x v="3"/>
    <d v="2026-08-11T16:51:43"/>
    <x v="34"/>
    <x v="18"/>
    <x v="34"/>
    <s v="19BA13.00"/>
    <x v="3"/>
    <x v="0"/>
    <m/>
    <m/>
    <m/>
  </r>
  <r>
    <s v="YK263100957"/>
    <x v="7"/>
    <x v="7"/>
    <n v="1"/>
    <x v="2"/>
    <d v="2026-08-10T12:16:33"/>
    <x v="34"/>
    <x v="18"/>
    <x v="34"/>
    <s v="19BA13.00"/>
    <x v="3"/>
    <x v="0"/>
    <m/>
    <m/>
    <m/>
  </r>
  <r>
    <s v="YK263100958"/>
    <x v="3"/>
    <x v="3"/>
    <n v="1"/>
    <x v="3"/>
    <d v="2026-08-11T17:28:29"/>
    <x v="34"/>
    <x v="18"/>
    <x v="34"/>
    <s v="19BA13.00"/>
    <x v="3"/>
    <x v="0"/>
    <m/>
    <m/>
    <m/>
  </r>
  <r>
    <s v="YK263100959"/>
    <x v="7"/>
    <x v="7"/>
    <n v="1"/>
    <x v="2"/>
    <d v="2026-08-25T06:09:05"/>
    <x v="34"/>
    <x v="18"/>
    <x v="34"/>
    <s v="19BA13.00"/>
    <x v="3"/>
    <x v="0"/>
    <m/>
    <m/>
    <m/>
  </r>
  <r>
    <s v="YK263100960"/>
    <x v="3"/>
    <x v="3"/>
    <n v="1"/>
    <x v="3"/>
    <d v="2026-08-11T14:10:44"/>
    <x v="34"/>
    <x v="18"/>
    <x v="34"/>
    <s v="19BA13.00"/>
    <x v="3"/>
    <x v="0"/>
    <m/>
    <m/>
    <m/>
  </r>
  <r>
    <s v="YK263100961"/>
    <x v="0"/>
    <x v="0"/>
    <n v="1"/>
    <x v="0"/>
    <d v="2026-09-01T10:34:39"/>
    <x v="34"/>
    <x v="18"/>
    <x v="34"/>
    <s v="19BA13.00"/>
    <x v="3"/>
    <x v="0"/>
    <m/>
    <m/>
    <m/>
  </r>
  <r>
    <s v="YK263100962"/>
    <x v="0"/>
    <x v="0"/>
    <n v="1"/>
    <x v="0"/>
    <d v="2026-08-31T21:24:07"/>
    <x v="34"/>
    <x v="18"/>
    <x v="34"/>
    <s v="19BA13.00"/>
    <x v="3"/>
    <x v="0"/>
    <m/>
    <m/>
    <m/>
  </r>
  <r>
    <s v="YK263100963"/>
    <x v="3"/>
    <x v="3"/>
    <n v="1"/>
    <x v="3"/>
    <d v="2026-08-24T10:59:09"/>
    <x v="34"/>
    <x v="18"/>
    <x v="34"/>
    <s v="19BA13.00"/>
    <x v="3"/>
    <x v="0"/>
    <m/>
    <m/>
    <m/>
  </r>
  <r>
    <s v="YK263100964"/>
    <x v="0"/>
    <x v="0"/>
    <n v="1"/>
    <x v="0"/>
    <d v="2026-09-02T13:42:30"/>
    <x v="34"/>
    <x v="18"/>
    <x v="34"/>
    <s v="19BA13.00"/>
    <x v="3"/>
    <x v="0"/>
    <m/>
    <m/>
    <m/>
  </r>
  <r>
    <s v="YK263100965"/>
    <x v="3"/>
    <x v="3"/>
    <n v="1"/>
    <x v="3"/>
    <d v="2026-08-21T12:01:00"/>
    <x v="34"/>
    <x v="18"/>
    <x v="34"/>
    <s v="19BA13.00"/>
    <x v="3"/>
    <x v="0"/>
    <m/>
    <m/>
    <m/>
  </r>
  <r>
    <s v="YK263100966"/>
    <x v="6"/>
    <x v="6"/>
    <n v="1"/>
    <x v="6"/>
    <d v="2026-08-26T11:01:43"/>
    <x v="34"/>
    <x v="18"/>
    <x v="34"/>
    <s v="19BA13.00"/>
    <x v="3"/>
    <x v="0"/>
    <m/>
    <m/>
    <m/>
  </r>
  <r>
    <s v="YK263100967"/>
    <x v="3"/>
    <x v="3"/>
    <n v="1"/>
    <x v="3"/>
    <d v="2026-08-12T10:47:52"/>
    <x v="34"/>
    <x v="18"/>
    <x v="34"/>
    <s v="19BA13.00"/>
    <x v="3"/>
    <x v="0"/>
    <m/>
    <m/>
    <m/>
  </r>
  <r>
    <s v="YK263100968"/>
    <x v="0"/>
    <x v="0"/>
    <n v="1"/>
    <x v="0"/>
    <d v="2026-08-31T15:34:57"/>
    <x v="34"/>
    <x v="18"/>
    <x v="34"/>
    <s v="19BA13.00"/>
    <x v="3"/>
    <x v="0"/>
    <m/>
    <m/>
    <m/>
  </r>
  <r>
    <s v="YK263100969"/>
    <x v="3"/>
    <x v="3"/>
    <n v="1"/>
    <x v="3"/>
    <d v="2026-08-21T09:50:49"/>
    <x v="34"/>
    <x v="18"/>
    <x v="34"/>
    <s v="19BA13.00"/>
    <x v="3"/>
    <x v="0"/>
    <m/>
    <m/>
    <m/>
  </r>
  <r>
    <s v="YK263100970"/>
    <x v="3"/>
    <x v="3"/>
    <n v="1"/>
    <x v="3"/>
    <d v="2026-08-14T10:40:01"/>
    <x v="34"/>
    <x v="18"/>
    <x v="34"/>
    <s v="19BA13.00"/>
    <x v="3"/>
    <x v="0"/>
    <m/>
    <m/>
    <m/>
  </r>
  <r>
    <s v="YK263100971"/>
    <x v="9"/>
    <x v="9"/>
    <n v="1"/>
    <x v="2"/>
    <d v="2026-08-04T11:30:23"/>
    <x v="34"/>
    <x v="18"/>
    <x v="34"/>
    <s v="19BA13.00"/>
    <x v="3"/>
    <x v="0"/>
    <m/>
    <m/>
    <m/>
  </r>
  <r>
    <s v="YK263100972"/>
    <x v="3"/>
    <x v="3"/>
    <n v="1"/>
    <x v="3"/>
    <d v="2026-08-11T19:37:23"/>
    <x v="34"/>
    <x v="18"/>
    <x v="34"/>
    <s v="19BA13.00"/>
    <x v="3"/>
    <x v="0"/>
    <m/>
    <m/>
    <m/>
  </r>
  <r>
    <s v="YK263100973"/>
    <x v="7"/>
    <x v="7"/>
    <n v="1"/>
    <x v="2"/>
    <d v="2026-08-28T07:50:21"/>
    <x v="34"/>
    <x v="18"/>
    <x v="34"/>
    <s v="19BA13.00"/>
    <x v="3"/>
    <x v="0"/>
    <m/>
    <m/>
    <m/>
  </r>
  <r>
    <s v="YK263100974"/>
    <x v="3"/>
    <x v="3"/>
    <n v="1"/>
    <x v="3"/>
    <d v="2026-08-11T19:42:38"/>
    <x v="34"/>
    <x v="18"/>
    <x v="34"/>
    <s v="19BA13.00"/>
    <x v="3"/>
    <x v="0"/>
    <m/>
    <m/>
    <m/>
  </r>
  <r>
    <s v="YK263100975"/>
    <x v="7"/>
    <x v="7"/>
    <n v="1"/>
    <x v="2"/>
    <d v="2026-08-28T08:21:14"/>
    <x v="34"/>
    <x v="18"/>
    <x v="34"/>
    <s v="19BA13.00"/>
    <x v="3"/>
    <x v="0"/>
    <m/>
    <m/>
    <m/>
  </r>
  <r>
    <s v="YK263100976"/>
    <x v="7"/>
    <x v="7"/>
    <n v="1"/>
    <x v="2"/>
    <d v="2026-08-28T07:47:38"/>
    <x v="34"/>
    <x v="18"/>
    <x v="34"/>
    <s v="19BA13.00"/>
    <x v="3"/>
    <x v="0"/>
    <m/>
    <m/>
    <m/>
  </r>
  <r>
    <s v="YK263100977"/>
    <x v="0"/>
    <x v="0"/>
    <n v="1"/>
    <x v="0"/>
    <d v="2026-09-02T13:41:55"/>
    <x v="34"/>
    <x v="18"/>
    <x v="34"/>
    <s v="19BA13.00"/>
    <x v="3"/>
    <x v="0"/>
    <m/>
    <m/>
    <m/>
  </r>
  <r>
    <s v="YK263100978"/>
    <x v="7"/>
    <x v="7"/>
    <n v="1"/>
    <x v="2"/>
    <d v="2026-08-28T07:48:46"/>
    <x v="34"/>
    <x v="18"/>
    <x v="34"/>
    <s v="19BA13.00"/>
    <x v="3"/>
    <x v="0"/>
    <m/>
    <m/>
    <m/>
  </r>
  <r>
    <s v="YK263100979"/>
    <x v="3"/>
    <x v="3"/>
    <n v="1"/>
    <x v="3"/>
    <d v="2026-08-11T17:55:48"/>
    <x v="34"/>
    <x v="18"/>
    <x v="34"/>
    <s v="19BA13.00"/>
    <x v="3"/>
    <x v="0"/>
    <m/>
    <m/>
    <m/>
  </r>
  <r>
    <s v="YK263100980"/>
    <x v="3"/>
    <x v="3"/>
    <n v="1"/>
    <x v="3"/>
    <d v="2026-08-11T17:39:13"/>
    <x v="34"/>
    <x v="18"/>
    <x v="34"/>
    <s v="19BA13.00"/>
    <x v="3"/>
    <x v="0"/>
    <m/>
    <m/>
    <m/>
  </r>
  <r>
    <s v="YK263100981"/>
    <x v="0"/>
    <x v="0"/>
    <n v="1"/>
    <x v="0"/>
    <d v="2026-09-01T10:35:19"/>
    <x v="34"/>
    <x v="18"/>
    <x v="34"/>
    <s v="19BA13.00"/>
    <x v="3"/>
    <x v="0"/>
    <m/>
    <m/>
    <m/>
  </r>
  <r>
    <s v="YK263100982"/>
    <x v="3"/>
    <x v="3"/>
    <n v="1"/>
    <x v="3"/>
    <d v="2026-08-21T11:43:32"/>
    <x v="34"/>
    <x v="18"/>
    <x v="34"/>
    <s v="19BA13.00"/>
    <x v="3"/>
    <x v="0"/>
    <m/>
    <m/>
    <m/>
  </r>
  <r>
    <s v="YK263100983"/>
    <x v="0"/>
    <x v="0"/>
    <n v="1"/>
    <x v="0"/>
    <d v="2026-09-02T13:40:48"/>
    <x v="34"/>
    <x v="18"/>
    <x v="34"/>
    <s v="19BA13.00"/>
    <x v="3"/>
    <x v="0"/>
    <m/>
    <m/>
    <m/>
  </r>
  <r>
    <s v="YK263100984"/>
    <x v="0"/>
    <x v="0"/>
    <n v="1"/>
    <x v="0"/>
    <d v="2026-09-01T10:38:01"/>
    <x v="34"/>
    <x v="18"/>
    <x v="34"/>
    <s v="19BA13.00"/>
    <x v="3"/>
    <x v="0"/>
    <m/>
    <m/>
    <m/>
  </r>
  <r>
    <s v="YK263100985"/>
    <x v="0"/>
    <x v="0"/>
    <n v="1"/>
    <x v="0"/>
    <d v="2026-08-31T21:21:25"/>
    <x v="34"/>
    <x v="18"/>
    <x v="34"/>
    <s v="19BA13.00"/>
    <x v="3"/>
    <x v="0"/>
    <m/>
    <m/>
    <m/>
  </r>
  <r>
    <s v="YK263100986"/>
    <x v="3"/>
    <x v="3"/>
    <n v="1"/>
    <x v="3"/>
    <d v="2026-08-11T15:39:14"/>
    <x v="34"/>
    <x v="18"/>
    <x v="34"/>
    <s v="19BA13.00"/>
    <x v="3"/>
    <x v="0"/>
    <m/>
    <m/>
    <m/>
  </r>
  <r>
    <s v="YK263100987"/>
    <x v="0"/>
    <x v="0"/>
    <n v="1"/>
    <x v="0"/>
    <d v="2026-09-01T10:37:39"/>
    <x v="34"/>
    <x v="18"/>
    <x v="34"/>
    <s v="19BA13.00"/>
    <x v="3"/>
    <x v="0"/>
    <m/>
    <m/>
    <m/>
  </r>
  <r>
    <s v="YK263100988"/>
    <x v="3"/>
    <x v="3"/>
    <n v="1"/>
    <x v="3"/>
    <d v="2026-08-17T18:59:25"/>
    <x v="34"/>
    <x v="18"/>
    <x v="34"/>
    <s v="19BA13.00"/>
    <x v="3"/>
    <x v="0"/>
    <m/>
    <m/>
    <m/>
  </r>
  <r>
    <s v="YK263100989"/>
    <x v="3"/>
    <x v="3"/>
    <n v="1"/>
    <x v="3"/>
    <d v="2026-08-20T08:38:59"/>
    <x v="34"/>
    <x v="18"/>
    <x v="34"/>
    <s v="19BA13.00"/>
    <x v="3"/>
    <x v="0"/>
    <m/>
    <m/>
    <m/>
  </r>
  <r>
    <s v="YK263100990"/>
    <x v="3"/>
    <x v="3"/>
    <n v="1"/>
    <x v="3"/>
    <d v="2026-08-24T11:10:37"/>
    <x v="34"/>
    <x v="18"/>
    <x v="34"/>
    <s v="19BA13.00"/>
    <x v="3"/>
    <x v="0"/>
    <m/>
    <m/>
    <m/>
  </r>
  <r>
    <s v="YK263100991"/>
    <x v="0"/>
    <x v="0"/>
    <n v="1"/>
    <x v="0"/>
    <d v="2026-09-01T17:45:03"/>
    <x v="34"/>
    <x v="18"/>
    <x v="34"/>
    <s v="19BA13.00"/>
    <x v="3"/>
    <x v="0"/>
    <m/>
    <m/>
    <m/>
  </r>
  <r>
    <s v="YK263100992"/>
    <x v="3"/>
    <x v="3"/>
    <n v="1"/>
    <x v="3"/>
    <d v="2026-08-21T09:18:49"/>
    <x v="34"/>
    <x v="18"/>
    <x v="34"/>
    <s v="19BA13.00"/>
    <x v="3"/>
    <x v="0"/>
    <m/>
    <m/>
    <m/>
  </r>
  <r>
    <s v="YK263100993"/>
    <x v="0"/>
    <x v="0"/>
    <n v="1"/>
    <x v="0"/>
    <d v="2026-09-02T09:46:52"/>
    <x v="34"/>
    <x v="18"/>
    <x v="34"/>
    <s v="19BA13.00"/>
    <x v="3"/>
    <x v="0"/>
    <m/>
    <m/>
    <m/>
  </r>
  <r>
    <s v="YK263100994"/>
    <x v="3"/>
    <x v="3"/>
    <n v="1"/>
    <x v="3"/>
    <d v="2026-08-10T14:10:46"/>
    <x v="34"/>
    <x v="18"/>
    <x v="34"/>
    <s v="19BA13.00"/>
    <x v="3"/>
    <x v="0"/>
    <m/>
    <m/>
    <m/>
  </r>
  <r>
    <s v="YK263100995"/>
    <x v="3"/>
    <x v="3"/>
    <n v="1"/>
    <x v="3"/>
    <d v="2026-08-14T11:37:32"/>
    <x v="34"/>
    <x v="18"/>
    <x v="34"/>
    <s v="19BA13.00"/>
    <x v="3"/>
    <x v="0"/>
    <m/>
    <m/>
    <m/>
  </r>
  <r>
    <s v="YK263100996"/>
    <x v="0"/>
    <x v="0"/>
    <n v="1"/>
    <x v="0"/>
    <d v="2026-08-31T10:26:36"/>
    <x v="34"/>
    <x v="18"/>
    <x v="34"/>
    <s v="19BA13.00"/>
    <x v="3"/>
    <x v="0"/>
    <m/>
    <m/>
    <m/>
  </r>
  <r>
    <s v="YK263100997"/>
    <x v="3"/>
    <x v="3"/>
    <n v="1"/>
    <x v="3"/>
    <d v="2026-08-11T18:33:23"/>
    <x v="34"/>
    <x v="18"/>
    <x v="34"/>
    <s v="19BA13.00"/>
    <x v="3"/>
    <x v="0"/>
    <m/>
    <m/>
    <m/>
  </r>
  <r>
    <s v="YK263100998"/>
    <x v="3"/>
    <x v="3"/>
    <n v="1"/>
    <x v="3"/>
    <d v="2026-08-10T14:17:13"/>
    <x v="34"/>
    <x v="18"/>
    <x v="34"/>
    <s v="19BA13.00"/>
    <x v="3"/>
    <x v="0"/>
    <m/>
    <m/>
    <m/>
  </r>
  <r>
    <s v="YK263100999"/>
    <x v="3"/>
    <x v="3"/>
    <n v="1"/>
    <x v="3"/>
    <d v="2026-08-11T09:21:09"/>
    <x v="34"/>
    <x v="18"/>
    <x v="34"/>
    <s v="19BA13.00"/>
    <x v="3"/>
    <x v="0"/>
    <m/>
    <m/>
    <m/>
  </r>
  <r>
    <s v="YK263101000"/>
    <x v="3"/>
    <x v="3"/>
    <n v="1"/>
    <x v="3"/>
    <d v="2026-08-11T08:43:05"/>
    <x v="34"/>
    <x v="18"/>
    <x v="34"/>
    <s v="19BA13.00"/>
    <x v="3"/>
    <x v="0"/>
    <m/>
    <m/>
    <m/>
  </r>
  <r>
    <s v="YK263101001"/>
    <x v="3"/>
    <x v="3"/>
    <n v="1"/>
    <x v="3"/>
    <d v="2026-08-10T14:21:20"/>
    <x v="34"/>
    <x v="18"/>
    <x v="34"/>
    <s v="19BA13.00"/>
    <x v="3"/>
    <x v="0"/>
    <m/>
    <m/>
    <m/>
  </r>
  <r>
    <s v="YK263101002"/>
    <x v="0"/>
    <x v="0"/>
    <n v="1"/>
    <x v="0"/>
    <d v="2026-09-02T13:40:26"/>
    <x v="34"/>
    <x v="18"/>
    <x v="34"/>
    <s v="19BA13.00"/>
    <x v="3"/>
    <x v="0"/>
    <m/>
    <m/>
    <m/>
  </r>
  <r>
    <s v="YK263101003"/>
    <x v="0"/>
    <x v="0"/>
    <n v="1"/>
    <x v="0"/>
    <d v="2026-09-02T09:48:47"/>
    <x v="34"/>
    <x v="18"/>
    <x v="34"/>
    <s v="19BA13.00"/>
    <x v="3"/>
    <x v="0"/>
    <m/>
    <m/>
    <m/>
  </r>
  <r>
    <s v="YK263101004"/>
    <x v="3"/>
    <x v="3"/>
    <n v="1"/>
    <x v="3"/>
    <d v="2026-08-21T11:55:31"/>
    <x v="34"/>
    <x v="18"/>
    <x v="34"/>
    <s v="19BA13.00"/>
    <x v="3"/>
    <x v="0"/>
    <m/>
    <m/>
    <m/>
  </r>
  <r>
    <s v="YK263101005"/>
    <x v="3"/>
    <x v="3"/>
    <n v="1"/>
    <x v="3"/>
    <d v="2026-08-11T17:05:29"/>
    <x v="34"/>
    <x v="18"/>
    <x v="34"/>
    <s v="19BA13.00"/>
    <x v="3"/>
    <x v="0"/>
    <m/>
    <m/>
    <m/>
  </r>
  <r>
    <s v="YK263101006"/>
    <x v="3"/>
    <x v="3"/>
    <n v="1"/>
    <x v="3"/>
    <d v="2026-08-11T08:47:50"/>
    <x v="34"/>
    <x v="18"/>
    <x v="34"/>
    <s v="19BA13.00"/>
    <x v="3"/>
    <x v="0"/>
    <m/>
    <m/>
    <m/>
  </r>
  <r>
    <s v="YK263101007"/>
    <x v="3"/>
    <x v="3"/>
    <n v="1"/>
    <x v="3"/>
    <d v="2026-08-11T08:37:13"/>
    <x v="34"/>
    <x v="18"/>
    <x v="34"/>
    <s v="19BA13.00"/>
    <x v="3"/>
    <x v="0"/>
    <m/>
    <m/>
    <m/>
  </r>
  <r>
    <s v="YK263101008"/>
    <x v="7"/>
    <x v="7"/>
    <n v="1"/>
    <x v="2"/>
    <d v="2026-08-28T08:24:34"/>
    <x v="34"/>
    <x v="18"/>
    <x v="34"/>
    <s v="19BA13.00"/>
    <x v="3"/>
    <x v="0"/>
    <m/>
    <m/>
    <m/>
  </r>
  <r>
    <s v="YK263101009"/>
    <x v="3"/>
    <x v="3"/>
    <n v="1"/>
    <x v="3"/>
    <d v="2026-08-11T09:11:15"/>
    <x v="34"/>
    <x v="18"/>
    <x v="34"/>
    <s v="19BA13.00"/>
    <x v="3"/>
    <x v="0"/>
    <m/>
    <m/>
    <m/>
  </r>
  <r>
    <s v="YK263101010"/>
    <x v="3"/>
    <x v="3"/>
    <n v="1"/>
    <x v="3"/>
    <d v="2026-08-11T09:45:28"/>
    <x v="34"/>
    <x v="18"/>
    <x v="34"/>
    <s v="19BA13.00"/>
    <x v="3"/>
    <x v="0"/>
    <m/>
    <m/>
    <m/>
  </r>
  <r>
    <s v="YK263101011"/>
    <x v="3"/>
    <x v="3"/>
    <n v="1"/>
    <x v="3"/>
    <d v="2026-08-11T08:24:55"/>
    <x v="34"/>
    <x v="18"/>
    <x v="34"/>
    <s v="19BA13.00"/>
    <x v="3"/>
    <x v="0"/>
    <m/>
    <m/>
    <m/>
  </r>
  <r>
    <s v="YK263101012"/>
    <x v="3"/>
    <x v="3"/>
    <n v="1"/>
    <x v="3"/>
    <d v="2026-08-11T08:52:44"/>
    <x v="34"/>
    <x v="18"/>
    <x v="34"/>
    <s v="19BA13.00"/>
    <x v="3"/>
    <x v="0"/>
    <m/>
    <m/>
    <m/>
  </r>
  <r>
    <s v="YK263101013"/>
    <x v="3"/>
    <x v="3"/>
    <n v="1"/>
    <x v="3"/>
    <d v="2026-08-11T09:55:10"/>
    <x v="34"/>
    <x v="18"/>
    <x v="34"/>
    <s v="19BA13.00"/>
    <x v="3"/>
    <x v="0"/>
    <m/>
    <m/>
    <m/>
  </r>
  <r>
    <s v="YK263101014"/>
    <x v="3"/>
    <x v="3"/>
    <n v="1"/>
    <x v="3"/>
    <d v="2026-08-11T09:06:09"/>
    <x v="34"/>
    <x v="18"/>
    <x v="34"/>
    <s v="19BA13.00"/>
    <x v="3"/>
    <x v="0"/>
    <m/>
    <m/>
    <m/>
  </r>
  <r>
    <s v="YK263101015"/>
    <x v="3"/>
    <x v="3"/>
    <n v="1"/>
    <x v="3"/>
    <d v="2026-08-17T19:28:24"/>
    <x v="34"/>
    <x v="18"/>
    <x v="34"/>
    <s v="19BA13.00"/>
    <x v="3"/>
    <x v="0"/>
    <m/>
    <m/>
    <m/>
  </r>
  <r>
    <s v="YK263101016"/>
    <x v="3"/>
    <x v="3"/>
    <n v="1"/>
    <x v="3"/>
    <d v="2026-08-11T09:59:59"/>
    <x v="34"/>
    <x v="18"/>
    <x v="34"/>
    <s v="19BA13.00"/>
    <x v="3"/>
    <x v="0"/>
    <m/>
    <m/>
    <m/>
  </r>
  <r>
    <s v="YK263101017"/>
    <x v="3"/>
    <x v="3"/>
    <n v="1"/>
    <x v="3"/>
    <d v="2026-08-11T09:39:42"/>
    <x v="34"/>
    <x v="18"/>
    <x v="34"/>
    <s v="19BA13.00"/>
    <x v="3"/>
    <x v="0"/>
    <m/>
    <m/>
    <m/>
  </r>
  <r>
    <s v="YK263101018"/>
    <x v="3"/>
    <x v="3"/>
    <n v="1"/>
    <x v="3"/>
    <d v="2026-08-11T09:00:35"/>
    <x v="34"/>
    <x v="18"/>
    <x v="34"/>
    <s v="19BA13.00"/>
    <x v="3"/>
    <x v="0"/>
    <m/>
    <m/>
    <m/>
  </r>
  <r>
    <s v="YK263101019"/>
    <x v="3"/>
    <x v="3"/>
    <n v="1"/>
    <x v="3"/>
    <d v="2026-08-11T08:02:51"/>
    <x v="34"/>
    <x v="18"/>
    <x v="34"/>
    <s v="19BA13.00"/>
    <x v="3"/>
    <x v="0"/>
    <m/>
    <m/>
    <m/>
  </r>
  <r>
    <s v="YK263101020"/>
    <x v="3"/>
    <x v="3"/>
    <n v="1"/>
    <x v="3"/>
    <d v="2026-08-11T12:07:13"/>
    <x v="34"/>
    <x v="18"/>
    <x v="34"/>
    <s v="19BA13.00"/>
    <x v="3"/>
    <x v="0"/>
    <m/>
    <m/>
    <m/>
  </r>
  <r>
    <s v="YK263101021"/>
    <x v="3"/>
    <x v="3"/>
    <n v="1"/>
    <x v="3"/>
    <d v="2026-08-11T18:28:26"/>
    <x v="34"/>
    <x v="18"/>
    <x v="34"/>
    <s v="19BA13.00"/>
    <x v="3"/>
    <x v="0"/>
    <m/>
    <m/>
    <m/>
  </r>
  <r>
    <s v="YK263101022"/>
    <x v="0"/>
    <x v="0"/>
    <n v="1"/>
    <x v="0"/>
    <d v="2026-08-31T21:21:42"/>
    <x v="34"/>
    <x v="18"/>
    <x v="34"/>
    <s v="19BA13.00"/>
    <x v="3"/>
    <x v="0"/>
    <m/>
    <m/>
    <m/>
  </r>
  <r>
    <s v="YK263101023"/>
    <x v="0"/>
    <x v="0"/>
    <n v="1"/>
    <x v="0"/>
    <d v="2026-08-31T21:21:45"/>
    <x v="34"/>
    <x v="18"/>
    <x v="34"/>
    <s v="19BA13.00"/>
    <x v="3"/>
    <x v="0"/>
    <m/>
    <m/>
    <m/>
  </r>
  <r>
    <s v="YK263101024"/>
    <x v="0"/>
    <x v="0"/>
    <n v="1"/>
    <x v="0"/>
    <d v="2026-08-31T21:29:02"/>
    <x v="34"/>
    <x v="18"/>
    <x v="34"/>
    <s v="19BA13.00"/>
    <x v="3"/>
    <x v="0"/>
    <m/>
    <m/>
    <m/>
  </r>
  <r>
    <s v="YK263101025"/>
    <x v="7"/>
    <x v="7"/>
    <n v="1"/>
    <x v="2"/>
    <d v="2026-08-28T07:48:53"/>
    <x v="34"/>
    <x v="18"/>
    <x v="34"/>
    <s v="19BA13.00"/>
    <x v="3"/>
    <x v="0"/>
    <m/>
    <m/>
    <m/>
  </r>
  <r>
    <s v="YK263101026"/>
    <x v="3"/>
    <x v="3"/>
    <n v="1"/>
    <x v="3"/>
    <d v="2026-08-12T11:05:51"/>
    <x v="34"/>
    <x v="18"/>
    <x v="34"/>
    <s v="19BA13.00"/>
    <x v="3"/>
    <x v="0"/>
    <m/>
    <m/>
    <m/>
  </r>
  <r>
    <s v="YK263101027"/>
    <x v="3"/>
    <x v="3"/>
    <n v="1"/>
    <x v="3"/>
    <d v="2026-08-21T11:27:19"/>
    <x v="34"/>
    <x v="18"/>
    <x v="34"/>
    <s v="19BA13.00"/>
    <x v="3"/>
    <x v="0"/>
    <m/>
    <m/>
    <m/>
  </r>
  <r>
    <s v="YK263101028"/>
    <x v="3"/>
    <x v="3"/>
    <n v="1"/>
    <x v="3"/>
    <d v="2026-08-21T09:57:47"/>
    <x v="34"/>
    <x v="18"/>
    <x v="34"/>
    <s v="19BA13.00"/>
    <x v="3"/>
    <x v="0"/>
    <m/>
    <m/>
    <m/>
  </r>
  <r>
    <s v="YK263101029"/>
    <x v="0"/>
    <x v="0"/>
    <n v="1"/>
    <x v="0"/>
    <d v="2026-09-01T08:30:33"/>
    <x v="34"/>
    <x v="18"/>
    <x v="34"/>
    <s v="19BA13.00"/>
    <x v="3"/>
    <x v="0"/>
    <m/>
    <m/>
    <m/>
  </r>
  <r>
    <s v="YK263101030"/>
    <x v="0"/>
    <x v="0"/>
    <n v="1"/>
    <x v="0"/>
    <d v="2026-09-02T13:41:07"/>
    <x v="34"/>
    <x v="18"/>
    <x v="34"/>
    <s v="19BA13.00"/>
    <x v="3"/>
    <x v="0"/>
    <m/>
    <m/>
    <m/>
  </r>
  <r>
    <s v="YK263101031"/>
    <x v="3"/>
    <x v="3"/>
    <n v="1"/>
    <x v="3"/>
    <d v="2026-08-12T11:11:20"/>
    <x v="34"/>
    <x v="18"/>
    <x v="34"/>
    <s v="19BA13.00"/>
    <x v="3"/>
    <x v="0"/>
    <m/>
    <m/>
    <m/>
  </r>
  <r>
    <s v="YK263101032"/>
    <x v="0"/>
    <x v="0"/>
    <n v="1"/>
    <x v="0"/>
    <d v="2026-09-01T13:44:40"/>
    <x v="34"/>
    <x v="18"/>
    <x v="34"/>
    <s v="19BA13.00"/>
    <x v="3"/>
    <x v="0"/>
    <m/>
    <m/>
    <m/>
  </r>
  <r>
    <s v="YK263101033"/>
    <x v="3"/>
    <x v="3"/>
    <n v="1"/>
    <x v="3"/>
    <d v="2026-08-21T09:45:48"/>
    <x v="34"/>
    <x v="18"/>
    <x v="34"/>
    <s v="19BA13.00"/>
    <x v="3"/>
    <x v="0"/>
    <m/>
    <m/>
    <m/>
  </r>
  <r>
    <s v="YK263101034"/>
    <x v="8"/>
    <x v="8"/>
    <n v="1"/>
    <x v="6"/>
    <d v="2026-09-02T06:49:48"/>
    <x v="34"/>
    <x v="18"/>
    <x v="34"/>
    <s v="19BA13.00"/>
    <x v="3"/>
    <x v="0"/>
    <m/>
    <m/>
    <m/>
  </r>
  <r>
    <s v="YK263101035"/>
    <x v="9"/>
    <x v="9"/>
    <n v="1"/>
    <x v="2"/>
    <d v="2026-09-01T10:30:00"/>
    <x v="34"/>
    <x v="18"/>
    <x v="34"/>
    <s v="19BA13.00"/>
    <x v="3"/>
    <x v="0"/>
    <m/>
    <m/>
    <m/>
  </r>
  <r>
    <s v="YK263101036"/>
    <x v="8"/>
    <x v="8"/>
    <n v="1"/>
    <x v="6"/>
    <d v="2026-09-02T06:45:20"/>
    <x v="34"/>
    <x v="18"/>
    <x v="34"/>
    <s v="19BA13.00"/>
    <x v="3"/>
    <x v="0"/>
    <m/>
    <m/>
    <m/>
  </r>
  <r>
    <s v="YK263101037"/>
    <x v="8"/>
    <x v="8"/>
    <n v="1"/>
    <x v="6"/>
    <d v="2026-09-03T06:30:28"/>
    <x v="34"/>
    <x v="18"/>
    <x v="34"/>
    <s v="19BA13.00"/>
    <x v="3"/>
    <x v="0"/>
    <m/>
    <m/>
    <m/>
  </r>
  <r>
    <s v="YK263101038"/>
    <x v="8"/>
    <x v="8"/>
    <n v="1"/>
    <x v="6"/>
    <d v="2026-09-08T09:06:07"/>
    <x v="34"/>
    <x v="18"/>
    <x v="34"/>
    <s v="19BA13.00"/>
    <x v="3"/>
    <x v="0"/>
    <m/>
    <m/>
    <m/>
  </r>
  <r>
    <s v="YK263101039"/>
    <x v="8"/>
    <x v="8"/>
    <n v="1"/>
    <x v="6"/>
    <d v="2026-09-08T09:03:45"/>
    <x v="34"/>
    <x v="18"/>
    <x v="34"/>
    <s v="19BA13.00"/>
    <x v="3"/>
    <x v="0"/>
    <m/>
    <m/>
    <m/>
  </r>
  <r>
    <s v="YK263101040"/>
    <x v="8"/>
    <x v="8"/>
    <n v="1"/>
    <x v="6"/>
    <d v="2026-09-08T09:05:08"/>
    <x v="34"/>
    <x v="18"/>
    <x v="34"/>
    <s v="19BA13.00"/>
    <x v="3"/>
    <x v="0"/>
    <m/>
    <m/>
    <m/>
  </r>
  <r>
    <s v="YK263101041"/>
    <x v="8"/>
    <x v="8"/>
    <n v="1"/>
    <x v="6"/>
    <d v="2026-09-08T09:06:52"/>
    <x v="34"/>
    <x v="18"/>
    <x v="34"/>
    <s v="19BA13.00"/>
    <x v="3"/>
    <x v="0"/>
    <m/>
    <m/>
    <m/>
  </r>
  <r>
    <s v="YK263101042"/>
    <x v="10"/>
    <x v="10"/>
    <n v="1"/>
    <x v="6"/>
    <d v="2026-09-09T15:23:00"/>
    <x v="34"/>
    <x v="18"/>
    <x v="34"/>
    <s v="19BA13.00"/>
    <x v="3"/>
    <x v="0"/>
    <m/>
    <m/>
    <m/>
  </r>
  <r>
    <s v="YK263101043"/>
    <x v="10"/>
    <x v="10"/>
    <n v="1"/>
    <x v="6"/>
    <d v="2026-09-09T15:29:46"/>
    <x v="34"/>
    <x v="18"/>
    <x v="34"/>
    <s v="19BA13.00"/>
    <x v="3"/>
    <x v="0"/>
    <m/>
    <m/>
    <m/>
  </r>
  <r>
    <s v="YK263101044"/>
    <x v="8"/>
    <x v="8"/>
    <n v="1"/>
    <x v="6"/>
    <d v="2026-09-02T06:53:27"/>
    <x v="34"/>
    <x v="18"/>
    <x v="34"/>
    <s v="19BA13.00"/>
    <x v="3"/>
    <x v="0"/>
    <m/>
    <m/>
    <m/>
  </r>
  <r>
    <s v="YK263101045"/>
    <x v="8"/>
    <x v="8"/>
    <n v="1"/>
    <x v="6"/>
    <d v="2026-09-02T06:47:38"/>
    <x v="34"/>
    <x v="18"/>
    <x v="34"/>
    <s v="19BA13.00"/>
    <x v="3"/>
    <x v="0"/>
    <m/>
    <m/>
    <m/>
  </r>
  <r>
    <s v="YK263101046"/>
    <x v="3"/>
    <x v="3"/>
    <n v="1"/>
    <x v="3"/>
    <d v="2026-08-31T12:10:03"/>
    <x v="34"/>
    <x v="18"/>
    <x v="34"/>
    <s v="19BA13.00"/>
    <x v="3"/>
    <x v="0"/>
    <m/>
    <m/>
    <m/>
  </r>
  <r>
    <s v="YK263101047"/>
    <x v="3"/>
    <x v="3"/>
    <n v="1"/>
    <x v="3"/>
    <d v="2026-09-01T09:56:21"/>
    <x v="34"/>
    <x v="18"/>
    <x v="34"/>
    <s v="19BA13.00"/>
    <x v="3"/>
    <x v="0"/>
    <m/>
    <m/>
    <m/>
  </r>
  <r>
    <s v="YK263101048"/>
    <x v="3"/>
    <x v="3"/>
    <n v="1"/>
    <x v="3"/>
    <d v="2026-08-31T12:21:57"/>
    <x v="34"/>
    <x v="18"/>
    <x v="34"/>
    <s v="19BA13.00"/>
    <x v="3"/>
    <x v="0"/>
    <m/>
    <m/>
    <m/>
  </r>
  <r>
    <s v="YK263101049"/>
    <x v="3"/>
    <x v="3"/>
    <n v="1"/>
    <x v="3"/>
    <d v="2026-08-31T11:54:09"/>
    <x v="34"/>
    <x v="18"/>
    <x v="34"/>
    <s v="19BA13.00"/>
    <x v="3"/>
    <x v="0"/>
    <m/>
    <m/>
    <m/>
  </r>
  <r>
    <s v="YK263101050"/>
    <x v="3"/>
    <x v="3"/>
    <n v="1"/>
    <x v="3"/>
    <d v="2026-09-08T09:05:57"/>
    <x v="34"/>
    <x v="18"/>
    <x v="34"/>
    <s v="19BA13.00"/>
    <x v="3"/>
    <x v="0"/>
    <m/>
    <m/>
    <m/>
  </r>
  <r>
    <s v="YK263101051"/>
    <x v="10"/>
    <x v="10"/>
    <n v="1"/>
    <x v="6"/>
    <d v="2026-09-09T15:26:03"/>
    <x v="34"/>
    <x v="18"/>
    <x v="34"/>
    <s v="19BA13.00"/>
    <x v="3"/>
    <x v="0"/>
    <m/>
    <m/>
    <m/>
  </r>
  <r>
    <s v="YK263101052"/>
    <x v="3"/>
    <x v="3"/>
    <n v="1"/>
    <x v="3"/>
    <d v="2026-08-31T17:29:48"/>
    <x v="34"/>
    <x v="18"/>
    <x v="34"/>
    <s v="19BA13.00"/>
    <x v="3"/>
    <x v="0"/>
    <m/>
    <m/>
    <m/>
  </r>
  <r>
    <s v="YK263101053"/>
    <x v="3"/>
    <x v="3"/>
    <n v="1"/>
    <x v="3"/>
    <d v="2026-09-08T08:39:40"/>
    <x v="34"/>
    <x v="18"/>
    <x v="34"/>
    <s v="19BA13.00"/>
    <x v="3"/>
    <x v="0"/>
    <m/>
    <m/>
    <m/>
  </r>
  <r>
    <s v="YK263101054"/>
    <x v="3"/>
    <x v="3"/>
    <n v="1"/>
    <x v="3"/>
    <d v="2026-08-31T17:24:33"/>
    <x v="34"/>
    <x v="18"/>
    <x v="34"/>
    <s v="19BA13.00"/>
    <x v="3"/>
    <x v="0"/>
    <m/>
    <m/>
    <m/>
  </r>
  <r>
    <s v="YK263101055"/>
    <x v="9"/>
    <x v="9"/>
    <n v="1"/>
    <x v="2"/>
    <d v="2026-08-20T12:13:36"/>
    <x v="34"/>
    <x v="18"/>
    <x v="34"/>
    <s v="19BA13.00"/>
    <x v="3"/>
    <x v="0"/>
    <m/>
    <m/>
    <m/>
  </r>
  <r>
    <s v="YK263101056"/>
    <x v="3"/>
    <x v="3"/>
    <n v="1"/>
    <x v="3"/>
    <d v="2026-08-31T11:17:03"/>
    <x v="34"/>
    <x v="18"/>
    <x v="34"/>
    <s v="19BA13.00"/>
    <x v="3"/>
    <x v="0"/>
    <m/>
    <m/>
    <m/>
  </r>
  <r>
    <s v="YK263101057"/>
    <x v="9"/>
    <x v="9"/>
    <n v="1"/>
    <x v="2"/>
    <d v="2026-08-20T12:15:51"/>
    <x v="34"/>
    <x v="18"/>
    <x v="34"/>
    <s v="19BA13.00"/>
    <x v="3"/>
    <x v="0"/>
    <m/>
    <m/>
    <m/>
  </r>
  <r>
    <s v="YK263101058"/>
    <x v="9"/>
    <x v="9"/>
    <n v="1"/>
    <x v="2"/>
    <d v="2026-08-20T12:17:06"/>
    <x v="34"/>
    <x v="18"/>
    <x v="34"/>
    <s v="19BA13.00"/>
    <x v="3"/>
    <x v="0"/>
    <m/>
    <m/>
    <m/>
  </r>
  <r>
    <s v="YK263101059"/>
    <x v="10"/>
    <x v="10"/>
    <n v="1"/>
    <x v="6"/>
    <d v="2026-09-09T14:22:36"/>
    <x v="34"/>
    <x v="18"/>
    <x v="34"/>
    <s v="19BA13.00"/>
    <x v="3"/>
    <x v="0"/>
    <m/>
    <m/>
    <m/>
  </r>
  <r>
    <s v="YK263101060"/>
    <x v="10"/>
    <x v="10"/>
    <n v="1"/>
    <x v="6"/>
    <d v="2026-09-09T14:19:20"/>
    <x v="34"/>
    <x v="18"/>
    <x v="34"/>
    <s v="19BA13.00"/>
    <x v="3"/>
    <x v="0"/>
    <m/>
    <m/>
    <m/>
  </r>
  <r>
    <s v="YK263101061"/>
    <x v="10"/>
    <x v="10"/>
    <n v="1"/>
    <x v="6"/>
    <d v="2026-09-09T14:59:56"/>
    <x v="34"/>
    <x v="18"/>
    <x v="34"/>
    <s v="19BA13.00"/>
    <x v="3"/>
    <x v="0"/>
    <m/>
    <m/>
    <m/>
  </r>
  <r>
    <s v="YK263101062"/>
    <x v="10"/>
    <x v="10"/>
    <n v="1"/>
    <x v="6"/>
    <d v="2026-09-09T14:55:41"/>
    <x v="34"/>
    <x v="18"/>
    <x v="34"/>
    <s v="19BA13.00"/>
    <x v="3"/>
    <x v="0"/>
    <m/>
    <m/>
    <m/>
  </r>
  <r>
    <s v="YK263101063"/>
    <x v="7"/>
    <x v="7"/>
    <n v="1"/>
    <x v="2"/>
    <d v="2026-09-09T13:45:04"/>
    <x v="34"/>
    <x v="18"/>
    <x v="34"/>
    <s v="19BA13.00"/>
    <x v="3"/>
    <x v="0"/>
    <m/>
    <m/>
    <m/>
  </r>
  <r>
    <s v="YK263101064"/>
    <x v="7"/>
    <x v="7"/>
    <n v="1"/>
    <x v="2"/>
    <d v="2026-09-09T13:59:45"/>
    <x v="34"/>
    <x v="18"/>
    <x v="34"/>
    <s v="19BA13.00"/>
    <x v="3"/>
    <x v="0"/>
    <m/>
    <m/>
    <m/>
  </r>
  <r>
    <s v="YK263101065"/>
    <x v="10"/>
    <x v="10"/>
    <n v="1"/>
    <x v="6"/>
    <d v="2026-09-09T14:31:19"/>
    <x v="34"/>
    <x v="18"/>
    <x v="34"/>
    <s v="19BA13.00"/>
    <x v="3"/>
    <x v="0"/>
    <m/>
    <m/>
    <m/>
  </r>
  <r>
    <s v="YK263101066"/>
    <x v="10"/>
    <x v="10"/>
    <n v="1"/>
    <x v="6"/>
    <d v="2026-09-09T14:35:55"/>
    <x v="34"/>
    <x v="18"/>
    <x v="34"/>
    <s v="19BA13.00"/>
    <x v="3"/>
    <x v="0"/>
    <m/>
    <m/>
    <m/>
  </r>
  <r>
    <s v="YK263101067"/>
    <x v="10"/>
    <x v="10"/>
    <n v="1"/>
    <x v="6"/>
    <d v="2026-09-09T13:41:51"/>
    <x v="34"/>
    <x v="18"/>
    <x v="34"/>
    <s v="19BA13.00"/>
    <x v="3"/>
    <x v="0"/>
    <m/>
    <m/>
    <m/>
  </r>
  <r>
    <s v="YK263101068"/>
    <x v="10"/>
    <x v="10"/>
    <n v="1"/>
    <x v="6"/>
    <d v="2026-09-09T14:33:57"/>
    <x v="34"/>
    <x v="18"/>
    <x v="34"/>
    <s v="19BA13.00"/>
    <x v="3"/>
    <x v="0"/>
    <m/>
    <m/>
    <m/>
  </r>
  <r>
    <s v="YK263101069"/>
    <x v="7"/>
    <x v="7"/>
    <n v="1"/>
    <x v="2"/>
    <d v="2026-09-09T13:52:11"/>
    <x v="34"/>
    <x v="18"/>
    <x v="34"/>
    <s v="19BA13.00"/>
    <x v="3"/>
    <x v="0"/>
    <m/>
    <m/>
    <m/>
  </r>
  <r>
    <s v="YK263101070"/>
    <x v="10"/>
    <x v="10"/>
    <n v="1"/>
    <x v="6"/>
    <d v="2026-09-09T14:49:16"/>
    <x v="34"/>
    <x v="18"/>
    <x v="34"/>
    <s v="19BA13.00"/>
    <x v="3"/>
    <x v="0"/>
    <m/>
    <m/>
    <m/>
  </r>
  <r>
    <s v="YK263101071"/>
    <x v="10"/>
    <x v="10"/>
    <n v="1"/>
    <x v="6"/>
    <d v="2026-09-09T14:51:22"/>
    <x v="34"/>
    <x v="18"/>
    <x v="34"/>
    <s v="19BA13.00"/>
    <x v="3"/>
    <x v="0"/>
    <m/>
    <m/>
    <m/>
  </r>
  <r>
    <s v="YK263101072"/>
    <x v="7"/>
    <x v="7"/>
    <n v="1"/>
    <x v="2"/>
    <d v="2026-09-09T13:48:42"/>
    <x v="34"/>
    <x v="18"/>
    <x v="34"/>
    <s v="19BA13.00"/>
    <x v="3"/>
    <x v="0"/>
    <m/>
    <m/>
    <m/>
  </r>
  <r>
    <s v="YK263101073"/>
    <x v="7"/>
    <x v="7"/>
    <n v="1"/>
    <x v="2"/>
    <d v="2026-09-09T13:50:17"/>
    <x v="34"/>
    <x v="18"/>
    <x v="34"/>
    <s v="19BA13.00"/>
    <x v="3"/>
    <x v="0"/>
    <m/>
    <m/>
    <m/>
  </r>
  <r>
    <s v="YK263101074"/>
    <x v="10"/>
    <x v="10"/>
    <n v="1"/>
    <x v="6"/>
    <d v="2026-09-09T15:31:53"/>
    <x v="34"/>
    <x v="18"/>
    <x v="34"/>
    <s v="19BA13.00"/>
    <x v="3"/>
    <x v="0"/>
    <m/>
    <m/>
    <m/>
  </r>
  <r>
    <s v="YK263101075"/>
    <x v="10"/>
    <x v="10"/>
    <n v="1"/>
    <x v="6"/>
    <d v="2026-09-09T14:28:28"/>
    <x v="34"/>
    <x v="18"/>
    <x v="34"/>
    <s v="19BA13.00"/>
    <x v="3"/>
    <x v="0"/>
    <m/>
    <m/>
    <m/>
  </r>
  <r>
    <s v="YK263101076"/>
    <x v="10"/>
    <x v="10"/>
    <n v="1"/>
    <x v="6"/>
    <d v="2026-09-09T14:42:55"/>
    <x v="34"/>
    <x v="18"/>
    <x v="34"/>
    <s v="19BA13.00"/>
    <x v="3"/>
    <x v="0"/>
    <m/>
    <m/>
    <m/>
  </r>
  <r>
    <s v="YK263101077"/>
    <x v="10"/>
    <x v="10"/>
    <n v="1"/>
    <x v="6"/>
    <d v="2026-09-09T14:57:22"/>
    <x v="34"/>
    <x v="18"/>
    <x v="34"/>
    <s v="19BA13.00"/>
    <x v="3"/>
    <x v="0"/>
    <m/>
    <m/>
    <m/>
  </r>
  <r>
    <s v="YK263101078"/>
    <x v="7"/>
    <x v="7"/>
    <n v="1"/>
    <x v="2"/>
    <d v="2026-09-09T14:08:15"/>
    <x v="34"/>
    <x v="18"/>
    <x v="34"/>
    <s v="19BA13.00"/>
    <x v="3"/>
    <x v="0"/>
    <m/>
    <m/>
    <m/>
  </r>
  <r>
    <s v="YK263101079"/>
    <x v="10"/>
    <x v="10"/>
    <n v="1"/>
    <x v="6"/>
    <d v="2026-09-09T15:03:00"/>
    <x v="34"/>
    <x v="18"/>
    <x v="34"/>
    <s v="19BA13.00"/>
    <x v="3"/>
    <x v="0"/>
    <m/>
    <m/>
    <m/>
  </r>
  <r>
    <s v="YK263101080"/>
    <x v="10"/>
    <x v="10"/>
    <n v="1"/>
    <x v="6"/>
    <d v="2026-09-09T14:46:17"/>
    <x v="34"/>
    <x v="18"/>
    <x v="34"/>
    <s v="19BA13.00"/>
    <x v="3"/>
    <x v="0"/>
    <m/>
    <m/>
    <m/>
  </r>
  <r>
    <s v="YK263101081"/>
    <x v="7"/>
    <x v="7"/>
    <n v="1"/>
    <x v="2"/>
    <d v="2026-09-09T14:06:37"/>
    <x v="34"/>
    <x v="18"/>
    <x v="34"/>
    <s v="19BA13.00"/>
    <x v="3"/>
    <x v="0"/>
    <m/>
    <m/>
    <m/>
  </r>
  <r>
    <s v="YK263101082"/>
    <x v="10"/>
    <x v="10"/>
    <n v="1"/>
    <x v="6"/>
    <d v="2026-09-09T14:25:31"/>
    <x v="34"/>
    <x v="18"/>
    <x v="34"/>
    <s v="19BA13.00"/>
    <x v="3"/>
    <x v="0"/>
    <m/>
    <m/>
    <m/>
  </r>
  <r>
    <s v="YK263101083"/>
    <x v="10"/>
    <x v="10"/>
    <n v="1"/>
    <x v="6"/>
    <d v="2026-09-09T13:20:46"/>
    <x v="34"/>
    <x v="18"/>
    <x v="34"/>
    <s v="19BA13.00"/>
    <x v="3"/>
    <x v="0"/>
    <m/>
    <m/>
    <m/>
  </r>
  <r>
    <s v="YK263101084"/>
    <x v="10"/>
    <x v="10"/>
    <n v="1"/>
    <x v="6"/>
    <d v="2026-09-09T13:24:01"/>
    <x v="34"/>
    <x v="18"/>
    <x v="34"/>
    <s v="19BA13.00"/>
    <x v="3"/>
    <x v="0"/>
    <m/>
    <m/>
    <m/>
  </r>
  <r>
    <s v="YK263101085"/>
    <x v="7"/>
    <x v="7"/>
    <n v="1"/>
    <x v="2"/>
    <d v="2026-09-03T15:28:15"/>
    <x v="34"/>
    <x v="18"/>
    <x v="34"/>
    <s v="19BA13.00"/>
    <x v="3"/>
    <x v="0"/>
    <m/>
    <m/>
    <m/>
  </r>
  <r>
    <s v="YK263101086"/>
    <x v="10"/>
    <x v="10"/>
    <n v="1"/>
    <x v="6"/>
    <d v="2026-09-09T13:27:43"/>
    <x v="34"/>
    <x v="18"/>
    <x v="34"/>
    <s v="19BA13.00"/>
    <x v="3"/>
    <x v="0"/>
    <m/>
    <m/>
    <m/>
  </r>
  <r>
    <s v="YK263101087"/>
    <x v="3"/>
    <x v="3"/>
    <n v="1"/>
    <x v="3"/>
    <d v="2026-08-31T10:06:44"/>
    <x v="34"/>
    <x v="18"/>
    <x v="34"/>
    <s v="19BA13.00"/>
    <x v="3"/>
    <x v="0"/>
    <m/>
    <m/>
    <m/>
  </r>
  <r>
    <s v="YK263101088"/>
    <x v="10"/>
    <x v="10"/>
    <n v="1"/>
    <x v="6"/>
    <d v="2026-09-09T13:16:14"/>
    <x v="34"/>
    <x v="18"/>
    <x v="34"/>
    <s v="19BA13.00"/>
    <x v="3"/>
    <x v="0"/>
    <m/>
    <m/>
    <m/>
  </r>
  <r>
    <s v="YK263101089"/>
    <x v="10"/>
    <x v="10"/>
    <n v="1"/>
    <x v="6"/>
    <d v="2026-09-09T13:14:13"/>
    <x v="34"/>
    <x v="18"/>
    <x v="34"/>
    <s v="19BA13.00"/>
    <x v="3"/>
    <x v="0"/>
    <m/>
    <m/>
    <m/>
  </r>
  <r>
    <s v="YK263101090"/>
    <x v="10"/>
    <x v="10"/>
    <n v="1"/>
    <x v="6"/>
    <d v="2026-09-09T13:12:08"/>
    <x v="34"/>
    <x v="18"/>
    <x v="34"/>
    <s v="19BA13.00"/>
    <x v="3"/>
    <x v="0"/>
    <m/>
    <m/>
    <m/>
  </r>
  <r>
    <s v="YK263101091"/>
    <x v="7"/>
    <x v="7"/>
    <n v="1"/>
    <x v="2"/>
    <d v="2026-09-09T09:10:44"/>
    <x v="34"/>
    <x v="18"/>
    <x v="34"/>
    <s v="19BA13.00"/>
    <x v="3"/>
    <x v="0"/>
    <m/>
    <m/>
    <m/>
  </r>
  <r>
    <s v="YK263101092"/>
    <x v="9"/>
    <x v="9"/>
    <n v="1"/>
    <x v="2"/>
    <d v="2026-08-20T14:13:07"/>
    <x v="34"/>
    <x v="18"/>
    <x v="34"/>
    <s v="19BA13.00"/>
    <x v="3"/>
    <x v="0"/>
    <m/>
    <m/>
    <m/>
  </r>
  <r>
    <s v="YK263101093"/>
    <x v="10"/>
    <x v="10"/>
    <n v="1"/>
    <x v="6"/>
    <d v="2026-09-09T09:08:36"/>
    <x v="34"/>
    <x v="18"/>
    <x v="34"/>
    <s v="19BA13.00"/>
    <x v="3"/>
    <x v="0"/>
    <m/>
    <m/>
    <m/>
  </r>
  <r>
    <s v="YK263101094"/>
    <x v="10"/>
    <x v="10"/>
    <n v="1"/>
    <x v="6"/>
    <d v="2026-09-09T13:10:02"/>
    <x v="34"/>
    <x v="18"/>
    <x v="34"/>
    <s v="19BA13.00"/>
    <x v="3"/>
    <x v="0"/>
    <m/>
    <m/>
    <m/>
  </r>
  <r>
    <s v="YK263101095"/>
    <x v="9"/>
    <x v="9"/>
    <n v="1"/>
    <x v="2"/>
    <d v="2026-08-20T14:41:57"/>
    <x v="34"/>
    <x v="18"/>
    <x v="34"/>
    <s v="19BA13.00"/>
    <x v="3"/>
    <x v="0"/>
    <m/>
    <m/>
    <m/>
  </r>
  <r>
    <s v="YK263101096"/>
    <x v="10"/>
    <x v="10"/>
    <n v="1"/>
    <x v="6"/>
    <d v="2026-09-09T15:34:46"/>
    <x v="34"/>
    <x v="18"/>
    <x v="34"/>
    <s v="19BA13.00"/>
    <x v="3"/>
    <x v="0"/>
    <m/>
    <m/>
    <m/>
  </r>
  <r>
    <s v="YK263101097"/>
    <x v="9"/>
    <x v="9"/>
    <n v="1"/>
    <x v="2"/>
    <d v="2026-08-20T14:43:18"/>
    <x v="34"/>
    <x v="18"/>
    <x v="34"/>
    <s v="19BA13.00"/>
    <x v="3"/>
    <x v="0"/>
    <m/>
    <m/>
    <m/>
  </r>
  <r>
    <s v="YK263101098"/>
    <x v="3"/>
    <x v="3"/>
    <n v="1"/>
    <x v="3"/>
    <d v="2026-08-31T17:35:18"/>
    <x v="34"/>
    <x v="18"/>
    <x v="34"/>
    <s v="19BA13.00"/>
    <x v="3"/>
    <x v="0"/>
    <m/>
    <m/>
    <m/>
  </r>
  <r>
    <s v="YK263101099"/>
    <x v="3"/>
    <x v="3"/>
    <n v="1"/>
    <x v="3"/>
    <d v="2026-08-31T11:23:09"/>
    <x v="34"/>
    <x v="18"/>
    <x v="34"/>
    <s v="19BA13.00"/>
    <x v="3"/>
    <x v="0"/>
    <m/>
    <m/>
    <m/>
  </r>
  <r>
    <s v="YK263101100"/>
    <x v="3"/>
    <x v="3"/>
    <n v="1"/>
    <x v="3"/>
    <d v="2026-08-31T11:11:48"/>
    <x v="34"/>
    <x v="18"/>
    <x v="34"/>
    <s v="19BA13.00"/>
    <x v="3"/>
    <x v="0"/>
    <m/>
    <m/>
    <m/>
  </r>
  <r>
    <s v="YK263101101"/>
    <x v="9"/>
    <x v="9"/>
    <n v="1"/>
    <x v="2"/>
    <d v="2026-08-20T14:48:54"/>
    <x v="34"/>
    <x v="18"/>
    <x v="34"/>
    <s v="19BA13.00"/>
    <x v="3"/>
    <x v="0"/>
    <m/>
    <m/>
    <m/>
  </r>
  <r>
    <s v="YK263101102"/>
    <x v="9"/>
    <x v="9"/>
    <n v="1"/>
    <x v="2"/>
    <d v="2026-08-20T14:49:14"/>
    <x v="34"/>
    <x v="18"/>
    <x v="34"/>
    <s v="19BA13.00"/>
    <x v="3"/>
    <x v="0"/>
    <m/>
    <m/>
    <m/>
  </r>
  <r>
    <s v="YK263101103"/>
    <x v="10"/>
    <x v="10"/>
    <n v="1"/>
    <x v="6"/>
    <d v="2026-09-09T15:18:54"/>
    <x v="34"/>
    <x v="18"/>
    <x v="34"/>
    <s v="19BA13.00"/>
    <x v="3"/>
    <x v="0"/>
    <m/>
    <m/>
    <m/>
  </r>
  <r>
    <s v="YK263101104"/>
    <x v="10"/>
    <x v="10"/>
    <n v="1"/>
    <x v="6"/>
    <d v="2026-09-07T13:09:39"/>
    <x v="34"/>
    <x v="18"/>
    <x v="34"/>
    <s v="19BA13.00"/>
    <x v="3"/>
    <x v="0"/>
    <m/>
    <m/>
    <m/>
  </r>
  <r>
    <s v="YK263101105"/>
    <x v="10"/>
    <x v="10"/>
    <n v="1"/>
    <x v="6"/>
    <d v="2026-09-07T13:09:59"/>
    <x v="34"/>
    <x v="18"/>
    <x v="34"/>
    <s v="19BA13.00"/>
    <x v="3"/>
    <x v="0"/>
    <m/>
    <m/>
    <m/>
  </r>
  <r>
    <s v="YK263101106"/>
    <x v="7"/>
    <x v="7"/>
    <n v="1"/>
    <x v="2"/>
    <d v="2026-09-07T13:02:14"/>
    <x v="34"/>
    <x v="18"/>
    <x v="34"/>
    <s v="19BA13.00"/>
    <x v="3"/>
    <x v="0"/>
    <m/>
    <m/>
    <m/>
  </r>
  <r>
    <s v="YK263101107"/>
    <x v="10"/>
    <x v="10"/>
    <n v="1"/>
    <x v="6"/>
    <d v="2026-09-07T13:10:19"/>
    <x v="34"/>
    <x v="18"/>
    <x v="34"/>
    <s v="19BA13.00"/>
    <x v="3"/>
    <x v="0"/>
    <m/>
    <m/>
    <m/>
  </r>
  <r>
    <s v="YK263101108"/>
    <x v="10"/>
    <x v="10"/>
    <n v="1"/>
    <x v="6"/>
    <d v="2026-09-07T13:10:38"/>
    <x v="34"/>
    <x v="18"/>
    <x v="34"/>
    <s v="19BA13.00"/>
    <x v="3"/>
    <x v="0"/>
    <m/>
    <m/>
    <m/>
  </r>
  <r>
    <s v="YK263101109"/>
    <x v="7"/>
    <x v="7"/>
    <n v="1"/>
    <x v="2"/>
    <d v="2026-09-07T13:08:24"/>
    <x v="34"/>
    <x v="18"/>
    <x v="34"/>
    <s v="19BA13.00"/>
    <x v="3"/>
    <x v="0"/>
    <m/>
    <m/>
    <m/>
  </r>
  <r>
    <s v="YK263101110"/>
    <x v="9"/>
    <x v="9"/>
    <n v="1"/>
    <x v="2"/>
    <d v="2026-08-20T15:02:20"/>
    <x v="34"/>
    <x v="18"/>
    <x v="34"/>
    <s v="19BA13.00"/>
    <x v="3"/>
    <x v="0"/>
    <m/>
    <m/>
    <m/>
  </r>
  <r>
    <s v="YK263101111"/>
    <x v="3"/>
    <x v="3"/>
    <n v="1"/>
    <x v="3"/>
    <d v="2026-09-08T09:15:58"/>
    <x v="34"/>
    <x v="18"/>
    <x v="34"/>
    <s v="19BA13.00"/>
    <x v="3"/>
    <x v="0"/>
    <m/>
    <m/>
    <m/>
  </r>
  <r>
    <s v="YK263101112"/>
    <x v="10"/>
    <x v="10"/>
    <n v="1"/>
    <x v="6"/>
    <d v="2026-09-07T13:30:54"/>
    <x v="34"/>
    <x v="18"/>
    <x v="34"/>
    <s v="19BA13.00"/>
    <x v="3"/>
    <x v="0"/>
    <m/>
    <m/>
    <m/>
  </r>
  <r>
    <s v="YK263101113"/>
    <x v="3"/>
    <x v="3"/>
    <n v="1"/>
    <x v="3"/>
    <d v="2026-09-08T09:11:11"/>
    <x v="34"/>
    <x v="18"/>
    <x v="34"/>
    <s v="19BA13.00"/>
    <x v="3"/>
    <x v="0"/>
    <m/>
    <m/>
    <m/>
  </r>
  <r>
    <s v="YK263101114"/>
    <x v="10"/>
    <x v="10"/>
    <n v="1"/>
    <x v="6"/>
    <d v="2026-09-07T13:34:57"/>
    <x v="34"/>
    <x v="18"/>
    <x v="34"/>
    <s v="19BA13.00"/>
    <x v="3"/>
    <x v="0"/>
    <m/>
    <m/>
    <m/>
  </r>
  <r>
    <s v="YK263101115"/>
    <x v="7"/>
    <x v="7"/>
    <n v="1"/>
    <x v="2"/>
    <d v="2026-09-07T13:35:18"/>
    <x v="34"/>
    <x v="18"/>
    <x v="34"/>
    <s v="19BA13.00"/>
    <x v="3"/>
    <x v="0"/>
    <m/>
    <m/>
    <m/>
  </r>
  <r>
    <s v="YK263101116"/>
    <x v="7"/>
    <x v="7"/>
    <n v="1"/>
    <x v="2"/>
    <d v="2026-09-07T13:37:08"/>
    <x v="34"/>
    <x v="18"/>
    <x v="34"/>
    <s v="19BA13.00"/>
    <x v="3"/>
    <x v="0"/>
    <m/>
    <m/>
    <m/>
  </r>
  <r>
    <s v="YK263101117"/>
    <x v="10"/>
    <x v="10"/>
    <n v="1"/>
    <x v="6"/>
    <d v="2026-09-07T13:39:33"/>
    <x v="34"/>
    <x v="18"/>
    <x v="34"/>
    <s v="19BA13.00"/>
    <x v="3"/>
    <x v="0"/>
    <m/>
    <m/>
    <m/>
  </r>
  <r>
    <s v="YK263101118"/>
    <x v="7"/>
    <x v="7"/>
    <n v="1"/>
    <x v="2"/>
    <d v="2026-09-07T13:41:39"/>
    <x v="34"/>
    <x v="18"/>
    <x v="34"/>
    <s v="19BA13.00"/>
    <x v="3"/>
    <x v="0"/>
    <m/>
    <m/>
    <m/>
  </r>
  <r>
    <s v="YK263101119"/>
    <x v="10"/>
    <x v="10"/>
    <n v="1"/>
    <x v="6"/>
    <d v="2026-09-07T12:38:15"/>
    <x v="34"/>
    <x v="18"/>
    <x v="34"/>
    <s v="19BA13.00"/>
    <x v="3"/>
    <x v="0"/>
    <m/>
    <m/>
    <m/>
  </r>
  <r>
    <s v="YK263101120"/>
    <x v="7"/>
    <x v="7"/>
    <n v="1"/>
    <x v="2"/>
    <d v="2026-09-07T11:45:54"/>
    <x v="34"/>
    <x v="18"/>
    <x v="34"/>
    <s v="19BA13.00"/>
    <x v="3"/>
    <x v="0"/>
    <m/>
    <m/>
    <m/>
  </r>
  <r>
    <s v="YK263101121"/>
    <x v="7"/>
    <x v="7"/>
    <n v="1"/>
    <x v="2"/>
    <d v="2026-09-07T11:51:57"/>
    <x v="34"/>
    <x v="18"/>
    <x v="34"/>
    <s v="19BA13.00"/>
    <x v="3"/>
    <x v="0"/>
    <m/>
    <m/>
    <m/>
  </r>
  <r>
    <s v="YK263101122"/>
    <x v="7"/>
    <x v="7"/>
    <n v="1"/>
    <x v="2"/>
    <d v="2026-09-07T11:58:28"/>
    <x v="34"/>
    <x v="18"/>
    <x v="34"/>
    <s v="19BA13.00"/>
    <x v="3"/>
    <x v="0"/>
    <m/>
    <m/>
    <m/>
  </r>
  <r>
    <s v="YK263101123"/>
    <x v="7"/>
    <x v="7"/>
    <n v="1"/>
    <x v="2"/>
    <d v="2026-09-07T12:01:58"/>
    <x v="34"/>
    <x v="18"/>
    <x v="34"/>
    <s v="19BA13.00"/>
    <x v="3"/>
    <x v="0"/>
    <m/>
    <m/>
    <m/>
  </r>
  <r>
    <s v="YK263101124"/>
    <x v="3"/>
    <x v="3"/>
    <n v="1"/>
    <x v="3"/>
    <d v="2026-09-01T09:36:06"/>
    <x v="34"/>
    <x v="18"/>
    <x v="34"/>
    <s v="19BA13.00"/>
    <x v="3"/>
    <x v="0"/>
    <m/>
    <m/>
    <m/>
  </r>
  <r>
    <s v="YK263101125"/>
    <x v="3"/>
    <x v="3"/>
    <n v="1"/>
    <x v="3"/>
    <d v="2026-09-01T09:30:15"/>
    <x v="34"/>
    <x v="18"/>
    <x v="34"/>
    <s v="19BA13.00"/>
    <x v="3"/>
    <x v="0"/>
    <m/>
    <m/>
    <m/>
  </r>
  <r>
    <s v="YK263101126"/>
    <x v="9"/>
    <x v="9"/>
    <n v="1"/>
    <x v="2"/>
    <d v="2026-08-20T17:18:49"/>
    <x v="34"/>
    <x v="18"/>
    <x v="34"/>
    <s v="19BA13.00"/>
    <x v="3"/>
    <x v="0"/>
    <m/>
    <m/>
    <m/>
  </r>
  <r>
    <s v="YK263101127"/>
    <x v="7"/>
    <x v="7"/>
    <n v="1"/>
    <x v="2"/>
    <d v="2026-09-07T12:05:46"/>
    <x v="34"/>
    <x v="18"/>
    <x v="34"/>
    <s v="19BA13.00"/>
    <x v="3"/>
    <x v="0"/>
    <m/>
    <m/>
    <m/>
  </r>
  <r>
    <s v="YK263101128"/>
    <x v="7"/>
    <x v="7"/>
    <n v="1"/>
    <x v="2"/>
    <d v="2026-09-07T12:16:15"/>
    <x v="34"/>
    <x v="18"/>
    <x v="34"/>
    <s v="19BA13.00"/>
    <x v="3"/>
    <x v="0"/>
    <m/>
    <m/>
    <m/>
  </r>
  <r>
    <s v="YK263101129"/>
    <x v="7"/>
    <x v="7"/>
    <n v="1"/>
    <x v="2"/>
    <d v="2026-09-07T12:18:28"/>
    <x v="34"/>
    <x v="18"/>
    <x v="34"/>
    <s v="19BA13.00"/>
    <x v="3"/>
    <x v="0"/>
    <m/>
    <m/>
    <m/>
  </r>
  <r>
    <s v="YK263101130"/>
    <x v="7"/>
    <x v="7"/>
    <n v="1"/>
    <x v="2"/>
    <d v="2026-09-07T12:20:19"/>
    <x v="34"/>
    <x v="18"/>
    <x v="34"/>
    <s v="19BA13.00"/>
    <x v="3"/>
    <x v="0"/>
    <m/>
    <m/>
    <m/>
  </r>
  <r>
    <s v="YK263101131"/>
    <x v="7"/>
    <x v="7"/>
    <n v="1"/>
    <x v="2"/>
    <d v="2026-09-07T12:24:51"/>
    <x v="34"/>
    <x v="18"/>
    <x v="34"/>
    <s v="19BA13.00"/>
    <x v="3"/>
    <x v="0"/>
    <m/>
    <m/>
    <m/>
  </r>
  <r>
    <s v="YK263101132"/>
    <x v="10"/>
    <x v="10"/>
    <n v="1"/>
    <x v="6"/>
    <d v="2026-09-07T12:38:44"/>
    <x v="34"/>
    <x v="18"/>
    <x v="34"/>
    <s v="19BA13.00"/>
    <x v="3"/>
    <x v="0"/>
    <m/>
    <m/>
    <m/>
  </r>
  <r>
    <s v="YK263101133"/>
    <x v="10"/>
    <x v="10"/>
    <n v="1"/>
    <x v="6"/>
    <d v="2026-09-07T12:39:18"/>
    <x v="34"/>
    <x v="18"/>
    <x v="34"/>
    <s v="19BA13.00"/>
    <x v="3"/>
    <x v="0"/>
    <m/>
    <m/>
    <m/>
  </r>
  <r>
    <s v="YK263101134"/>
    <x v="3"/>
    <x v="3"/>
    <n v="1"/>
    <x v="3"/>
    <d v="2026-08-31T13:18:26"/>
    <x v="34"/>
    <x v="18"/>
    <x v="34"/>
    <s v="19BA13.00"/>
    <x v="3"/>
    <x v="0"/>
    <m/>
    <m/>
    <m/>
  </r>
  <r>
    <s v="YK263101135"/>
    <x v="3"/>
    <x v="3"/>
    <n v="1"/>
    <x v="3"/>
    <d v="2026-08-31T12:27:14"/>
    <x v="34"/>
    <x v="18"/>
    <x v="34"/>
    <s v="19BA13.00"/>
    <x v="3"/>
    <x v="0"/>
    <m/>
    <m/>
    <m/>
  </r>
  <r>
    <s v="YK263101136"/>
    <x v="9"/>
    <x v="9"/>
    <n v="1"/>
    <x v="2"/>
    <d v="2026-08-20T17:32:23"/>
    <x v="34"/>
    <x v="18"/>
    <x v="34"/>
    <s v="19BA13.00"/>
    <x v="3"/>
    <x v="0"/>
    <m/>
    <m/>
    <m/>
  </r>
  <r>
    <s v="YK263101137"/>
    <x v="9"/>
    <x v="9"/>
    <n v="1"/>
    <x v="2"/>
    <d v="2026-08-20T17:33:04"/>
    <x v="34"/>
    <x v="18"/>
    <x v="34"/>
    <s v="19BA13.00"/>
    <x v="3"/>
    <x v="0"/>
    <m/>
    <m/>
    <m/>
  </r>
  <r>
    <s v="YK263101138"/>
    <x v="18"/>
    <x v="18"/>
    <n v="1"/>
    <x v="2"/>
    <d v="2026-08-31T10:36:25"/>
    <x v="34"/>
    <x v="18"/>
    <x v="34"/>
    <s v="19BA13.00"/>
    <x v="3"/>
    <x v="0"/>
    <m/>
    <m/>
    <m/>
  </r>
  <r>
    <s v="YK263101139"/>
    <x v="10"/>
    <x v="10"/>
    <n v="1"/>
    <x v="6"/>
    <d v="2026-08-28T09:30:52"/>
    <x v="34"/>
    <x v="18"/>
    <x v="34"/>
    <s v="19BA13.00"/>
    <x v="3"/>
    <x v="0"/>
    <m/>
    <m/>
    <m/>
  </r>
  <r>
    <s v="YK263101140"/>
    <x v="7"/>
    <x v="7"/>
    <n v="1"/>
    <x v="2"/>
    <d v="2026-09-03T15:32:52"/>
    <x v="34"/>
    <x v="18"/>
    <x v="34"/>
    <s v="19BA13.00"/>
    <x v="3"/>
    <x v="0"/>
    <m/>
    <m/>
    <m/>
  </r>
  <r>
    <s v="YK263101141"/>
    <x v="9"/>
    <x v="9"/>
    <n v="1"/>
    <x v="2"/>
    <d v="2026-08-20T17:35:23"/>
    <x v="34"/>
    <x v="18"/>
    <x v="34"/>
    <s v="19BA13.00"/>
    <x v="3"/>
    <x v="0"/>
    <m/>
    <m/>
    <m/>
  </r>
  <r>
    <s v="YK263101142"/>
    <x v="3"/>
    <x v="3"/>
    <n v="1"/>
    <x v="3"/>
    <d v="2026-09-01T09:50:46"/>
    <x v="34"/>
    <x v="18"/>
    <x v="34"/>
    <s v="19BA13.00"/>
    <x v="3"/>
    <x v="0"/>
    <m/>
    <m/>
    <m/>
  </r>
  <r>
    <s v="YK263101143"/>
    <x v="3"/>
    <x v="3"/>
    <n v="1"/>
    <x v="3"/>
    <d v="2026-09-01T09:41:09"/>
    <x v="34"/>
    <x v="18"/>
    <x v="34"/>
    <s v="19BA13.00"/>
    <x v="3"/>
    <x v="0"/>
    <m/>
    <m/>
    <m/>
  </r>
  <r>
    <s v="YK263101144"/>
    <x v="3"/>
    <x v="3"/>
    <n v="1"/>
    <x v="3"/>
    <d v="2026-09-01T09:12:45"/>
    <x v="34"/>
    <x v="18"/>
    <x v="34"/>
    <s v="19BA13.00"/>
    <x v="3"/>
    <x v="0"/>
    <m/>
    <m/>
    <m/>
  </r>
  <r>
    <s v="YK263101145"/>
    <x v="0"/>
    <x v="0"/>
    <n v="1"/>
    <x v="0"/>
    <d v="2026-08-31T15:35:12"/>
    <x v="34"/>
    <x v="18"/>
    <x v="34"/>
    <s v="19BA13.00"/>
    <x v="3"/>
    <x v="0"/>
    <m/>
    <m/>
    <m/>
  </r>
  <r>
    <s v="YK263101146"/>
    <x v="3"/>
    <x v="3"/>
    <n v="1"/>
    <x v="3"/>
    <d v="2026-08-31T12:05:06"/>
    <x v="34"/>
    <x v="18"/>
    <x v="34"/>
    <s v="19BA13.00"/>
    <x v="3"/>
    <x v="0"/>
    <m/>
    <m/>
    <m/>
  </r>
  <r>
    <s v="YK263101147"/>
    <x v="3"/>
    <x v="3"/>
    <n v="1"/>
    <x v="3"/>
    <d v="2026-08-31T11:31:46"/>
    <x v="34"/>
    <x v="18"/>
    <x v="34"/>
    <s v="19BA13.00"/>
    <x v="3"/>
    <x v="0"/>
    <m/>
    <m/>
    <m/>
  </r>
  <r>
    <s v="YK263101148"/>
    <x v="3"/>
    <x v="3"/>
    <n v="1"/>
    <x v="3"/>
    <d v="2026-08-31T09:52:59"/>
    <x v="34"/>
    <x v="18"/>
    <x v="34"/>
    <s v="19BA13.00"/>
    <x v="3"/>
    <x v="0"/>
    <m/>
    <m/>
    <m/>
  </r>
  <r>
    <s v="YK263101149"/>
    <x v="3"/>
    <x v="3"/>
    <n v="1"/>
    <x v="3"/>
    <d v="2026-09-01T10:11:45"/>
    <x v="34"/>
    <x v="18"/>
    <x v="34"/>
    <s v="19BA13.00"/>
    <x v="3"/>
    <x v="0"/>
    <m/>
    <m/>
    <m/>
  </r>
  <r>
    <s v="YK263101150"/>
    <x v="3"/>
    <x v="3"/>
    <n v="1"/>
    <x v="3"/>
    <d v="2026-08-31T11:45:17"/>
    <x v="34"/>
    <x v="18"/>
    <x v="34"/>
    <s v="19BA13.00"/>
    <x v="3"/>
    <x v="0"/>
    <m/>
    <m/>
    <m/>
  </r>
  <r>
    <s v="YK263101151"/>
    <x v="9"/>
    <x v="9"/>
    <n v="1"/>
    <x v="2"/>
    <d v="2026-08-20T18:36:59"/>
    <x v="34"/>
    <x v="18"/>
    <x v="34"/>
    <s v="19BA13.00"/>
    <x v="3"/>
    <x v="0"/>
    <m/>
    <m/>
    <m/>
  </r>
  <r>
    <s v="YK263101152"/>
    <x v="3"/>
    <x v="3"/>
    <n v="1"/>
    <x v="3"/>
    <d v="2026-08-31T13:10:42"/>
    <x v="34"/>
    <x v="18"/>
    <x v="34"/>
    <s v="19BA13.00"/>
    <x v="3"/>
    <x v="0"/>
    <m/>
    <m/>
    <m/>
  </r>
  <r>
    <s v="YK263101153"/>
    <x v="3"/>
    <x v="3"/>
    <n v="1"/>
    <x v="3"/>
    <d v="2026-08-31T10:46:05"/>
    <x v="34"/>
    <x v="18"/>
    <x v="34"/>
    <s v="19BA13.00"/>
    <x v="3"/>
    <x v="0"/>
    <m/>
    <m/>
    <m/>
  </r>
  <r>
    <s v="YK263101154"/>
    <x v="3"/>
    <x v="3"/>
    <n v="1"/>
    <x v="3"/>
    <d v="2026-09-01T10:20:23"/>
    <x v="34"/>
    <x v="18"/>
    <x v="34"/>
    <s v="19BA13.00"/>
    <x v="3"/>
    <x v="0"/>
    <m/>
    <m/>
    <m/>
  </r>
  <r>
    <s v="YK263101155"/>
    <x v="3"/>
    <x v="3"/>
    <n v="1"/>
    <x v="3"/>
    <d v="2026-09-01T10:26:03"/>
    <x v="34"/>
    <x v="18"/>
    <x v="34"/>
    <s v="19BA13.00"/>
    <x v="3"/>
    <x v="0"/>
    <m/>
    <m/>
    <m/>
  </r>
  <r>
    <s v="YK263101156"/>
    <x v="3"/>
    <x v="3"/>
    <n v="1"/>
    <x v="3"/>
    <d v="2026-08-31T11:37:26"/>
    <x v="34"/>
    <x v="18"/>
    <x v="34"/>
    <s v="19BA13.00"/>
    <x v="3"/>
    <x v="0"/>
    <m/>
    <m/>
    <m/>
  </r>
  <r>
    <s v="YK263101157"/>
    <x v="10"/>
    <x v="10"/>
    <n v="1"/>
    <x v="6"/>
    <d v="2026-09-09T08:42:46"/>
    <x v="34"/>
    <x v="18"/>
    <x v="34"/>
    <s v="19BA13.00"/>
    <x v="3"/>
    <x v="0"/>
    <m/>
    <m/>
    <m/>
  </r>
  <r>
    <s v="YK263101158"/>
    <x v="7"/>
    <x v="7"/>
    <n v="1"/>
    <x v="2"/>
    <d v="2026-08-31T14:47:15"/>
    <x v="34"/>
    <x v="18"/>
    <x v="34"/>
    <s v="19BA13.00"/>
    <x v="3"/>
    <x v="0"/>
    <m/>
    <m/>
    <m/>
  </r>
  <r>
    <s v="YK263101159"/>
    <x v="7"/>
    <x v="7"/>
    <n v="1"/>
    <x v="2"/>
    <d v="2026-08-31T14:37:29"/>
    <x v="34"/>
    <x v="18"/>
    <x v="34"/>
    <s v="19BA13.00"/>
    <x v="3"/>
    <x v="0"/>
    <m/>
    <m/>
    <m/>
  </r>
  <r>
    <s v="YK263101160"/>
    <x v="3"/>
    <x v="3"/>
    <n v="1"/>
    <x v="3"/>
    <d v="2026-08-31T11:59:02"/>
    <x v="34"/>
    <x v="18"/>
    <x v="34"/>
    <s v="19BA13.00"/>
    <x v="3"/>
    <x v="0"/>
    <m/>
    <m/>
    <m/>
  </r>
  <r>
    <s v="YK263101161"/>
    <x v="3"/>
    <x v="3"/>
    <n v="1"/>
    <x v="3"/>
    <d v="2026-09-01T09:06:19"/>
    <x v="34"/>
    <x v="18"/>
    <x v="34"/>
    <s v="19BA13.00"/>
    <x v="3"/>
    <x v="0"/>
    <m/>
    <m/>
    <m/>
  </r>
  <r>
    <s v="YK263101162"/>
    <x v="3"/>
    <x v="3"/>
    <n v="1"/>
    <x v="3"/>
    <d v="2026-09-01T09:17:02"/>
    <x v="34"/>
    <x v="18"/>
    <x v="34"/>
    <s v="19BA13.00"/>
    <x v="3"/>
    <x v="0"/>
    <m/>
    <m/>
    <m/>
  </r>
  <r>
    <s v="YK263101163"/>
    <x v="3"/>
    <x v="3"/>
    <n v="1"/>
    <x v="3"/>
    <d v="2026-09-01T09:22:43"/>
    <x v="34"/>
    <x v="18"/>
    <x v="34"/>
    <s v="19BA13.00"/>
    <x v="3"/>
    <x v="0"/>
    <m/>
    <m/>
    <m/>
  </r>
  <r>
    <s v="YK263101164"/>
    <x v="3"/>
    <x v="3"/>
    <n v="1"/>
    <x v="3"/>
    <d v="2026-09-01T10:02:20"/>
    <x v="34"/>
    <x v="18"/>
    <x v="34"/>
    <s v="19BA13.00"/>
    <x v="3"/>
    <x v="0"/>
    <m/>
    <m/>
    <m/>
  </r>
  <r>
    <s v="YK263101165"/>
    <x v="10"/>
    <x v="10"/>
    <n v="1"/>
    <x v="6"/>
    <d v="2026-09-03T08:23:38"/>
    <x v="34"/>
    <x v="18"/>
    <x v="34"/>
    <s v="19BA13.00"/>
    <x v="3"/>
    <x v="0"/>
    <m/>
    <m/>
    <m/>
  </r>
  <r>
    <s v="YK263101166"/>
    <x v="7"/>
    <x v="7"/>
    <n v="1"/>
    <x v="2"/>
    <d v="2026-08-31T14:49:38"/>
    <x v="34"/>
    <x v="18"/>
    <x v="34"/>
    <s v="19BA13.00"/>
    <x v="3"/>
    <x v="0"/>
    <m/>
    <m/>
    <m/>
  </r>
  <r>
    <s v="YK263101167"/>
    <x v="7"/>
    <x v="7"/>
    <n v="1"/>
    <x v="2"/>
    <d v="2026-08-31T14:44:18"/>
    <x v="34"/>
    <x v="18"/>
    <x v="34"/>
    <s v="19BA13.00"/>
    <x v="3"/>
    <x v="0"/>
    <m/>
    <m/>
    <m/>
  </r>
  <r>
    <s v="YK263101168"/>
    <x v="7"/>
    <x v="7"/>
    <n v="1"/>
    <x v="2"/>
    <d v="2026-08-31T14:57:13"/>
    <x v="34"/>
    <x v="18"/>
    <x v="34"/>
    <s v="19BA13.00"/>
    <x v="3"/>
    <x v="0"/>
    <m/>
    <m/>
    <m/>
  </r>
  <r>
    <s v="YK263101169"/>
    <x v="9"/>
    <x v="9"/>
    <n v="1"/>
    <x v="2"/>
    <d v="2026-08-20T21:07:24"/>
    <x v="34"/>
    <x v="18"/>
    <x v="34"/>
    <s v="19BA13.00"/>
    <x v="3"/>
    <x v="0"/>
    <m/>
    <m/>
    <m/>
  </r>
  <r>
    <s v="YK263101170"/>
    <x v="7"/>
    <x v="7"/>
    <n v="1"/>
    <x v="2"/>
    <d v="2026-08-31T14:41:14"/>
    <x v="34"/>
    <x v="18"/>
    <x v="34"/>
    <s v="19BA13.00"/>
    <x v="3"/>
    <x v="0"/>
    <m/>
    <m/>
    <m/>
  </r>
  <r>
    <s v="YK263101171"/>
    <x v="9"/>
    <x v="9"/>
    <n v="1"/>
    <x v="2"/>
    <d v="2026-08-20T21:09:57"/>
    <x v="34"/>
    <x v="18"/>
    <x v="34"/>
    <s v="19BA13.00"/>
    <x v="3"/>
    <x v="0"/>
    <m/>
    <m/>
    <m/>
  </r>
  <r>
    <s v="YK263101172"/>
    <x v="7"/>
    <x v="7"/>
    <n v="1"/>
    <x v="2"/>
    <d v="2026-08-31T14:54:55"/>
    <x v="34"/>
    <x v="18"/>
    <x v="34"/>
    <s v="19BA13.00"/>
    <x v="3"/>
    <x v="0"/>
    <m/>
    <m/>
    <m/>
  </r>
  <r>
    <s v="YK263101173"/>
    <x v="9"/>
    <x v="9"/>
    <n v="1"/>
    <x v="2"/>
    <d v="2026-08-20T21:12:20"/>
    <x v="34"/>
    <x v="18"/>
    <x v="34"/>
    <s v="19BA13.00"/>
    <x v="3"/>
    <x v="0"/>
    <m/>
    <m/>
    <m/>
  </r>
  <r>
    <s v="YK263101174"/>
    <x v="7"/>
    <x v="7"/>
    <n v="1"/>
    <x v="2"/>
    <d v="2026-08-31T15:03:24"/>
    <x v="34"/>
    <x v="18"/>
    <x v="34"/>
    <s v="19BA13.00"/>
    <x v="3"/>
    <x v="0"/>
    <m/>
    <m/>
    <m/>
  </r>
  <r>
    <s v="YK263101175"/>
    <x v="7"/>
    <x v="7"/>
    <n v="1"/>
    <x v="2"/>
    <d v="2026-08-31T15:00:41"/>
    <x v="34"/>
    <x v="18"/>
    <x v="34"/>
    <s v="19BA13.00"/>
    <x v="3"/>
    <x v="0"/>
    <m/>
    <m/>
    <m/>
  </r>
  <r>
    <s v="YK263101176"/>
    <x v="7"/>
    <x v="7"/>
    <n v="1"/>
    <x v="2"/>
    <d v="2026-08-31T15:07:53"/>
    <x v="34"/>
    <x v="18"/>
    <x v="34"/>
    <s v="19BA13.00"/>
    <x v="3"/>
    <x v="0"/>
    <m/>
    <m/>
    <m/>
  </r>
  <r>
    <s v="YK263101177"/>
    <x v="7"/>
    <x v="7"/>
    <n v="1"/>
    <x v="2"/>
    <d v="2026-09-03T09:28:20"/>
    <x v="34"/>
    <x v="18"/>
    <x v="34"/>
    <s v="19BA13.00"/>
    <x v="3"/>
    <x v="0"/>
    <m/>
    <m/>
    <m/>
  </r>
  <r>
    <s v="YK263101178"/>
    <x v="7"/>
    <x v="7"/>
    <n v="1"/>
    <x v="2"/>
    <d v="2026-09-03T08:48:36"/>
    <x v="34"/>
    <x v="18"/>
    <x v="34"/>
    <s v="19BA13.00"/>
    <x v="3"/>
    <x v="0"/>
    <m/>
    <m/>
    <m/>
  </r>
  <r>
    <s v="YK263101179"/>
    <x v="7"/>
    <x v="7"/>
    <n v="1"/>
    <x v="2"/>
    <d v="2026-08-31T15:05:26"/>
    <x v="34"/>
    <x v="18"/>
    <x v="34"/>
    <s v="19BA13.00"/>
    <x v="3"/>
    <x v="0"/>
    <m/>
    <m/>
    <m/>
  </r>
  <r>
    <s v="YK263101180"/>
    <x v="7"/>
    <x v="7"/>
    <n v="1"/>
    <x v="2"/>
    <d v="2026-09-03T09:36:32"/>
    <x v="34"/>
    <x v="18"/>
    <x v="34"/>
    <s v="19BA13.00"/>
    <x v="3"/>
    <x v="0"/>
    <m/>
    <m/>
    <m/>
  </r>
  <r>
    <s v="YK263101181"/>
    <x v="7"/>
    <x v="7"/>
    <n v="1"/>
    <x v="2"/>
    <d v="2026-09-03T09:34:08"/>
    <x v="34"/>
    <x v="18"/>
    <x v="34"/>
    <s v="19BA13.00"/>
    <x v="3"/>
    <x v="0"/>
    <m/>
    <m/>
    <m/>
  </r>
  <r>
    <s v="YK263101182"/>
    <x v="7"/>
    <x v="7"/>
    <n v="1"/>
    <x v="2"/>
    <d v="2026-09-03T09:30:29"/>
    <x v="34"/>
    <x v="18"/>
    <x v="34"/>
    <s v="19BA13.00"/>
    <x v="3"/>
    <x v="0"/>
    <m/>
    <m/>
    <m/>
  </r>
  <r>
    <s v="YK263101183"/>
    <x v="7"/>
    <x v="7"/>
    <n v="1"/>
    <x v="2"/>
    <d v="2026-09-03T09:47:49"/>
    <x v="34"/>
    <x v="18"/>
    <x v="34"/>
    <s v="19BA13.00"/>
    <x v="3"/>
    <x v="0"/>
    <m/>
    <m/>
    <m/>
  </r>
  <r>
    <s v="YK263101184"/>
    <x v="7"/>
    <x v="7"/>
    <n v="1"/>
    <x v="2"/>
    <d v="2026-09-03T08:33:09"/>
    <x v="34"/>
    <x v="18"/>
    <x v="34"/>
    <s v="19BA13.00"/>
    <x v="3"/>
    <x v="0"/>
    <m/>
    <m/>
    <m/>
  </r>
  <r>
    <s v="YK263101185"/>
    <x v="7"/>
    <x v="7"/>
    <n v="1"/>
    <x v="2"/>
    <d v="2026-09-03T09:40:56"/>
    <x v="34"/>
    <x v="18"/>
    <x v="34"/>
    <s v="19BA13.00"/>
    <x v="3"/>
    <x v="0"/>
    <m/>
    <m/>
    <m/>
  </r>
  <r>
    <s v="YK263101186"/>
    <x v="9"/>
    <x v="9"/>
    <n v="1"/>
    <x v="2"/>
    <d v="2026-08-21T06:09:25"/>
    <x v="34"/>
    <x v="18"/>
    <x v="34"/>
    <s v="19BA13.00"/>
    <x v="3"/>
    <x v="0"/>
    <m/>
    <m/>
    <m/>
  </r>
  <r>
    <s v="YK263101187"/>
    <x v="7"/>
    <x v="7"/>
    <n v="1"/>
    <x v="2"/>
    <d v="2026-09-03T09:45:30"/>
    <x v="34"/>
    <x v="18"/>
    <x v="34"/>
    <s v="19BA13.00"/>
    <x v="3"/>
    <x v="0"/>
    <m/>
    <m/>
    <m/>
  </r>
  <r>
    <s v="YK263101188"/>
    <x v="7"/>
    <x v="7"/>
    <n v="1"/>
    <x v="2"/>
    <d v="2026-09-03T09:56:43"/>
    <x v="34"/>
    <x v="18"/>
    <x v="34"/>
    <s v="19BA13.00"/>
    <x v="3"/>
    <x v="0"/>
    <m/>
    <m/>
    <m/>
  </r>
  <r>
    <s v="YK263101189"/>
    <x v="7"/>
    <x v="7"/>
    <n v="1"/>
    <x v="2"/>
    <d v="2026-09-03T09:50:47"/>
    <x v="34"/>
    <x v="18"/>
    <x v="34"/>
    <s v="19BA13.00"/>
    <x v="3"/>
    <x v="0"/>
    <m/>
    <m/>
    <m/>
  </r>
  <r>
    <s v="YK263101190"/>
    <x v="7"/>
    <x v="7"/>
    <n v="1"/>
    <x v="2"/>
    <d v="2026-09-03T08:07:03"/>
    <x v="34"/>
    <x v="18"/>
    <x v="34"/>
    <s v="19BA13.00"/>
    <x v="3"/>
    <x v="0"/>
    <m/>
    <m/>
    <m/>
  </r>
  <r>
    <s v="YK263101191"/>
    <x v="7"/>
    <x v="7"/>
    <n v="1"/>
    <x v="2"/>
    <d v="2026-09-03T08:45:50"/>
    <x v="34"/>
    <x v="18"/>
    <x v="34"/>
    <s v="19BA13.00"/>
    <x v="3"/>
    <x v="0"/>
    <m/>
    <m/>
    <m/>
  </r>
  <r>
    <s v="YK263101192"/>
    <x v="9"/>
    <x v="9"/>
    <n v="1"/>
    <x v="2"/>
    <d v="2026-08-21T06:05:44"/>
    <x v="34"/>
    <x v="18"/>
    <x v="34"/>
    <s v="19BA13.00"/>
    <x v="3"/>
    <x v="0"/>
    <m/>
    <m/>
    <m/>
  </r>
  <r>
    <s v="YK263101193"/>
    <x v="7"/>
    <x v="7"/>
    <n v="1"/>
    <x v="2"/>
    <d v="2026-09-03T08:55:32"/>
    <x v="34"/>
    <x v="18"/>
    <x v="34"/>
    <s v="19BA13.00"/>
    <x v="3"/>
    <x v="0"/>
    <m/>
    <m/>
    <m/>
  </r>
  <r>
    <s v="YK263101194"/>
    <x v="7"/>
    <x v="7"/>
    <n v="1"/>
    <x v="2"/>
    <d v="2026-09-03T08:58:13"/>
    <x v="34"/>
    <x v="18"/>
    <x v="34"/>
    <s v="19BA13.00"/>
    <x v="3"/>
    <x v="0"/>
    <m/>
    <m/>
    <m/>
  </r>
  <r>
    <s v="YK263101195"/>
    <x v="9"/>
    <x v="9"/>
    <n v="1"/>
    <x v="2"/>
    <d v="2026-08-21T06:23:21"/>
    <x v="34"/>
    <x v="18"/>
    <x v="34"/>
    <s v="19BA13.00"/>
    <x v="3"/>
    <x v="0"/>
    <m/>
    <m/>
    <m/>
  </r>
  <r>
    <s v="YK263101196"/>
    <x v="9"/>
    <x v="9"/>
    <n v="1"/>
    <x v="2"/>
    <d v="2026-08-21T06:25:31"/>
    <x v="34"/>
    <x v="18"/>
    <x v="34"/>
    <s v="19BA13.00"/>
    <x v="3"/>
    <x v="0"/>
    <m/>
    <m/>
    <m/>
  </r>
  <r>
    <s v="YK263101197"/>
    <x v="9"/>
    <x v="9"/>
    <n v="1"/>
    <x v="2"/>
    <d v="2026-08-21T06:27:29"/>
    <x v="34"/>
    <x v="18"/>
    <x v="34"/>
    <s v="19BA13.00"/>
    <x v="3"/>
    <x v="0"/>
    <m/>
    <m/>
    <m/>
  </r>
  <r>
    <s v="YK263101198"/>
    <x v="9"/>
    <x v="9"/>
    <n v="1"/>
    <x v="2"/>
    <d v="2026-08-21T06:31:49"/>
    <x v="34"/>
    <x v="18"/>
    <x v="34"/>
    <s v="19BA13.00"/>
    <x v="3"/>
    <x v="0"/>
    <m/>
    <m/>
    <m/>
  </r>
  <r>
    <s v="YK263101199"/>
    <x v="9"/>
    <x v="9"/>
    <n v="1"/>
    <x v="2"/>
    <d v="2026-08-21T06:35:32"/>
    <x v="34"/>
    <x v="18"/>
    <x v="34"/>
    <s v="19BA13.00"/>
    <x v="3"/>
    <x v="0"/>
    <m/>
    <m/>
    <m/>
  </r>
  <r>
    <s v="YK263101200"/>
    <x v="10"/>
    <x v="10"/>
    <n v="1"/>
    <x v="6"/>
    <d v="2026-09-04T11:42:33"/>
    <x v="34"/>
    <x v="18"/>
    <x v="34"/>
    <s v="19BA13.00"/>
    <x v="3"/>
    <x v="0"/>
    <m/>
    <m/>
    <m/>
  </r>
  <r>
    <s v="YK263101201"/>
    <x v="7"/>
    <x v="7"/>
    <n v="1"/>
    <x v="2"/>
    <d v="2026-09-03T08:50:37"/>
    <x v="34"/>
    <x v="18"/>
    <x v="34"/>
    <s v="19BA13.00"/>
    <x v="3"/>
    <x v="0"/>
    <m/>
    <m/>
    <m/>
  </r>
  <r>
    <s v="YK263101202"/>
    <x v="7"/>
    <x v="7"/>
    <n v="1"/>
    <x v="2"/>
    <d v="2026-09-03T08:36:12"/>
    <x v="34"/>
    <x v="18"/>
    <x v="34"/>
    <s v="19BA13.00"/>
    <x v="3"/>
    <x v="0"/>
    <m/>
    <m/>
    <m/>
  </r>
  <r>
    <s v="YK263101203"/>
    <x v="9"/>
    <x v="9"/>
    <n v="1"/>
    <x v="2"/>
    <d v="2026-08-21T06:43:38"/>
    <x v="34"/>
    <x v="18"/>
    <x v="34"/>
    <s v="19BA13.00"/>
    <x v="3"/>
    <x v="0"/>
    <m/>
    <m/>
    <m/>
  </r>
  <r>
    <s v="YK263101204"/>
    <x v="7"/>
    <x v="7"/>
    <n v="1"/>
    <x v="2"/>
    <d v="2026-09-04T11:18:32"/>
    <x v="34"/>
    <x v="18"/>
    <x v="34"/>
    <s v="19BA13.00"/>
    <x v="3"/>
    <x v="0"/>
    <m/>
    <m/>
    <m/>
  </r>
  <r>
    <s v="YK263101205"/>
    <x v="7"/>
    <x v="7"/>
    <n v="1"/>
    <x v="2"/>
    <d v="2026-09-04T11:24:58"/>
    <x v="34"/>
    <x v="18"/>
    <x v="34"/>
    <s v="19BA13.00"/>
    <x v="3"/>
    <x v="0"/>
    <m/>
    <m/>
    <m/>
  </r>
  <r>
    <s v="YK263101206"/>
    <x v="10"/>
    <x v="10"/>
    <n v="1"/>
    <x v="6"/>
    <d v="2026-09-04T11:45:18"/>
    <x v="34"/>
    <x v="18"/>
    <x v="34"/>
    <s v="19BA13.00"/>
    <x v="3"/>
    <x v="0"/>
    <m/>
    <m/>
    <m/>
  </r>
  <r>
    <s v="YK263101207"/>
    <x v="7"/>
    <x v="7"/>
    <n v="1"/>
    <x v="2"/>
    <d v="2026-09-04T11:39:27"/>
    <x v="34"/>
    <x v="18"/>
    <x v="34"/>
    <s v="19BA13.00"/>
    <x v="3"/>
    <x v="0"/>
    <m/>
    <m/>
    <m/>
  </r>
  <r>
    <s v="YK263101208"/>
    <x v="10"/>
    <x v="10"/>
    <n v="1"/>
    <x v="6"/>
    <d v="2026-09-04T11:53:47"/>
    <x v="34"/>
    <x v="18"/>
    <x v="34"/>
    <s v="19BA13.00"/>
    <x v="3"/>
    <x v="0"/>
    <m/>
    <m/>
    <m/>
  </r>
  <r>
    <s v="YK263101209"/>
    <x v="7"/>
    <x v="7"/>
    <n v="1"/>
    <x v="2"/>
    <d v="2026-09-04T11:29:41"/>
    <x v="34"/>
    <x v="18"/>
    <x v="34"/>
    <s v="19BA13.00"/>
    <x v="3"/>
    <x v="0"/>
    <m/>
    <m/>
    <m/>
  </r>
  <r>
    <s v="YK263101210"/>
    <x v="7"/>
    <x v="7"/>
    <n v="1"/>
    <x v="2"/>
    <d v="2026-09-03T09:59:04"/>
    <x v="34"/>
    <x v="18"/>
    <x v="34"/>
    <s v="19BA13.00"/>
    <x v="3"/>
    <x v="0"/>
    <m/>
    <m/>
    <m/>
  </r>
  <r>
    <s v="YK263101211"/>
    <x v="9"/>
    <x v="9"/>
    <n v="1"/>
    <x v="2"/>
    <d v="2026-08-21T06:54:14"/>
    <x v="34"/>
    <x v="18"/>
    <x v="34"/>
    <s v="19BA13.00"/>
    <x v="3"/>
    <x v="0"/>
    <m/>
    <m/>
    <m/>
  </r>
  <r>
    <s v="YK263101212"/>
    <x v="7"/>
    <x v="7"/>
    <n v="1"/>
    <x v="2"/>
    <d v="2026-09-04T11:36:43"/>
    <x v="34"/>
    <x v="18"/>
    <x v="34"/>
    <s v="19BA13.00"/>
    <x v="3"/>
    <x v="0"/>
    <m/>
    <m/>
    <m/>
  </r>
  <r>
    <s v="YK263101213"/>
    <x v="7"/>
    <x v="7"/>
    <n v="1"/>
    <x v="2"/>
    <d v="2026-09-04T11:34:09"/>
    <x v="34"/>
    <x v="18"/>
    <x v="34"/>
    <s v="19BA13.00"/>
    <x v="3"/>
    <x v="0"/>
    <m/>
    <m/>
    <m/>
  </r>
  <r>
    <s v="YK263101214"/>
    <x v="7"/>
    <x v="7"/>
    <n v="1"/>
    <x v="2"/>
    <d v="2026-09-04T11:09:00"/>
    <x v="34"/>
    <x v="18"/>
    <x v="34"/>
    <s v="19BA13.00"/>
    <x v="3"/>
    <x v="0"/>
    <m/>
    <m/>
    <m/>
  </r>
  <r>
    <s v="YK263101215"/>
    <x v="7"/>
    <x v="7"/>
    <n v="1"/>
    <x v="2"/>
    <d v="2026-09-04T11:06:25"/>
    <x v="34"/>
    <x v="18"/>
    <x v="34"/>
    <s v="19BA13.00"/>
    <x v="3"/>
    <x v="0"/>
    <m/>
    <m/>
    <m/>
  </r>
  <r>
    <s v="YK263101216"/>
    <x v="7"/>
    <x v="7"/>
    <n v="1"/>
    <x v="2"/>
    <d v="2026-09-04T11:16:22"/>
    <x v="34"/>
    <x v="18"/>
    <x v="34"/>
    <s v="19BA13.00"/>
    <x v="3"/>
    <x v="0"/>
    <m/>
    <m/>
    <m/>
  </r>
  <r>
    <s v="YK263101217"/>
    <x v="7"/>
    <x v="7"/>
    <n v="1"/>
    <x v="2"/>
    <d v="2026-09-04T10:58:12"/>
    <x v="34"/>
    <x v="18"/>
    <x v="34"/>
    <s v="19BA13.00"/>
    <x v="3"/>
    <x v="0"/>
    <m/>
    <m/>
    <m/>
  </r>
  <r>
    <s v="YK263101218"/>
    <x v="7"/>
    <x v="7"/>
    <n v="1"/>
    <x v="2"/>
    <d v="2026-09-04T11:01:11"/>
    <x v="34"/>
    <x v="18"/>
    <x v="34"/>
    <s v="19BA13.00"/>
    <x v="3"/>
    <x v="0"/>
    <m/>
    <m/>
    <m/>
  </r>
  <r>
    <s v="YK263101219"/>
    <x v="7"/>
    <x v="7"/>
    <n v="1"/>
    <x v="2"/>
    <d v="2026-09-04T11:03:35"/>
    <x v="34"/>
    <x v="18"/>
    <x v="34"/>
    <s v="19BA13.00"/>
    <x v="3"/>
    <x v="0"/>
    <m/>
    <m/>
    <m/>
  </r>
  <r>
    <s v="YK263101220"/>
    <x v="9"/>
    <x v="9"/>
    <n v="1"/>
    <x v="2"/>
    <d v="2026-08-21T07:36:18"/>
    <x v="34"/>
    <x v="18"/>
    <x v="34"/>
    <s v="19BA13.00"/>
    <x v="3"/>
    <x v="0"/>
    <m/>
    <m/>
    <m/>
  </r>
  <r>
    <s v="YK263101221"/>
    <x v="7"/>
    <x v="7"/>
    <n v="1"/>
    <x v="2"/>
    <d v="2026-09-04T11:12:47"/>
    <x v="34"/>
    <x v="18"/>
    <x v="34"/>
    <s v="19BA13.00"/>
    <x v="3"/>
    <x v="0"/>
    <m/>
    <m/>
    <m/>
  </r>
  <r>
    <s v="YK263101222"/>
    <x v="7"/>
    <x v="7"/>
    <n v="1"/>
    <x v="2"/>
    <d v="2026-09-03T10:02:56"/>
    <x v="34"/>
    <x v="18"/>
    <x v="34"/>
    <s v="19BA13.00"/>
    <x v="3"/>
    <x v="0"/>
    <m/>
    <m/>
    <m/>
  </r>
  <r>
    <s v="YK263101223"/>
    <x v="9"/>
    <x v="9"/>
    <n v="1"/>
    <x v="2"/>
    <d v="2026-08-21T07:41:18"/>
    <x v="34"/>
    <x v="18"/>
    <x v="34"/>
    <s v="19BA13.00"/>
    <x v="3"/>
    <x v="0"/>
    <m/>
    <m/>
    <m/>
  </r>
  <r>
    <s v="YK263101224"/>
    <x v="7"/>
    <x v="7"/>
    <n v="1"/>
    <x v="2"/>
    <d v="2026-08-31T15:11:19"/>
    <x v="34"/>
    <x v="18"/>
    <x v="34"/>
    <s v="19BA13.00"/>
    <x v="3"/>
    <x v="0"/>
    <m/>
    <m/>
    <m/>
  </r>
  <r>
    <s v="YK263101225"/>
    <x v="0"/>
    <x v="0"/>
    <n v="1"/>
    <x v="7"/>
    <d v="2026-07-31T11:43:30"/>
    <x v="34"/>
    <x v="18"/>
    <x v="34"/>
    <s v="19BA13.00"/>
    <x v="3"/>
    <x v="0"/>
    <m/>
    <m/>
    <m/>
  </r>
  <r>
    <s v="YK263101226"/>
    <x v="7"/>
    <x v="7"/>
    <n v="1"/>
    <x v="2"/>
    <d v="2026-09-03T10:00:53"/>
    <x v="34"/>
    <x v="18"/>
    <x v="34"/>
    <s v="19BA13.00"/>
    <x v="3"/>
    <x v="0"/>
    <m/>
    <m/>
    <m/>
  </r>
  <r>
    <s v="YK263101227"/>
    <x v="7"/>
    <x v="7"/>
    <n v="1"/>
    <x v="2"/>
    <d v="2026-09-04T14:28:02"/>
    <x v="34"/>
    <x v="18"/>
    <x v="34"/>
    <s v="19BA13.00"/>
    <x v="3"/>
    <x v="0"/>
    <m/>
    <m/>
    <m/>
  </r>
  <r>
    <s v="YK263101228"/>
    <x v="7"/>
    <x v="7"/>
    <n v="1"/>
    <x v="2"/>
    <d v="2026-09-09T08:31:27"/>
    <x v="34"/>
    <x v="18"/>
    <x v="34"/>
    <s v="19BA13.00"/>
    <x v="3"/>
    <x v="0"/>
    <m/>
    <m/>
    <m/>
  </r>
  <r>
    <s v="YK263101229"/>
    <x v="10"/>
    <x v="10"/>
    <n v="1"/>
    <x v="6"/>
    <d v="2026-09-09T08:51:28"/>
    <x v="34"/>
    <x v="18"/>
    <x v="34"/>
    <s v="19BA13.00"/>
    <x v="3"/>
    <x v="0"/>
    <m/>
    <m/>
    <m/>
  </r>
  <r>
    <s v="YK263101230"/>
    <x v="10"/>
    <x v="10"/>
    <n v="1"/>
    <x v="6"/>
    <d v="2026-09-09T08:48:37"/>
    <x v="34"/>
    <x v="18"/>
    <x v="34"/>
    <s v="19BA13.00"/>
    <x v="3"/>
    <x v="0"/>
    <m/>
    <m/>
    <m/>
  </r>
  <r>
    <s v="YK263101231"/>
    <x v="7"/>
    <x v="7"/>
    <n v="1"/>
    <x v="2"/>
    <d v="2026-09-09T08:40:05"/>
    <x v="34"/>
    <x v="18"/>
    <x v="34"/>
    <s v="19BA13.00"/>
    <x v="3"/>
    <x v="0"/>
    <m/>
    <m/>
    <m/>
  </r>
  <r>
    <s v="YK263101232"/>
    <x v="10"/>
    <x v="10"/>
    <n v="1"/>
    <x v="6"/>
    <d v="2026-09-09T08:46:34"/>
    <x v="34"/>
    <x v="18"/>
    <x v="34"/>
    <s v="19BA13.00"/>
    <x v="3"/>
    <x v="0"/>
    <m/>
    <m/>
    <m/>
  </r>
  <r>
    <s v="YK263101233"/>
    <x v="7"/>
    <x v="7"/>
    <n v="1"/>
    <x v="2"/>
    <d v="2026-09-04T14:24:44"/>
    <x v="34"/>
    <x v="18"/>
    <x v="34"/>
    <s v="19BA13.00"/>
    <x v="3"/>
    <x v="0"/>
    <m/>
    <m/>
    <m/>
  </r>
  <r>
    <s v="YK263101234"/>
    <x v="10"/>
    <x v="10"/>
    <n v="1"/>
    <x v="6"/>
    <d v="2026-09-09T08:54:14"/>
    <x v="34"/>
    <x v="18"/>
    <x v="34"/>
    <s v="19BA13.00"/>
    <x v="3"/>
    <x v="0"/>
    <m/>
    <m/>
    <m/>
  </r>
  <r>
    <s v="YK263101235"/>
    <x v="7"/>
    <x v="7"/>
    <n v="1"/>
    <x v="2"/>
    <d v="2026-09-09T08:12:23"/>
    <x v="34"/>
    <x v="18"/>
    <x v="34"/>
    <s v="19BA13.00"/>
    <x v="3"/>
    <x v="0"/>
    <m/>
    <m/>
    <m/>
  </r>
  <r>
    <s v="YK263101236"/>
    <x v="7"/>
    <x v="7"/>
    <n v="1"/>
    <x v="2"/>
    <d v="2026-09-09T08:14:19"/>
    <x v="34"/>
    <x v="18"/>
    <x v="34"/>
    <s v="19BA13.00"/>
    <x v="3"/>
    <x v="0"/>
    <m/>
    <m/>
    <m/>
  </r>
  <r>
    <s v="YK263101237"/>
    <x v="7"/>
    <x v="7"/>
    <n v="1"/>
    <x v="2"/>
    <d v="2026-09-04T14:30:26"/>
    <x v="34"/>
    <x v="18"/>
    <x v="34"/>
    <s v="19BA13.00"/>
    <x v="3"/>
    <x v="0"/>
    <m/>
    <m/>
    <m/>
  </r>
  <r>
    <s v="YK263101238"/>
    <x v="7"/>
    <x v="7"/>
    <n v="1"/>
    <x v="2"/>
    <d v="2026-09-04T14:32:48"/>
    <x v="34"/>
    <x v="18"/>
    <x v="34"/>
    <s v="19BA13.00"/>
    <x v="3"/>
    <x v="0"/>
    <m/>
    <m/>
    <m/>
  </r>
  <r>
    <s v="YK263101239"/>
    <x v="7"/>
    <x v="7"/>
    <n v="1"/>
    <x v="2"/>
    <d v="2026-09-03T07:38:07"/>
    <x v="34"/>
    <x v="18"/>
    <x v="34"/>
    <s v="19BA13.00"/>
    <x v="3"/>
    <x v="0"/>
    <m/>
    <m/>
    <m/>
  </r>
  <r>
    <s v="YK263101240"/>
    <x v="7"/>
    <x v="7"/>
    <n v="1"/>
    <x v="2"/>
    <d v="2026-09-09T08:33:28"/>
    <x v="34"/>
    <x v="18"/>
    <x v="34"/>
    <s v="19BA13.00"/>
    <x v="3"/>
    <x v="0"/>
    <m/>
    <m/>
    <m/>
  </r>
  <r>
    <s v="YK263101241"/>
    <x v="7"/>
    <x v="7"/>
    <n v="1"/>
    <x v="2"/>
    <d v="2026-09-03T07:41:23"/>
    <x v="34"/>
    <x v="18"/>
    <x v="34"/>
    <s v="19BA13.00"/>
    <x v="3"/>
    <x v="0"/>
    <m/>
    <m/>
    <m/>
  </r>
  <r>
    <s v="YK263101242"/>
    <x v="9"/>
    <x v="9"/>
    <n v="1"/>
    <x v="2"/>
    <d v="2026-08-21T08:24:27"/>
    <x v="34"/>
    <x v="18"/>
    <x v="34"/>
    <s v="19BA13.00"/>
    <x v="3"/>
    <x v="0"/>
    <m/>
    <m/>
    <m/>
  </r>
  <r>
    <s v="YK263101243"/>
    <x v="7"/>
    <x v="7"/>
    <n v="1"/>
    <x v="2"/>
    <d v="2026-09-09T08:34:58"/>
    <x v="34"/>
    <x v="18"/>
    <x v="34"/>
    <s v="19BA13.00"/>
    <x v="3"/>
    <x v="0"/>
    <m/>
    <m/>
    <m/>
  </r>
  <r>
    <s v="YK263101244"/>
    <x v="7"/>
    <x v="7"/>
    <n v="1"/>
    <x v="2"/>
    <d v="2026-09-03T07:35:40"/>
    <x v="34"/>
    <x v="18"/>
    <x v="34"/>
    <s v="19BA13.00"/>
    <x v="3"/>
    <x v="0"/>
    <m/>
    <m/>
    <m/>
  </r>
  <r>
    <s v="YK263101245"/>
    <x v="10"/>
    <x v="10"/>
    <n v="1"/>
    <x v="6"/>
    <d v="2026-09-03T08:17:53"/>
    <x v="34"/>
    <x v="18"/>
    <x v="34"/>
    <s v="19BA13.00"/>
    <x v="3"/>
    <x v="0"/>
    <m/>
    <m/>
    <m/>
  </r>
  <r>
    <s v="YK263101246"/>
    <x v="7"/>
    <x v="7"/>
    <n v="1"/>
    <x v="2"/>
    <d v="2026-09-01T05:17:50"/>
    <x v="34"/>
    <x v="18"/>
    <x v="34"/>
    <s v="19BA13.00"/>
    <x v="3"/>
    <x v="0"/>
    <m/>
    <m/>
    <m/>
  </r>
  <r>
    <s v="YK263101247"/>
    <x v="7"/>
    <x v="7"/>
    <n v="1"/>
    <x v="2"/>
    <d v="2026-09-04T14:38:24"/>
    <x v="34"/>
    <x v="18"/>
    <x v="34"/>
    <s v="19BA13.00"/>
    <x v="3"/>
    <x v="0"/>
    <m/>
    <m/>
    <m/>
  </r>
  <r>
    <s v="YK263101248"/>
    <x v="7"/>
    <x v="7"/>
    <n v="1"/>
    <x v="2"/>
    <d v="2026-09-04T14:58:52"/>
    <x v="34"/>
    <x v="18"/>
    <x v="34"/>
    <s v="19BA13.00"/>
    <x v="3"/>
    <x v="0"/>
    <m/>
    <m/>
    <m/>
  </r>
  <r>
    <s v="YK263101249"/>
    <x v="7"/>
    <x v="7"/>
    <n v="1"/>
    <x v="2"/>
    <d v="2026-09-09T08:10:01"/>
    <x v="34"/>
    <x v="18"/>
    <x v="34"/>
    <s v="19BA13.00"/>
    <x v="3"/>
    <x v="0"/>
    <m/>
    <m/>
    <m/>
  </r>
  <r>
    <s v="YK263101250"/>
    <x v="9"/>
    <x v="9"/>
    <n v="1"/>
    <x v="2"/>
    <d v="2026-08-21T08:59:00"/>
    <x v="34"/>
    <x v="18"/>
    <x v="34"/>
    <s v="19BA13.00"/>
    <x v="3"/>
    <x v="0"/>
    <m/>
    <m/>
    <m/>
  </r>
  <r>
    <s v="YK263101251"/>
    <x v="9"/>
    <x v="9"/>
    <n v="1"/>
    <x v="2"/>
    <d v="2026-08-21T09:00:56"/>
    <x v="34"/>
    <x v="18"/>
    <x v="34"/>
    <s v="19BA13.00"/>
    <x v="3"/>
    <x v="0"/>
    <m/>
    <m/>
    <m/>
  </r>
  <r>
    <s v="YK263101252"/>
    <x v="9"/>
    <x v="9"/>
    <n v="1"/>
    <x v="2"/>
    <d v="2026-08-21T09:04:00"/>
    <x v="34"/>
    <x v="18"/>
    <x v="34"/>
    <s v="19BA13.00"/>
    <x v="3"/>
    <x v="0"/>
    <m/>
    <m/>
    <m/>
  </r>
  <r>
    <s v="YK263101253"/>
    <x v="10"/>
    <x v="10"/>
    <n v="1"/>
    <x v="6"/>
    <d v="2026-09-09T08:56:50"/>
    <x v="34"/>
    <x v="18"/>
    <x v="34"/>
    <s v="19BA13.00"/>
    <x v="3"/>
    <x v="0"/>
    <m/>
    <m/>
    <m/>
  </r>
  <r>
    <s v="YK263101254"/>
    <x v="7"/>
    <x v="7"/>
    <n v="1"/>
    <x v="2"/>
    <d v="2026-09-09T08:29:30"/>
    <x v="34"/>
    <x v="18"/>
    <x v="34"/>
    <s v="19BA13.00"/>
    <x v="3"/>
    <x v="0"/>
    <m/>
    <m/>
    <m/>
  </r>
  <r>
    <s v="YK263101255"/>
    <x v="7"/>
    <x v="7"/>
    <n v="1"/>
    <x v="2"/>
    <d v="2026-09-09T08:07:43"/>
    <x v="34"/>
    <x v="18"/>
    <x v="34"/>
    <s v="19BA13.00"/>
    <x v="3"/>
    <x v="0"/>
    <m/>
    <m/>
    <m/>
  </r>
  <r>
    <s v="YK263101256"/>
    <x v="9"/>
    <x v="9"/>
    <n v="1"/>
    <x v="2"/>
    <d v="2026-08-21T09:10:08"/>
    <x v="34"/>
    <x v="18"/>
    <x v="34"/>
    <s v="19BA13.00"/>
    <x v="3"/>
    <x v="0"/>
    <m/>
    <m/>
    <m/>
  </r>
  <r>
    <s v="YK263101257"/>
    <x v="9"/>
    <x v="9"/>
    <n v="1"/>
    <x v="2"/>
    <d v="2026-08-21T09:10:53"/>
    <x v="34"/>
    <x v="18"/>
    <x v="34"/>
    <s v="19BA13.00"/>
    <x v="3"/>
    <x v="0"/>
    <m/>
    <m/>
    <m/>
  </r>
  <r>
    <s v="YK263101258"/>
    <x v="7"/>
    <x v="7"/>
    <n v="1"/>
    <x v="2"/>
    <d v="2026-09-01T05:26:53"/>
    <x v="34"/>
    <x v="18"/>
    <x v="34"/>
    <s v="19BA13.00"/>
    <x v="3"/>
    <x v="0"/>
    <m/>
    <m/>
    <m/>
  </r>
  <r>
    <s v="YK263101259"/>
    <x v="9"/>
    <x v="9"/>
    <n v="1"/>
    <x v="2"/>
    <d v="2026-08-21T09:21:31"/>
    <x v="34"/>
    <x v="18"/>
    <x v="34"/>
    <s v="19BA13.00"/>
    <x v="3"/>
    <x v="0"/>
    <m/>
    <m/>
    <m/>
  </r>
  <r>
    <s v="YK263101260"/>
    <x v="7"/>
    <x v="7"/>
    <n v="1"/>
    <x v="2"/>
    <d v="2026-09-01T05:22:31"/>
    <x v="34"/>
    <x v="18"/>
    <x v="34"/>
    <s v="19BA13.00"/>
    <x v="3"/>
    <x v="0"/>
    <m/>
    <m/>
    <m/>
  </r>
  <r>
    <s v="YK263101261"/>
    <x v="7"/>
    <x v="7"/>
    <n v="1"/>
    <x v="2"/>
    <d v="2026-09-04T14:51:19"/>
    <x v="34"/>
    <x v="18"/>
    <x v="34"/>
    <s v="19BA13.00"/>
    <x v="3"/>
    <x v="0"/>
    <m/>
    <m/>
    <m/>
  </r>
  <r>
    <s v="YK263101262"/>
    <x v="7"/>
    <x v="7"/>
    <n v="1"/>
    <x v="2"/>
    <d v="2026-09-04T14:47:27"/>
    <x v="34"/>
    <x v="18"/>
    <x v="34"/>
    <s v="19BA13.00"/>
    <x v="3"/>
    <x v="0"/>
    <m/>
    <m/>
    <m/>
  </r>
  <r>
    <s v="YK263101263"/>
    <x v="7"/>
    <x v="7"/>
    <n v="1"/>
    <x v="2"/>
    <d v="2026-09-01T05:30:14"/>
    <x v="34"/>
    <x v="18"/>
    <x v="34"/>
    <s v="19BA13.00"/>
    <x v="3"/>
    <x v="0"/>
    <m/>
    <m/>
    <m/>
  </r>
  <r>
    <s v="YK263101264"/>
    <x v="7"/>
    <x v="7"/>
    <n v="1"/>
    <x v="2"/>
    <d v="2026-09-04T14:40:55"/>
    <x v="34"/>
    <x v="18"/>
    <x v="34"/>
    <s v="19BA13.00"/>
    <x v="3"/>
    <x v="0"/>
    <m/>
    <m/>
    <m/>
  </r>
  <r>
    <s v="YK263101265"/>
    <x v="7"/>
    <x v="7"/>
    <n v="1"/>
    <x v="2"/>
    <d v="2026-09-04T14:36:18"/>
    <x v="34"/>
    <x v="18"/>
    <x v="34"/>
    <s v="19BA13.00"/>
    <x v="3"/>
    <x v="0"/>
    <m/>
    <m/>
    <m/>
  </r>
  <r>
    <s v="YK263101266"/>
    <x v="9"/>
    <x v="9"/>
    <n v="1"/>
    <x v="2"/>
    <d v="2026-08-21T09:58:37"/>
    <x v="34"/>
    <x v="18"/>
    <x v="34"/>
    <s v="19BA13.00"/>
    <x v="3"/>
    <x v="0"/>
    <m/>
    <m/>
    <m/>
  </r>
  <r>
    <s v="YK263101267"/>
    <x v="9"/>
    <x v="9"/>
    <n v="1"/>
    <x v="2"/>
    <d v="2026-08-21T10:03:45"/>
    <x v="34"/>
    <x v="18"/>
    <x v="34"/>
    <s v="19BA13.00"/>
    <x v="3"/>
    <x v="0"/>
    <m/>
    <m/>
    <m/>
  </r>
  <r>
    <s v="YK263101268"/>
    <x v="7"/>
    <x v="7"/>
    <n v="1"/>
    <x v="2"/>
    <d v="2026-09-01T05:13:17"/>
    <x v="34"/>
    <x v="18"/>
    <x v="34"/>
    <s v="19BA13.00"/>
    <x v="3"/>
    <x v="0"/>
    <m/>
    <m/>
    <m/>
  </r>
  <r>
    <s v="YK263200001"/>
    <x v="6"/>
    <x v="6"/>
    <n v="1"/>
    <x v="6"/>
    <d v="2026-09-08T22:54:49"/>
    <x v="35"/>
    <x v="19"/>
    <x v="35"/>
    <s v="19BA14.10"/>
    <x v="3"/>
    <x v="0"/>
    <m/>
    <m/>
    <m/>
  </r>
  <r>
    <s v="YK263200002"/>
    <x v="3"/>
    <x v="3"/>
    <n v="1"/>
    <x v="3"/>
    <d v="2026-08-14T08:44:01"/>
    <x v="35"/>
    <x v="19"/>
    <x v="35"/>
    <s v="19BA14.10"/>
    <x v="3"/>
    <x v="0"/>
    <m/>
    <m/>
    <m/>
  </r>
  <r>
    <s v="YK263200003"/>
    <x v="0"/>
    <x v="0"/>
    <n v="1"/>
    <x v="0"/>
    <d v="2026-08-14T10:47:16"/>
    <x v="35"/>
    <x v="19"/>
    <x v="35"/>
    <s v="19BA14.10"/>
    <x v="3"/>
    <x v="0"/>
    <m/>
    <m/>
    <m/>
  </r>
  <r>
    <s v="YK263200004"/>
    <x v="6"/>
    <x v="6"/>
    <n v="1"/>
    <x v="6"/>
    <d v="2026-09-05T12:43:59"/>
    <x v="35"/>
    <x v="19"/>
    <x v="35"/>
    <s v="19BA14.10"/>
    <x v="3"/>
    <x v="0"/>
    <m/>
    <m/>
    <m/>
  </r>
  <r>
    <s v="YK263200005"/>
    <x v="9"/>
    <x v="9"/>
    <n v="1"/>
    <x v="2"/>
    <d v="2026-09-01T11:09:50"/>
    <x v="35"/>
    <x v="19"/>
    <x v="35"/>
    <s v="19BA14.10"/>
    <x v="3"/>
    <x v="0"/>
    <m/>
    <m/>
    <m/>
  </r>
  <r>
    <s v="YK263200006"/>
    <x v="0"/>
    <x v="0"/>
    <n v="1"/>
    <x v="0"/>
    <d v="2026-09-02T13:43:14"/>
    <x v="35"/>
    <x v="19"/>
    <x v="35"/>
    <s v="19BA14.10"/>
    <x v="3"/>
    <x v="0"/>
    <m/>
    <m/>
    <m/>
  </r>
  <r>
    <s v="YK263200007"/>
    <x v="0"/>
    <x v="0"/>
    <n v="1"/>
    <x v="0"/>
    <d v="2026-08-31T15:34:20"/>
    <x v="35"/>
    <x v="19"/>
    <x v="35"/>
    <s v="19BA14.10"/>
    <x v="3"/>
    <x v="0"/>
    <m/>
    <m/>
    <m/>
  </r>
  <r>
    <s v="YK263200008"/>
    <x v="7"/>
    <x v="7"/>
    <n v="1"/>
    <x v="2"/>
    <d v="2026-08-27T23:06:26"/>
    <x v="35"/>
    <x v="19"/>
    <x v="35"/>
    <s v="19BA14.10"/>
    <x v="3"/>
    <x v="0"/>
    <m/>
    <m/>
    <m/>
  </r>
  <r>
    <s v="YK263200009"/>
    <x v="3"/>
    <x v="3"/>
    <n v="1"/>
    <x v="3"/>
    <d v="2026-09-01T12:02:51"/>
    <x v="35"/>
    <x v="19"/>
    <x v="35"/>
    <s v="19BA14.10"/>
    <x v="3"/>
    <x v="0"/>
    <m/>
    <m/>
    <m/>
  </r>
  <r>
    <s v="YK263200010"/>
    <x v="3"/>
    <x v="3"/>
    <n v="1"/>
    <x v="3"/>
    <d v="2026-08-25T11:10:08"/>
    <x v="35"/>
    <x v="19"/>
    <x v="35"/>
    <s v="19BA14.10"/>
    <x v="3"/>
    <x v="0"/>
    <m/>
    <m/>
    <m/>
  </r>
  <r>
    <s v="YK263200011"/>
    <x v="3"/>
    <x v="3"/>
    <n v="1"/>
    <x v="3"/>
    <d v="2026-09-08T10:58:39"/>
    <x v="35"/>
    <x v="19"/>
    <x v="35"/>
    <s v="19BA14.10"/>
    <x v="3"/>
    <x v="0"/>
    <m/>
    <m/>
    <m/>
  </r>
  <r>
    <s v="YK263200012"/>
    <x v="0"/>
    <x v="0"/>
    <n v="1"/>
    <x v="0"/>
    <d v="2026-08-14T11:49:29"/>
    <x v="35"/>
    <x v="19"/>
    <x v="35"/>
    <s v="19BA14.10"/>
    <x v="3"/>
    <x v="0"/>
    <m/>
    <m/>
    <m/>
  </r>
  <r>
    <s v="YK263200013"/>
    <x v="2"/>
    <x v="2"/>
    <n v="1"/>
    <x v="2"/>
    <d v="2026-08-19T14:40:02"/>
    <x v="35"/>
    <x v="19"/>
    <x v="35"/>
    <s v="19BA14.10"/>
    <x v="3"/>
    <x v="0"/>
    <m/>
    <m/>
    <m/>
  </r>
  <r>
    <s v="YK263200014"/>
    <x v="3"/>
    <x v="3"/>
    <n v="1"/>
    <x v="3"/>
    <d v="2026-08-14T07:20:58"/>
    <x v="35"/>
    <x v="19"/>
    <x v="35"/>
    <s v="19BA14.10"/>
    <x v="3"/>
    <x v="0"/>
    <m/>
    <m/>
    <m/>
  </r>
  <r>
    <s v="YK263200015"/>
    <x v="3"/>
    <x v="3"/>
    <n v="1"/>
    <x v="3"/>
    <d v="2026-08-26T09:48:12"/>
    <x v="35"/>
    <x v="19"/>
    <x v="35"/>
    <s v="19BA14.10"/>
    <x v="3"/>
    <x v="0"/>
    <m/>
    <m/>
    <m/>
  </r>
  <r>
    <s v="YK263200016"/>
    <x v="7"/>
    <x v="7"/>
    <n v="1"/>
    <x v="2"/>
    <d v="2026-08-27T22:11:47"/>
    <x v="35"/>
    <x v="19"/>
    <x v="35"/>
    <s v="19BA14.10"/>
    <x v="3"/>
    <x v="0"/>
    <m/>
    <m/>
    <m/>
  </r>
  <r>
    <s v="YK263200017"/>
    <x v="7"/>
    <x v="7"/>
    <n v="1"/>
    <x v="2"/>
    <d v="2026-08-27T22:06:47"/>
    <x v="35"/>
    <x v="19"/>
    <x v="35"/>
    <s v="19BA14.10"/>
    <x v="3"/>
    <x v="0"/>
    <m/>
    <m/>
    <m/>
  </r>
  <r>
    <s v="YK263200018"/>
    <x v="0"/>
    <x v="0"/>
    <n v="1"/>
    <x v="0"/>
    <d v="2026-08-14T10:46:02"/>
    <x v="35"/>
    <x v="19"/>
    <x v="35"/>
    <s v="19BA14.10"/>
    <x v="3"/>
    <x v="0"/>
    <m/>
    <m/>
    <m/>
  </r>
  <r>
    <s v="YK263200019"/>
    <x v="3"/>
    <x v="3"/>
    <n v="1"/>
    <x v="3"/>
    <d v="2026-09-08T07:27:52"/>
    <x v="35"/>
    <x v="19"/>
    <x v="35"/>
    <s v="19BA14.10"/>
    <x v="3"/>
    <x v="0"/>
    <m/>
    <m/>
    <m/>
  </r>
  <r>
    <s v="YK263200020"/>
    <x v="3"/>
    <x v="3"/>
    <n v="1"/>
    <x v="3"/>
    <d v="2026-08-14T07:40:48"/>
    <x v="35"/>
    <x v="19"/>
    <x v="35"/>
    <s v="19BA14.10"/>
    <x v="3"/>
    <x v="0"/>
    <m/>
    <m/>
    <m/>
  </r>
  <r>
    <s v="YK263200021"/>
    <x v="7"/>
    <x v="7"/>
    <n v="1"/>
    <x v="2"/>
    <d v="2026-08-27T22:21:21"/>
    <x v="35"/>
    <x v="19"/>
    <x v="35"/>
    <s v="19BA14.10"/>
    <x v="3"/>
    <x v="0"/>
    <m/>
    <m/>
    <m/>
  </r>
  <r>
    <s v="YK263200022"/>
    <x v="7"/>
    <x v="7"/>
    <n v="1"/>
    <x v="2"/>
    <d v="2026-08-27T21:47:26"/>
    <x v="35"/>
    <x v="19"/>
    <x v="35"/>
    <s v="19BA14.10"/>
    <x v="3"/>
    <x v="0"/>
    <m/>
    <m/>
    <m/>
  </r>
  <r>
    <s v="YK263200023"/>
    <x v="7"/>
    <x v="7"/>
    <n v="1"/>
    <x v="2"/>
    <d v="2026-08-27T21:41:36"/>
    <x v="35"/>
    <x v="19"/>
    <x v="35"/>
    <s v="19BA14.10"/>
    <x v="3"/>
    <x v="0"/>
    <m/>
    <m/>
    <m/>
  </r>
  <r>
    <s v="YK263200024"/>
    <x v="3"/>
    <x v="3"/>
    <n v="1"/>
    <x v="3"/>
    <d v="2026-08-24T09:04:00"/>
    <x v="35"/>
    <x v="19"/>
    <x v="35"/>
    <s v="19BA14.10"/>
    <x v="3"/>
    <x v="0"/>
    <m/>
    <m/>
    <m/>
  </r>
  <r>
    <s v="YK263200025"/>
    <x v="0"/>
    <x v="0"/>
    <n v="1"/>
    <x v="0"/>
    <d v="2026-09-01T08:29:44"/>
    <x v="35"/>
    <x v="19"/>
    <x v="35"/>
    <s v="19BA14.10"/>
    <x v="3"/>
    <x v="0"/>
    <m/>
    <m/>
    <m/>
  </r>
  <r>
    <s v="YK263200026"/>
    <x v="3"/>
    <x v="3"/>
    <n v="1"/>
    <x v="3"/>
    <d v="2026-08-14T07:12:20"/>
    <x v="35"/>
    <x v="19"/>
    <x v="35"/>
    <s v="19BA14.10"/>
    <x v="3"/>
    <x v="0"/>
    <m/>
    <m/>
    <m/>
  </r>
  <r>
    <s v="YK263200027"/>
    <x v="3"/>
    <x v="3"/>
    <n v="1"/>
    <x v="3"/>
    <d v="2026-08-26T09:21:48"/>
    <x v="35"/>
    <x v="19"/>
    <x v="35"/>
    <s v="19BA14.10"/>
    <x v="3"/>
    <x v="0"/>
    <m/>
    <m/>
    <m/>
  </r>
  <r>
    <s v="YK263200028"/>
    <x v="0"/>
    <x v="0"/>
    <n v="1"/>
    <x v="0"/>
    <d v="2026-09-01T08:30:50"/>
    <x v="35"/>
    <x v="19"/>
    <x v="35"/>
    <s v="19BA14.10"/>
    <x v="3"/>
    <x v="0"/>
    <m/>
    <m/>
    <m/>
  </r>
  <r>
    <s v="YK263200029"/>
    <x v="3"/>
    <x v="3"/>
    <n v="1"/>
    <x v="3"/>
    <d v="2026-08-24T08:58:34"/>
    <x v="35"/>
    <x v="19"/>
    <x v="35"/>
    <s v="19BA14.10"/>
    <x v="3"/>
    <x v="0"/>
    <m/>
    <m/>
    <m/>
  </r>
  <r>
    <s v="YK263200030"/>
    <x v="0"/>
    <x v="0"/>
    <n v="1"/>
    <x v="0"/>
    <d v="2026-09-01T10:35:43"/>
    <x v="35"/>
    <x v="19"/>
    <x v="35"/>
    <s v="19BA14.10"/>
    <x v="3"/>
    <x v="0"/>
    <m/>
    <m/>
    <m/>
  </r>
  <r>
    <s v="YK263200031"/>
    <x v="0"/>
    <x v="0"/>
    <n v="1"/>
    <x v="0"/>
    <d v="2026-09-01T13:45:56"/>
    <x v="35"/>
    <x v="19"/>
    <x v="35"/>
    <s v="19BA14.10"/>
    <x v="3"/>
    <x v="0"/>
    <m/>
    <m/>
    <m/>
  </r>
  <r>
    <s v="YK263200032"/>
    <x v="0"/>
    <x v="0"/>
    <n v="1"/>
    <x v="0"/>
    <d v="2026-09-01T17:45:13"/>
    <x v="35"/>
    <x v="19"/>
    <x v="35"/>
    <s v="19BA14.10"/>
    <x v="3"/>
    <x v="0"/>
    <m/>
    <m/>
    <m/>
  </r>
  <r>
    <s v="YK263200033"/>
    <x v="3"/>
    <x v="3"/>
    <n v="1"/>
    <x v="3"/>
    <d v="2026-08-17T14:22:12"/>
    <x v="35"/>
    <x v="19"/>
    <x v="35"/>
    <s v="19BA14.10"/>
    <x v="3"/>
    <x v="0"/>
    <m/>
    <m/>
    <m/>
  </r>
  <r>
    <s v="YK263200034"/>
    <x v="0"/>
    <x v="0"/>
    <n v="1"/>
    <x v="0"/>
    <d v="2026-09-02T09:45:39"/>
    <x v="35"/>
    <x v="19"/>
    <x v="35"/>
    <s v="19BA14.10"/>
    <x v="3"/>
    <x v="0"/>
    <m/>
    <m/>
    <m/>
  </r>
  <r>
    <s v="YK263200035"/>
    <x v="3"/>
    <x v="3"/>
    <n v="1"/>
    <x v="3"/>
    <d v="2026-08-17T20:06:42"/>
    <x v="35"/>
    <x v="19"/>
    <x v="35"/>
    <s v="19BA14.10"/>
    <x v="3"/>
    <x v="0"/>
    <m/>
    <m/>
    <m/>
  </r>
  <r>
    <s v="YK263200036"/>
    <x v="3"/>
    <x v="3"/>
    <n v="1"/>
    <x v="3"/>
    <d v="2026-08-24T08:09:03"/>
    <x v="35"/>
    <x v="19"/>
    <x v="35"/>
    <s v="19BA14.10"/>
    <x v="3"/>
    <x v="0"/>
    <m/>
    <m/>
    <m/>
  </r>
  <r>
    <s v="YK263200037"/>
    <x v="3"/>
    <x v="3"/>
    <n v="1"/>
    <x v="3"/>
    <d v="2026-08-17T20:29:54"/>
    <x v="35"/>
    <x v="19"/>
    <x v="35"/>
    <s v="19BA14.10"/>
    <x v="3"/>
    <x v="0"/>
    <m/>
    <m/>
    <m/>
  </r>
  <r>
    <s v="YK263200038"/>
    <x v="3"/>
    <x v="3"/>
    <n v="1"/>
    <x v="3"/>
    <d v="2026-08-17T20:39:30"/>
    <x v="35"/>
    <x v="19"/>
    <x v="35"/>
    <s v="19BA14.10"/>
    <x v="3"/>
    <x v="0"/>
    <m/>
    <m/>
    <m/>
  </r>
  <r>
    <s v="YK263200039"/>
    <x v="0"/>
    <x v="0"/>
    <n v="1"/>
    <x v="0"/>
    <d v="2026-09-01T10:37:15"/>
    <x v="35"/>
    <x v="19"/>
    <x v="35"/>
    <s v="19BA14.10"/>
    <x v="3"/>
    <x v="0"/>
    <m/>
    <m/>
    <m/>
  </r>
  <r>
    <s v="YK263200040"/>
    <x v="3"/>
    <x v="3"/>
    <n v="1"/>
    <x v="3"/>
    <d v="2026-08-17T07:57:34"/>
    <x v="35"/>
    <x v="19"/>
    <x v="35"/>
    <s v="19BA14.10"/>
    <x v="3"/>
    <x v="0"/>
    <m/>
    <m/>
    <m/>
  </r>
  <r>
    <s v="YK263200041"/>
    <x v="3"/>
    <x v="3"/>
    <n v="1"/>
    <x v="3"/>
    <d v="2026-08-17T20:57:57"/>
    <x v="35"/>
    <x v="19"/>
    <x v="35"/>
    <s v="19BA14.10"/>
    <x v="3"/>
    <x v="0"/>
    <m/>
    <m/>
    <m/>
  </r>
  <r>
    <s v="YK263200042"/>
    <x v="3"/>
    <x v="3"/>
    <n v="1"/>
    <x v="3"/>
    <d v="2026-08-17T21:07:12"/>
    <x v="35"/>
    <x v="19"/>
    <x v="35"/>
    <s v="19BA14.10"/>
    <x v="3"/>
    <x v="0"/>
    <m/>
    <m/>
    <m/>
  </r>
  <r>
    <s v="YK263200043"/>
    <x v="3"/>
    <x v="3"/>
    <n v="1"/>
    <x v="3"/>
    <d v="2026-08-17T20:34:44"/>
    <x v="35"/>
    <x v="19"/>
    <x v="35"/>
    <s v="19BA14.10"/>
    <x v="3"/>
    <x v="0"/>
    <m/>
    <m/>
    <m/>
  </r>
  <r>
    <s v="YK263200044"/>
    <x v="3"/>
    <x v="3"/>
    <n v="1"/>
    <x v="3"/>
    <d v="2026-08-17T19:33:45"/>
    <x v="35"/>
    <x v="19"/>
    <x v="35"/>
    <s v="19BA14.10"/>
    <x v="3"/>
    <x v="0"/>
    <m/>
    <m/>
    <m/>
  </r>
  <r>
    <s v="YK263200045"/>
    <x v="0"/>
    <x v="0"/>
    <n v="1"/>
    <x v="0"/>
    <d v="2026-09-01T17:45:09"/>
    <x v="35"/>
    <x v="19"/>
    <x v="35"/>
    <s v="19BA14.10"/>
    <x v="3"/>
    <x v="0"/>
    <m/>
    <m/>
    <m/>
  </r>
  <r>
    <s v="YK263200046"/>
    <x v="8"/>
    <x v="8"/>
    <n v="1"/>
    <x v="6"/>
    <d v="2026-08-31T07:46:25"/>
    <x v="35"/>
    <x v="19"/>
    <x v="35"/>
    <s v="19BA14.10"/>
    <x v="3"/>
    <x v="0"/>
    <m/>
    <m/>
    <m/>
  </r>
  <r>
    <s v="YK263200047"/>
    <x v="3"/>
    <x v="3"/>
    <n v="1"/>
    <x v="3"/>
    <d v="2026-08-17T21:02:37"/>
    <x v="35"/>
    <x v="19"/>
    <x v="35"/>
    <s v="19BA14.10"/>
    <x v="3"/>
    <x v="0"/>
    <m/>
    <m/>
    <m/>
  </r>
  <r>
    <s v="YK263200048"/>
    <x v="3"/>
    <x v="3"/>
    <n v="1"/>
    <x v="3"/>
    <d v="2026-08-17T20:43:47"/>
    <x v="35"/>
    <x v="19"/>
    <x v="35"/>
    <s v="19BA14.10"/>
    <x v="3"/>
    <x v="0"/>
    <m/>
    <m/>
    <m/>
  </r>
  <r>
    <s v="YK263200049"/>
    <x v="7"/>
    <x v="7"/>
    <n v="1"/>
    <x v="2"/>
    <d v="2026-08-27T23:23:26"/>
    <x v="35"/>
    <x v="19"/>
    <x v="35"/>
    <s v="19BA14.10"/>
    <x v="3"/>
    <x v="0"/>
    <m/>
    <m/>
    <m/>
  </r>
  <r>
    <s v="YK263200050"/>
    <x v="3"/>
    <x v="3"/>
    <n v="1"/>
    <x v="3"/>
    <d v="2026-08-17T20:48:38"/>
    <x v="35"/>
    <x v="19"/>
    <x v="35"/>
    <s v="19BA14.10"/>
    <x v="3"/>
    <x v="0"/>
    <m/>
    <m/>
    <m/>
  </r>
  <r>
    <s v="YK263200051"/>
    <x v="0"/>
    <x v="0"/>
    <n v="1"/>
    <x v="0"/>
    <d v="2026-08-31T10:32:07"/>
    <x v="35"/>
    <x v="19"/>
    <x v="35"/>
    <s v="19BA14.10"/>
    <x v="3"/>
    <x v="0"/>
    <m/>
    <m/>
    <m/>
  </r>
  <r>
    <s v="YK263200052"/>
    <x v="3"/>
    <x v="3"/>
    <n v="1"/>
    <x v="3"/>
    <d v="2026-08-17T21:14:07"/>
    <x v="35"/>
    <x v="19"/>
    <x v="35"/>
    <s v="19BA14.10"/>
    <x v="3"/>
    <x v="0"/>
    <m/>
    <m/>
    <m/>
  </r>
  <r>
    <s v="YK263200053"/>
    <x v="3"/>
    <x v="3"/>
    <n v="1"/>
    <x v="3"/>
    <d v="2026-08-31T07:18:21"/>
    <x v="35"/>
    <x v="19"/>
    <x v="35"/>
    <s v="19BA14.10"/>
    <x v="3"/>
    <x v="0"/>
    <m/>
    <m/>
    <m/>
  </r>
  <r>
    <s v="YK263200054"/>
    <x v="7"/>
    <x v="7"/>
    <n v="1"/>
    <x v="2"/>
    <d v="2026-08-27T22:45:43"/>
    <x v="35"/>
    <x v="19"/>
    <x v="35"/>
    <s v="19BA14.10"/>
    <x v="3"/>
    <x v="0"/>
    <m/>
    <m/>
    <m/>
  </r>
  <r>
    <s v="YK263200055"/>
    <x v="7"/>
    <x v="7"/>
    <n v="1"/>
    <x v="2"/>
    <d v="2026-08-27T22:16:49"/>
    <x v="35"/>
    <x v="19"/>
    <x v="35"/>
    <s v="19BA14.10"/>
    <x v="3"/>
    <x v="0"/>
    <m/>
    <m/>
    <m/>
  </r>
  <r>
    <s v="YK263200056"/>
    <x v="3"/>
    <x v="3"/>
    <n v="1"/>
    <x v="3"/>
    <d v="2026-08-31T07:10:11"/>
    <x v="35"/>
    <x v="19"/>
    <x v="35"/>
    <s v="19BA14.10"/>
    <x v="3"/>
    <x v="0"/>
    <m/>
    <m/>
    <m/>
  </r>
  <r>
    <s v="YK263200057"/>
    <x v="0"/>
    <x v="0"/>
    <n v="1"/>
    <x v="0"/>
    <d v="2026-08-31T10:36:36"/>
    <x v="35"/>
    <x v="19"/>
    <x v="35"/>
    <s v="19BA14.10"/>
    <x v="3"/>
    <x v="0"/>
    <m/>
    <m/>
    <m/>
  </r>
  <r>
    <s v="YK263200058"/>
    <x v="3"/>
    <x v="3"/>
    <n v="1"/>
    <x v="3"/>
    <d v="2026-08-28T13:36:21"/>
    <x v="35"/>
    <x v="19"/>
    <x v="35"/>
    <s v="19BA14.10"/>
    <x v="3"/>
    <x v="0"/>
    <m/>
    <m/>
    <m/>
  </r>
  <r>
    <s v="YK263200059"/>
    <x v="0"/>
    <x v="0"/>
    <n v="1"/>
    <x v="0"/>
    <d v="2026-08-31T10:27:10"/>
    <x v="35"/>
    <x v="19"/>
    <x v="35"/>
    <s v="19BA14.10"/>
    <x v="3"/>
    <x v="0"/>
    <m/>
    <m/>
    <m/>
  </r>
  <r>
    <s v="YK263200060"/>
    <x v="7"/>
    <x v="7"/>
    <n v="1"/>
    <x v="2"/>
    <d v="2026-08-27T23:03:27"/>
    <x v="35"/>
    <x v="19"/>
    <x v="35"/>
    <s v="19BA14.10"/>
    <x v="3"/>
    <x v="0"/>
    <m/>
    <m/>
    <m/>
  </r>
  <r>
    <s v="YK263200061"/>
    <x v="0"/>
    <x v="0"/>
    <n v="1"/>
    <x v="0"/>
    <d v="2026-08-31T10:26:16"/>
    <x v="35"/>
    <x v="19"/>
    <x v="35"/>
    <s v="19BA14.10"/>
    <x v="3"/>
    <x v="0"/>
    <m/>
    <m/>
    <m/>
  </r>
  <r>
    <s v="YK263200062"/>
    <x v="0"/>
    <x v="0"/>
    <n v="1"/>
    <x v="0"/>
    <d v="2026-09-01T13:44:08"/>
    <x v="35"/>
    <x v="19"/>
    <x v="35"/>
    <s v="19BA14.10"/>
    <x v="3"/>
    <x v="0"/>
    <m/>
    <m/>
    <m/>
  </r>
  <r>
    <s v="YK263200063"/>
    <x v="0"/>
    <x v="0"/>
    <n v="1"/>
    <x v="0"/>
    <d v="2026-09-01T13:44:54"/>
    <x v="35"/>
    <x v="19"/>
    <x v="35"/>
    <s v="19BA14.10"/>
    <x v="3"/>
    <x v="0"/>
    <m/>
    <m/>
    <m/>
  </r>
  <r>
    <s v="YK263200064"/>
    <x v="3"/>
    <x v="3"/>
    <n v="1"/>
    <x v="3"/>
    <d v="2026-08-24T08:37:34"/>
    <x v="35"/>
    <x v="19"/>
    <x v="35"/>
    <s v="19BA14.10"/>
    <x v="3"/>
    <x v="0"/>
    <m/>
    <m/>
    <m/>
  </r>
  <r>
    <s v="YK263200065"/>
    <x v="0"/>
    <x v="0"/>
    <n v="1"/>
    <x v="0"/>
    <d v="2026-08-31T10:27:23"/>
    <x v="35"/>
    <x v="19"/>
    <x v="35"/>
    <s v="19BA14.10"/>
    <x v="3"/>
    <x v="0"/>
    <m/>
    <m/>
    <m/>
  </r>
  <r>
    <s v="YK263200066"/>
    <x v="0"/>
    <x v="0"/>
    <n v="1"/>
    <x v="0"/>
    <d v="2026-09-01T17:45:00"/>
    <x v="35"/>
    <x v="19"/>
    <x v="35"/>
    <s v="19BA14.10"/>
    <x v="3"/>
    <x v="0"/>
    <m/>
    <m/>
    <m/>
  </r>
  <r>
    <s v="YK263200067"/>
    <x v="0"/>
    <x v="0"/>
    <n v="1"/>
    <x v="0"/>
    <d v="2026-09-01T10:38:28"/>
    <x v="35"/>
    <x v="19"/>
    <x v="35"/>
    <s v="19BA14.10"/>
    <x v="3"/>
    <x v="0"/>
    <m/>
    <m/>
    <m/>
  </r>
  <r>
    <s v="YK263200068"/>
    <x v="0"/>
    <x v="0"/>
    <n v="1"/>
    <x v="0"/>
    <d v="2026-09-01T17:45:26"/>
    <x v="35"/>
    <x v="19"/>
    <x v="35"/>
    <s v="19BA14.10"/>
    <x v="3"/>
    <x v="0"/>
    <m/>
    <m/>
    <m/>
  </r>
  <r>
    <s v="YK263200069"/>
    <x v="0"/>
    <x v="0"/>
    <n v="1"/>
    <x v="0"/>
    <d v="2026-08-31T10:35:09"/>
    <x v="35"/>
    <x v="19"/>
    <x v="35"/>
    <s v="19BA14.10"/>
    <x v="3"/>
    <x v="0"/>
    <m/>
    <m/>
    <m/>
  </r>
  <r>
    <s v="YK263200070"/>
    <x v="0"/>
    <x v="0"/>
    <n v="1"/>
    <x v="0"/>
    <d v="2026-09-01T13:45:11"/>
    <x v="35"/>
    <x v="19"/>
    <x v="35"/>
    <s v="19BA14.10"/>
    <x v="3"/>
    <x v="0"/>
    <m/>
    <m/>
    <m/>
  </r>
  <r>
    <s v="YK263200071"/>
    <x v="0"/>
    <x v="0"/>
    <n v="1"/>
    <x v="0"/>
    <d v="2026-09-02T09:47:51"/>
    <x v="35"/>
    <x v="19"/>
    <x v="35"/>
    <s v="19BA14.10"/>
    <x v="3"/>
    <x v="0"/>
    <m/>
    <m/>
    <m/>
  </r>
  <r>
    <s v="YK263200072"/>
    <x v="3"/>
    <x v="3"/>
    <n v="1"/>
    <x v="3"/>
    <d v="2026-08-14T07:02:28"/>
    <x v="35"/>
    <x v="19"/>
    <x v="35"/>
    <s v="19BA14.10"/>
    <x v="3"/>
    <x v="0"/>
    <m/>
    <m/>
    <m/>
  </r>
  <r>
    <s v="YK263200073"/>
    <x v="3"/>
    <x v="3"/>
    <n v="1"/>
    <x v="3"/>
    <d v="2026-08-14T07:16:32"/>
    <x v="35"/>
    <x v="19"/>
    <x v="35"/>
    <s v="19BA14.10"/>
    <x v="3"/>
    <x v="0"/>
    <m/>
    <m/>
    <m/>
  </r>
  <r>
    <s v="YK263200074"/>
    <x v="3"/>
    <x v="3"/>
    <n v="1"/>
    <x v="3"/>
    <d v="2026-08-14T07:29:42"/>
    <x v="35"/>
    <x v="19"/>
    <x v="35"/>
    <s v="19BA14.10"/>
    <x v="3"/>
    <x v="0"/>
    <m/>
    <m/>
    <m/>
  </r>
  <r>
    <s v="YK263200075"/>
    <x v="3"/>
    <x v="3"/>
    <n v="1"/>
    <x v="3"/>
    <d v="2026-08-14T07:49:41"/>
    <x v="35"/>
    <x v="19"/>
    <x v="35"/>
    <s v="19BA14.10"/>
    <x v="3"/>
    <x v="0"/>
    <m/>
    <m/>
    <m/>
  </r>
  <r>
    <s v="YK263200076"/>
    <x v="3"/>
    <x v="3"/>
    <n v="1"/>
    <x v="3"/>
    <d v="2026-08-14T07:45:14"/>
    <x v="35"/>
    <x v="19"/>
    <x v="35"/>
    <s v="19BA14.10"/>
    <x v="3"/>
    <x v="0"/>
    <m/>
    <m/>
    <m/>
  </r>
  <r>
    <s v="YK263200077"/>
    <x v="3"/>
    <x v="3"/>
    <n v="1"/>
    <x v="3"/>
    <d v="2026-08-14T07:36:09"/>
    <x v="35"/>
    <x v="19"/>
    <x v="35"/>
    <s v="19BA14.10"/>
    <x v="3"/>
    <x v="0"/>
    <m/>
    <m/>
    <m/>
  </r>
  <r>
    <s v="YK263200078"/>
    <x v="0"/>
    <x v="0"/>
    <n v="1"/>
    <x v="0"/>
    <d v="2026-09-01T08:29:00"/>
    <x v="35"/>
    <x v="19"/>
    <x v="35"/>
    <s v="19BA14.10"/>
    <x v="3"/>
    <x v="0"/>
    <m/>
    <m/>
    <m/>
  </r>
  <r>
    <s v="YK263200079"/>
    <x v="3"/>
    <x v="3"/>
    <n v="1"/>
    <x v="3"/>
    <d v="2026-08-17T20:53:22"/>
    <x v="35"/>
    <x v="19"/>
    <x v="35"/>
    <s v="19BA14.10"/>
    <x v="3"/>
    <x v="0"/>
    <m/>
    <m/>
    <m/>
  </r>
  <r>
    <s v="YK263200080"/>
    <x v="3"/>
    <x v="3"/>
    <n v="1"/>
    <x v="3"/>
    <d v="2026-09-08T09:48:38"/>
    <x v="35"/>
    <x v="19"/>
    <x v="35"/>
    <s v="19BA14.10"/>
    <x v="3"/>
    <x v="0"/>
    <m/>
    <m/>
    <m/>
  </r>
  <r>
    <s v="YK263200081"/>
    <x v="3"/>
    <x v="3"/>
    <n v="1"/>
    <x v="3"/>
    <d v="2026-08-14T07:58:36"/>
    <x v="35"/>
    <x v="19"/>
    <x v="35"/>
    <s v="19BA14.10"/>
    <x v="3"/>
    <x v="0"/>
    <m/>
    <m/>
    <m/>
  </r>
  <r>
    <s v="YK263200082"/>
    <x v="3"/>
    <x v="3"/>
    <n v="1"/>
    <x v="3"/>
    <d v="2026-08-14T08:03:15"/>
    <x v="35"/>
    <x v="19"/>
    <x v="35"/>
    <s v="19BA14.10"/>
    <x v="3"/>
    <x v="0"/>
    <m/>
    <m/>
    <m/>
  </r>
  <r>
    <s v="YK263200083"/>
    <x v="0"/>
    <x v="0"/>
    <n v="1"/>
    <x v="0"/>
    <d v="2026-08-14T15:55:19"/>
    <x v="35"/>
    <x v="19"/>
    <x v="35"/>
    <s v="19BA14.10"/>
    <x v="3"/>
    <x v="0"/>
    <m/>
    <m/>
    <m/>
  </r>
  <r>
    <s v="YK263200084"/>
    <x v="3"/>
    <x v="3"/>
    <n v="1"/>
    <x v="3"/>
    <d v="2026-08-14T07:25:30"/>
    <x v="35"/>
    <x v="19"/>
    <x v="35"/>
    <s v="19BA14.10"/>
    <x v="3"/>
    <x v="0"/>
    <m/>
    <m/>
    <m/>
  </r>
  <r>
    <s v="YK263200085"/>
    <x v="3"/>
    <x v="3"/>
    <n v="1"/>
    <x v="3"/>
    <d v="2026-08-14T08:39:13"/>
    <x v="35"/>
    <x v="19"/>
    <x v="35"/>
    <s v="19BA14.10"/>
    <x v="3"/>
    <x v="0"/>
    <m/>
    <m/>
    <m/>
  </r>
  <r>
    <s v="YK263200086"/>
    <x v="0"/>
    <x v="0"/>
    <n v="1"/>
    <x v="0"/>
    <d v="2026-08-14T15:56:15"/>
    <x v="35"/>
    <x v="19"/>
    <x v="35"/>
    <s v="19BA14.10"/>
    <x v="3"/>
    <x v="0"/>
    <m/>
    <m/>
    <m/>
  </r>
  <r>
    <s v="YK263200087"/>
    <x v="0"/>
    <x v="0"/>
    <n v="1"/>
    <x v="0"/>
    <d v="2026-08-14T15:54:00"/>
    <x v="35"/>
    <x v="19"/>
    <x v="35"/>
    <s v="19BA14.10"/>
    <x v="3"/>
    <x v="0"/>
    <m/>
    <m/>
    <m/>
  </r>
  <r>
    <s v="YK263200088"/>
    <x v="0"/>
    <x v="0"/>
    <n v="1"/>
    <x v="0"/>
    <d v="2026-09-01T08:30:00"/>
    <x v="35"/>
    <x v="19"/>
    <x v="35"/>
    <s v="19BA14.10"/>
    <x v="3"/>
    <x v="0"/>
    <m/>
    <m/>
    <m/>
  </r>
  <r>
    <s v="YK263200089"/>
    <x v="0"/>
    <x v="0"/>
    <n v="1"/>
    <x v="0"/>
    <d v="2026-08-14T10:46:51"/>
    <x v="35"/>
    <x v="19"/>
    <x v="35"/>
    <s v="19BA14.10"/>
    <x v="3"/>
    <x v="0"/>
    <m/>
    <m/>
    <m/>
  </r>
  <r>
    <s v="YK263200090"/>
    <x v="3"/>
    <x v="3"/>
    <n v="1"/>
    <x v="3"/>
    <d v="2026-08-14T09:59:47"/>
    <x v="35"/>
    <x v="19"/>
    <x v="35"/>
    <s v="19BA14.10"/>
    <x v="3"/>
    <x v="0"/>
    <m/>
    <m/>
    <m/>
  </r>
  <r>
    <s v="YK263200091"/>
    <x v="3"/>
    <x v="3"/>
    <n v="1"/>
    <x v="3"/>
    <d v="2026-09-08T10:06:58"/>
    <x v="35"/>
    <x v="19"/>
    <x v="35"/>
    <s v="19BA14.10"/>
    <x v="3"/>
    <x v="0"/>
    <m/>
    <m/>
    <m/>
  </r>
  <r>
    <s v="YK263200092"/>
    <x v="3"/>
    <x v="3"/>
    <n v="1"/>
    <x v="3"/>
    <d v="2026-08-14T10:05:04"/>
    <x v="35"/>
    <x v="19"/>
    <x v="35"/>
    <s v="19BA14.10"/>
    <x v="3"/>
    <x v="0"/>
    <m/>
    <m/>
    <m/>
  </r>
  <r>
    <s v="YK263200093"/>
    <x v="3"/>
    <x v="3"/>
    <n v="1"/>
    <x v="3"/>
    <d v="2026-08-14T09:33:43"/>
    <x v="35"/>
    <x v="19"/>
    <x v="35"/>
    <s v="19BA14.10"/>
    <x v="3"/>
    <x v="0"/>
    <m/>
    <m/>
    <m/>
  </r>
  <r>
    <s v="YK263200094"/>
    <x v="3"/>
    <x v="3"/>
    <n v="1"/>
    <x v="3"/>
    <d v="2026-09-08T07:37:33"/>
    <x v="35"/>
    <x v="19"/>
    <x v="35"/>
    <s v="19BA14.10"/>
    <x v="3"/>
    <x v="0"/>
    <m/>
    <m/>
    <m/>
  </r>
  <r>
    <s v="YK263200095"/>
    <x v="0"/>
    <x v="0"/>
    <n v="1"/>
    <x v="0"/>
    <d v="2026-08-14T15:55:03"/>
    <x v="35"/>
    <x v="19"/>
    <x v="35"/>
    <s v="19BA14.10"/>
    <x v="3"/>
    <x v="0"/>
    <m/>
    <m/>
    <m/>
  </r>
  <r>
    <s v="YK263200096"/>
    <x v="3"/>
    <x v="3"/>
    <n v="1"/>
    <x v="3"/>
    <d v="2026-08-14T07:53:59"/>
    <x v="35"/>
    <x v="19"/>
    <x v="35"/>
    <s v="19BA14.10"/>
    <x v="3"/>
    <x v="0"/>
    <m/>
    <m/>
    <m/>
  </r>
  <r>
    <s v="YK263200097"/>
    <x v="3"/>
    <x v="3"/>
    <n v="1"/>
    <x v="3"/>
    <d v="2026-08-14T09:55:18"/>
    <x v="35"/>
    <x v="19"/>
    <x v="35"/>
    <s v="19BA14.10"/>
    <x v="3"/>
    <x v="0"/>
    <m/>
    <m/>
    <m/>
  </r>
  <r>
    <s v="YK263200098"/>
    <x v="3"/>
    <x v="3"/>
    <n v="1"/>
    <x v="3"/>
    <d v="2026-08-14T10:09:58"/>
    <x v="35"/>
    <x v="19"/>
    <x v="35"/>
    <s v="19BA14.10"/>
    <x v="3"/>
    <x v="0"/>
    <m/>
    <m/>
    <m/>
  </r>
  <r>
    <s v="YK263200099"/>
    <x v="3"/>
    <x v="3"/>
    <n v="1"/>
    <x v="3"/>
    <d v="2026-08-14T09:43:18"/>
    <x v="35"/>
    <x v="19"/>
    <x v="35"/>
    <s v="19BA14.10"/>
    <x v="3"/>
    <x v="0"/>
    <m/>
    <m/>
    <m/>
  </r>
  <r>
    <s v="YK263200100"/>
    <x v="0"/>
    <x v="0"/>
    <n v="1"/>
    <x v="0"/>
    <d v="2026-08-14T10:48:14"/>
    <x v="35"/>
    <x v="19"/>
    <x v="35"/>
    <s v="19BA14.10"/>
    <x v="3"/>
    <x v="0"/>
    <m/>
    <m/>
    <m/>
  </r>
  <r>
    <s v="YK263200101"/>
    <x v="3"/>
    <x v="3"/>
    <n v="1"/>
    <x v="3"/>
    <d v="2026-09-08T09:42:21"/>
    <x v="35"/>
    <x v="19"/>
    <x v="35"/>
    <s v="19BA14.10"/>
    <x v="3"/>
    <x v="0"/>
    <m/>
    <m/>
    <m/>
  </r>
  <r>
    <s v="YK263200102"/>
    <x v="3"/>
    <x v="3"/>
    <n v="1"/>
    <x v="3"/>
    <d v="2026-08-14T09:38:00"/>
    <x v="35"/>
    <x v="19"/>
    <x v="35"/>
    <s v="19BA14.10"/>
    <x v="3"/>
    <x v="0"/>
    <m/>
    <m/>
    <m/>
  </r>
  <r>
    <s v="YK263200103"/>
    <x v="3"/>
    <x v="3"/>
    <n v="1"/>
    <x v="3"/>
    <d v="2026-08-14T07:07:03"/>
    <x v="35"/>
    <x v="19"/>
    <x v="35"/>
    <s v="19BA14.10"/>
    <x v="3"/>
    <x v="0"/>
    <m/>
    <m/>
    <m/>
  </r>
  <r>
    <s v="YK263200104"/>
    <x v="3"/>
    <x v="3"/>
    <n v="1"/>
    <x v="3"/>
    <d v="2026-08-17T17:54:41"/>
    <x v="35"/>
    <x v="19"/>
    <x v="35"/>
    <s v="19BA14.10"/>
    <x v="3"/>
    <x v="0"/>
    <m/>
    <m/>
    <m/>
  </r>
  <r>
    <s v="YK263200105"/>
    <x v="10"/>
    <x v="10"/>
    <n v="1"/>
    <x v="6"/>
    <d v="2026-08-22T09:05:04"/>
    <x v="35"/>
    <x v="19"/>
    <x v="35"/>
    <s v="19BA14.10"/>
    <x v="3"/>
    <x v="0"/>
    <m/>
    <m/>
    <m/>
  </r>
  <r>
    <s v="YK263200106"/>
    <x v="3"/>
    <x v="3"/>
    <n v="1"/>
    <x v="3"/>
    <d v="2026-09-10T07:57:49"/>
    <x v="35"/>
    <x v="19"/>
    <x v="35"/>
    <s v="19BA14.10"/>
    <x v="3"/>
    <x v="0"/>
    <m/>
    <m/>
    <m/>
  </r>
  <r>
    <s v="YK263200107"/>
    <x v="3"/>
    <x v="3"/>
    <n v="1"/>
    <x v="3"/>
    <d v="2026-08-31T06:57:34"/>
    <x v="35"/>
    <x v="19"/>
    <x v="35"/>
    <s v="19BA14.10"/>
    <x v="3"/>
    <x v="0"/>
    <m/>
    <m/>
    <m/>
  </r>
  <r>
    <s v="YK263200108"/>
    <x v="11"/>
    <x v="11"/>
    <n v="1"/>
    <x v="4"/>
    <d v="2026-08-31T06:19:24"/>
    <x v="35"/>
    <x v="19"/>
    <x v="35"/>
    <s v="19BA14.10"/>
    <x v="3"/>
    <x v="0"/>
    <m/>
    <m/>
    <m/>
  </r>
  <r>
    <s v="YK263200109"/>
    <x v="0"/>
    <x v="0"/>
    <n v="1"/>
    <x v="0"/>
    <d v="2026-08-31T21:24:15"/>
    <x v="35"/>
    <x v="19"/>
    <x v="35"/>
    <s v="19BA14.10"/>
    <x v="3"/>
    <x v="0"/>
    <m/>
    <m/>
    <m/>
  </r>
  <r>
    <s v="YK263200110"/>
    <x v="3"/>
    <x v="3"/>
    <n v="1"/>
    <x v="3"/>
    <d v="2026-08-28T13:54:28"/>
    <x v="35"/>
    <x v="19"/>
    <x v="35"/>
    <s v="19BA14.10"/>
    <x v="3"/>
    <x v="0"/>
    <m/>
    <m/>
    <m/>
  </r>
  <r>
    <s v="YK263200111"/>
    <x v="3"/>
    <x v="3"/>
    <n v="1"/>
    <x v="3"/>
    <d v="2026-08-31T08:13:31"/>
    <x v="35"/>
    <x v="19"/>
    <x v="35"/>
    <s v="19BA14.10"/>
    <x v="3"/>
    <x v="0"/>
    <m/>
    <m/>
    <m/>
  </r>
  <r>
    <s v="YK263200112"/>
    <x v="3"/>
    <x v="3"/>
    <n v="1"/>
    <x v="3"/>
    <d v="2026-08-28T14:00:06"/>
    <x v="35"/>
    <x v="19"/>
    <x v="35"/>
    <s v="19BA14.10"/>
    <x v="3"/>
    <x v="0"/>
    <m/>
    <m/>
    <m/>
  </r>
  <r>
    <s v="YK263200113"/>
    <x v="6"/>
    <x v="6"/>
    <n v="1"/>
    <x v="6"/>
    <d v="2026-09-08T18:26:18"/>
    <x v="35"/>
    <x v="19"/>
    <x v="35"/>
    <s v="19BA14.10"/>
    <x v="3"/>
    <x v="0"/>
    <m/>
    <m/>
    <m/>
  </r>
  <r>
    <s v="YK263200114"/>
    <x v="6"/>
    <x v="6"/>
    <n v="1"/>
    <x v="6"/>
    <d v="2026-09-08T18:28:04"/>
    <x v="35"/>
    <x v="19"/>
    <x v="35"/>
    <s v="19BA14.10"/>
    <x v="3"/>
    <x v="0"/>
    <m/>
    <m/>
    <m/>
  </r>
  <r>
    <s v="YK263200115"/>
    <x v="6"/>
    <x v="6"/>
    <n v="1"/>
    <x v="6"/>
    <d v="2026-09-08T18:22:03"/>
    <x v="35"/>
    <x v="19"/>
    <x v="35"/>
    <s v="19BA14.10"/>
    <x v="3"/>
    <x v="0"/>
    <m/>
    <m/>
    <m/>
  </r>
  <r>
    <s v="YK263200116"/>
    <x v="0"/>
    <x v="0"/>
    <n v="1"/>
    <x v="0"/>
    <d v="2026-08-31T15:35:25"/>
    <x v="35"/>
    <x v="19"/>
    <x v="35"/>
    <s v="19BA14.10"/>
    <x v="3"/>
    <x v="0"/>
    <m/>
    <m/>
    <m/>
  </r>
  <r>
    <s v="YK263200117"/>
    <x v="3"/>
    <x v="3"/>
    <n v="1"/>
    <x v="3"/>
    <d v="2026-09-09T19:01:52"/>
    <x v="35"/>
    <x v="19"/>
    <x v="35"/>
    <s v="19BA14.10"/>
    <x v="3"/>
    <x v="0"/>
    <m/>
    <m/>
    <m/>
  </r>
  <r>
    <s v="YK263200118"/>
    <x v="3"/>
    <x v="3"/>
    <n v="1"/>
    <x v="3"/>
    <d v="2026-08-31T07:45:30"/>
    <x v="35"/>
    <x v="19"/>
    <x v="35"/>
    <s v="19BA14.10"/>
    <x v="3"/>
    <x v="0"/>
    <m/>
    <m/>
    <m/>
  </r>
  <r>
    <s v="YK263200119"/>
    <x v="0"/>
    <x v="0"/>
    <n v="1"/>
    <x v="0"/>
    <d v="2026-09-02T13:41:36"/>
    <x v="35"/>
    <x v="19"/>
    <x v="35"/>
    <s v="19BA14.10"/>
    <x v="3"/>
    <x v="0"/>
    <m/>
    <m/>
    <m/>
  </r>
  <r>
    <s v="YK263200120"/>
    <x v="0"/>
    <x v="0"/>
    <n v="1"/>
    <x v="0"/>
    <d v="2026-08-31T15:34:42"/>
    <x v="35"/>
    <x v="19"/>
    <x v="35"/>
    <s v="19BA14.10"/>
    <x v="3"/>
    <x v="0"/>
    <m/>
    <m/>
    <m/>
  </r>
  <r>
    <s v="YK263200121"/>
    <x v="0"/>
    <x v="0"/>
    <n v="1"/>
    <x v="0"/>
    <d v="2026-09-02T13:42:02"/>
    <x v="35"/>
    <x v="19"/>
    <x v="35"/>
    <s v="19BA14.10"/>
    <x v="3"/>
    <x v="0"/>
    <m/>
    <m/>
    <m/>
  </r>
  <r>
    <s v="YK263200122"/>
    <x v="3"/>
    <x v="3"/>
    <n v="1"/>
    <x v="3"/>
    <d v="2026-08-26T12:30:21"/>
    <x v="35"/>
    <x v="19"/>
    <x v="35"/>
    <s v="19BA14.10"/>
    <x v="3"/>
    <x v="0"/>
    <m/>
    <m/>
    <m/>
  </r>
  <r>
    <s v="YK263200123"/>
    <x v="6"/>
    <x v="6"/>
    <n v="1"/>
    <x v="6"/>
    <d v="2026-09-07T20:49:58"/>
    <x v="35"/>
    <x v="19"/>
    <x v="35"/>
    <s v="19BA14.10"/>
    <x v="3"/>
    <x v="0"/>
    <m/>
    <m/>
    <m/>
  </r>
  <r>
    <s v="YK263200124"/>
    <x v="3"/>
    <x v="3"/>
    <n v="1"/>
    <x v="3"/>
    <d v="2026-08-26T09:10:15"/>
    <x v="35"/>
    <x v="19"/>
    <x v="35"/>
    <s v="19BA14.10"/>
    <x v="3"/>
    <x v="0"/>
    <m/>
    <m/>
    <m/>
  </r>
  <r>
    <s v="YK263200125"/>
    <x v="3"/>
    <x v="3"/>
    <n v="1"/>
    <x v="3"/>
    <d v="2026-08-26T09:15:14"/>
    <x v="35"/>
    <x v="19"/>
    <x v="35"/>
    <s v="19BA14.10"/>
    <x v="3"/>
    <x v="0"/>
    <m/>
    <m/>
    <m/>
  </r>
  <r>
    <s v="YK263200126"/>
    <x v="3"/>
    <x v="3"/>
    <n v="1"/>
    <x v="3"/>
    <d v="2026-08-26T13:38:57"/>
    <x v="35"/>
    <x v="19"/>
    <x v="35"/>
    <s v="19BA14.10"/>
    <x v="3"/>
    <x v="0"/>
    <m/>
    <m/>
    <m/>
  </r>
  <r>
    <s v="YK263200127"/>
    <x v="3"/>
    <x v="3"/>
    <n v="1"/>
    <x v="3"/>
    <d v="2026-08-26T12:22:27"/>
    <x v="35"/>
    <x v="19"/>
    <x v="35"/>
    <s v="19BA14.10"/>
    <x v="3"/>
    <x v="0"/>
    <m/>
    <m/>
    <m/>
  </r>
  <r>
    <s v="YK263200128"/>
    <x v="3"/>
    <x v="3"/>
    <n v="1"/>
    <x v="3"/>
    <d v="2026-08-26T13:28:26"/>
    <x v="35"/>
    <x v="19"/>
    <x v="35"/>
    <s v="19BA14.10"/>
    <x v="3"/>
    <x v="0"/>
    <m/>
    <m/>
    <m/>
  </r>
  <r>
    <s v="YK263200129"/>
    <x v="3"/>
    <x v="3"/>
    <n v="1"/>
    <x v="3"/>
    <d v="2026-08-26T13:33:16"/>
    <x v="35"/>
    <x v="19"/>
    <x v="35"/>
    <s v="19BA14.10"/>
    <x v="3"/>
    <x v="0"/>
    <m/>
    <m/>
    <m/>
  </r>
  <r>
    <s v="YK263200130"/>
    <x v="3"/>
    <x v="3"/>
    <n v="1"/>
    <x v="3"/>
    <d v="2026-08-26T10:58:39"/>
    <x v="35"/>
    <x v="19"/>
    <x v="35"/>
    <s v="19BA14.10"/>
    <x v="3"/>
    <x v="0"/>
    <m/>
    <m/>
    <m/>
  </r>
  <r>
    <s v="YK263200131"/>
    <x v="3"/>
    <x v="3"/>
    <n v="1"/>
    <x v="3"/>
    <d v="2026-08-26T12:15:57"/>
    <x v="35"/>
    <x v="19"/>
    <x v="35"/>
    <s v="19BA14.10"/>
    <x v="3"/>
    <x v="0"/>
    <m/>
    <m/>
    <m/>
  </r>
  <r>
    <s v="YK263200132"/>
    <x v="3"/>
    <x v="3"/>
    <n v="1"/>
    <x v="3"/>
    <d v="2026-08-26T09:41:04"/>
    <x v="35"/>
    <x v="19"/>
    <x v="35"/>
    <s v="19BA14.10"/>
    <x v="3"/>
    <x v="0"/>
    <m/>
    <m/>
    <m/>
  </r>
  <r>
    <s v="YK263200133"/>
    <x v="0"/>
    <x v="0"/>
    <n v="1"/>
    <x v="0"/>
    <d v="2026-09-02T13:42:36"/>
    <x v="35"/>
    <x v="19"/>
    <x v="35"/>
    <s v="19BA14.10"/>
    <x v="3"/>
    <x v="0"/>
    <m/>
    <m/>
    <m/>
  </r>
  <r>
    <s v="YK263200134"/>
    <x v="3"/>
    <x v="3"/>
    <n v="1"/>
    <x v="3"/>
    <d v="2026-08-26T10:51:52"/>
    <x v="35"/>
    <x v="19"/>
    <x v="35"/>
    <s v="19BA14.10"/>
    <x v="3"/>
    <x v="0"/>
    <m/>
    <m/>
    <m/>
  </r>
  <r>
    <s v="YK263200135"/>
    <x v="3"/>
    <x v="3"/>
    <n v="1"/>
    <x v="3"/>
    <d v="2026-08-17T06:27:25"/>
    <x v="35"/>
    <x v="19"/>
    <x v="35"/>
    <s v="19BA14.10"/>
    <x v="3"/>
    <x v="0"/>
    <m/>
    <m/>
    <m/>
  </r>
  <r>
    <s v="YK263200136"/>
    <x v="0"/>
    <x v="0"/>
    <n v="1"/>
    <x v="0"/>
    <d v="2026-08-31T21:24:01"/>
    <x v="35"/>
    <x v="19"/>
    <x v="35"/>
    <s v="19BA14.10"/>
    <x v="3"/>
    <x v="0"/>
    <m/>
    <m/>
    <m/>
  </r>
  <r>
    <s v="YK263200137"/>
    <x v="0"/>
    <x v="0"/>
    <n v="1"/>
    <x v="0"/>
    <d v="2026-09-02T09:47:24"/>
    <x v="35"/>
    <x v="19"/>
    <x v="35"/>
    <s v="19BA14.10"/>
    <x v="3"/>
    <x v="0"/>
    <m/>
    <m/>
    <m/>
  </r>
  <r>
    <s v="YK263200138"/>
    <x v="3"/>
    <x v="3"/>
    <n v="1"/>
    <x v="3"/>
    <d v="2026-08-31T16:40:07"/>
    <x v="35"/>
    <x v="19"/>
    <x v="35"/>
    <s v="19BA14.10"/>
    <x v="3"/>
    <x v="0"/>
    <m/>
    <m/>
    <m/>
  </r>
  <r>
    <s v="YK263200139"/>
    <x v="0"/>
    <x v="0"/>
    <n v="1"/>
    <x v="0"/>
    <d v="2026-08-31T21:21:38"/>
    <x v="35"/>
    <x v="19"/>
    <x v="35"/>
    <s v="19BA14.10"/>
    <x v="3"/>
    <x v="0"/>
    <m/>
    <m/>
    <m/>
  </r>
  <r>
    <s v="YK263200140"/>
    <x v="0"/>
    <x v="0"/>
    <n v="1"/>
    <x v="0"/>
    <d v="2026-08-31T21:21:50"/>
    <x v="35"/>
    <x v="19"/>
    <x v="35"/>
    <s v="19BA14.10"/>
    <x v="3"/>
    <x v="0"/>
    <m/>
    <m/>
    <m/>
  </r>
  <r>
    <s v="YK263200141"/>
    <x v="3"/>
    <x v="3"/>
    <n v="1"/>
    <x v="3"/>
    <d v="2026-08-31T16:45:55"/>
    <x v="35"/>
    <x v="19"/>
    <x v="35"/>
    <s v="19BA14.10"/>
    <x v="3"/>
    <x v="0"/>
    <m/>
    <m/>
    <m/>
  </r>
  <r>
    <s v="YK263200142"/>
    <x v="0"/>
    <x v="0"/>
    <n v="1"/>
    <x v="0"/>
    <d v="2026-08-31T10:28:12"/>
    <x v="35"/>
    <x v="19"/>
    <x v="35"/>
    <s v="19BA14.10"/>
    <x v="3"/>
    <x v="0"/>
    <m/>
    <m/>
    <m/>
  </r>
  <r>
    <s v="YK263200143"/>
    <x v="0"/>
    <x v="0"/>
    <n v="1"/>
    <x v="0"/>
    <d v="2026-08-31T21:21:35"/>
    <x v="35"/>
    <x v="19"/>
    <x v="35"/>
    <s v="19BA14.10"/>
    <x v="3"/>
    <x v="0"/>
    <m/>
    <m/>
    <m/>
  </r>
  <r>
    <s v="YK263200144"/>
    <x v="0"/>
    <x v="0"/>
    <n v="1"/>
    <x v="0"/>
    <d v="2026-08-31T21:23:51"/>
    <x v="35"/>
    <x v="19"/>
    <x v="35"/>
    <s v="19BA14.10"/>
    <x v="3"/>
    <x v="0"/>
    <m/>
    <m/>
    <m/>
  </r>
  <r>
    <s v="YK263200145"/>
    <x v="0"/>
    <x v="0"/>
    <n v="1"/>
    <x v="0"/>
    <d v="2026-08-31T21:21:20"/>
    <x v="35"/>
    <x v="19"/>
    <x v="35"/>
    <s v="19BA14.10"/>
    <x v="3"/>
    <x v="0"/>
    <m/>
    <m/>
    <m/>
  </r>
  <r>
    <s v="YK263200146"/>
    <x v="0"/>
    <x v="0"/>
    <n v="1"/>
    <x v="0"/>
    <d v="2026-09-02T09:49:15"/>
    <x v="35"/>
    <x v="19"/>
    <x v="35"/>
    <s v="19BA14.10"/>
    <x v="3"/>
    <x v="0"/>
    <m/>
    <m/>
    <m/>
  </r>
  <r>
    <s v="YK263200147"/>
    <x v="0"/>
    <x v="0"/>
    <n v="1"/>
    <x v="0"/>
    <d v="2026-09-02T13:39:59"/>
    <x v="35"/>
    <x v="19"/>
    <x v="35"/>
    <s v="19BA14.10"/>
    <x v="3"/>
    <x v="0"/>
    <m/>
    <m/>
    <m/>
  </r>
  <r>
    <s v="YK263200148"/>
    <x v="3"/>
    <x v="3"/>
    <n v="1"/>
    <x v="3"/>
    <d v="2026-08-31T08:07:32"/>
    <x v="35"/>
    <x v="19"/>
    <x v="35"/>
    <s v="19BA14.10"/>
    <x v="3"/>
    <x v="0"/>
    <m/>
    <m/>
    <m/>
  </r>
  <r>
    <s v="YK263200149"/>
    <x v="6"/>
    <x v="6"/>
    <n v="1"/>
    <x v="6"/>
    <d v="2026-08-26T06:45:02"/>
    <x v="35"/>
    <x v="19"/>
    <x v="35"/>
    <s v="19BA14.10"/>
    <x v="3"/>
    <x v="0"/>
    <m/>
    <m/>
    <m/>
  </r>
  <r>
    <s v="YK263200150"/>
    <x v="9"/>
    <x v="9"/>
    <n v="1"/>
    <x v="2"/>
    <d v="2026-09-01T11:07:51"/>
    <x v="35"/>
    <x v="19"/>
    <x v="35"/>
    <s v="19BA14.10"/>
    <x v="3"/>
    <x v="0"/>
    <m/>
    <m/>
    <m/>
  </r>
  <r>
    <s v="YK263200151"/>
    <x v="3"/>
    <x v="3"/>
    <n v="1"/>
    <x v="3"/>
    <d v="2026-08-26T08:42:52"/>
    <x v="35"/>
    <x v="19"/>
    <x v="35"/>
    <s v="19BA14.10"/>
    <x v="3"/>
    <x v="0"/>
    <m/>
    <m/>
    <m/>
  </r>
  <r>
    <s v="YK263200152"/>
    <x v="3"/>
    <x v="3"/>
    <n v="1"/>
    <x v="3"/>
    <d v="2026-09-03T09:22:12"/>
    <x v="35"/>
    <x v="19"/>
    <x v="35"/>
    <s v="19BA14.10"/>
    <x v="3"/>
    <x v="0"/>
    <m/>
    <m/>
    <m/>
  </r>
  <r>
    <s v="YK263200153"/>
    <x v="3"/>
    <x v="3"/>
    <n v="1"/>
    <x v="3"/>
    <d v="2026-08-26T08:16:09"/>
    <x v="35"/>
    <x v="19"/>
    <x v="35"/>
    <s v="19BA14.10"/>
    <x v="3"/>
    <x v="0"/>
    <m/>
    <m/>
    <m/>
  </r>
  <r>
    <s v="YK263200154"/>
    <x v="3"/>
    <x v="3"/>
    <n v="1"/>
    <x v="3"/>
    <d v="2026-09-01T12:13:57"/>
    <x v="35"/>
    <x v="19"/>
    <x v="35"/>
    <s v="19BA14.10"/>
    <x v="3"/>
    <x v="0"/>
    <m/>
    <m/>
    <m/>
  </r>
  <r>
    <s v="YK263200155"/>
    <x v="0"/>
    <x v="0"/>
    <n v="1"/>
    <x v="0"/>
    <d v="2026-09-02T13:41:09"/>
    <x v="35"/>
    <x v="19"/>
    <x v="35"/>
    <s v="19BA14.10"/>
    <x v="3"/>
    <x v="0"/>
    <m/>
    <m/>
    <m/>
  </r>
  <r>
    <s v="YK263200156"/>
    <x v="3"/>
    <x v="3"/>
    <n v="1"/>
    <x v="3"/>
    <d v="2026-08-25T11:39:07"/>
    <x v="35"/>
    <x v="19"/>
    <x v="35"/>
    <s v="19BA14.10"/>
    <x v="3"/>
    <x v="0"/>
    <m/>
    <m/>
    <m/>
  </r>
  <r>
    <s v="YK263200157"/>
    <x v="3"/>
    <x v="3"/>
    <n v="1"/>
    <x v="3"/>
    <d v="2026-08-17T06:35:20"/>
    <x v="35"/>
    <x v="19"/>
    <x v="35"/>
    <s v="19BA14.10"/>
    <x v="3"/>
    <x v="0"/>
    <m/>
    <m/>
    <m/>
  </r>
  <r>
    <s v="YK263200158"/>
    <x v="3"/>
    <x v="3"/>
    <n v="1"/>
    <x v="3"/>
    <d v="2026-08-17T06:48:13"/>
    <x v="35"/>
    <x v="19"/>
    <x v="35"/>
    <s v="19BA14.10"/>
    <x v="3"/>
    <x v="0"/>
    <m/>
    <m/>
    <m/>
  </r>
  <r>
    <s v="YK263200159"/>
    <x v="3"/>
    <x v="3"/>
    <n v="1"/>
    <x v="3"/>
    <d v="2026-08-17T07:23:28"/>
    <x v="35"/>
    <x v="19"/>
    <x v="35"/>
    <s v="19BA14.10"/>
    <x v="3"/>
    <x v="0"/>
    <m/>
    <m/>
    <m/>
  </r>
  <r>
    <s v="YK263200160"/>
    <x v="3"/>
    <x v="3"/>
    <n v="1"/>
    <x v="3"/>
    <d v="2026-08-17T07:38:24"/>
    <x v="35"/>
    <x v="19"/>
    <x v="35"/>
    <s v="19BA14.10"/>
    <x v="3"/>
    <x v="0"/>
    <m/>
    <m/>
    <m/>
  </r>
  <r>
    <s v="YK263200161"/>
    <x v="3"/>
    <x v="3"/>
    <n v="1"/>
    <x v="3"/>
    <d v="2026-08-17T07:17:47"/>
    <x v="35"/>
    <x v="19"/>
    <x v="35"/>
    <s v="19BA14.10"/>
    <x v="3"/>
    <x v="0"/>
    <m/>
    <m/>
    <m/>
  </r>
  <r>
    <s v="YK263200162"/>
    <x v="7"/>
    <x v="7"/>
    <n v="1"/>
    <x v="2"/>
    <d v="2026-09-01T11:12:55"/>
    <x v="35"/>
    <x v="19"/>
    <x v="35"/>
    <s v="19BA14.10"/>
    <x v="3"/>
    <x v="0"/>
    <m/>
    <m/>
    <m/>
  </r>
  <r>
    <s v="YK263200163"/>
    <x v="3"/>
    <x v="3"/>
    <n v="1"/>
    <x v="3"/>
    <d v="2026-08-26T08:00:19"/>
    <x v="35"/>
    <x v="19"/>
    <x v="35"/>
    <s v="19BA14.10"/>
    <x v="3"/>
    <x v="0"/>
    <m/>
    <m/>
    <m/>
  </r>
  <r>
    <s v="YK263200164"/>
    <x v="3"/>
    <x v="3"/>
    <n v="1"/>
    <x v="3"/>
    <d v="2026-08-17T07:33:20"/>
    <x v="35"/>
    <x v="19"/>
    <x v="35"/>
    <s v="19BA14.10"/>
    <x v="3"/>
    <x v="0"/>
    <m/>
    <m/>
    <m/>
  </r>
  <r>
    <s v="YK263200165"/>
    <x v="3"/>
    <x v="3"/>
    <n v="1"/>
    <x v="3"/>
    <d v="2026-08-21T13:49:56"/>
    <x v="35"/>
    <x v="19"/>
    <x v="35"/>
    <s v="19BA14.10"/>
    <x v="3"/>
    <x v="0"/>
    <m/>
    <m/>
    <m/>
  </r>
  <r>
    <s v="YK263200166"/>
    <x v="3"/>
    <x v="3"/>
    <n v="1"/>
    <x v="3"/>
    <d v="2026-08-17T06:43:16"/>
    <x v="35"/>
    <x v="19"/>
    <x v="35"/>
    <s v="19BA14.10"/>
    <x v="3"/>
    <x v="0"/>
    <m/>
    <m/>
    <m/>
  </r>
  <r>
    <s v="YK263200167"/>
    <x v="3"/>
    <x v="3"/>
    <n v="1"/>
    <x v="3"/>
    <d v="2026-08-31T16:59:44"/>
    <x v="35"/>
    <x v="19"/>
    <x v="35"/>
    <s v="19BA14.10"/>
    <x v="3"/>
    <x v="0"/>
    <m/>
    <m/>
    <m/>
  </r>
  <r>
    <s v="YK263200168"/>
    <x v="3"/>
    <x v="3"/>
    <n v="1"/>
    <x v="3"/>
    <d v="2026-08-21T13:54:45"/>
    <x v="35"/>
    <x v="19"/>
    <x v="35"/>
    <s v="19BA14.10"/>
    <x v="3"/>
    <x v="0"/>
    <m/>
    <m/>
    <m/>
  </r>
  <r>
    <s v="YK263200169"/>
    <x v="3"/>
    <x v="3"/>
    <n v="1"/>
    <x v="3"/>
    <d v="2026-08-21T13:19:17"/>
    <x v="35"/>
    <x v="19"/>
    <x v="35"/>
    <s v="19BA14.10"/>
    <x v="3"/>
    <x v="0"/>
    <m/>
    <m/>
    <m/>
  </r>
  <r>
    <s v="YK263200170"/>
    <x v="3"/>
    <x v="3"/>
    <n v="1"/>
    <x v="3"/>
    <d v="2026-08-21T13:12:59"/>
    <x v="35"/>
    <x v="19"/>
    <x v="35"/>
    <s v="19BA14.10"/>
    <x v="3"/>
    <x v="0"/>
    <m/>
    <m/>
    <m/>
  </r>
  <r>
    <s v="YK263200171"/>
    <x v="3"/>
    <x v="3"/>
    <n v="1"/>
    <x v="3"/>
    <d v="2026-08-24T07:27:03"/>
    <x v="35"/>
    <x v="19"/>
    <x v="35"/>
    <s v="19BA14.10"/>
    <x v="3"/>
    <x v="0"/>
    <m/>
    <m/>
    <m/>
  </r>
  <r>
    <s v="YK263200172"/>
    <x v="3"/>
    <x v="3"/>
    <n v="1"/>
    <x v="3"/>
    <d v="2026-08-17T07:12:19"/>
    <x v="35"/>
    <x v="19"/>
    <x v="35"/>
    <s v="19BA14.10"/>
    <x v="3"/>
    <x v="0"/>
    <m/>
    <m/>
    <m/>
  </r>
  <r>
    <s v="YK263200173"/>
    <x v="3"/>
    <x v="3"/>
    <n v="1"/>
    <x v="3"/>
    <d v="2026-08-21T13:39:57"/>
    <x v="35"/>
    <x v="19"/>
    <x v="35"/>
    <s v="19BA14.10"/>
    <x v="3"/>
    <x v="0"/>
    <m/>
    <m/>
    <m/>
  </r>
  <r>
    <s v="YK263200174"/>
    <x v="7"/>
    <x v="7"/>
    <n v="1"/>
    <x v="2"/>
    <d v="2026-09-01T11:12:42"/>
    <x v="35"/>
    <x v="19"/>
    <x v="35"/>
    <s v="19BA14.10"/>
    <x v="3"/>
    <x v="0"/>
    <m/>
    <m/>
    <m/>
  </r>
  <r>
    <s v="YK263200175"/>
    <x v="3"/>
    <x v="3"/>
    <n v="1"/>
    <x v="3"/>
    <d v="2026-08-17T06:55:59"/>
    <x v="35"/>
    <x v="19"/>
    <x v="35"/>
    <s v="19BA14.10"/>
    <x v="3"/>
    <x v="0"/>
    <m/>
    <m/>
    <m/>
  </r>
  <r>
    <s v="YK263200176"/>
    <x v="7"/>
    <x v="7"/>
    <n v="1"/>
    <x v="2"/>
    <d v="2026-09-01T11:12:07"/>
    <x v="35"/>
    <x v="19"/>
    <x v="35"/>
    <s v="19BA14.10"/>
    <x v="3"/>
    <x v="0"/>
    <m/>
    <m/>
    <m/>
  </r>
  <r>
    <s v="YK263200177"/>
    <x v="9"/>
    <x v="9"/>
    <n v="1"/>
    <x v="2"/>
    <d v="2026-08-07T15:25:01"/>
    <x v="35"/>
    <x v="19"/>
    <x v="35"/>
    <s v="19BA14.10"/>
    <x v="3"/>
    <x v="0"/>
    <m/>
    <m/>
    <m/>
  </r>
  <r>
    <s v="YK263200178"/>
    <x v="9"/>
    <x v="9"/>
    <n v="1"/>
    <x v="2"/>
    <d v="2026-08-07T16:51:20"/>
    <x v="35"/>
    <x v="19"/>
    <x v="35"/>
    <s v="19BA14.10"/>
    <x v="3"/>
    <x v="0"/>
    <m/>
    <m/>
    <m/>
  </r>
  <r>
    <s v="YK263200179"/>
    <x v="3"/>
    <x v="3"/>
    <n v="1"/>
    <x v="3"/>
    <d v="2026-08-21T13:31:00"/>
    <x v="35"/>
    <x v="19"/>
    <x v="35"/>
    <s v="19BA14.10"/>
    <x v="3"/>
    <x v="0"/>
    <m/>
    <m/>
    <m/>
  </r>
  <r>
    <s v="YK263200180"/>
    <x v="3"/>
    <x v="3"/>
    <n v="1"/>
    <x v="3"/>
    <d v="2026-08-21T13:44:40"/>
    <x v="35"/>
    <x v="19"/>
    <x v="35"/>
    <s v="19BA14.10"/>
    <x v="3"/>
    <x v="0"/>
    <m/>
    <m/>
    <m/>
  </r>
  <r>
    <s v="YK263200181"/>
    <x v="3"/>
    <x v="3"/>
    <n v="1"/>
    <x v="3"/>
    <d v="2026-08-21T14:10:45"/>
    <x v="35"/>
    <x v="19"/>
    <x v="35"/>
    <s v="19BA14.10"/>
    <x v="3"/>
    <x v="0"/>
    <m/>
    <m/>
    <m/>
  </r>
  <r>
    <s v="YK263200182"/>
    <x v="3"/>
    <x v="3"/>
    <n v="1"/>
    <x v="3"/>
    <d v="2026-08-21T13:07:42"/>
    <x v="35"/>
    <x v="19"/>
    <x v="35"/>
    <s v="19BA14.10"/>
    <x v="3"/>
    <x v="0"/>
    <m/>
    <m/>
    <m/>
  </r>
  <r>
    <s v="YK263200183"/>
    <x v="3"/>
    <x v="3"/>
    <n v="1"/>
    <x v="3"/>
    <d v="2026-08-21T13:26:29"/>
    <x v="35"/>
    <x v="19"/>
    <x v="35"/>
    <s v="19BA14.10"/>
    <x v="3"/>
    <x v="0"/>
    <m/>
    <m/>
    <m/>
  </r>
  <r>
    <s v="YK263200184"/>
    <x v="7"/>
    <x v="7"/>
    <n v="1"/>
    <x v="2"/>
    <d v="2026-09-01T11:11:54"/>
    <x v="35"/>
    <x v="19"/>
    <x v="35"/>
    <s v="19BA14.10"/>
    <x v="3"/>
    <x v="0"/>
    <m/>
    <m/>
    <m/>
  </r>
  <r>
    <s v="YK263200185"/>
    <x v="7"/>
    <x v="7"/>
    <n v="1"/>
    <x v="2"/>
    <d v="2026-09-01T11:11:20"/>
    <x v="35"/>
    <x v="19"/>
    <x v="35"/>
    <s v="19BA14.10"/>
    <x v="3"/>
    <x v="0"/>
    <m/>
    <m/>
    <m/>
  </r>
  <r>
    <s v="YK263200186"/>
    <x v="3"/>
    <x v="3"/>
    <n v="1"/>
    <x v="3"/>
    <d v="2026-08-26T13:22:42"/>
    <x v="35"/>
    <x v="19"/>
    <x v="35"/>
    <s v="19BA14.10"/>
    <x v="3"/>
    <x v="0"/>
    <m/>
    <m/>
    <m/>
  </r>
  <r>
    <s v="YK263200187"/>
    <x v="3"/>
    <x v="3"/>
    <n v="1"/>
    <x v="3"/>
    <d v="2026-08-31T17:12:17"/>
    <x v="35"/>
    <x v="19"/>
    <x v="35"/>
    <s v="19BA14.10"/>
    <x v="3"/>
    <x v="0"/>
    <m/>
    <m/>
    <m/>
  </r>
  <r>
    <s v="YK263200188"/>
    <x v="9"/>
    <x v="9"/>
    <n v="1"/>
    <x v="2"/>
    <d v="2026-08-07T17:58:09"/>
    <x v="35"/>
    <x v="19"/>
    <x v="35"/>
    <s v="19BA14.10"/>
    <x v="3"/>
    <x v="0"/>
    <m/>
    <m/>
    <m/>
  </r>
  <r>
    <s v="YK263200189"/>
    <x v="9"/>
    <x v="9"/>
    <n v="1"/>
    <x v="2"/>
    <d v="2026-08-07T17:59:24"/>
    <x v="35"/>
    <x v="19"/>
    <x v="35"/>
    <s v="19BA14.10"/>
    <x v="3"/>
    <x v="0"/>
    <m/>
    <m/>
    <m/>
  </r>
  <r>
    <s v="YK263200190"/>
    <x v="6"/>
    <x v="6"/>
    <n v="1"/>
    <x v="6"/>
    <d v="2026-09-05T12:58:07"/>
    <x v="35"/>
    <x v="19"/>
    <x v="35"/>
    <s v="19BA14.10"/>
    <x v="3"/>
    <x v="0"/>
    <m/>
    <m/>
    <m/>
  </r>
  <r>
    <s v="YK263200191"/>
    <x v="3"/>
    <x v="3"/>
    <n v="1"/>
    <x v="3"/>
    <d v="2026-09-08T10:32:37"/>
    <x v="35"/>
    <x v="19"/>
    <x v="35"/>
    <s v="19BA14.10"/>
    <x v="3"/>
    <x v="0"/>
    <m/>
    <m/>
    <m/>
  </r>
  <r>
    <s v="YK263200192"/>
    <x v="9"/>
    <x v="9"/>
    <n v="1"/>
    <x v="2"/>
    <d v="2026-08-07T19:07:59"/>
    <x v="35"/>
    <x v="19"/>
    <x v="35"/>
    <s v="19BA14.10"/>
    <x v="3"/>
    <x v="0"/>
    <m/>
    <m/>
    <m/>
  </r>
  <r>
    <s v="YK263200193"/>
    <x v="7"/>
    <x v="7"/>
    <n v="1"/>
    <x v="2"/>
    <d v="2026-08-27T22:40:44"/>
    <x v="35"/>
    <x v="19"/>
    <x v="35"/>
    <s v="19BA14.10"/>
    <x v="3"/>
    <x v="0"/>
    <m/>
    <m/>
    <m/>
  </r>
  <r>
    <s v="YK263200194"/>
    <x v="3"/>
    <x v="3"/>
    <n v="1"/>
    <x v="3"/>
    <d v="2026-08-28T14:05:46"/>
    <x v="35"/>
    <x v="19"/>
    <x v="35"/>
    <s v="19BA14.10"/>
    <x v="3"/>
    <x v="0"/>
    <m/>
    <m/>
    <m/>
  </r>
  <r>
    <s v="YK263200195"/>
    <x v="3"/>
    <x v="3"/>
    <n v="1"/>
    <x v="3"/>
    <d v="2026-08-28T13:24:00"/>
    <x v="35"/>
    <x v="19"/>
    <x v="35"/>
    <s v="19BA14.10"/>
    <x v="3"/>
    <x v="0"/>
    <m/>
    <m/>
    <m/>
  </r>
  <r>
    <s v="YK263200196"/>
    <x v="3"/>
    <x v="3"/>
    <n v="1"/>
    <x v="3"/>
    <d v="2026-08-28T13:41:31"/>
    <x v="35"/>
    <x v="19"/>
    <x v="35"/>
    <s v="19BA14.10"/>
    <x v="3"/>
    <x v="0"/>
    <m/>
    <m/>
    <m/>
  </r>
  <r>
    <s v="YK263200197"/>
    <x v="0"/>
    <x v="0"/>
    <n v="1"/>
    <x v="0"/>
    <d v="2026-08-31T15:32:55"/>
    <x v="35"/>
    <x v="19"/>
    <x v="35"/>
    <s v="19BA14.10"/>
    <x v="3"/>
    <x v="0"/>
    <m/>
    <m/>
    <m/>
  </r>
  <r>
    <s v="YK263200198"/>
    <x v="3"/>
    <x v="3"/>
    <n v="1"/>
    <x v="3"/>
    <d v="2026-08-31T07:04:15"/>
    <x v="35"/>
    <x v="19"/>
    <x v="35"/>
    <s v="19BA14.10"/>
    <x v="3"/>
    <x v="0"/>
    <m/>
    <m/>
    <m/>
  </r>
  <r>
    <s v="YK263200199"/>
    <x v="3"/>
    <x v="3"/>
    <n v="1"/>
    <x v="3"/>
    <d v="2026-08-28T13:28:44"/>
    <x v="35"/>
    <x v="19"/>
    <x v="35"/>
    <s v="19BA14.10"/>
    <x v="3"/>
    <x v="0"/>
    <m/>
    <m/>
    <m/>
  </r>
  <r>
    <s v="YK263200200"/>
    <x v="0"/>
    <x v="0"/>
    <n v="1"/>
    <x v="0"/>
    <d v="2026-08-31T21:24:04"/>
    <x v="35"/>
    <x v="19"/>
    <x v="35"/>
    <s v="19BA14.10"/>
    <x v="3"/>
    <x v="0"/>
    <m/>
    <m/>
    <m/>
  </r>
  <r>
    <s v="YK263200201"/>
    <x v="3"/>
    <x v="3"/>
    <n v="1"/>
    <x v="3"/>
    <d v="2026-08-26T09:27:10"/>
    <x v="35"/>
    <x v="19"/>
    <x v="35"/>
    <s v="19BA14.10"/>
    <x v="3"/>
    <x v="0"/>
    <m/>
    <m/>
    <m/>
  </r>
  <r>
    <s v="YK263200202"/>
    <x v="3"/>
    <x v="3"/>
    <n v="1"/>
    <x v="3"/>
    <d v="2026-08-26T13:44:29"/>
    <x v="35"/>
    <x v="19"/>
    <x v="35"/>
    <s v="19BA14.10"/>
    <x v="3"/>
    <x v="0"/>
    <m/>
    <m/>
    <m/>
  </r>
  <r>
    <s v="YK263200203"/>
    <x v="0"/>
    <x v="0"/>
    <n v="1"/>
    <x v="0"/>
    <d v="2026-08-31T10:34:29"/>
    <x v="35"/>
    <x v="19"/>
    <x v="35"/>
    <s v="19BA14.10"/>
    <x v="3"/>
    <x v="0"/>
    <m/>
    <m/>
    <m/>
  </r>
  <r>
    <s v="YK263200204"/>
    <x v="3"/>
    <x v="3"/>
    <n v="1"/>
    <x v="3"/>
    <d v="2026-08-24T09:14:45"/>
    <x v="35"/>
    <x v="19"/>
    <x v="35"/>
    <s v="19BA14.10"/>
    <x v="3"/>
    <x v="0"/>
    <m/>
    <m/>
    <m/>
  </r>
  <r>
    <s v="YK263200205"/>
    <x v="3"/>
    <x v="3"/>
    <n v="1"/>
    <x v="3"/>
    <d v="2026-09-08T06:59:51"/>
    <x v="35"/>
    <x v="19"/>
    <x v="35"/>
    <s v="19BA14.10"/>
    <x v="3"/>
    <x v="0"/>
    <m/>
    <m/>
    <m/>
  </r>
  <r>
    <s v="YK263200206"/>
    <x v="3"/>
    <x v="3"/>
    <n v="1"/>
    <x v="3"/>
    <d v="2026-08-31T17:06:13"/>
    <x v="35"/>
    <x v="19"/>
    <x v="35"/>
    <s v="19BA14.10"/>
    <x v="3"/>
    <x v="0"/>
    <m/>
    <m/>
    <m/>
  </r>
  <r>
    <s v="YK263200207"/>
    <x v="3"/>
    <x v="3"/>
    <n v="1"/>
    <x v="3"/>
    <d v="2026-08-17T07:06:36"/>
    <x v="35"/>
    <x v="19"/>
    <x v="35"/>
    <s v="19BA14.10"/>
    <x v="3"/>
    <x v="0"/>
    <m/>
    <m/>
    <m/>
  </r>
  <r>
    <s v="YK263200208"/>
    <x v="3"/>
    <x v="3"/>
    <n v="1"/>
    <x v="3"/>
    <d v="2026-08-17T07:51:29"/>
    <x v="35"/>
    <x v="19"/>
    <x v="35"/>
    <s v="19BA14.10"/>
    <x v="3"/>
    <x v="0"/>
    <m/>
    <m/>
    <m/>
  </r>
  <r>
    <s v="YK263200209"/>
    <x v="0"/>
    <x v="0"/>
    <n v="1"/>
    <x v="0"/>
    <d v="2026-09-02T13:41:31"/>
    <x v="35"/>
    <x v="19"/>
    <x v="35"/>
    <s v="19BA14.10"/>
    <x v="3"/>
    <x v="0"/>
    <m/>
    <m/>
    <m/>
  </r>
  <r>
    <s v="YK263200210"/>
    <x v="3"/>
    <x v="3"/>
    <n v="1"/>
    <x v="3"/>
    <d v="2026-08-28T14:15:05"/>
    <x v="35"/>
    <x v="19"/>
    <x v="35"/>
    <s v="19BA14.10"/>
    <x v="3"/>
    <x v="0"/>
    <m/>
    <m/>
    <m/>
  </r>
  <r>
    <s v="YK263200211"/>
    <x v="3"/>
    <x v="3"/>
    <n v="1"/>
    <x v="3"/>
    <d v="2026-08-14T09:28:46"/>
    <x v="35"/>
    <x v="19"/>
    <x v="35"/>
    <s v="19BA14.10"/>
    <x v="3"/>
    <x v="0"/>
    <m/>
    <m/>
    <m/>
  </r>
  <r>
    <s v="YK263200212"/>
    <x v="0"/>
    <x v="0"/>
    <n v="1"/>
    <x v="0"/>
    <d v="2026-09-01T10:34:19"/>
    <x v="35"/>
    <x v="19"/>
    <x v="35"/>
    <s v="19BA14.10"/>
    <x v="3"/>
    <x v="0"/>
    <m/>
    <m/>
    <m/>
  </r>
  <r>
    <s v="YK263200213"/>
    <x v="3"/>
    <x v="3"/>
    <n v="1"/>
    <x v="3"/>
    <d v="2026-08-18T09:06:53"/>
    <x v="35"/>
    <x v="19"/>
    <x v="35"/>
    <s v="19BA14.10"/>
    <x v="3"/>
    <x v="0"/>
    <m/>
    <m/>
    <m/>
  </r>
  <r>
    <s v="YK263200214"/>
    <x v="3"/>
    <x v="3"/>
    <n v="1"/>
    <x v="3"/>
    <d v="2026-08-24T07:55:37"/>
    <x v="35"/>
    <x v="19"/>
    <x v="35"/>
    <s v="19BA14.10"/>
    <x v="3"/>
    <x v="0"/>
    <m/>
    <m/>
    <m/>
  </r>
  <r>
    <s v="YK263200215"/>
    <x v="3"/>
    <x v="3"/>
    <n v="1"/>
    <x v="3"/>
    <d v="2026-08-26T13:17:13"/>
    <x v="35"/>
    <x v="19"/>
    <x v="35"/>
    <s v="19BA14.10"/>
    <x v="3"/>
    <x v="0"/>
    <m/>
    <m/>
    <m/>
  </r>
  <r>
    <s v="YK263200216"/>
    <x v="3"/>
    <x v="3"/>
    <n v="1"/>
    <x v="3"/>
    <d v="2026-08-24T09:21:10"/>
    <x v="35"/>
    <x v="19"/>
    <x v="35"/>
    <s v="19BA14.10"/>
    <x v="3"/>
    <x v="0"/>
    <m/>
    <m/>
    <m/>
  </r>
  <r>
    <s v="YK263200217"/>
    <x v="0"/>
    <x v="0"/>
    <n v="1"/>
    <x v="0"/>
    <d v="2026-09-02T13:39:51"/>
    <x v="35"/>
    <x v="19"/>
    <x v="35"/>
    <s v="19BA14.10"/>
    <x v="3"/>
    <x v="0"/>
    <m/>
    <m/>
    <m/>
  </r>
  <r>
    <s v="YK263200218"/>
    <x v="7"/>
    <x v="7"/>
    <n v="1"/>
    <x v="2"/>
    <d v="2026-09-01T11:11:36"/>
    <x v="35"/>
    <x v="19"/>
    <x v="35"/>
    <s v="19BA14.10"/>
    <x v="3"/>
    <x v="0"/>
    <m/>
    <m/>
    <m/>
  </r>
  <r>
    <s v="YK263200219"/>
    <x v="9"/>
    <x v="9"/>
    <n v="1"/>
    <x v="2"/>
    <d v="2026-08-07T21:43:11"/>
    <x v="35"/>
    <x v="19"/>
    <x v="35"/>
    <s v="19BA14.10"/>
    <x v="3"/>
    <x v="0"/>
    <m/>
    <m/>
    <m/>
  </r>
  <r>
    <s v="YK263200220"/>
    <x v="9"/>
    <x v="9"/>
    <n v="1"/>
    <x v="2"/>
    <d v="2026-08-07T21:45:01"/>
    <x v="35"/>
    <x v="19"/>
    <x v="35"/>
    <s v="19BA14.10"/>
    <x v="3"/>
    <x v="0"/>
    <m/>
    <m/>
    <m/>
  </r>
  <r>
    <s v="YK263200221"/>
    <x v="7"/>
    <x v="7"/>
    <n v="1"/>
    <x v="2"/>
    <d v="2026-08-31T14:09:42"/>
    <x v="35"/>
    <x v="19"/>
    <x v="35"/>
    <s v="19BA14.10"/>
    <x v="3"/>
    <x v="0"/>
    <m/>
    <m/>
    <m/>
  </r>
  <r>
    <s v="YK263200222"/>
    <x v="9"/>
    <x v="9"/>
    <n v="1"/>
    <x v="2"/>
    <d v="2026-08-17T14:47:31"/>
    <x v="35"/>
    <x v="19"/>
    <x v="35"/>
    <s v="19BA14.10"/>
    <x v="3"/>
    <x v="0"/>
    <m/>
    <m/>
    <m/>
  </r>
  <r>
    <s v="YK263200223"/>
    <x v="3"/>
    <x v="3"/>
    <n v="1"/>
    <x v="3"/>
    <d v="2026-08-14T09:49:19"/>
    <x v="35"/>
    <x v="19"/>
    <x v="35"/>
    <s v="19BA14.10"/>
    <x v="3"/>
    <x v="0"/>
    <m/>
    <m/>
    <m/>
  </r>
  <r>
    <s v="YK263200224"/>
    <x v="3"/>
    <x v="3"/>
    <n v="1"/>
    <x v="3"/>
    <d v="2026-08-26T08:56:46"/>
    <x v="35"/>
    <x v="19"/>
    <x v="35"/>
    <s v="19BA14.10"/>
    <x v="3"/>
    <x v="0"/>
    <m/>
    <m/>
    <m/>
  </r>
  <r>
    <s v="YK263200225"/>
    <x v="3"/>
    <x v="3"/>
    <n v="1"/>
    <x v="3"/>
    <d v="2026-08-26T08:48:08"/>
    <x v="35"/>
    <x v="19"/>
    <x v="35"/>
    <s v="19BA14.10"/>
    <x v="3"/>
    <x v="0"/>
    <m/>
    <m/>
    <m/>
  </r>
  <r>
    <s v="YK263200226"/>
    <x v="3"/>
    <x v="3"/>
    <n v="1"/>
    <x v="3"/>
    <d v="2026-08-31T16:51:48"/>
    <x v="35"/>
    <x v="19"/>
    <x v="35"/>
    <s v="19BA14.10"/>
    <x v="3"/>
    <x v="0"/>
    <m/>
    <m/>
    <m/>
  </r>
  <r>
    <s v="YK263200227"/>
    <x v="3"/>
    <x v="3"/>
    <n v="1"/>
    <x v="3"/>
    <d v="2026-09-08T07:21:59"/>
    <x v="35"/>
    <x v="19"/>
    <x v="35"/>
    <s v="19BA14.10"/>
    <x v="3"/>
    <x v="0"/>
    <m/>
    <m/>
    <m/>
  </r>
  <r>
    <s v="YK263200228"/>
    <x v="3"/>
    <x v="3"/>
    <n v="1"/>
    <x v="3"/>
    <d v="2026-08-25T10:53:35"/>
    <x v="35"/>
    <x v="19"/>
    <x v="35"/>
    <s v="19BA14.10"/>
    <x v="3"/>
    <x v="0"/>
    <m/>
    <m/>
    <m/>
  </r>
  <r>
    <s v="YK263200229"/>
    <x v="3"/>
    <x v="3"/>
    <n v="1"/>
    <x v="3"/>
    <d v="2026-08-25T11:22:02"/>
    <x v="35"/>
    <x v="19"/>
    <x v="35"/>
    <s v="19BA14.10"/>
    <x v="3"/>
    <x v="0"/>
    <m/>
    <m/>
    <m/>
  </r>
  <r>
    <s v="YK263200230"/>
    <x v="3"/>
    <x v="3"/>
    <n v="1"/>
    <x v="3"/>
    <d v="2026-09-03T07:48:21"/>
    <x v="35"/>
    <x v="19"/>
    <x v="35"/>
    <s v="19BA14.10"/>
    <x v="3"/>
    <x v="0"/>
    <m/>
    <m/>
    <m/>
  </r>
  <r>
    <s v="YK263200231"/>
    <x v="3"/>
    <x v="3"/>
    <n v="1"/>
    <x v="3"/>
    <d v="2026-08-26T09:04:17"/>
    <x v="35"/>
    <x v="19"/>
    <x v="35"/>
    <s v="19BA14.10"/>
    <x v="3"/>
    <x v="0"/>
    <m/>
    <m/>
    <m/>
  </r>
  <r>
    <s v="YK263200232"/>
    <x v="3"/>
    <x v="3"/>
    <n v="1"/>
    <x v="3"/>
    <d v="2026-08-26T08:10:51"/>
    <x v="35"/>
    <x v="19"/>
    <x v="35"/>
    <s v="19BA14.10"/>
    <x v="3"/>
    <x v="0"/>
    <m/>
    <m/>
    <m/>
  </r>
  <r>
    <s v="YK263200233"/>
    <x v="9"/>
    <x v="9"/>
    <n v="1"/>
    <x v="2"/>
    <d v="2026-09-01T11:12:26"/>
    <x v="35"/>
    <x v="19"/>
    <x v="35"/>
    <s v="19BA14.10"/>
    <x v="3"/>
    <x v="0"/>
    <m/>
    <m/>
    <m/>
  </r>
  <r>
    <s v="YK263200234"/>
    <x v="3"/>
    <x v="3"/>
    <n v="1"/>
    <x v="3"/>
    <d v="2026-08-25T11:01:58"/>
    <x v="35"/>
    <x v="19"/>
    <x v="35"/>
    <s v="19BA14.10"/>
    <x v="3"/>
    <x v="0"/>
    <m/>
    <m/>
    <m/>
  </r>
  <r>
    <s v="YK263200235"/>
    <x v="3"/>
    <x v="3"/>
    <n v="1"/>
    <x v="3"/>
    <d v="2026-08-25T10:48:05"/>
    <x v="35"/>
    <x v="19"/>
    <x v="35"/>
    <s v="19BA14.10"/>
    <x v="3"/>
    <x v="0"/>
    <m/>
    <m/>
    <m/>
  </r>
  <r>
    <s v="YK263200236"/>
    <x v="9"/>
    <x v="9"/>
    <n v="1"/>
    <x v="2"/>
    <d v="2026-09-01T11:09:27"/>
    <x v="35"/>
    <x v="19"/>
    <x v="35"/>
    <s v="19BA14.10"/>
    <x v="3"/>
    <x v="0"/>
    <m/>
    <m/>
    <m/>
  </r>
  <r>
    <s v="YK263200237"/>
    <x v="9"/>
    <x v="9"/>
    <n v="1"/>
    <x v="2"/>
    <d v="2026-09-01T11:10:29"/>
    <x v="35"/>
    <x v="19"/>
    <x v="35"/>
    <s v="19BA14.10"/>
    <x v="3"/>
    <x v="0"/>
    <m/>
    <m/>
    <m/>
  </r>
  <r>
    <s v="YK263200238"/>
    <x v="10"/>
    <x v="10"/>
    <n v="1"/>
    <x v="6"/>
    <d v="2026-08-21T11:34:40"/>
    <x v="35"/>
    <x v="19"/>
    <x v="35"/>
    <s v="19BA14.10"/>
    <x v="3"/>
    <x v="0"/>
    <m/>
    <m/>
    <m/>
  </r>
  <r>
    <s v="YK263200239"/>
    <x v="9"/>
    <x v="9"/>
    <n v="1"/>
    <x v="2"/>
    <d v="2026-08-08T08:24:21"/>
    <x v="35"/>
    <x v="19"/>
    <x v="35"/>
    <s v="19BA14.10"/>
    <x v="3"/>
    <x v="0"/>
    <m/>
    <m/>
    <m/>
  </r>
  <r>
    <s v="YK263200240"/>
    <x v="18"/>
    <x v="18"/>
    <n v="1"/>
    <x v="2"/>
    <d v="2026-09-09T19:08:46"/>
    <x v="35"/>
    <x v="19"/>
    <x v="35"/>
    <s v="19BA14.10"/>
    <x v="3"/>
    <x v="0"/>
    <m/>
    <m/>
    <m/>
  </r>
  <r>
    <s v="YK263200241"/>
    <x v="0"/>
    <x v="0"/>
    <n v="1"/>
    <x v="0"/>
    <d v="2026-08-14T11:44:28"/>
    <x v="35"/>
    <x v="19"/>
    <x v="35"/>
    <s v="19BA14.10"/>
    <x v="3"/>
    <x v="0"/>
    <m/>
    <m/>
    <m/>
  </r>
  <r>
    <s v="YK263200242"/>
    <x v="3"/>
    <x v="3"/>
    <n v="1"/>
    <x v="3"/>
    <d v="2026-08-25T11:28:53"/>
    <x v="35"/>
    <x v="19"/>
    <x v="35"/>
    <s v="19BA14.10"/>
    <x v="3"/>
    <x v="0"/>
    <m/>
    <m/>
    <m/>
  </r>
  <r>
    <s v="YK263200243"/>
    <x v="9"/>
    <x v="9"/>
    <n v="1"/>
    <x v="2"/>
    <d v="2026-08-08T09:41:03"/>
    <x v="35"/>
    <x v="19"/>
    <x v="35"/>
    <s v="19BA14.10"/>
    <x v="3"/>
    <x v="0"/>
    <m/>
    <m/>
    <m/>
  </r>
  <r>
    <s v="YK263200244"/>
    <x v="3"/>
    <x v="3"/>
    <n v="1"/>
    <x v="3"/>
    <d v="2026-09-01T08:33:06"/>
    <x v="35"/>
    <x v="19"/>
    <x v="35"/>
    <s v="19BA14.10"/>
    <x v="3"/>
    <x v="0"/>
    <m/>
    <m/>
    <m/>
  </r>
  <r>
    <s v="YK263200245"/>
    <x v="18"/>
    <x v="18"/>
    <n v="1"/>
    <x v="2"/>
    <d v="2026-09-09T19:05:42"/>
    <x v="35"/>
    <x v="19"/>
    <x v="35"/>
    <s v="19BA14.10"/>
    <x v="3"/>
    <x v="0"/>
    <m/>
    <m/>
    <m/>
  </r>
  <r>
    <s v="YK263200246"/>
    <x v="7"/>
    <x v="7"/>
    <n v="1"/>
    <x v="2"/>
    <d v="2026-09-09T07:40:32"/>
    <x v="35"/>
    <x v="19"/>
    <x v="35"/>
    <s v="19BA14.10"/>
    <x v="3"/>
    <x v="0"/>
    <m/>
    <m/>
    <m/>
  </r>
  <r>
    <s v="YK263200247"/>
    <x v="18"/>
    <x v="18"/>
    <n v="1"/>
    <x v="2"/>
    <d v="2026-08-31T19:02:24"/>
    <x v="35"/>
    <x v="19"/>
    <x v="35"/>
    <s v="19BA14.10"/>
    <x v="3"/>
    <x v="0"/>
    <m/>
    <m/>
    <m/>
  </r>
  <r>
    <s v="YK263200248"/>
    <x v="9"/>
    <x v="9"/>
    <n v="1"/>
    <x v="2"/>
    <d v="2026-08-08T10:06:29"/>
    <x v="35"/>
    <x v="19"/>
    <x v="35"/>
    <s v="19BA14.10"/>
    <x v="3"/>
    <x v="0"/>
    <m/>
    <m/>
    <m/>
  </r>
  <r>
    <s v="YK263200249"/>
    <x v="18"/>
    <x v="18"/>
    <n v="1"/>
    <x v="2"/>
    <d v="2026-09-09T19:16:10"/>
    <x v="35"/>
    <x v="19"/>
    <x v="35"/>
    <s v="19BA14.10"/>
    <x v="3"/>
    <x v="0"/>
    <m/>
    <m/>
    <m/>
  </r>
  <r>
    <s v="YK263200250"/>
    <x v="18"/>
    <x v="18"/>
    <n v="1"/>
    <x v="2"/>
    <d v="2026-09-09T19:13:12"/>
    <x v="35"/>
    <x v="19"/>
    <x v="35"/>
    <s v="19BA14.10"/>
    <x v="3"/>
    <x v="0"/>
    <m/>
    <m/>
    <m/>
  </r>
  <r>
    <s v="YK263200251"/>
    <x v="18"/>
    <x v="18"/>
    <n v="1"/>
    <x v="2"/>
    <d v="2026-09-09T17:58:11"/>
    <x v="35"/>
    <x v="19"/>
    <x v="35"/>
    <s v="19BA14.10"/>
    <x v="3"/>
    <x v="0"/>
    <m/>
    <m/>
    <m/>
  </r>
  <r>
    <s v="YK263200252"/>
    <x v="10"/>
    <x v="10"/>
    <n v="1"/>
    <x v="6"/>
    <d v="2026-08-31T09:09:40"/>
    <x v="35"/>
    <x v="19"/>
    <x v="35"/>
    <s v="19BA14.10"/>
    <x v="3"/>
    <x v="0"/>
    <m/>
    <m/>
    <m/>
  </r>
  <r>
    <s v="YK263200253"/>
    <x v="3"/>
    <x v="3"/>
    <n v="1"/>
    <x v="3"/>
    <d v="2026-09-01T07:42:18"/>
    <x v="35"/>
    <x v="19"/>
    <x v="35"/>
    <s v="19BA14.10"/>
    <x v="3"/>
    <x v="0"/>
    <m/>
    <m/>
    <m/>
  </r>
  <r>
    <s v="YK263200254"/>
    <x v="3"/>
    <x v="3"/>
    <n v="1"/>
    <x v="3"/>
    <d v="2026-09-01T07:11:24"/>
    <x v="35"/>
    <x v="19"/>
    <x v="35"/>
    <s v="19BA14.10"/>
    <x v="3"/>
    <x v="0"/>
    <m/>
    <m/>
    <m/>
  </r>
  <r>
    <s v="YK263200255"/>
    <x v="18"/>
    <x v="18"/>
    <n v="1"/>
    <x v="2"/>
    <d v="2026-08-31T18:36:04"/>
    <x v="35"/>
    <x v="19"/>
    <x v="35"/>
    <s v="19BA14.10"/>
    <x v="3"/>
    <x v="0"/>
    <m/>
    <m/>
    <m/>
  </r>
  <r>
    <s v="YK263200256"/>
    <x v="18"/>
    <x v="18"/>
    <n v="1"/>
    <x v="2"/>
    <d v="2026-08-31T14:40:34"/>
    <x v="35"/>
    <x v="19"/>
    <x v="35"/>
    <s v="19BA14.10"/>
    <x v="3"/>
    <x v="0"/>
    <m/>
    <m/>
    <m/>
  </r>
  <r>
    <s v="YK263200257"/>
    <x v="9"/>
    <x v="9"/>
    <n v="1"/>
    <x v="2"/>
    <d v="2026-08-11T15:09:18"/>
    <x v="35"/>
    <x v="19"/>
    <x v="35"/>
    <s v="19BA14.10"/>
    <x v="3"/>
    <x v="0"/>
    <m/>
    <m/>
    <m/>
  </r>
  <r>
    <s v="YK263200258"/>
    <x v="9"/>
    <x v="9"/>
    <n v="1"/>
    <x v="2"/>
    <d v="2026-08-11T15:13:24"/>
    <x v="35"/>
    <x v="19"/>
    <x v="35"/>
    <s v="19BA14.10"/>
    <x v="3"/>
    <x v="0"/>
    <m/>
    <m/>
    <m/>
  </r>
  <r>
    <s v="YK263200259"/>
    <x v="9"/>
    <x v="9"/>
    <n v="1"/>
    <x v="2"/>
    <d v="2026-08-12T14:51:04"/>
    <x v="35"/>
    <x v="19"/>
    <x v="35"/>
    <s v="19BA14.10"/>
    <x v="3"/>
    <x v="0"/>
    <m/>
    <m/>
    <m/>
  </r>
  <r>
    <s v="YK263200260"/>
    <x v="10"/>
    <x v="10"/>
    <n v="1"/>
    <x v="6"/>
    <d v="2026-08-31T11:03:04"/>
    <x v="35"/>
    <x v="19"/>
    <x v="35"/>
    <s v="19BA14.10"/>
    <x v="3"/>
    <x v="0"/>
    <m/>
    <m/>
    <m/>
  </r>
  <r>
    <s v="YK263200261"/>
    <x v="18"/>
    <x v="18"/>
    <n v="1"/>
    <x v="2"/>
    <d v="2026-08-31T13:50:52"/>
    <x v="35"/>
    <x v="19"/>
    <x v="35"/>
    <s v="19BA14.10"/>
    <x v="3"/>
    <x v="0"/>
    <m/>
    <m/>
    <m/>
  </r>
  <r>
    <s v="YK263200262"/>
    <x v="3"/>
    <x v="3"/>
    <n v="1"/>
    <x v="3"/>
    <d v="2026-09-01T07:05:30"/>
    <x v="35"/>
    <x v="19"/>
    <x v="35"/>
    <s v="19BA14.10"/>
    <x v="3"/>
    <x v="0"/>
    <m/>
    <m/>
    <m/>
  </r>
  <r>
    <s v="YK263200263"/>
    <x v="9"/>
    <x v="9"/>
    <n v="1"/>
    <x v="2"/>
    <d v="2026-08-12T13:10:04"/>
    <x v="35"/>
    <x v="19"/>
    <x v="35"/>
    <s v="19BA14.10"/>
    <x v="3"/>
    <x v="0"/>
    <m/>
    <m/>
    <m/>
  </r>
  <r>
    <s v="YK263200264"/>
    <x v="18"/>
    <x v="18"/>
    <n v="1"/>
    <x v="2"/>
    <d v="2026-08-31T14:42:08"/>
    <x v="35"/>
    <x v="19"/>
    <x v="35"/>
    <s v="19BA14.10"/>
    <x v="3"/>
    <x v="0"/>
    <m/>
    <m/>
    <m/>
  </r>
  <r>
    <s v="YK263200265"/>
    <x v="3"/>
    <x v="3"/>
    <n v="1"/>
    <x v="3"/>
    <d v="2026-09-01T06:58:20"/>
    <x v="35"/>
    <x v="19"/>
    <x v="35"/>
    <s v="19BA14.10"/>
    <x v="3"/>
    <x v="0"/>
    <m/>
    <m/>
    <m/>
  </r>
  <r>
    <s v="YK263200266"/>
    <x v="9"/>
    <x v="9"/>
    <n v="1"/>
    <x v="2"/>
    <d v="2026-08-12T13:17:26"/>
    <x v="35"/>
    <x v="19"/>
    <x v="35"/>
    <s v="19BA14.10"/>
    <x v="3"/>
    <x v="0"/>
    <m/>
    <m/>
    <m/>
  </r>
  <r>
    <s v="YK263200267"/>
    <x v="3"/>
    <x v="3"/>
    <n v="1"/>
    <x v="3"/>
    <d v="2026-09-01T08:39:23"/>
    <x v="35"/>
    <x v="19"/>
    <x v="35"/>
    <s v="19BA14.10"/>
    <x v="3"/>
    <x v="0"/>
    <m/>
    <m/>
    <m/>
  </r>
  <r>
    <s v="YK263200268"/>
    <x v="18"/>
    <x v="18"/>
    <n v="1"/>
    <x v="2"/>
    <d v="2026-09-09T19:12:14"/>
    <x v="35"/>
    <x v="19"/>
    <x v="35"/>
    <s v="19BA14.10"/>
    <x v="3"/>
    <x v="0"/>
    <m/>
    <m/>
    <m/>
  </r>
  <r>
    <s v="YK263200269"/>
    <x v="9"/>
    <x v="9"/>
    <n v="1"/>
    <x v="2"/>
    <d v="2026-08-12T16:36:01"/>
    <x v="35"/>
    <x v="19"/>
    <x v="35"/>
    <s v="19BA14.10"/>
    <x v="3"/>
    <x v="0"/>
    <m/>
    <m/>
    <m/>
  </r>
  <r>
    <s v="YK263200270"/>
    <x v="0"/>
    <x v="0"/>
    <n v="1"/>
    <x v="7"/>
    <d v="2026-08-04T10:51:27"/>
    <x v="35"/>
    <x v="19"/>
    <x v="35"/>
    <s v="19BA14.10"/>
    <x v="3"/>
    <x v="0"/>
    <m/>
    <m/>
    <m/>
  </r>
  <r>
    <s v="YK263200271"/>
    <x v="9"/>
    <x v="9"/>
    <n v="1"/>
    <x v="2"/>
    <d v="2026-08-12T12:26:27"/>
    <x v="35"/>
    <x v="19"/>
    <x v="35"/>
    <s v="19BA14.10"/>
    <x v="3"/>
    <x v="0"/>
    <m/>
    <m/>
    <m/>
  </r>
  <r>
    <s v="YK263200272"/>
    <x v="0"/>
    <x v="0"/>
    <n v="1"/>
    <x v="7"/>
    <d v="2026-08-04T10:51:27"/>
    <x v="35"/>
    <x v="19"/>
    <x v="35"/>
    <s v="19BA14.10"/>
    <x v="3"/>
    <x v="0"/>
    <m/>
    <m/>
    <m/>
  </r>
  <r>
    <s v="YK263200273"/>
    <x v="18"/>
    <x v="18"/>
    <n v="1"/>
    <x v="2"/>
    <d v="2026-09-09T17:59:21"/>
    <x v="35"/>
    <x v="19"/>
    <x v="35"/>
    <s v="19BA14.10"/>
    <x v="3"/>
    <x v="0"/>
    <m/>
    <m/>
    <m/>
  </r>
  <r>
    <s v="YK263200274"/>
    <x v="9"/>
    <x v="9"/>
    <n v="1"/>
    <x v="2"/>
    <d v="2026-08-12T16:58:07"/>
    <x v="35"/>
    <x v="19"/>
    <x v="35"/>
    <s v="19BA14.10"/>
    <x v="3"/>
    <x v="0"/>
    <m/>
    <m/>
    <m/>
  </r>
  <r>
    <s v="YK263200275"/>
    <x v="9"/>
    <x v="9"/>
    <n v="1"/>
    <x v="2"/>
    <d v="2026-08-12T17:00:37"/>
    <x v="35"/>
    <x v="19"/>
    <x v="35"/>
    <s v="19BA14.10"/>
    <x v="3"/>
    <x v="0"/>
    <m/>
    <m/>
    <m/>
  </r>
  <r>
    <s v="YK263200276"/>
    <x v="9"/>
    <x v="9"/>
    <n v="1"/>
    <x v="2"/>
    <d v="2026-08-12T17:02:38"/>
    <x v="35"/>
    <x v="19"/>
    <x v="35"/>
    <s v="19BA14.10"/>
    <x v="3"/>
    <x v="0"/>
    <m/>
    <m/>
    <m/>
  </r>
  <r>
    <s v="YK263200277"/>
    <x v="9"/>
    <x v="9"/>
    <n v="1"/>
    <x v="2"/>
    <d v="2026-08-12T17:03:32"/>
    <x v="35"/>
    <x v="19"/>
    <x v="35"/>
    <s v="19BA14.10"/>
    <x v="3"/>
    <x v="0"/>
    <m/>
    <m/>
    <m/>
  </r>
  <r>
    <s v="YK263200278"/>
    <x v="9"/>
    <x v="9"/>
    <n v="1"/>
    <x v="2"/>
    <d v="2026-08-12T17:04:34"/>
    <x v="35"/>
    <x v="19"/>
    <x v="35"/>
    <s v="19BA14.10"/>
    <x v="3"/>
    <x v="0"/>
    <m/>
    <m/>
    <m/>
  </r>
  <r>
    <s v="YK263200279"/>
    <x v="9"/>
    <x v="9"/>
    <n v="1"/>
    <x v="2"/>
    <d v="2026-08-12T17:05:37"/>
    <x v="35"/>
    <x v="19"/>
    <x v="35"/>
    <s v="19BA14.10"/>
    <x v="3"/>
    <x v="0"/>
    <m/>
    <m/>
    <m/>
  </r>
  <r>
    <s v="YK263200280"/>
    <x v="9"/>
    <x v="9"/>
    <n v="1"/>
    <x v="2"/>
    <d v="2026-08-12T17:05:59"/>
    <x v="35"/>
    <x v="19"/>
    <x v="35"/>
    <s v="19BA14.10"/>
    <x v="3"/>
    <x v="0"/>
    <m/>
    <m/>
    <m/>
  </r>
  <r>
    <s v="YK263200281"/>
    <x v="0"/>
    <x v="0"/>
    <n v="1"/>
    <x v="7"/>
    <d v="2026-08-04T10:51:27"/>
    <x v="35"/>
    <x v="19"/>
    <x v="35"/>
    <s v="19BA14.10"/>
    <x v="3"/>
    <x v="0"/>
    <m/>
    <m/>
    <m/>
  </r>
  <r>
    <s v="YK263200282"/>
    <x v="0"/>
    <x v="0"/>
    <n v="1"/>
    <x v="7"/>
    <d v="2026-08-04T10:51:27"/>
    <x v="35"/>
    <x v="19"/>
    <x v="35"/>
    <s v="19BA14.10"/>
    <x v="3"/>
    <x v="0"/>
    <m/>
    <m/>
    <m/>
  </r>
  <r>
    <s v="YK263200283"/>
    <x v="3"/>
    <x v="3"/>
    <n v="1"/>
    <x v="3"/>
    <d v="2026-09-09T19:17:33"/>
    <x v="35"/>
    <x v="19"/>
    <x v="35"/>
    <s v="19BA14.10"/>
    <x v="3"/>
    <x v="0"/>
    <m/>
    <m/>
    <m/>
  </r>
  <r>
    <s v="YK263200284"/>
    <x v="9"/>
    <x v="9"/>
    <n v="1"/>
    <x v="2"/>
    <d v="2026-08-14T11:33:33"/>
    <x v="35"/>
    <x v="19"/>
    <x v="35"/>
    <s v="19BA14.10"/>
    <x v="3"/>
    <x v="0"/>
    <m/>
    <m/>
    <m/>
  </r>
  <r>
    <s v="YK263200285"/>
    <x v="9"/>
    <x v="9"/>
    <n v="1"/>
    <x v="2"/>
    <d v="2026-08-14T11:33:20"/>
    <x v="35"/>
    <x v="19"/>
    <x v="35"/>
    <s v="19BA14.10"/>
    <x v="3"/>
    <x v="0"/>
    <m/>
    <m/>
    <m/>
  </r>
  <r>
    <s v="YK263200286"/>
    <x v="3"/>
    <x v="3"/>
    <n v="1"/>
    <x v="3"/>
    <d v="2026-09-09T19:47:27"/>
    <x v="35"/>
    <x v="19"/>
    <x v="35"/>
    <s v="19BA14.10"/>
    <x v="3"/>
    <x v="0"/>
    <m/>
    <m/>
    <m/>
  </r>
  <r>
    <s v="YK263200287"/>
    <x v="3"/>
    <x v="3"/>
    <n v="1"/>
    <x v="3"/>
    <d v="2026-09-01T07:16:04"/>
    <x v="35"/>
    <x v="19"/>
    <x v="35"/>
    <s v="19BA14.10"/>
    <x v="3"/>
    <x v="0"/>
    <m/>
    <m/>
    <m/>
  </r>
  <r>
    <s v="YK263200288"/>
    <x v="3"/>
    <x v="3"/>
    <n v="1"/>
    <x v="3"/>
    <d v="2026-08-28T10:15:52"/>
    <x v="35"/>
    <x v="19"/>
    <x v="35"/>
    <s v="19BA14.10"/>
    <x v="3"/>
    <x v="0"/>
    <m/>
    <m/>
    <m/>
  </r>
  <r>
    <s v="YK263200289"/>
    <x v="3"/>
    <x v="3"/>
    <n v="1"/>
    <x v="3"/>
    <d v="2026-08-21T14:04:27"/>
    <x v="35"/>
    <x v="19"/>
    <x v="35"/>
    <s v="19BA14.10"/>
    <x v="3"/>
    <x v="0"/>
    <m/>
    <m/>
    <m/>
  </r>
  <r>
    <s v="YK263200290"/>
    <x v="9"/>
    <x v="9"/>
    <n v="1"/>
    <x v="2"/>
    <d v="2026-08-31T06:54:53"/>
    <x v="35"/>
    <x v="19"/>
    <x v="35"/>
    <s v="19BA14.10"/>
    <x v="3"/>
    <x v="0"/>
    <m/>
    <m/>
    <m/>
  </r>
  <r>
    <s v="YK263200291"/>
    <x v="3"/>
    <x v="3"/>
    <n v="1"/>
    <x v="3"/>
    <d v="2026-09-09T19:59:55"/>
    <x v="35"/>
    <x v="19"/>
    <x v="35"/>
    <s v="19BA14.10"/>
    <x v="3"/>
    <x v="0"/>
    <m/>
    <m/>
    <m/>
  </r>
  <r>
    <s v="YK263200292"/>
    <x v="18"/>
    <x v="18"/>
    <n v="1"/>
    <x v="2"/>
    <d v="2026-08-31T18:43:28"/>
    <x v="35"/>
    <x v="19"/>
    <x v="35"/>
    <s v="19BA14.10"/>
    <x v="3"/>
    <x v="0"/>
    <m/>
    <m/>
    <m/>
  </r>
  <r>
    <s v="YK263200293"/>
    <x v="18"/>
    <x v="18"/>
    <n v="1"/>
    <x v="2"/>
    <d v="2026-08-31T18:45:08"/>
    <x v="35"/>
    <x v="19"/>
    <x v="35"/>
    <s v="19BA14.10"/>
    <x v="3"/>
    <x v="0"/>
    <m/>
    <m/>
    <m/>
  </r>
  <r>
    <s v="YK263200294"/>
    <x v="9"/>
    <x v="9"/>
    <n v="1"/>
    <x v="2"/>
    <d v="2026-08-15T07:15:23"/>
    <x v="35"/>
    <x v="19"/>
    <x v="35"/>
    <s v="19BA14.10"/>
    <x v="3"/>
    <x v="0"/>
    <m/>
    <m/>
    <m/>
  </r>
  <r>
    <s v="YK263200295"/>
    <x v="9"/>
    <x v="9"/>
    <n v="1"/>
    <x v="2"/>
    <d v="2026-08-15T07:16:51"/>
    <x v="35"/>
    <x v="19"/>
    <x v="35"/>
    <s v="19BA14.10"/>
    <x v="3"/>
    <x v="0"/>
    <m/>
    <m/>
    <m/>
  </r>
  <r>
    <s v="YK263200296"/>
    <x v="7"/>
    <x v="7"/>
    <n v="1"/>
    <x v="2"/>
    <d v="2026-09-09T07:35:08"/>
    <x v="35"/>
    <x v="19"/>
    <x v="35"/>
    <s v="19BA14.10"/>
    <x v="3"/>
    <x v="0"/>
    <m/>
    <m/>
    <m/>
  </r>
  <r>
    <s v="YK263200297"/>
    <x v="0"/>
    <x v="0"/>
    <n v="1"/>
    <x v="7"/>
    <d v="2026-08-04T10:51:27"/>
    <x v="35"/>
    <x v="19"/>
    <x v="35"/>
    <s v="19BA14.10"/>
    <x v="3"/>
    <x v="0"/>
    <m/>
    <m/>
    <m/>
  </r>
  <r>
    <s v="YK263200298"/>
    <x v="3"/>
    <x v="3"/>
    <n v="1"/>
    <x v="3"/>
    <d v="2026-09-09T19:53:57"/>
    <x v="35"/>
    <x v="19"/>
    <x v="35"/>
    <s v="19BA14.10"/>
    <x v="3"/>
    <x v="0"/>
    <m/>
    <m/>
    <m/>
  </r>
  <r>
    <s v="YK263200299"/>
    <x v="3"/>
    <x v="3"/>
    <n v="1"/>
    <x v="3"/>
    <d v="2026-09-09T19:30:16"/>
    <x v="35"/>
    <x v="19"/>
    <x v="35"/>
    <s v="19BA14.10"/>
    <x v="3"/>
    <x v="0"/>
    <m/>
    <m/>
    <m/>
  </r>
  <r>
    <s v="YK263200300"/>
    <x v="3"/>
    <x v="3"/>
    <n v="1"/>
    <x v="3"/>
    <d v="2026-09-09T19:07:10"/>
    <x v="35"/>
    <x v="19"/>
    <x v="35"/>
    <s v="19BA14.10"/>
    <x v="3"/>
    <x v="0"/>
    <m/>
    <m/>
    <m/>
  </r>
  <r>
    <s v="YK263200301"/>
    <x v="9"/>
    <x v="9"/>
    <n v="1"/>
    <x v="2"/>
    <d v="2026-08-15T07:21:07"/>
    <x v="35"/>
    <x v="19"/>
    <x v="35"/>
    <s v="19BA14.10"/>
    <x v="3"/>
    <x v="0"/>
    <m/>
    <m/>
    <m/>
  </r>
  <r>
    <s v="YK263200302"/>
    <x v="9"/>
    <x v="9"/>
    <n v="1"/>
    <x v="2"/>
    <d v="2026-08-15T08:20:27"/>
    <x v="35"/>
    <x v="19"/>
    <x v="35"/>
    <s v="19BA14.10"/>
    <x v="3"/>
    <x v="0"/>
    <m/>
    <m/>
    <m/>
  </r>
  <r>
    <s v="YK263200303"/>
    <x v="3"/>
    <x v="3"/>
    <n v="1"/>
    <x v="3"/>
    <d v="2026-09-09T19:35:13"/>
    <x v="35"/>
    <x v="19"/>
    <x v="35"/>
    <s v="19BA14.10"/>
    <x v="3"/>
    <x v="0"/>
    <m/>
    <m/>
    <m/>
  </r>
  <r>
    <s v="YK263200304"/>
    <x v="3"/>
    <x v="3"/>
    <n v="1"/>
    <x v="3"/>
    <d v="2026-09-09T19:12:30"/>
    <x v="35"/>
    <x v="19"/>
    <x v="35"/>
    <s v="19BA14.10"/>
    <x v="3"/>
    <x v="0"/>
    <m/>
    <m/>
    <m/>
  </r>
  <r>
    <s v="YK263200305"/>
    <x v="3"/>
    <x v="3"/>
    <n v="1"/>
    <x v="3"/>
    <d v="2026-09-09T19:41:25"/>
    <x v="35"/>
    <x v="19"/>
    <x v="35"/>
    <s v="19BA14.10"/>
    <x v="3"/>
    <x v="0"/>
    <m/>
    <m/>
    <m/>
  </r>
  <r>
    <s v="YK263200306"/>
    <x v="10"/>
    <x v="10"/>
    <n v="1"/>
    <x v="6"/>
    <d v="2026-08-31T08:18:42"/>
    <x v="35"/>
    <x v="19"/>
    <x v="35"/>
    <s v="19BA14.10"/>
    <x v="3"/>
    <x v="0"/>
    <m/>
    <m/>
    <m/>
  </r>
  <r>
    <s v="YK263200307"/>
    <x v="7"/>
    <x v="7"/>
    <n v="1"/>
    <x v="2"/>
    <d v="2026-08-31T06:12:26"/>
    <x v="35"/>
    <x v="19"/>
    <x v="35"/>
    <s v="19BA14.10"/>
    <x v="3"/>
    <x v="0"/>
    <m/>
    <m/>
    <m/>
  </r>
  <r>
    <s v="YK263200308"/>
    <x v="7"/>
    <x v="7"/>
    <n v="1"/>
    <x v="2"/>
    <d v="2026-08-28T15:18:52"/>
    <x v="35"/>
    <x v="19"/>
    <x v="35"/>
    <s v="19BA14.10"/>
    <x v="3"/>
    <x v="0"/>
    <m/>
    <m/>
    <m/>
  </r>
  <r>
    <s v="YK263200309"/>
    <x v="7"/>
    <x v="7"/>
    <n v="1"/>
    <x v="2"/>
    <d v="2026-09-09T07:30:43"/>
    <x v="35"/>
    <x v="19"/>
    <x v="35"/>
    <s v="19BA14.10"/>
    <x v="3"/>
    <x v="0"/>
    <m/>
    <m/>
    <m/>
  </r>
  <r>
    <s v="YK263200310"/>
    <x v="7"/>
    <x v="7"/>
    <n v="1"/>
    <x v="2"/>
    <d v="2026-08-28T15:10:11"/>
    <x v="35"/>
    <x v="19"/>
    <x v="35"/>
    <s v="19BA14.10"/>
    <x v="3"/>
    <x v="0"/>
    <m/>
    <m/>
    <m/>
  </r>
  <r>
    <s v="YK263200311"/>
    <x v="7"/>
    <x v="7"/>
    <n v="1"/>
    <x v="2"/>
    <d v="2026-08-28T15:15:37"/>
    <x v="35"/>
    <x v="19"/>
    <x v="35"/>
    <s v="19BA14.10"/>
    <x v="3"/>
    <x v="0"/>
    <m/>
    <m/>
    <m/>
  </r>
  <r>
    <s v="YK263200312"/>
    <x v="7"/>
    <x v="7"/>
    <n v="1"/>
    <x v="2"/>
    <d v="2026-08-29T05:34:16"/>
    <x v="35"/>
    <x v="19"/>
    <x v="35"/>
    <s v="19BA14.10"/>
    <x v="3"/>
    <x v="0"/>
    <m/>
    <m/>
    <m/>
  </r>
  <r>
    <s v="YK263200313"/>
    <x v="7"/>
    <x v="7"/>
    <n v="1"/>
    <x v="2"/>
    <d v="2026-08-29T05:30:26"/>
    <x v="35"/>
    <x v="19"/>
    <x v="35"/>
    <s v="19BA14.10"/>
    <x v="3"/>
    <x v="0"/>
    <m/>
    <m/>
    <m/>
  </r>
  <r>
    <s v="YK263200314"/>
    <x v="7"/>
    <x v="7"/>
    <n v="1"/>
    <x v="2"/>
    <d v="2026-08-28T15:28:30"/>
    <x v="35"/>
    <x v="19"/>
    <x v="35"/>
    <s v="19BA14.10"/>
    <x v="3"/>
    <x v="0"/>
    <m/>
    <m/>
    <m/>
  </r>
  <r>
    <s v="YK263200315"/>
    <x v="7"/>
    <x v="7"/>
    <n v="1"/>
    <x v="2"/>
    <d v="2026-08-29T05:26:33"/>
    <x v="35"/>
    <x v="19"/>
    <x v="35"/>
    <s v="19BA14.10"/>
    <x v="3"/>
    <x v="0"/>
    <m/>
    <m/>
    <m/>
  </r>
  <r>
    <s v="YK263200316"/>
    <x v="7"/>
    <x v="7"/>
    <n v="1"/>
    <x v="2"/>
    <d v="2026-08-28T14:53:29"/>
    <x v="35"/>
    <x v="19"/>
    <x v="35"/>
    <s v="19BA14.10"/>
    <x v="3"/>
    <x v="0"/>
    <m/>
    <m/>
    <m/>
  </r>
  <r>
    <s v="YK263200317"/>
    <x v="7"/>
    <x v="7"/>
    <n v="1"/>
    <x v="2"/>
    <d v="2026-08-28T15:21:21"/>
    <x v="35"/>
    <x v="19"/>
    <x v="35"/>
    <s v="19BA14.10"/>
    <x v="3"/>
    <x v="0"/>
    <m/>
    <m/>
    <m/>
  </r>
  <r>
    <s v="YK263200318"/>
    <x v="7"/>
    <x v="7"/>
    <n v="1"/>
    <x v="2"/>
    <d v="2026-08-28T14:48:50"/>
    <x v="35"/>
    <x v="19"/>
    <x v="35"/>
    <s v="19BA14.10"/>
    <x v="3"/>
    <x v="0"/>
    <m/>
    <m/>
    <m/>
  </r>
  <r>
    <s v="YK263200319"/>
    <x v="7"/>
    <x v="7"/>
    <n v="1"/>
    <x v="2"/>
    <d v="2026-08-28T14:39:23"/>
    <x v="35"/>
    <x v="19"/>
    <x v="35"/>
    <s v="19BA14.10"/>
    <x v="3"/>
    <x v="0"/>
    <m/>
    <m/>
    <m/>
  </r>
  <r>
    <s v="YK263200320"/>
    <x v="7"/>
    <x v="7"/>
    <n v="1"/>
    <x v="2"/>
    <d v="2026-08-28T14:33:22"/>
    <x v="35"/>
    <x v="19"/>
    <x v="35"/>
    <s v="19BA14.10"/>
    <x v="3"/>
    <x v="0"/>
    <m/>
    <m/>
    <m/>
  </r>
  <r>
    <s v="YK263200321"/>
    <x v="7"/>
    <x v="7"/>
    <n v="1"/>
    <x v="2"/>
    <d v="2026-08-28T14:23:23"/>
    <x v="35"/>
    <x v="19"/>
    <x v="35"/>
    <s v="19BA14.10"/>
    <x v="3"/>
    <x v="0"/>
    <m/>
    <m/>
    <m/>
  </r>
  <r>
    <s v="YK263200322"/>
    <x v="18"/>
    <x v="18"/>
    <n v="1"/>
    <x v="2"/>
    <d v="2026-09-09T19:15:10"/>
    <x v="35"/>
    <x v="19"/>
    <x v="35"/>
    <s v="19BA14.10"/>
    <x v="3"/>
    <x v="0"/>
    <m/>
    <m/>
    <m/>
  </r>
  <r>
    <s v="YK263200323"/>
    <x v="9"/>
    <x v="9"/>
    <n v="1"/>
    <x v="2"/>
    <d v="2026-08-17T05:17:23"/>
    <x v="35"/>
    <x v="19"/>
    <x v="35"/>
    <s v="19BA14.10"/>
    <x v="3"/>
    <x v="0"/>
    <m/>
    <m/>
    <m/>
  </r>
  <r>
    <s v="YK263200324"/>
    <x v="7"/>
    <x v="7"/>
    <n v="1"/>
    <x v="2"/>
    <d v="2026-08-31T13:58:18"/>
    <x v="35"/>
    <x v="19"/>
    <x v="35"/>
    <s v="19BA14.10"/>
    <x v="3"/>
    <x v="0"/>
    <m/>
    <m/>
    <m/>
  </r>
  <r>
    <s v="YK263200325"/>
    <x v="9"/>
    <x v="9"/>
    <n v="1"/>
    <x v="2"/>
    <d v="2026-08-17T14:49:18"/>
    <x v="35"/>
    <x v="19"/>
    <x v="35"/>
    <s v="19BA14.10"/>
    <x v="3"/>
    <x v="0"/>
    <m/>
    <m/>
    <m/>
  </r>
  <r>
    <s v="YK263200326"/>
    <x v="7"/>
    <x v="7"/>
    <n v="1"/>
    <x v="2"/>
    <d v="2026-08-31T14:18:24"/>
    <x v="35"/>
    <x v="19"/>
    <x v="35"/>
    <s v="19BA14.10"/>
    <x v="3"/>
    <x v="0"/>
    <m/>
    <m/>
    <m/>
  </r>
  <r>
    <s v="YK263200327"/>
    <x v="9"/>
    <x v="9"/>
    <n v="1"/>
    <x v="2"/>
    <d v="2026-08-17T15:12:12"/>
    <x v="35"/>
    <x v="19"/>
    <x v="35"/>
    <s v="19BA14.10"/>
    <x v="3"/>
    <x v="0"/>
    <m/>
    <m/>
    <m/>
  </r>
  <r>
    <s v="YK263200328"/>
    <x v="7"/>
    <x v="7"/>
    <n v="1"/>
    <x v="2"/>
    <d v="2026-08-31T14:16:53"/>
    <x v="35"/>
    <x v="19"/>
    <x v="35"/>
    <s v="19BA14.10"/>
    <x v="3"/>
    <x v="0"/>
    <m/>
    <m/>
    <m/>
  </r>
  <r>
    <s v="YK263200329"/>
    <x v="9"/>
    <x v="9"/>
    <n v="1"/>
    <x v="2"/>
    <d v="2026-08-17T15:13:45"/>
    <x v="35"/>
    <x v="19"/>
    <x v="35"/>
    <s v="19BA14.10"/>
    <x v="3"/>
    <x v="0"/>
    <m/>
    <m/>
    <m/>
  </r>
  <r>
    <s v="YK263200330"/>
    <x v="7"/>
    <x v="7"/>
    <n v="1"/>
    <x v="2"/>
    <d v="2026-08-31T14:15:15"/>
    <x v="35"/>
    <x v="19"/>
    <x v="35"/>
    <s v="19BA14.10"/>
    <x v="3"/>
    <x v="0"/>
    <m/>
    <m/>
    <m/>
  </r>
  <r>
    <s v="YK263200331"/>
    <x v="18"/>
    <x v="18"/>
    <n v="1"/>
    <x v="2"/>
    <d v="2026-09-09T19:22:23"/>
    <x v="35"/>
    <x v="19"/>
    <x v="35"/>
    <s v="19BA14.10"/>
    <x v="3"/>
    <x v="0"/>
    <m/>
    <m/>
    <m/>
  </r>
  <r>
    <s v="YK263200332"/>
    <x v="7"/>
    <x v="7"/>
    <n v="1"/>
    <x v="2"/>
    <d v="2026-09-09T07:38:33"/>
    <x v="35"/>
    <x v="19"/>
    <x v="35"/>
    <s v="19BA14.10"/>
    <x v="3"/>
    <x v="0"/>
    <m/>
    <m/>
    <m/>
  </r>
  <r>
    <s v="YK263200333"/>
    <x v="9"/>
    <x v="9"/>
    <n v="1"/>
    <x v="2"/>
    <d v="2026-08-17T15:16:58"/>
    <x v="35"/>
    <x v="19"/>
    <x v="35"/>
    <s v="19BA14.10"/>
    <x v="3"/>
    <x v="0"/>
    <m/>
    <m/>
    <m/>
  </r>
  <r>
    <s v="YK263200334"/>
    <x v="10"/>
    <x v="10"/>
    <n v="1"/>
    <x v="6"/>
    <d v="2026-08-31T13:40:17"/>
    <x v="35"/>
    <x v="19"/>
    <x v="35"/>
    <s v="19BA14.10"/>
    <x v="3"/>
    <x v="0"/>
    <m/>
    <m/>
    <m/>
  </r>
  <r>
    <s v="YK263200335"/>
    <x v="7"/>
    <x v="7"/>
    <n v="1"/>
    <x v="2"/>
    <d v="2026-08-31T13:54:23"/>
    <x v="35"/>
    <x v="19"/>
    <x v="35"/>
    <s v="19BA14.10"/>
    <x v="3"/>
    <x v="0"/>
    <m/>
    <m/>
    <m/>
  </r>
  <r>
    <s v="YK263200336"/>
    <x v="7"/>
    <x v="7"/>
    <n v="1"/>
    <x v="2"/>
    <d v="2026-08-31T14:00:16"/>
    <x v="35"/>
    <x v="19"/>
    <x v="35"/>
    <s v="19BA14.10"/>
    <x v="3"/>
    <x v="0"/>
    <m/>
    <m/>
    <m/>
  </r>
  <r>
    <s v="YK263200337"/>
    <x v="9"/>
    <x v="9"/>
    <n v="1"/>
    <x v="2"/>
    <d v="2026-08-17T15:23:08"/>
    <x v="35"/>
    <x v="19"/>
    <x v="35"/>
    <s v="19BA14.10"/>
    <x v="3"/>
    <x v="0"/>
    <m/>
    <m/>
    <m/>
  </r>
  <r>
    <s v="YK263200338"/>
    <x v="9"/>
    <x v="9"/>
    <n v="1"/>
    <x v="2"/>
    <d v="2026-08-31T14:20:23"/>
    <x v="35"/>
    <x v="19"/>
    <x v="35"/>
    <s v="19BA14.10"/>
    <x v="3"/>
    <x v="0"/>
    <m/>
    <m/>
    <m/>
  </r>
  <r>
    <s v="YK263200339"/>
    <x v="7"/>
    <x v="7"/>
    <n v="1"/>
    <x v="2"/>
    <d v="2026-08-31T14:22:03"/>
    <x v="35"/>
    <x v="19"/>
    <x v="35"/>
    <s v="19BA14.10"/>
    <x v="3"/>
    <x v="0"/>
    <m/>
    <m/>
    <m/>
  </r>
  <r>
    <s v="YK263200340"/>
    <x v="9"/>
    <x v="9"/>
    <n v="1"/>
    <x v="2"/>
    <d v="2026-08-17T15:25:03"/>
    <x v="35"/>
    <x v="19"/>
    <x v="35"/>
    <s v="19BA14.10"/>
    <x v="3"/>
    <x v="0"/>
    <m/>
    <m/>
    <m/>
  </r>
  <r>
    <s v="YK263200341"/>
    <x v="9"/>
    <x v="9"/>
    <n v="1"/>
    <x v="2"/>
    <d v="2026-08-17T15:25:16"/>
    <x v="35"/>
    <x v="19"/>
    <x v="35"/>
    <s v="19BA14.10"/>
    <x v="3"/>
    <x v="0"/>
    <m/>
    <m/>
    <m/>
  </r>
  <r>
    <s v="YK263200342"/>
    <x v="7"/>
    <x v="7"/>
    <n v="1"/>
    <x v="2"/>
    <d v="2026-08-31T14:26:20"/>
    <x v="35"/>
    <x v="19"/>
    <x v="35"/>
    <s v="19BA14.10"/>
    <x v="3"/>
    <x v="0"/>
    <m/>
    <m/>
    <m/>
  </r>
  <r>
    <s v="YK263200343"/>
    <x v="9"/>
    <x v="9"/>
    <n v="1"/>
    <x v="2"/>
    <d v="2026-08-17T15:25:45"/>
    <x v="35"/>
    <x v="19"/>
    <x v="35"/>
    <s v="19BA14.10"/>
    <x v="3"/>
    <x v="0"/>
    <m/>
    <m/>
    <m/>
  </r>
  <r>
    <s v="YK263200344"/>
    <x v="18"/>
    <x v="18"/>
    <n v="1"/>
    <x v="2"/>
    <d v="2026-09-09T19:07:14"/>
    <x v="35"/>
    <x v="19"/>
    <x v="35"/>
    <s v="19BA14.10"/>
    <x v="3"/>
    <x v="0"/>
    <m/>
    <m/>
    <m/>
  </r>
  <r>
    <s v="YK263200345"/>
    <x v="9"/>
    <x v="9"/>
    <n v="1"/>
    <x v="2"/>
    <d v="2026-08-17T15:26:08"/>
    <x v="35"/>
    <x v="19"/>
    <x v="35"/>
    <s v="19BA14.10"/>
    <x v="3"/>
    <x v="0"/>
    <m/>
    <m/>
    <m/>
  </r>
  <r>
    <s v="YK263200346"/>
    <x v="9"/>
    <x v="9"/>
    <n v="1"/>
    <x v="2"/>
    <d v="2026-08-17T17:55:47"/>
    <x v="35"/>
    <x v="19"/>
    <x v="35"/>
    <s v="19BA14.10"/>
    <x v="3"/>
    <x v="0"/>
    <m/>
    <m/>
    <m/>
  </r>
  <r>
    <s v="YK263200347"/>
    <x v="18"/>
    <x v="18"/>
    <n v="1"/>
    <x v="2"/>
    <d v="2026-09-09T19:42:27"/>
    <x v="35"/>
    <x v="19"/>
    <x v="35"/>
    <s v="19BA14.10"/>
    <x v="3"/>
    <x v="0"/>
    <m/>
    <m/>
    <m/>
  </r>
  <r>
    <s v="YK263200348"/>
    <x v="9"/>
    <x v="9"/>
    <n v="1"/>
    <x v="2"/>
    <d v="2026-08-17T17:56:16"/>
    <x v="35"/>
    <x v="19"/>
    <x v="35"/>
    <s v="19BA14.10"/>
    <x v="3"/>
    <x v="0"/>
    <m/>
    <m/>
    <m/>
  </r>
  <r>
    <s v="YK263200349"/>
    <x v="7"/>
    <x v="7"/>
    <n v="1"/>
    <x v="2"/>
    <d v="2026-08-31T12:26:45"/>
    <x v="35"/>
    <x v="19"/>
    <x v="35"/>
    <s v="19BA14.10"/>
    <x v="3"/>
    <x v="0"/>
    <m/>
    <m/>
    <m/>
  </r>
  <r>
    <s v="YK263200350"/>
    <x v="9"/>
    <x v="9"/>
    <n v="1"/>
    <x v="2"/>
    <d v="2026-08-17T18:18:42"/>
    <x v="35"/>
    <x v="19"/>
    <x v="35"/>
    <s v="19BA14.10"/>
    <x v="3"/>
    <x v="0"/>
    <m/>
    <m/>
    <m/>
  </r>
  <r>
    <s v="YK263200351"/>
    <x v="9"/>
    <x v="9"/>
    <n v="1"/>
    <x v="2"/>
    <d v="2026-08-17T18:19:27"/>
    <x v="35"/>
    <x v="19"/>
    <x v="35"/>
    <s v="19BA14.10"/>
    <x v="3"/>
    <x v="0"/>
    <m/>
    <m/>
    <m/>
  </r>
  <r>
    <s v="YK263200352"/>
    <x v="9"/>
    <x v="9"/>
    <n v="1"/>
    <x v="2"/>
    <d v="2026-08-17T18:19:55"/>
    <x v="35"/>
    <x v="19"/>
    <x v="35"/>
    <s v="19BA14.10"/>
    <x v="3"/>
    <x v="0"/>
    <m/>
    <m/>
    <m/>
  </r>
  <r>
    <s v="YK263200353"/>
    <x v="9"/>
    <x v="9"/>
    <n v="1"/>
    <x v="2"/>
    <d v="2026-08-17T18:20:55"/>
    <x v="35"/>
    <x v="19"/>
    <x v="35"/>
    <s v="19BA14.10"/>
    <x v="3"/>
    <x v="0"/>
    <m/>
    <m/>
    <m/>
  </r>
  <r>
    <s v="YK263200354"/>
    <x v="9"/>
    <x v="9"/>
    <n v="1"/>
    <x v="2"/>
    <d v="2026-08-17T18:21:11"/>
    <x v="35"/>
    <x v="19"/>
    <x v="35"/>
    <s v="19BA14.10"/>
    <x v="3"/>
    <x v="0"/>
    <m/>
    <m/>
    <m/>
  </r>
  <r>
    <s v="YK263200355"/>
    <x v="9"/>
    <x v="9"/>
    <n v="1"/>
    <x v="2"/>
    <d v="2026-08-17T18:21:29"/>
    <x v="35"/>
    <x v="19"/>
    <x v="35"/>
    <s v="19BA14.10"/>
    <x v="3"/>
    <x v="0"/>
    <m/>
    <m/>
    <m/>
  </r>
  <r>
    <s v="YK263200356"/>
    <x v="6"/>
    <x v="6"/>
    <n v="1"/>
    <x v="6"/>
    <d v="2026-09-08T23:37:28"/>
    <x v="35"/>
    <x v="19"/>
    <x v="35"/>
    <s v="19BA14.10"/>
    <x v="3"/>
    <x v="0"/>
    <m/>
    <m/>
    <m/>
  </r>
  <r>
    <s v="YK263200357"/>
    <x v="7"/>
    <x v="7"/>
    <n v="1"/>
    <x v="2"/>
    <d v="2026-08-31T13:32:53"/>
    <x v="35"/>
    <x v="19"/>
    <x v="35"/>
    <s v="19BA14.10"/>
    <x v="3"/>
    <x v="0"/>
    <m/>
    <m/>
    <m/>
  </r>
  <r>
    <s v="YK263200358"/>
    <x v="9"/>
    <x v="9"/>
    <n v="1"/>
    <x v="2"/>
    <d v="2026-08-17T19:22:58"/>
    <x v="35"/>
    <x v="19"/>
    <x v="35"/>
    <s v="19BA14.10"/>
    <x v="3"/>
    <x v="0"/>
    <m/>
    <m/>
    <m/>
  </r>
  <r>
    <s v="YK263200359"/>
    <x v="9"/>
    <x v="9"/>
    <n v="1"/>
    <x v="2"/>
    <d v="2026-08-17T19:22:11"/>
    <x v="35"/>
    <x v="19"/>
    <x v="35"/>
    <s v="19BA14.10"/>
    <x v="3"/>
    <x v="0"/>
    <m/>
    <m/>
    <m/>
  </r>
  <r>
    <s v="YK263200360"/>
    <x v="9"/>
    <x v="9"/>
    <n v="1"/>
    <x v="2"/>
    <d v="2026-08-17T19:12:32"/>
    <x v="35"/>
    <x v="19"/>
    <x v="35"/>
    <s v="19BA14.10"/>
    <x v="3"/>
    <x v="0"/>
    <m/>
    <m/>
    <m/>
  </r>
  <r>
    <s v="YK263200361"/>
    <x v="18"/>
    <x v="18"/>
    <n v="1"/>
    <x v="2"/>
    <d v="2026-09-09T19:38:19"/>
    <x v="35"/>
    <x v="19"/>
    <x v="35"/>
    <s v="19BA14.10"/>
    <x v="3"/>
    <x v="0"/>
    <m/>
    <m/>
    <m/>
  </r>
  <r>
    <s v="YK263200362"/>
    <x v="9"/>
    <x v="9"/>
    <n v="1"/>
    <x v="2"/>
    <d v="2026-08-31T13:17:22"/>
    <x v="35"/>
    <x v="19"/>
    <x v="35"/>
    <s v="19BA14.10"/>
    <x v="3"/>
    <x v="0"/>
    <m/>
    <m/>
    <m/>
  </r>
  <r>
    <s v="YK263200363"/>
    <x v="9"/>
    <x v="9"/>
    <n v="1"/>
    <x v="2"/>
    <d v="2026-08-17T19:11:04"/>
    <x v="35"/>
    <x v="19"/>
    <x v="35"/>
    <s v="19BA14.10"/>
    <x v="3"/>
    <x v="0"/>
    <m/>
    <m/>
    <m/>
  </r>
  <r>
    <s v="YK263200364"/>
    <x v="7"/>
    <x v="7"/>
    <n v="1"/>
    <x v="2"/>
    <d v="2026-08-31T13:22:41"/>
    <x v="35"/>
    <x v="19"/>
    <x v="35"/>
    <s v="19BA14.10"/>
    <x v="3"/>
    <x v="0"/>
    <m/>
    <m/>
    <m/>
  </r>
  <r>
    <s v="YK263200365"/>
    <x v="9"/>
    <x v="9"/>
    <n v="1"/>
    <x v="2"/>
    <d v="2026-08-17T19:07:37"/>
    <x v="35"/>
    <x v="19"/>
    <x v="35"/>
    <s v="19BA14.10"/>
    <x v="3"/>
    <x v="0"/>
    <m/>
    <m/>
    <m/>
  </r>
  <r>
    <s v="YK263200366"/>
    <x v="3"/>
    <x v="3"/>
    <n v="1"/>
    <x v="3"/>
    <d v="2026-09-01T07:20:40"/>
    <x v="35"/>
    <x v="19"/>
    <x v="35"/>
    <s v="19BA14.10"/>
    <x v="3"/>
    <x v="0"/>
    <m/>
    <m/>
    <m/>
  </r>
  <r>
    <s v="YK263200367"/>
    <x v="9"/>
    <x v="9"/>
    <n v="1"/>
    <x v="2"/>
    <d v="2026-08-17T21:19:09"/>
    <x v="35"/>
    <x v="19"/>
    <x v="35"/>
    <s v="19BA14.10"/>
    <x v="3"/>
    <x v="0"/>
    <m/>
    <m/>
    <m/>
  </r>
  <r>
    <s v="YK263200368"/>
    <x v="9"/>
    <x v="9"/>
    <n v="1"/>
    <x v="2"/>
    <d v="2026-08-17T21:18:27"/>
    <x v="35"/>
    <x v="19"/>
    <x v="35"/>
    <s v="19BA14.10"/>
    <x v="3"/>
    <x v="0"/>
    <m/>
    <m/>
    <m/>
  </r>
  <r>
    <s v="YK263200369"/>
    <x v="3"/>
    <x v="3"/>
    <n v="1"/>
    <x v="3"/>
    <d v="2026-09-01T07:31:57"/>
    <x v="35"/>
    <x v="19"/>
    <x v="35"/>
    <s v="19BA14.10"/>
    <x v="3"/>
    <x v="0"/>
    <m/>
    <m/>
    <m/>
  </r>
  <r>
    <s v="YK263200370"/>
    <x v="9"/>
    <x v="9"/>
    <n v="1"/>
    <x v="2"/>
    <d v="2026-08-17T21:00:57"/>
    <x v="35"/>
    <x v="19"/>
    <x v="35"/>
    <s v="19BA14.10"/>
    <x v="3"/>
    <x v="0"/>
    <m/>
    <m/>
    <m/>
  </r>
  <r>
    <s v="YK263200371"/>
    <x v="9"/>
    <x v="9"/>
    <n v="1"/>
    <x v="2"/>
    <d v="2026-08-17T20:59:35"/>
    <x v="35"/>
    <x v="19"/>
    <x v="35"/>
    <s v="19BA14.10"/>
    <x v="3"/>
    <x v="0"/>
    <m/>
    <m/>
    <m/>
  </r>
  <r>
    <s v="YK263200372"/>
    <x v="9"/>
    <x v="9"/>
    <n v="1"/>
    <x v="2"/>
    <d v="2026-08-17T20:58:22"/>
    <x v="35"/>
    <x v="19"/>
    <x v="35"/>
    <s v="19BA14.10"/>
    <x v="3"/>
    <x v="0"/>
    <m/>
    <m/>
    <m/>
  </r>
  <r>
    <s v="YK263200373"/>
    <x v="20"/>
    <x v="20"/>
    <n v="1"/>
    <x v="6"/>
    <d v="2026-08-31T07:59:21"/>
    <x v="35"/>
    <x v="19"/>
    <x v="35"/>
    <s v="19BA14.10"/>
    <x v="3"/>
    <x v="0"/>
    <m/>
    <m/>
    <m/>
  </r>
  <r>
    <s v="YK263200374"/>
    <x v="9"/>
    <x v="9"/>
    <n v="1"/>
    <x v="2"/>
    <d v="2026-08-17T20:56:31"/>
    <x v="35"/>
    <x v="19"/>
    <x v="35"/>
    <s v="19BA14.10"/>
    <x v="3"/>
    <x v="0"/>
    <m/>
    <m/>
    <m/>
  </r>
  <r>
    <s v="YK263200375"/>
    <x v="9"/>
    <x v="9"/>
    <n v="1"/>
    <x v="2"/>
    <d v="2026-08-17T20:55:39"/>
    <x v="35"/>
    <x v="19"/>
    <x v="35"/>
    <s v="19BA14.10"/>
    <x v="3"/>
    <x v="0"/>
    <m/>
    <m/>
    <m/>
  </r>
  <r>
    <s v="YK263200376"/>
    <x v="9"/>
    <x v="9"/>
    <n v="1"/>
    <x v="2"/>
    <d v="2026-08-17T22:38:39"/>
    <x v="35"/>
    <x v="19"/>
    <x v="35"/>
    <s v="19BA14.10"/>
    <x v="3"/>
    <x v="0"/>
    <m/>
    <m/>
    <m/>
  </r>
  <r>
    <s v="YK263200377"/>
    <x v="9"/>
    <x v="9"/>
    <n v="1"/>
    <x v="2"/>
    <d v="2026-08-17T22:37:57"/>
    <x v="35"/>
    <x v="19"/>
    <x v="35"/>
    <s v="19BA14.10"/>
    <x v="3"/>
    <x v="0"/>
    <m/>
    <m/>
    <m/>
  </r>
  <r>
    <s v="YK263200378"/>
    <x v="9"/>
    <x v="9"/>
    <n v="1"/>
    <x v="2"/>
    <d v="2026-08-17T22:37:14"/>
    <x v="35"/>
    <x v="19"/>
    <x v="35"/>
    <s v="19BA14.10"/>
    <x v="3"/>
    <x v="0"/>
    <m/>
    <m/>
    <m/>
  </r>
  <r>
    <s v="YK263200379"/>
    <x v="3"/>
    <x v="3"/>
    <n v="1"/>
    <x v="3"/>
    <d v="2026-09-01T07:36:50"/>
    <x v="35"/>
    <x v="19"/>
    <x v="35"/>
    <s v="19BA14.10"/>
    <x v="3"/>
    <x v="0"/>
    <m/>
    <m/>
    <m/>
  </r>
  <r>
    <s v="YK263200380"/>
    <x v="3"/>
    <x v="3"/>
    <n v="1"/>
    <x v="3"/>
    <d v="2026-09-01T07:25:56"/>
    <x v="35"/>
    <x v="19"/>
    <x v="35"/>
    <s v="19BA14.10"/>
    <x v="3"/>
    <x v="0"/>
    <m/>
    <m/>
    <m/>
  </r>
  <r>
    <s v="YK263200381"/>
    <x v="9"/>
    <x v="9"/>
    <n v="1"/>
    <x v="2"/>
    <d v="2026-08-17T22:18:05"/>
    <x v="35"/>
    <x v="19"/>
    <x v="35"/>
    <s v="19BA14.10"/>
    <x v="3"/>
    <x v="0"/>
    <m/>
    <m/>
    <m/>
  </r>
  <r>
    <s v="YK263200382"/>
    <x v="10"/>
    <x v="10"/>
    <n v="1"/>
    <x v="6"/>
    <d v="2026-08-29T05:42:47"/>
    <x v="35"/>
    <x v="19"/>
    <x v="35"/>
    <s v="19BA14.10"/>
    <x v="3"/>
    <x v="0"/>
    <m/>
    <m/>
    <m/>
  </r>
  <r>
    <s v="YK263200383"/>
    <x v="3"/>
    <x v="3"/>
    <n v="1"/>
    <x v="3"/>
    <d v="2026-09-01T08:45:17"/>
    <x v="35"/>
    <x v="19"/>
    <x v="35"/>
    <s v="19BA14.10"/>
    <x v="3"/>
    <x v="0"/>
    <m/>
    <m/>
    <m/>
  </r>
  <r>
    <s v="YK263200384"/>
    <x v="9"/>
    <x v="9"/>
    <n v="1"/>
    <x v="2"/>
    <d v="2026-08-17T22:06:14"/>
    <x v="35"/>
    <x v="19"/>
    <x v="35"/>
    <s v="19BA14.10"/>
    <x v="3"/>
    <x v="0"/>
    <m/>
    <m/>
    <m/>
  </r>
  <r>
    <s v="YK263200385"/>
    <x v="9"/>
    <x v="9"/>
    <n v="1"/>
    <x v="2"/>
    <d v="2026-08-17T22:01:05"/>
    <x v="35"/>
    <x v="19"/>
    <x v="35"/>
    <s v="19BA14.10"/>
    <x v="3"/>
    <x v="0"/>
    <m/>
    <m/>
    <m/>
  </r>
  <r>
    <s v="YK263200386"/>
    <x v="3"/>
    <x v="3"/>
    <n v="1"/>
    <x v="3"/>
    <d v="2026-09-01T08:56:36"/>
    <x v="35"/>
    <x v="19"/>
    <x v="35"/>
    <s v="19BA14.10"/>
    <x v="3"/>
    <x v="0"/>
    <m/>
    <m/>
    <m/>
  </r>
  <r>
    <s v="YK263200387"/>
    <x v="10"/>
    <x v="10"/>
    <n v="1"/>
    <x v="6"/>
    <d v="2026-08-31T08:13:20"/>
    <x v="35"/>
    <x v="19"/>
    <x v="35"/>
    <s v="19BA14.10"/>
    <x v="3"/>
    <x v="0"/>
    <m/>
    <m/>
    <m/>
  </r>
  <r>
    <s v="YK263200388"/>
    <x v="9"/>
    <x v="9"/>
    <n v="1"/>
    <x v="2"/>
    <d v="2026-08-17T23:45:43"/>
    <x v="35"/>
    <x v="19"/>
    <x v="35"/>
    <s v="19BA14.10"/>
    <x v="3"/>
    <x v="0"/>
    <m/>
    <m/>
    <m/>
  </r>
  <r>
    <s v="YK263200389"/>
    <x v="9"/>
    <x v="9"/>
    <n v="1"/>
    <x v="2"/>
    <d v="2026-08-17T23:46:27"/>
    <x v="35"/>
    <x v="19"/>
    <x v="35"/>
    <s v="19BA14.10"/>
    <x v="3"/>
    <x v="0"/>
    <m/>
    <m/>
    <m/>
  </r>
  <r>
    <s v="YK263200390"/>
    <x v="10"/>
    <x v="10"/>
    <n v="1"/>
    <x v="6"/>
    <d v="2026-08-28T08:42:49"/>
    <x v="35"/>
    <x v="19"/>
    <x v="35"/>
    <s v="19BA14.10"/>
    <x v="3"/>
    <x v="0"/>
    <m/>
    <m/>
    <m/>
  </r>
  <r>
    <s v="YK263200391"/>
    <x v="9"/>
    <x v="9"/>
    <n v="1"/>
    <x v="2"/>
    <d v="2026-08-17T23:32:17"/>
    <x v="35"/>
    <x v="19"/>
    <x v="35"/>
    <s v="19BA14.10"/>
    <x v="3"/>
    <x v="0"/>
    <m/>
    <m/>
    <m/>
  </r>
  <r>
    <s v="YK263200392"/>
    <x v="7"/>
    <x v="7"/>
    <n v="1"/>
    <x v="2"/>
    <d v="2026-09-09T05:06:51"/>
    <x v="35"/>
    <x v="19"/>
    <x v="35"/>
    <s v="19BA14.10"/>
    <x v="3"/>
    <x v="0"/>
    <m/>
    <m/>
    <m/>
  </r>
  <r>
    <s v="YK263200393"/>
    <x v="7"/>
    <x v="7"/>
    <n v="1"/>
    <x v="2"/>
    <d v="2026-09-09T05:23:53"/>
    <x v="35"/>
    <x v="19"/>
    <x v="35"/>
    <s v="19BA14.10"/>
    <x v="3"/>
    <x v="0"/>
    <m/>
    <m/>
    <m/>
  </r>
  <r>
    <s v="YK263200394"/>
    <x v="7"/>
    <x v="7"/>
    <n v="1"/>
    <x v="2"/>
    <d v="2026-09-09T05:20:50"/>
    <x v="35"/>
    <x v="19"/>
    <x v="35"/>
    <s v="19BA14.10"/>
    <x v="3"/>
    <x v="0"/>
    <m/>
    <m/>
    <m/>
  </r>
  <r>
    <s v="YK263200395"/>
    <x v="10"/>
    <x v="10"/>
    <n v="1"/>
    <x v="6"/>
    <d v="2026-09-09T05:11:09"/>
    <x v="35"/>
    <x v="19"/>
    <x v="35"/>
    <s v="19BA14.10"/>
    <x v="3"/>
    <x v="0"/>
    <m/>
    <m/>
    <m/>
  </r>
  <r>
    <s v="YK263200396"/>
    <x v="7"/>
    <x v="7"/>
    <n v="1"/>
    <x v="2"/>
    <d v="2026-09-09T05:18:58"/>
    <x v="35"/>
    <x v="19"/>
    <x v="35"/>
    <s v="19BA14.10"/>
    <x v="3"/>
    <x v="0"/>
    <m/>
    <m/>
    <m/>
  </r>
  <r>
    <s v="YK263200397"/>
    <x v="7"/>
    <x v="7"/>
    <n v="1"/>
    <x v="2"/>
    <d v="2026-09-09T05:32:29"/>
    <x v="35"/>
    <x v="19"/>
    <x v="35"/>
    <s v="19BA14.10"/>
    <x v="3"/>
    <x v="0"/>
    <m/>
    <m/>
    <m/>
  </r>
  <r>
    <s v="YK263200398"/>
    <x v="7"/>
    <x v="7"/>
    <n v="1"/>
    <x v="2"/>
    <d v="2026-09-09T05:29:50"/>
    <x v="35"/>
    <x v="19"/>
    <x v="35"/>
    <s v="19BA14.10"/>
    <x v="3"/>
    <x v="0"/>
    <m/>
    <m/>
    <m/>
  </r>
  <r>
    <s v="YK263200399"/>
    <x v="7"/>
    <x v="7"/>
    <n v="1"/>
    <x v="2"/>
    <d v="2026-09-09T05:25:39"/>
    <x v="35"/>
    <x v="19"/>
    <x v="35"/>
    <s v="19BA14.10"/>
    <x v="3"/>
    <x v="0"/>
    <m/>
    <m/>
    <m/>
  </r>
  <r>
    <s v="YK263200400"/>
    <x v="7"/>
    <x v="7"/>
    <n v="1"/>
    <x v="2"/>
    <d v="2026-09-09T05:45:43"/>
    <x v="35"/>
    <x v="19"/>
    <x v="35"/>
    <s v="19BA14.10"/>
    <x v="3"/>
    <x v="0"/>
    <m/>
    <m/>
    <m/>
  </r>
  <r>
    <s v="YK263200401"/>
    <x v="7"/>
    <x v="7"/>
    <n v="1"/>
    <x v="2"/>
    <d v="2026-09-09T05:44:17"/>
    <x v="35"/>
    <x v="19"/>
    <x v="35"/>
    <s v="19BA14.10"/>
    <x v="3"/>
    <x v="0"/>
    <m/>
    <m/>
    <m/>
  </r>
  <r>
    <s v="YK263200402"/>
    <x v="7"/>
    <x v="7"/>
    <n v="1"/>
    <x v="2"/>
    <d v="2026-09-09T05:36:15"/>
    <x v="35"/>
    <x v="19"/>
    <x v="35"/>
    <s v="19BA14.10"/>
    <x v="3"/>
    <x v="0"/>
    <m/>
    <m/>
    <m/>
  </r>
  <r>
    <s v="YK263200403"/>
    <x v="7"/>
    <x v="7"/>
    <n v="1"/>
    <x v="2"/>
    <d v="2026-08-31T12:02:12"/>
    <x v="35"/>
    <x v="19"/>
    <x v="35"/>
    <s v="19BA14.10"/>
    <x v="3"/>
    <x v="0"/>
    <m/>
    <m/>
    <m/>
  </r>
  <r>
    <s v="YK263200404"/>
    <x v="9"/>
    <x v="9"/>
    <n v="1"/>
    <x v="2"/>
    <d v="2026-09-08T07:28:58"/>
    <x v="35"/>
    <x v="19"/>
    <x v="35"/>
    <s v="19BA14.10"/>
    <x v="3"/>
    <x v="0"/>
    <m/>
    <m/>
    <m/>
  </r>
  <r>
    <s v="YK263200405"/>
    <x v="9"/>
    <x v="9"/>
    <n v="1"/>
    <x v="2"/>
    <d v="2026-08-18T06:14:05"/>
    <x v="35"/>
    <x v="19"/>
    <x v="35"/>
    <s v="19BA14.10"/>
    <x v="3"/>
    <x v="0"/>
    <m/>
    <m/>
    <m/>
  </r>
  <r>
    <s v="YK263200406"/>
    <x v="7"/>
    <x v="7"/>
    <n v="1"/>
    <x v="2"/>
    <d v="2026-08-31T11:06:04"/>
    <x v="35"/>
    <x v="19"/>
    <x v="35"/>
    <s v="19BA14.10"/>
    <x v="3"/>
    <x v="0"/>
    <m/>
    <m/>
    <m/>
  </r>
  <r>
    <s v="YK263200407"/>
    <x v="18"/>
    <x v="18"/>
    <n v="1"/>
    <x v="2"/>
    <d v="2026-09-09T19:09:50"/>
    <x v="35"/>
    <x v="19"/>
    <x v="35"/>
    <s v="19BA14.10"/>
    <x v="3"/>
    <x v="0"/>
    <m/>
    <m/>
    <m/>
  </r>
  <r>
    <s v="YK263200408"/>
    <x v="7"/>
    <x v="7"/>
    <n v="1"/>
    <x v="2"/>
    <d v="2026-08-29T13:18:55"/>
    <x v="35"/>
    <x v="19"/>
    <x v="35"/>
    <s v="19BA14.10"/>
    <x v="3"/>
    <x v="0"/>
    <m/>
    <m/>
    <m/>
  </r>
  <r>
    <s v="YK263200409"/>
    <x v="7"/>
    <x v="7"/>
    <n v="1"/>
    <x v="2"/>
    <d v="2026-08-29T13:21:58"/>
    <x v="35"/>
    <x v="19"/>
    <x v="35"/>
    <s v="19BA14.10"/>
    <x v="3"/>
    <x v="0"/>
    <m/>
    <m/>
    <m/>
  </r>
  <r>
    <s v="YK263200410"/>
    <x v="7"/>
    <x v="7"/>
    <n v="1"/>
    <x v="2"/>
    <d v="2026-08-29T13:25:15"/>
    <x v="35"/>
    <x v="19"/>
    <x v="35"/>
    <s v="19BA14.10"/>
    <x v="3"/>
    <x v="0"/>
    <m/>
    <m/>
    <m/>
  </r>
  <r>
    <s v="YK263200411"/>
    <x v="7"/>
    <x v="7"/>
    <n v="1"/>
    <x v="2"/>
    <d v="2026-08-31T04:49:27"/>
    <x v="35"/>
    <x v="19"/>
    <x v="35"/>
    <s v="19BA14.10"/>
    <x v="3"/>
    <x v="0"/>
    <m/>
    <m/>
    <m/>
  </r>
  <r>
    <s v="YK263200412"/>
    <x v="7"/>
    <x v="7"/>
    <n v="1"/>
    <x v="2"/>
    <d v="2026-08-31T04:51:04"/>
    <x v="35"/>
    <x v="19"/>
    <x v="35"/>
    <s v="19BA14.10"/>
    <x v="3"/>
    <x v="0"/>
    <m/>
    <m/>
    <m/>
  </r>
  <r>
    <s v="YK263200413"/>
    <x v="7"/>
    <x v="7"/>
    <n v="1"/>
    <x v="2"/>
    <d v="2026-08-31T04:55:21"/>
    <x v="35"/>
    <x v="19"/>
    <x v="35"/>
    <s v="19BA14.10"/>
    <x v="3"/>
    <x v="0"/>
    <m/>
    <m/>
    <m/>
  </r>
  <r>
    <s v="YK263200414"/>
    <x v="7"/>
    <x v="7"/>
    <n v="1"/>
    <x v="2"/>
    <d v="2026-08-31T04:59:15"/>
    <x v="35"/>
    <x v="19"/>
    <x v="35"/>
    <s v="19BA14.10"/>
    <x v="3"/>
    <x v="0"/>
    <m/>
    <m/>
    <m/>
  </r>
  <r>
    <s v="YK263200415"/>
    <x v="10"/>
    <x v="10"/>
    <n v="1"/>
    <x v="6"/>
    <d v="2026-08-31T06:14:25"/>
    <x v="35"/>
    <x v="19"/>
    <x v="35"/>
    <s v="19BA14.10"/>
    <x v="3"/>
    <x v="0"/>
    <m/>
    <m/>
    <m/>
  </r>
  <r>
    <s v="YK263200416"/>
    <x v="7"/>
    <x v="7"/>
    <n v="1"/>
    <x v="2"/>
    <d v="2026-08-31T05:02:06"/>
    <x v="35"/>
    <x v="19"/>
    <x v="35"/>
    <s v="19BA14.10"/>
    <x v="3"/>
    <x v="0"/>
    <m/>
    <m/>
    <m/>
  </r>
  <r>
    <s v="YK263200417"/>
    <x v="7"/>
    <x v="7"/>
    <n v="1"/>
    <x v="2"/>
    <d v="2026-08-31T05:04:15"/>
    <x v="35"/>
    <x v="19"/>
    <x v="35"/>
    <s v="19BA14.10"/>
    <x v="3"/>
    <x v="0"/>
    <m/>
    <m/>
    <m/>
  </r>
  <r>
    <s v="YK263200418"/>
    <x v="7"/>
    <x v="7"/>
    <n v="1"/>
    <x v="2"/>
    <d v="2026-08-31T05:06:16"/>
    <x v="35"/>
    <x v="19"/>
    <x v="35"/>
    <s v="19BA14.10"/>
    <x v="3"/>
    <x v="0"/>
    <m/>
    <m/>
    <m/>
  </r>
  <r>
    <s v="YK263200419"/>
    <x v="7"/>
    <x v="7"/>
    <n v="1"/>
    <x v="2"/>
    <d v="2026-08-31T05:08:48"/>
    <x v="35"/>
    <x v="19"/>
    <x v="35"/>
    <s v="19BA14.10"/>
    <x v="3"/>
    <x v="0"/>
    <m/>
    <m/>
    <m/>
  </r>
  <r>
    <s v="YK263200420"/>
    <x v="7"/>
    <x v="7"/>
    <n v="1"/>
    <x v="2"/>
    <d v="2026-08-31T05:14:51"/>
    <x v="35"/>
    <x v="19"/>
    <x v="35"/>
    <s v="19BA14.10"/>
    <x v="3"/>
    <x v="0"/>
    <m/>
    <m/>
    <m/>
  </r>
  <r>
    <s v="YK263200421"/>
    <x v="7"/>
    <x v="7"/>
    <n v="1"/>
    <x v="2"/>
    <d v="2026-08-31T05:11:45"/>
    <x v="35"/>
    <x v="19"/>
    <x v="35"/>
    <s v="19BA14.10"/>
    <x v="3"/>
    <x v="0"/>
    <m/>
    <m/>
    <m/>
  </r>
  <r>
    <s v="YK263200422"/>
    <x v="7"/>
    <x v="7"/>
    <n v="1"/>
    <x v="2"/>
    <d v="2026-08-31T05:10:15"/>
    <x v="35"/>
    <x v="19"/>
    <x v="35"/>
    <s v="19BA14.10"/>
    <x v="3"/>
    <x v="0"/>
    <m/>
    <m/>
    <m/>
  </r>
  <r>
    <s v="YK263200423"/>
    <x v="7"/>
    <x v="7"/>
    <n v="1"/>
    <x v="2"/>
    <d v="2026-08-29T06:27:20"/>
    <x v="35"/>
    <x v="19"/>
    <x v="35"/>
    <s v="19BA14.10"/>
    <x v="3"/>
    <x v="0"/>
    <m/>
    <m/>
    <m/>
  </r>
  <r>
    <s v="YK263200424"/>
    <x v="7"/>
    <x v="7"/>
    <n v="1"/>
    <x v="2"/>
    <d v="2026-08-29T13:11:41"/>
    <x v="35"/>
    <x v="19"/>
    <x v="35"/>
    <s v="19BA14.10"/>
    <x v="3"/>
    <x v="0"/>
    <m/>
    <m/>
    <m/>
  </r>
  <r>
    <s v="YK263200425"/>
    <x v="7"/>
    <x v="7"/>
    <n v="1"/>
    <x v="2"/>
    <d v="2026-09-05T08:06:46"/>
    <x v="35"/>
    <x v="19"/>
    <x v="35"/>
    <s v="19BA14.10"/>
    <x v="3"/>
    <x v="0"/>
    <m/>
    <m/>
    <m/>
  </r>
  <r>
    <s v="YK263200426"/>
    <x v="7"/>
    <x v="7"/>
    <n v="1"/>
    <x v="2"/>
    <d v="2026-09-09T04:52:11"/>
    <x v="35"/>
    <x v="19"/>
    <x v="35"/>
    <s v="19BA14.10"/>
    <x v="3"/>
    <x v="0"/>
    <m/>
    <m/>
    <m/>
  </r>
  <r>
    <s v="YK263200427"/>
    <x v="7"/>
    <x v="7"/>
    <n v="1"/>
    <x v="2"/>
    <d v="2026-09-09T04:54:54"/>
    <x v="35"/>
    <x v="19"/>
    <x v="35"/>
    <s v="19BA14.10"/>
    <x v="3"/>
    <x v="0"/>
    <m/>
    <m/>
    <m/>
  </r>
  <r>
    <s v="YK263200428"/>
    <x v="7"/>
    <x v="7"/>
    <n v="1"/>
    <x v="2"/>
    <d v="2026-09-09T05:00:38"/>
    <x v="35"/>
    <x v="19"/>
    <x v="35"/>
    <s v="19BA14.10"/>
    <x v="3"/>
    <x v="0"/>
    <m/>
    <m/>
    <m/>
  </r>
  <r>
    <s v="YK263200429"/>
    <x v="7"/>
    <x v="7"/>
    <n v="1"/>
    <x v="2"/>
    <d v="2026-09-09T04:58:13"/>
    <x v="35"/>
    <x v="19"/>
    <x v="35"/>
    <s v="19BA14.10"/>
    <x v="3"/>
    <x v="0"/>
    <m/>
    <m/>
    <m/>
  </r>
  <r>
    <s v="YK263200430"/>
    <x v="7"/>
    <x v="7"/>
    <n v="1"/>
    <x v="2"/>
    <d v="2026-09-09T05:05:20"/>
    <x v="35"/>
    <x v="19"/>
    <x v="35"/>
    <s v="19BA14.10"/>
    <x v="3"/>
    <x v="0"/>
    <m/>
    <m/>
    <m/>
  </r>
  <r>
    <s v="YK263200431"/>
    <x v="7"/>
    <x v="7"/>
    <n v="1"/>
    <x v="2"/>
    <d v="2026-09-09T05:02:42"/>
    <x v="35"/>
    <x v="19"/>
    <x v="35"/>
    <s v="19BA14.10"/>
    <x v="3"/>
    <x v="0"/>
    <m/>
    <m/>
    <m/>
  </r>
  <r>
    <s v="YK263200432"/>
    <x v="7"/>
    <x v="7"/>
    <n v="1"/>
    <x v="2"/>
    <d v="2026-09-09T05:15:08"/>
    <x v="35"/>
    <x v="19"/>
    <x v="35"/>
    <s v="19BA14.10"/>
    <x v="3"/>
    <x v="0"/>
    <m/>
    <m/>
    <m/>
  </r>
  <r>
    <s v="YK263200433"/>
    <x v="7"/>
    <x v="7"/>
    <n v="1"/>
    <x v="2"/>
    <d v="2026-09-09T05:37:46"/>
    <x v="35"/>
    <x v="19"/>
    <x v="35"/>
    <s v="19BA14.10"/>
    <x v="3"/>
    <x v="0"/>
    <m/>
    <m/>
    <m/>
  </r>
  <r>
    <s v="YK263200434"/>
    <x v="7"/>
    <x v="7"/>
    <n v="1"/>
    <x v="2"/>
    <d v="2026-09-09T05:54:16"/>
    <x v="35"/>
    <x v="19"/>
    <x v="35"/>
    <s v="19BA14.10"/>
    <x v="3"/>
    <x v="0"/>
    <m/>
    <m/>
    <m/>
  </r>
  <r>
    <s v="YK263200435"/>
    <x v="7"/>
    <x v="7"/>
    <n v="1"/>
    <x v="2"/>
    <d v="2026-09-09T05:56:11"/>
    <x v="35"/>
    <x v="19"/>
    <x v="35"/>
    <s v="19BA14.10"/>
    <x v="3"/>
    <x v="0"/>
    <m/>
    <m/>
    <m/>
  </r>
  <r>
    <s v="YK263200436"/>
    <x v="7"/>
    <x v="7"/>
    <n v="1"/>
    <x v="2"/>
    <d v="2026-09-09T05:49:10"/>
    <x v="35"/>
    <x v="19"/>
    <x v="35"/>
    <s v="19BA14.10"/>
    <x v="3"/>
    <x v="0"/>
    <m/>
    <m/>
    <m/>
  </r>
  <r>
    <s v="YK263200437"/>
    <x v="7"/>
    <x v="7"/>
    <n v="1"/>
    <x v="2"/>
    <d v="2026-09-09T05:57:23"/>
    <x v="35"/>
    <x v="19"/>
    <x v="35"/>
    <s v="19BA14.10"/>
    <x v="3"/>
    <x v="0"/>
    <m/>
    <m/>
    <m/>
  </r>
  <r>
    <s v="YK263200438"/>
    <x v="10"/>
    <x v="10"/>
    <n v="1"/>
    <x v="6"/>
    <d v="2026-09-09T06:36:00"/>
    <x v="35"/>
    <x v="19"/>
    <x v="35"/>
    <s v="19BA14.10"/>
    <x v="3"/>
    <x v="0"/>
    <m/>
    <m/>
    <m/>
  </r>
  <r>
    <s v="YK263200439"/>
    <x v="7"/>
    <x v="7"/>
    <n v="1"/>
    <x v="2"/>
    <d v="2026-09-09T06:32:24"/>
    <x v="35"/>
    <x v="19"/>
    <x v="35"/>
    <s v="19BA14.10"/>
    <x v="3"/>
    <x v="0"/>
    <m/>
    <m/>
    <m/>
  </r>
  <r>
    <s v="YK263200440"/>
    <x v="9"/>
    <x v="9"/>
    <n v="1"/>
    <x v="2"/>
    <d v="2026-09-09T06:38:03"/>
    <x v="35"/>
    <x v="19"/>
    <x v="35"/>
    <s v="19BA14.10"/>
    <x v="3"/>
    <x v="0"/>
    <m/>
    <m/>
    <m/>
  </r>
  <r>
    <s v="YK263200441"/>
    <x v="7"/>
    <x v="7"/>
    <n v="1"/>
    <x v="2"/>
    <d v="2026-09-09T06:24:13"/>
    <x v="35"/>
    <x v="19"/>
    <x v="35"/>
    <s v="19BA14.10"/>
    <x v="3"/>
    <x v="0"/>
    <m/>
    <m/>
    <m/>
  </r>
  <r>
    <s v="YK263200442"/>
    <x v="10"/>
    <x v="10"/>
    <n v="1"/>
    <x v="6"/>
    <d v="2026-09-09T06:30:39"/>
    <x v="35"/>
    <x v="19"/>
    <x v="35"/>
    <s v="19BA14.10"/>
    <x v="3"/>
    <x v="0"/>
    <m/>
    <m/>
    <m/>
  </r>
  <r>
    <s v="YK263200443"/>
    <x v="7"/>
    <x v="7"/>
    <n v="1"/>
    <x v="2"/>
    <d v="2026-09-09T06:41:40"/>
    <x v="35"/>
    <x v="19"/>
    <x v="35"/>
    <s v="19BA14.10"/>
    <x v="3"/>
    <x v="0"/>
    <m/>
    <m/>
    <m/>
  </r>
  <r>
    <s v="YK263200444"/>
    <x v="7"/>
    <x v="7"/>
    <n v="1"/>
    <x v="2"/>
    <d v="2026-09-09T06:09:13"/>
    <x v="35"/>
    <x v="19"/>
    <x v="35"/>
    <s v="19BA14.10"/>
    <x v="3"/>
    <x v="0"/>
    <m/>
    <m/>
    <m/>
  </r>
  <r>
    <s v="YK263200445"/>
    <x v="7"/>
    <x v="7"/>
    <n v="1"/>
    <x v="2"/>
    <d v="2026-09-09T06:10:45"/>
    <x v="35"/>
    <x v="19"/>
    <x v="35"/>
    <s v="19BA14.10"/>
    <x v="3"/>
    <x v="0"/>
    <m/>
    <m/>
    <m/>
  </r>
  <r>
    <s v="YK263200446"/>
    <x v="7"/>
    <x v="7"/>
    <n v="1"/>
    <x v="2"/>
    <d v="2026-09-09T06:04:35"/>
    <x v="35"/>
    <x v="19"/>
    <x v="35"/>
    <s v="19BA14.10"/>
    <x v="3"/>
    <x v="0"/>
    <m/>
    <m/>
    <m/>
  </r>
  <r>
    <s v="YK263200447"/>
    <x v="7"/>
    <x v="7"/>
    <n v="1"/>
    <x v="2"/>
    <d v="2026-09-09T06:07:36"/>
    <x v="35"/>
    <x v="19"/>
    <x v="35"/>
    <s v="19BA14.10"/>
    <x v="3"/>
    <x v="0"/>
    <m/>
    <m/>
    <m/>
  </r>
  <r>
    <s v="YK263200448"/>
    <x v="7"/>
    <x v="7"/>
    <n v="1"/>
    <x v="2"/>
    <d v="2026-09-09T06:20:15"/>
    <x v="35"/>
    <x v="19"/>
    <x v="35"/>
    <s v="19BA14.10"/>
    <x v="3"/>
    <x v="0"/>
    <m/>
    <m/>
    <m/>
  </r>
  <r>
    <s v="YK263200449"/>
    <x v="7"/>
    <x v="7"/>
    <n v="1"/>
    <x v="2"/>
    <d v="2026-09-09T06:03:04"/>
    <x v="35"/>
    <x v="19"/>
    <x v="35"/>
    <s v="19BA14.10"/>
    <x v="3"/>
    <x v="0"/>
    <m/>
    <m/>
    <m/>
  </r>
  <r>
    <s v="YK263200450"/>
    <x v="7"/>
    <x v="7"/>
    <n v="1"/>
    <x v="2"/>
    <d v="2026-09-09T06:47:11"/>
    <x v="35"/>
    <x v="19"/>
    <x v="35"/>
    <s v="19BA14.10"/>
    <x v="3"/>
    <x v="0"/>
    <m/>
    <m/>
    <m/>
  </r>
  <r>
    <s v="YK263200451"/>
    <x v="7"/>
    <x v="7"/>
    <n v="1"/>
    <x v="2"/>
    <d v="2026-09-09T06:46:02"/>
    <x v="35"/>
    <x v="19"/>
    <x v="35"/>
    <s v="19BA14.10"/>
    <x v="3"/>
    <x v="0"/>
    <m/>
    <m/>
    <m/>
  </r>
  <r>
    <s v="YK263200452"/>
    <x v="7"/>
    <x v="7"/>
    <n v="1"/>
    <x v="2"/>
    <d v="2026-09-09T06:39:53"/>
    <x v="35"/>
    <x v="19"/>
    <x v="35"/>
    <s v="19BA14.10"/>
    <x v="3"/>
    <x v="0"/>
    <m/>
    <m/>
    <m/>
  </r>
  <r>
    <s v="YK263200453"/>
    <x v="7"/>
    <x v="7"/>
    <n v="1"/>
    <x v="2"/>
    <d v="2026-09-09T06:22:59"/>
    <x v="35"/>
    <x v="19"/>
    <x v="35"/>
    <s v="19BA14.10"/>
    <x v="3"/>
    <x v="0"/>
    <m/>
    <m/>
    <m/>
  </r>
  <r>
    <s v="YK263200454"/>
    <x v="7"/>
    <x v="7"/>
    <n v="1"/>
    <x v="2"/>
    <d v="2026-09-09T04:47:22"/>
    <x v="35"/>
    <x v="19"/>
    <x v="35"/>
    <s v="19BA14.10"/>
    <x v="3"/>
    <x v="0"/>
    <m/>
    <m/>
    <m/>
  </r>
  <r>
    <s v="YK262500309"/>
    <x v="0"/>
    <x v="0"/>
    <n v="1"/>
    <x v="0"/>
    <d v="2026-07-31T07:18:12"/>
    <x v="36"/>
    <x v="20"/>
    <x v="36"/>
    <s v="19BA21.00"/>
    <x v="3"/>
    <x v="1"/>
    <m/>
    <m/>
    <m/>
  </r>
  <r>
    <s v="YK262500310"/>
    <x v="1"/>
    <x v="1"/>
    <n v="1"/>
    <x v="1"/>
    <d v="2026-07-17T07:49:39"/>
    <x v="36"/>
    <x v="20"/>
    <x v="36"/>
    <s v="19BA21.00"/>
    <x v="3"/>
    <x v="1"/>
    <m/>
    <d v="2026-07-17T00:00:00"/>
    <m/>
  </r>
  <r>
    <s v="YK262500311"/>
    <x v="1"/>
    <x v="1"/>
    <n v="1"/>
    <x v="1"/>
    <d v="2026-08-18T09:42:27"/>
    <x v="36"/>
    <x v="20"/>
    <x v="36"/>
    <s v="19BA21.00"/>
    <x v="3"/>
    <x v="1"/>
    <m/>
    <d v="2026-07-06T00:00:00"/>
    <m/>
  </r>
  <r>
    <s v="YK262500312"/>
    <x v="0"/>
    <x v="0"/>
    <n v="1"/>
    <x v="0"/>
    <d v="2026-07-31T22:19:09"/>
    <x v="36"/>
    <x v="20"/>
    <x v="36"/>
    <s v="19BA21.00"/>
    <x v="3"/>
    <x v="1"/>
    <m/>
    <m/>
    <m/>
  </r>
  <r>
    <s v="YK262500313"/>
    <x v="1"/>
    <x v="1"/>
    <n v="1"/>
    <x v="1"/>
    <d v="2026-07-17T07:50:24"/>
    <x v="36"/>
    <x v="20"/>
    <x v="36"/>
    <s v="19BA21.00"/>
    <x v="3"/>
    <x v="1"/>
    <m/>
    <d v="2026-07-17T00:00:00"/>
    <m/>
  </r>
  <r>
    <s v="YK262500314"/>
    <x v="1"/>
    <x v="1"/>
    <n v="1"/>
    <x v="1"/>
    <d v="2026-08-18T09:42:27"/>
    <x v="36"/>
    <x v="20"/>
    <x v="36"/>
    <s v="19BA21.00"/>
    <x v="3"/>
    <x v="1"/>
    <m/>
    <d v="2026-07-06T00:00:00"/>
    <m/>
  </r>
  <r>
    <s v="YK262500315"/>
    <x v="21"/>
    <x v="21"/>
    <n v="1"/>
    <x v="6"/>
    <d v="2026-08-27T07:55:29"/>
    <x v="36"/>
    <x v="20"/>
    <x v="36"/>
    <s v="19BA21.00"/>
    <x v="3"/>
    <x v="1"/>
    <m/>
    <m/>
    <m/>
  </r>
  <r>
    <s v="YK262500316"/>
    <x v="0"/>
    <x v="0"/>
    <n v="1"/>
    <x v="0"/>
    <d v="2026-08-14T12:21:07"/>
    <x v="36"/>
    <x v="20"/>
    <x v="36"/>
    <s v="19BA21.00"/>
    <x v="3"/>
    <x v="1"/>
    <m/>
    <m/>
    <m/>
  </r>
  <r>
    <s v="YK262500317"/>
    <x v="1"/>
    <x v="1"/>
    <n v="1"/>
    <x v="1"/>
    <d v="2026-07-17T07:51:19"/>
    <x v="36"/>
    <x v="20"/>
    <x v="36"/>
    <s v="19BA21.00"/>
    <x v="3"/>
    <x v="1"/>
    <m/>
    <d v="2026-07-17T00:00:00"/>
    <m/>
  </r>
  <r>
    <s v="YK262500318"/>
    <x v="1"/>
    <x v="1"/>
    <n v="1"/>
    <x v="1"/>
    <d v="2026-07-17T07:51:54"/>
    <x v="36"/>
    <x v="20"/>
    <x v="36"/>
    <s v="19BA21.00"/>
    <x v="3"/>
    <x v="1"/>
    <m/>
    <d v="2026-07-17T00:00:00"/>
    <m/>
  </r>
  <r>
    <s v="YK262500319"/>
    <x v="4"/>
    <x v="4"/>
    <n v="1"/>
    <x v="4"/>
    <d v="2026-07-30T17:00:11"/>
    <x v="36"/>
    <x v="20"/>
    <x v="36"/>
    <s v="19BA21.00"/>
    <x v="3"/>
    <x v="1"/>
    <m/>
    <m/>
    <m/>
  </r>
  <r>
    <s v="YK262500320"/>
    <x v="1"/>
    <x v="1"/>
    <n v="1"/>
    <x v="1"/>
    <d v="2026-07-17T07:52:20"/>
    <x v="36"/>
    <x v="20"/>
    <x v="36"/>
    <s v="19BA21.00"/>
    <x v="3"/>
    <x v="1"/>
    <m/>
    <d v="2026-07-17T00:00:00"/>
    <m/>
  </r>
  <r>
    <s v="YK262500321"/>
    <x v="1"/>
    <x v="1"/>
    <n v="1"/>
    <x v="1"/>
    <d v="2026-07-17T07:52:52"/>
    <x v="36"/>
    <x v="20"/>
    <x v="36"/>
    <s v="19BA21.00"/>
    <x v="3"/>
    <x v="1"/>
    <m/>
    <d v="2026-07-17T00:00:00"/>
    <m/>
  </r>
  <r>
    <s v="YK262500322"/>
    <x v="1"/>
    <x v="1"/>
    <n v="1"/>
    <x v="1"/>
    <d v="2026-07-17T07:53:21"/>
    <x v="36"/>
    <x v="20"/>
    <x v="36"/>
    <s v="19BA21.00"/>
    <x v="3"/>
    <x v="1"/>
    <m/>
    <d v="2026-07-17T00:00:00"/>
    <m/>
  </r>
  <r>
    <s v="YK262500323"/>
    <x v="1"/>
    <x v="1"/>
    <n v="1"/>
    <x v="1"/>
    <d v="2026-07-17T07:54:05"/>
    <x v="36"/>
    <x v="20"/>
    <x v="36"/>
    <s v="19BA21.00"/>
    <x v="3"/>
    <x v="1"/>
    <m/>
    <d v="2026-07-17T00:00:00"/>
    <m/>
  </r>
  <r>
    <s v="YK262500324"/>
    <x v="0"/>
    <x v="0"/>
    <n v="1"/>
    <x v="0"/>
    <d v="2026-08-14T13:54:55"/>
    <x v="36"/>
    <x v="20"/>
    <x v="36"/>
    <s v="19BA21.00"/>
    <x v="3"/>
    <x v="1"/>
    <m/>
    <m/>
    <m/>
  </r>
  <r>
    <s v="YK262500325"/>
    <x v="0"/>
    <x v="0"/>
    <n v="1"/>
    <x v="0"/>
    <d v="2026-07-30T13:56:55"/>
    <x v="36"/>
    <x v="20"/>
    <x v="36"/>
    <s v="19BA21.00"/>
    <x v="3"/>
    <x v="1"/>
    <m/>
    <m/>
    <m/>
  </r>
  <r>
    <s v="YK262500326"/>
    <x v="4"/>
    <x v="4"/>
    <n v="1"/>
    <x v="4"/>
    <d v="2026-08-17T07:08:12"/>
    <x v="36"/>
    <x v="20"/>
    <x v="36"/>
    <s v="19BA21.00"/>
    <x v="3"/>
    <x v="1"/>
    <m/>
    <m/>
    <m/>
  </r>
  <r>
    <s v="YK262500327"/>
    <x v="4"/>
    <x v="4"/>
    <n v="1"/>
    <x v="4"/>
    <d v="2026-08-03T07:26:27"/>
    <x v="36"/>
    <x v="20"/>
    <x v="36"/>
    <s v="19BA21.00"/>
    <x v="3"/>
    <x v="1"/>
    <m/>
    <m/>
    <m/>
  </r>
  <r>
    <s v="YK262500328"/>
    <x v="0"/>
    <x v="0"/>
    <n v="1"/>
    <x v="0"/>
    <d v="2026-07-31T11:18:26"/>
    <x v="36"/>
    <x v="20"/>
    <x v="36"/>
    <s v="19BA21.00"/>
    <x v="3"/>
    <x v="1"/>
    <m/>
    <m/>
    <m/>
  </r>
  <r>
    <s v="YK262500329"/>
    <x v="4"/>
    <x v="4"/>
    <n v="1"/>
    <x v="4"/>
    <d v="2026-07-31T17:38:02"/>
    <x v="36"/>
    <x v="20"/>
    <x v="36"/>
    <s v="19BA21.00"/>
    <x v="3"/>
    <x v="1"/>
    <m/>
    <m/>
    <m/>
  </r>
  <r>
    <s v="YK262500330"/>
    <x v="0"/>
    <x v="0"/>
    <n v="1"/>
    <x v="0"/>
    <d v="2026-08-14T17:52:15"/>
    <x v="36"/>
    <x v="20"/>
    <x v="36"/>
    <s v="19BA21.00"/>
    <x v="3"/>
    <x v="1"/>
    <m/>
    <m/>
    <m/>
  </r>
  <r>
    <s v="YK263206112"/>
    <x v="0"/>
    <x v="0"/>
    <n v="1"/>
    <x v="0"/>
    <d v="2026-09-01T18:28:50"/>
    <x v="37"/>
    <x v="21"/>
    <x v="37"/>
    <s v="19BA22.00"/>
    <x v="3"/>
    <x v="1"/>
    <m/>
    <m/>
    <m/>
  </r>
  <r>
    <s v="YK263206113"/>
    <x v="0"/>
    <x v="0"/>
    <n v="1"/>
    <x v="0"/>
    <d v="2026-09-01T11:10:34"/>
    <x v="37"/>
    <x v="21"/>
    <x v="37"/>
    <s v="19BA22.00"/>
    <x v="3"/>
    <x v="1"/>
    <m/>
    <m/>
    <m/>
  </r>
  <r>
    <s v="YK263206114"/>
    <x v="2"/>
    <x v="2"/>
    <n v="1"/>
    <x v="2"/>
    <d v="2026-09-08T14:35:33"/>
    <x v="37"/>
    <x v="21"/>
    <x v="37"/>
    <s v="19BA22.00"/>
    <x v="3"/>
    <x v="1"/>
    <m/>
    <m/>
    <m/>
  </r>
  <r>
    <s v="YK263206115"/>
    <x v="16"/>
    <x v="16"/>
    <n v="1"/>
    <x v="6"/>
    <d v="2026-08-25T09:20:12"/>
    <x v="37"/>
    <x v="21"/>
    <x v="37"/>
    <s v="19BA22.00"/>
    <x v="3"/>
    <x v="1"/>
    <m/>
    <m/>
    <m/>
  </r>
  <r>
    <s v="YK263206116"/>
    <x v="4"/>
    <x v="4"/>
    <n v="1"/>
    <x v="4"/>
    <d v="2026-08-20T17:28:16"/>
    <x v="37"/>
    <x v="21"/>
    <x v="37"/>
    <s v="19BA22.00"/>
    <x v="3"/>
    <x v="1"/>
    <m/>
    <m/>
    <m/>
  </r>
  <r>
    <s v="YK263206117"/>
    <x v="0"/>
    <x v="0"/>
    <n v="1"/>
    <x v="0"/>
    <d v="2026-09-01T18:24:27"/>
    <x v="37"/>
    <x v="21"/>
    <x v="37"/>
    <s v="19BA22.00"/>
    <x v="3"/>
    <x v="1"/>
    <m/>
    <m/>
    <m/>
  </r>
  <r>
    <s v="YK263206118"/>
    <x v="11"/>
    <x v="11"/>
    <n v="1"/>
    <x v="4"/>
    <d v="2026-09-09T11:06:04"/>
    <x v="37"/>
    <x v="21"/>
    <x v="37"/>
    <s v="19BA22.00"/>
    <x v="3"/>
    <x v="1"/>
    <m/>
    <m/>
    <m/>
  </r>
  <r>
    <s v="YK263206119"/>
    <x v="4"/>
    <x v="4"/>
    <n v="1"/>
    <x v="4"/>
    <d v="2026-08-24T19:32:32"/>
    <x v="37"/>
    <x v="21"/>
    <x v="37"/>
    <s v="19BA22.00"/>
    <x v="3"/>
    <x v="1"/>
    <m/>
    <m/>
    <m/>
  </r>
  <r>
    <s v="YK263206120"/>
    <x v="16"/>
    <x v="16"/>
    <n v="1"/>
    <x v="6"/>
    <d v="2026-08-25T09:19:38"/>
    <x v="37"/>
    <x v="21"/>
    <x v="37"/>
    <s v="19BA22.00"/>
    <x v="3"/>
    <x v="1"/>
    <m/>
    <m/>
    <m/>
  </r>
  <r>
    <s v="YK263206121"/>
    <x v="4"/>
    <x v="4"/>
    <n v="1"/>
    <x v="4"/>
    <d v="2026-08-20T18:48:00"/>
    <x v="37"/>
    <x v="21"/>
    <x v="37"/>
    <s v="19BA22.00"/>
    <x v="3"/>
    <x v="1"/>
    <m/>
    <m/>
    <m/>
  </r>
  <r>
    <s v="YK263206122"/>
    <x v="2"/>
    <x v="2"/>
    <n v="1"/>
    <x v="2"/>
    <d v="2026-09-08T14:55:12"/>
    <x v="37"/>
    <x v="21"/>
    <x v="37"/>
    <s v="19BA22.00"/>
    <x v="3"/>
    <x v="1"/>
    <m/>
    <m/>
    <m/>
  </r>
  <r>
    <s v="YK263206123"/>
    <x v="0"/>
    <x v="0"/>
    <n v="1"/>
    <x v="0"/>
    <d v="2026-09-02T08:30:37"/>
    <x v="37"/>
    <x v="21"/>
    <x v="37"/>
    <s v="19BA22.00"/>
    <x v="3"/>
    <x v="1"/>
    <m/>
    <m/>
    <m/>
  </r>
  <r>
    <s v="YK263206124"/>
    <x v="4"/>
    <x v="4"/>
    <n v="1"/>
    <x v="4"/>
    <d v="2026-08-27T11:33:57"/>
    <x v="37"/>
    <x v="21"/>
    <x v="37"/>
    <s v="19BA22.00"/>
    <x v="3"/>
    <x v="1"/>
    <m/>
    <m/>
    <m/>
  </r>
  <r>
    <s v="YK263206125"/>
    <x v="4"/>
    <x v="4"/>
    <n v="1"/>
    <x v="4"/>
    <d v="2026-08-27T07:09:18"/>
    <x v="37"/>
    <x v="21"/>
    <x v="37"/>
    <s v="19BA22.00"/>
    <x v="3"/>
    <x v="1"/>
    <m/>
    <m/>
    <m/>
  </r>
  <r>
    <s v="YK263206126"/>
    <x v="2"/>
    <x v="2"/>
    <n v="1"/>
    <x v="2"/>
    <d v="2026-09-08T15:00:21"/>
    <x v="37"/>
    <x v="21"/>
    <x v="37"/>
    <s v="19BA22.00"/>
    <x v="3"/>
    <x v="1"/>
    <m/>
    <m/>
    <m/>
  </r>
  <r>
    <s v="YK263206127"/>
    <x v="3"/>
    <x v="3"/>
    <n v="1"/>
    <x v="3"/>
    <d v="2026-09-02T10:33:49"/>
    <x v="37"/>
    <x v="21"/>
    <x v="37"/>
    <s v="19BA22.00"/>
    <x v="3"/>
    <x v="1"/>
    <m/>
    <m/>
    <m/>
  </r>
  <r>
    <s v="YK263206128"/>
    <x v="16"/>
    <x v="16"/>
    <n v="1"/>
    <x v="6"/>
    <d v="2026-08-25T09:18:56"/>
    <x v="37"/>
    <x v="21"/>
    <x v="37"/>
    <s v="19BA22.00"/>
    <x v="3"/>
    <x v="1"/>
    <m/>
    <m/>
    <m/>
  </r>
  <r>
    <s v="YK263206129"/>
    <x v="16"/>
    <x v="16"/>
    <n v="1"/>
    <x v="6"/>
    <d v="2026-08-25T09:17:48"/>
    <x v="37"/>
    <x v="21"/>
    <x v="37"/>
    <s v="19BA22.00"/>
    <x v="3"/>
    <x v="1"/>
    <m/>
    <m/>
    <m/>
  </r>
  <r>
    <s v="YK263206130"/>
    <x v="0"/>
    <x v="0"/>
    <n v="1"/>
    <x v="0"/>
    <d v="2026-08-31T12:15:33"/>
    <x v="37"/>
    <x v="21"/>
    <x v="37"/>
    <s v="19BA22.00"/>
    <x v="3"/>
    <x v="1"/>
    <m/>
    <m/>
    <m/>
  </r>
  <r>
    <s v="YK263206131"/>
    <x v="8"/>
    <x v="8"/>
    <n v="1"/>
    <x v="6"/>
    <d v="2026-09-08T13:20:52"/>
    <x v="37"/>
    <x v="21"/>
    <x v="37"/>
    <s v="19BA22.00"/>
    <x v="3"/>
    <x v="1"/>
    <m/>
    <m/>
    <m/>
  </r>
  <r>
    <s v="YK263206132"/>
    <x v="2"/>
    <x v="2"/>
    <n v="1"/>
    <x v="2"/>
    <d v="2026-09-09T06:46:18"/>
    <x v="37"/>
    <x v="21"/>
    <x v="37"/>
    <s v="19BA22.00"/>
    <x v="3"/>
    <x v="1"/>
    <m/>
    <m/>
    <m/>
  </r>
  <r>
    <s v="YK263206133"/>
    <x v="0"/>
    <x v="0"/>
    <n v="1"/>
    <x v="0"/>
    <d v="2026-09-01T09:11:54"/>
    <x v="37"/>
    <x v="21"/>
    <x v="37"/>
    <s v="19BA22.00"/>
    <x v="3"/>
    <x v="1"/>
    <m/>
    <m/>
    <m/>
  </r>
  <r>
    <s v="YK263206134"/>
    <x v="2"/>
    <x v="2"/>
    <n v="1"/>
    <x v="2"/>
    <d v="2026-09-08T15:15:31"/>
    <x v="37"/>
    <x v="21"/>
    <x v="37"/>
    <s v="19BA22.00"/>
    <x v="3"/>
    <x v="1"/>
    <m/>
    <m/>
    <m/>
  </r>
  <r>
    <s v="YK263206135"/>
    <x v="4"/>
    <x v="4"/>
    <n v="1"/>
    <x v="4"/>
    <d v="2026-08-24T19:54:58"/>
    <x v="37"/>
    <x v="21"/>
    <x v="37"/>
    <s v="19BA22.00"/>
    <x v="3"/>
    <x v="1"/>
    <m/>
    <m/>
    <m/>
  </r>
  <r>
    <s v="YK263206136"/>
    <x v="4"/>
    <x v="4"/>
    <n v="1"/>
    <x v="4"/>
    <d v="2026-08-20T17:09:43"/>
    <x v="37"/>
    <x v="21"/>
    <x v="37"/>
    <s v="19BA22.00"/>
    <x v="3"/>
    <x v="1"/>
    <m/>
    <m/>
    <m/>
  </r>
  <r>
    <s v="YK263206137"/>
    <x v="2"/>
    <x v="2"/>
    <n v="1"/>
    <x v="2"/>
    <d v="2026-09-08T14:56:51"/>
    <x v="37"/>
    <x v="21"/>
    <x v="37"/>
    <s v="19BA22.00"/>
    <x v="3"/>
    <x v="1"/>
    <m/>
    <m/>
    <m/>
  </r>
  <r>
    <s v="YK263206138"/>
    <x v="0"/>
    <x v="0"/>
    <n v="1"/>
    <x v="0"/>
    <d v="2026-08-31T11:03:10"/>
    <x v="37"/>
    <x v="21"/>
    <x v="37"/>
    <s v="19BA22.00"/>
    <x v="3"/>
    <x v="1"/>
    <m/>
    <m/>
    <m/>
  </r>
  <r>
    <s v="YK263206139"/>
    <x v="0"/>
    <x v="0"/>
    <n v="1"/>
    <x v="0"/>
    <d v="2026-09-01T13:15:28"/>
    <x v="37"/>
    <x v="21"/>
    <x v="37"/>
    <s v="19BA22.00"/>
    <x v="3"/>
    <x v="1"/>
    <m/>
    <m/>
    <m/>
  </r>
  <r>
    <s v="YK263206140"/>
    <x v="2"/>
    <x v="2"/>
    <n v="1"/>
    <x v="2"/>
    <d v="2026-09-08T15:11:10"/>
    <x v="37"/>
    <x v="21"/>
    <x v="37"/>
    <s v="19BA22.00"/>
    <x v="3"/>
    <x v="1"/>
    <m/>
    <m/>
    <m/>
  </r>
  <r>
    <s v="YK263206141"/>
    <x v="2"/>
    <x v="2"/>
    <n v="1"/>
    <x v="2"/>
    <d v="2026-09-08T14:40:40"/>
    <x v="37"/>
    <x v="21"/>
    <x v="37"/>
    <s v="19BA22.00"/>
    <x v="3"/>
    <x v="1"/>
    <m/>
    <m/>
    <m/>
  </r>
  <r>
    <s v="YK263206142"/>
    <x v="3"/>
    <x v="3"/>
    <n v="1"/>
    <x v="3"/>
    <d v="2026-09-08T09:41:10"/>
    <x v="37"/>
    <x v="21"/>
    <x v="37"/>
    <s v="19BA22.00"/>
    <x v="3"/>
    <x v="1"/>
    <m/>
    <m/>
    <m/>
  </r>
  <r>
    <s v="YK263206143"/>
    <x v="4"/>
    <x v="4"/>
    <n v="1"/>
    <x v="4"/>
    <d v="2026-08-20T17:48:08"/>
    <x v="37"/>
    <x v="21"/>
    <x v="37"/>
    <s v="19BA22.00"/>
    <x v="3"/>
    <x v="1"/>
    <m/>
    <m/>
    <m/>
  </r>
  <r>
    <s v="YK263206144"/>
    <x v="9"/>
    <x v="9"/>
    <n v="1"/>
    <x v="2"/>
    <d v="2026-08-18T18:31:34"/>
    <x v="37"/>
    <x v="21"/>
    <x v="37"/>
    <s v="19BA22.00"/>
    <x v="3"/>
    <x v="1"/>
    <m/>
    <m/>
    <m/>
  </r>
  <r>
    <s v="YK263206145"/>
    <x v="9"/>
    <x v="9"/>
    <n v="1"/>
    <x v="2"/>
    <d v="2026-08-18T18:39:07"/>
    <x v="37"/>
    <x v="21"/>
    <x v="37"/>
    <s v="19BA22.00"/>
    <x v="3"/>
    <x v="1"/>
    <m/>
    <m/>
    <m/>
  </r>
  <r>
    <s v="YK263206146"/>
    <x v="2"/>
    <x v="2"/>
    <n v="1"/>
    <x v="2"/>
    <d v="2026-09-08T15:02:23"/>
    <x v="37"/>
    <x v="21"/>
    <x v="37"/>
    <s v="19BA22.00"/>
    <x v="3"/>
    <x v="1"/>
    <m/>
    <m/>
    <m/>
  </r>
  <r>
    <s v="YK263206147"/>
    <x v="9"/>
    <x v="9"/>
    <n v="1"/>
    <x v="2"/>
    <d v="2026-08-18T18:47:07"/>
    <x v="37"/>
    <x v="21"/>
    <x v="37"/>
    <s v="19BA22.00"/>
    <x v="3"/>
    <x v="1"/>
    <m/>
    <m/>
    <m/>
  </r>
  <r>
    <s v="YK263206148"/>
    <x v="9"/>
    <x v="9"/>
    <n v="1"/>
    <x v="2"/>
    <d v="2026-08-18T19:09:59"/>
    <x v="37"/>
    <x v="21"/>
    <x v="37"/>
    <s v="19BA22.00"/>
    <x v="3"/>
    <x v="1"/>
    <m/>
    <m/>
    <m/>
  </r>
  <r>
    <s v="YK263206149"/>
    <x v="9"/>
    <x v="9"/>
    <n v="1"/>
    <x v="2"/>
    <d v="2026-08-18T19:14:50"/>
    <x v="37"/>
    <x v="21"/>
    <x v="37"/>
    <s v="19BA22.00"/>
    <x v="3"/>
    <x v="1"/>
    <m/>
    <m/>
    <m/>
  </r>
  <r>
    <s v="YK263206150"/>
    <x v="9"/>
    <x v="9"/>
    <n v="1"/>
    <x v="2"/>
    <d v="2026-08-18T19:42:26"/>
    <x v="37"/>
    <x v="21"/>
    <x v="37"/>
    <s v="19BA22.00"/>
    <x v="3"/>
    <x v="1"/>
    <m/>
    <m/>
    <m/>
  </r>
  <r>
    <s v="YK263206151"/>
    <x v="2"/>
    <x v="2"/>
    <n v="1"/>
    <x v="2"/>
    <d v="2026-09-09T07:19:09"/>
    <x v="37"/>
    <x v="21"/>
    <x v="37"/>
    <s v="19BA22.00"/>
    <x v="3"/>
    <x v="1"/>
    <m/>
    <m/>
    <m/>
  </r>
  <r>
    <s v="YK263206152"/>
    <x v="9"/>
    <x v="9"/>
    <n v="1"/>
    <x v="2"/>
    <d v="2026-08-18T19:57:09"/>
    <x v="37"/>
    <x v="21"/>
    <x v="37"/>
    <s v="19BA22.00"/>
    <x v="3"/>
    <x v="1"/>
    <m/>
    <m/>
    <m/>
  </r>
  <r>
    <s v="YK263206153"/>
    <x v="9"/>
    <x v="9"/>
    <n v="1"/>
    <x v="2"/>
    <d v="2026-08-18T20:53:32"/>
    <x v="37"/>
    <x v="21"/>
    <x v="37"/>
    <s v="19BA22.00"/>
    <x v="3"/>
    <x v="1"/>
    <m/>
    <m/>
    <m/>
  </r>
  <r>
    <s v="YK263206154"/>
    <x v="2"/>
    <x v="2"/>
    <n v="1"/>
    <x v="2"/>
    <d v="2026-09-09T06:45:55"/>
    <x v="37"/>
    <x v="21"/>
    <x v="37"/>
    <s v="19BA22.00"/>
    <x v="3"/>
    <x v="1"/>
    <m/>
    <m/>
    <m/>
  </r>
  <r>
    <s v="YK263206155"/>
    <x v="9"/>
    <x v="9"/>
    <n v="1"/>
    <x v="2"/>
    <d v="2026-08-19T08:03:52"/>
    <x v="37"/>
    <x v="21"/>
    <x v="37"/>
    <s v="19BA22.00"/>
    <x v="3"/>
    <x v="1"/>
    <m/>
    <m/>
    <m/>
  </r>
  <r>
    <s v="YK263206156"/>
    <x v="15"/>
    <x v="15"/>
    <n v="1"/>
    <x v="2"/>
    <d v="2026-09-08T12:25:06"/>
    <x v="37"/>
    <x v="21"/>
    <x v="37"/>
    <s v="19BA22.00"/>
    <x v="3"/>
    <x v="1"/>
    <m/>
    <m/>
    <m/>
  </r>
  <r>
    <s v="YK263206157"/>
    <x v="9"/>
    <x v="9"/>
    <n v="1"/>
    <x v="2"/>
    <d v="2026-08-19T06:52:14"/>
    <x v="37"/>
    <x v="21"/>
    <x v="37"/>
    <s v="19BA22.00"/>
    <x v="3"/>
    <x v="1"/>
    <m/>
    <m/>
    <m/>
  </r>
  <r>
    <s v="YK263206158"/>
    <x v="9"/>
    <x v="9"/>
    <n v="1"/>
    <x v="2"/>
    <d v="2026-08-19T06:55:18"/>
    <x v="37"/>
    <x v="21"/>
    <x v="37"/>
    <s v="19BA22.00"/>
    <x v="3"/>
    <x v="1"/>
    <m/>
    <m/>
    <m/>
  </r>
  <r>
    <s v="YK263206159"/>
    <x v="9"/>
    <x v="9"/>
    <n v="1"/>
    <x v="2"/>
    <d v="2026-08-19T07:06:41"/>
    <x v="37"/>
    <x v="21"/>
    <x v="37"/>
    <s v="19BA22.00"/>
    <x v="3"/>
    <x v="1"/>
    <m/>
    <m/>
    <m/>
  </r>
  <r>
    <s v="YK263206160"/>
    <x v="2"/>
    <x v="2"/>
    <n v="1"/>
    <x v="2"/>
    <d v="2026-09-08T15:12:05"/>
    <x v="37"/>
    <x v="21"/>
    <x v="37"/>
    <s v="19BA22.00"/>
    <x v="3"/>
    <x v="1"/>
    <m/>
    <m/>
    <m/>
  </r>
  <r>
    <s v="YK263206161"/>
    <x v="9"/>
    <x v="9"/>
    <n v="1"/>
    <x v="2"/>
    <d v="2026-08-19T07:10:41"/>
    <x v="37"/>
    <x v="21"/>
    <x v="37"/>
    <s v="19BA22.00"/>
    <x v="3"/>
    <x v="1"/>
    <m/>
    <m/>
    <m/>
  </r>
  <r>
    <s v="YK263206162"/>
    <x v="14"/>
    <x v="14"/>
    <n v="1"/>
    <x v="2"/>
    <d v="2026-08-28T07:01:37"/>
    <x v="37"/>
    <x v="21"/>
    <x v="37"/>
    <s v="19BA22.00"/>
    <x v="3"/>
    <x v="1"/>
    <m/>
    <m/>
    <m/>
  </r>
  <r>
    <s v="YK263206163"/>
    <x v="9"/>
    <x v="9"/>
    <n v="1"/>
    <x v="2"/>
    <d v="2026-08-19T07:15:16"/>
    <x v="37"/>
    <x v="21"/>
    <x v="37"/>
    <s v="19BA22.00"/>
    <x v="3"/>
    <x v="1"/>
    <m/>
    <m/>
    <m/>
  </r>
  <r>
    <s v="YK263206164"/>
    <x v="7"/>
    <x v="7"/>
    <n v="1"/>
    <x v="2"/>
    <d v="2026-09-09T08:21:34"/>
    <x v="37"/>
    <x v="21"/>
    <x v="37"/>
    <s v="19BA22.00"/>
    <x v="3"/>
    <x v="1"/>
    <m/>
    <m/>
    <m/>
  </r>
  <r>
    <s v="YK263206165"/>
    <x v="9"/>
    <x v="9"/>
    <n v="1"/>
    <x v="2"/>
    <d v="2026-08-19T07:16:14"/>
    <x v="37"/>
    <x v="21"/>
    <x v="37"/>
    <s v="19BA22.00"/>
    <x v="3"/>
    <x v="1"/>
    <m/>
    <m/>
    <m/>
  </r>
  <r>
    <s v="YK263206166"/>
    <x v="7"/>
    <x v="7"/>
    <n v="1"/>
    <x v="2"/>
    <d v="2026-09-09T14:41:19"/>
    <x v="37"/>
    <x v="21"/>
    <x v="37"/>
    <s v="19BA22.00"/>
    <x v="3"/>
    <x v="1"/>
    <m/>
    <m/>
    <m/>
  </r>
  <r>
    <s v="YK263206167"/>
    <x v="9"/>
    <x v="9"/>
    <n v="1"/>
    <x v="2"/>
    <d v="2026-09-09T12:25:41"/>
    <x v="37"/>
    <x v="21"/>
    <x v="37"/>
    <s v="19BA22.00"/>
    <x v="3"/>
    <x v="1"/>
    <m/>
    <m/>
    <m/>
  </r>
  <r>
    <s v="YK263206168"/>
    <x v="9"/>
    <x v="9"/>
    <n v="1"/>
    <x v="2"/>
    <d v="2026-08-19T09:14:26"/>
    <x v="37"/>
    <x v="21"/>
    <x v="37"/>
    <s v="19BA22.00"/>
    <x v="3"/>
    <x v="1"/>
    <m/>
    <m/>
    <m/>
  </r>
  <r>
    <s v="YK263206169"/>
    <x v="3"/>
    <x v="3"/>
    <n v="1"/>
    <x v="3"/>
    <d v="2026-09-08T09:22:47"/>
    <x v="37"/>
    <x v="21"/>
    <x v="37"/>
    <s v="19BA22.00"/>
    <x v="3"/>
    <x v="1"/>
    <m/>
    <m/>
    <m/>
  </r>
  <r>
    <s v="YK263206170"/>
    <x v="9"/>
    <x v="9"/>
    <n v="1"/>
    <x v="2"/>
    <d v="2026-08-19T09:27:57"/>
    <x v="37"/>
    <x v="21"/>
    <x v="37"/>
    <s v="19BA22.00"/>
    <x v="3"/>
    <x v="1"/>
    <m/>
    <m/>
    <m/>
  </r>
  <r>
    <s v="YK263206171"/>
    <x v="9"/>
    <x v="9"/>
    <n v="1"/>
    <x v="2"/>
    <d v="2026-08-19T10:48:22"/>
    <x v="37"/>
    <x v="21"/>
    <x v="37"/>
    <s v="19BA22.00"/>
    <x v="3"/>
    <x v="1"/>
    <m/>
    <m/>
    <m/>
  </r>
  <r>
    <s v="YK263206172"/>
    <x v="16"/>
    <x v="16"/>
    <n v="1"/>
    <x v="6"/>
    <d v="2026-09-04T13:44:28"/>
    <x v="37"/>
    <x v="21"/>
    <x v="37"/>
    <s v="19BA22.00"/>
    <x v="3"/>
    <x v="1"/>
    <m/>
    <m/>
    <m/>
  </r>
  <r>
    <s v="YK263206173"/>
    <x v="15"/>
    <x v="15"/>
    <n v="1"/>
    <x v="2"/>
    <d v="2026-09-09T13:13:39"/>
    <x v="37"/>
    <x v="21"/>
    <x v="37"/>
    <s v="19BA22.00"/>
    <x v="3"/>
    <x v="1"/>
    <m/>
    <m/>
    <m/>
  </r>
  <r>
    <s v="YK263206174"/>
    <x v="9"/>
    <x v="9"/>
    <n v="1"/>
    <x v="2"/>
    <d v="2026-08-19T10:49:13"/>
    <x v="37"/>
    <x v="21"/>
    <x v="37"/>
    <s v="19BA22.00"/>
    <x v="3"/>
    <x v="1"/>
    <m/>
    <m/>
    <m/>
  </r>
  <r>
    <s v="YK263206175"/>
    <x v="7"/>
    <x v="7"/>
    <n v="1"/>
    <x v="2"/>
    <d v="2026-09-04T13:22:55"/>
    <x v="37"/>
    <x v="21"/>
    <x v="37"/>
    <s v="19BA22.00"/>
    <x v="3"/>
    <x v="1"/>
    <m/>
    <m/>
    <m/>
  </r>
  <r>
    <s v="YK262701267"/>
    <x v="1"/>
    <x v="1"/>
    <n v="1"/>
    <x v="1"/>
    <d v="2026-08-18T11:27:03"/>
    <x v="38"/>
    <x v="22"/>
    <x v="38"/>
    <s v="19BA41.00"/>
    <x v="3"/>
    <x v="3"/>
    <m/>
    <d v="2026-08-19T00:00:00"/>
    <m/>
  </r>
  <r>
    <s v="YK262701268"/>
    <x v="1"/>
    <x v="1"/>
    <n v="1"/>
    <x v="1"/>
    <d v="2026-08-18T11:25:03"/>
    <x v="38"/>
    <x v="22"/>
    <x v="38"/>
    <s v="19BA41.00"/>
    <x v="3"/>
    <x v="3"/>
    <s v="Poland unit "/>
    <d v="2026-08-27T00:00:00"/>
    <m/>
  </r>
  <r>
    <s v="YK262701269"/>
    <x v="1"/>
    <x v="1"/>
    <n v="1"/>
    <x v="1"/>
    <d v="2026-08-18T11:25:57"/>
    <x v="38"/>
    <x v="22"/>
    <x v="38"/>
    <s v="19BA41.00"/>
    <x v="3"/>
    <x v="3"/>
    <m/>
    <d v="2026-08-19T00:00:00"/>
    <m/>
  </r>
  <r>
    <s v="YK262701270"/>
    <x v="1"/>
    <x v="1"/>
    <n v="1"/>
    <x v="1"/>
    <d v="2026-08-18T11:28:46"/>
    <x v="38"/>
    <x v="22"/>
    <x v="38"/>
    <s v="19BA41.00"/>
    <x v="3"/>
    <x v="3"/>
    <s v="Poland unit "/>
    <d v="2026-08-27T00:00:00"/>
    <m/>
  </r>
  <r>
    <s v="YK262701271"/>
    <x v="8"/>
    <x v="8"/>
    <n v="1"/>
    <x v="6"/>
    <d v="2026-08-26T14:52:41"/>
    <x v="38"/>
    <x v="22"/>
    <x v="38"/>
    <s v="19BA41.00"/>
    <x v="3"/>
    <x v="3"/>
    <m/>
    <m/>
    <m/>
  </r>
  <r>
    <s v="YK262701272"/>
    <x v="1"/>
    <x v="1"/>
    <n v="1"/>
    <x v="1"/>
    <d v="2026-08-18T13:28:18"/>
    <x v="38"/>
    <x v="22"/>
    <x v="38"/>
    <s v="19BA41.00"/>
    <x v="3"/>
    <x v="3"/>
    <m/>
    <d v="2026-08-19T00:00:00"/>
    <m/>
  </r>
  <r>
    <s v="YK262701273"/>
    <x v="1"/>
    <x v="1"/>
    <n v="1"/>
    <x v="1"/>
    <d v="2026-08-19T06:48:18"/>
    <x v="38"/>
    <x v="22"/>
    <x v="38"/>
    <s v="19BA41.00"/>
    <x v="3"/>
    <x v="3"/>
    <m/>
    <d v="2026-08-19T00:00:00"/>
    <m/>
  </r>
  <r>
    <s v="YK262701274"/>
    <x v="21"/>
    <x v="21"/>
    <n v="1"/>
    <x v="6"/>
    <d v="2026-08-17T08:35:27"/>
    <x v="38"/>
    <x v="22"/>
    <x v="38"/>
    <s v="19BA41.00"/>
    <x v="3"/>
    <x v="3"/>
    <m/>
    <m/>
    <m/>
  </r>
  <r>
    <s v="YK263501057"/>
    <x v="22"/>
    <x v="22"/>
    <n v="1"/>
    <x v="2"/>
    <d v="2026-09-03T11:01:34"/>
    <x v="39"/>
    <x v="23"/>
    <x v="39"/>
    <s v="19BA42.00"/>
    <x v="3"/>
    <x v="3"/>
    <m/>
    <m/>
    <m/>
  </r>
  <r>
    <s v="YK263501058"/>
    <x v="1"/>
    <x v="1"/>
    <n v="1"/>
    <x v="1"/>
    <d v="2026-09-03T06:30:34"/>
    <x v="39"/>
    <x v="23"/>
    <x v="39"/>
    <s v="19BA42.00"/>
    <x v="3"/>
    <x v="3"/>
    <m/>
    <d v="2026-09-02T00:00:00"/>
    <m/>
  </r>
  <r>
    <s v="YK263501059"/>
    <x v="21"/>
    <x v="21"/>
    <n v="1"/>
    <x v="6"/>
    <d v="2026-09-02T14:26:17"/>
    <x v="39"/>
    <x v="23"/>
    <x v="39"/>
    <s v="19BA42.00"/>
    <x v="3"/>
    <x v="3"/>
    <m/>
    <m/>
    <m/>
  </r>
  <r>
    <s v="YK263501060"/>
    <x v="21"/>
    <x v="21"/>
    <n v="1"/>
    <x v="6"/>
    <d v="2026-09-02T11:44:08"/>
    <x v="39"/>
    <x v="23"/>
    <x v="39"/>
    <s v="19BA42.00"/>
    <x v="3"/>
    <x v="3"/>
    <m/>
    <m/>
    <m/>
  </r>
  <r>
    <s v="YK263501061"/>
    <x v="22"/>
    <x v="22"/>
    <n v="1"/>
    <x v="2"/>
    <d v="2026-09-03T12:10:10"/>
    <x v="39"/>
    <x v="23"/>
    <x v="39"/>
    <s v="19BA42.00"/>
    <x v="3"/>
    <x v="3"/>
    <m/>
    <d v="2026-09-04T00:00:00"/>
    <m/>
  </r>
  <r>
    <s v="YK263501062"/>
    <x v="23"/>
    <x v="23"/>
    <n v="1"/>
    <x v="8"/>
    <d v="2026-09-02T09:24:10"/>
    <x v="39"/>
    <x v="23"/>
    <x v="39"/>
    <s v="19BA42.00"/>
    <x v="3"/>
    <x v="3"/>
    <m/>
    <m/>
    <m/>
  </r>
  <r>
    <s v="YK263501063"/>
    <x v="0"/>
    <x v="0"/>
    <n v="1"/>
    <x v="7"/>
    <d v="2026-08-28T10:16:21"/>
    <x v="39"/>
    <x v="23"/>
    <x v="39"/>
    <s v="19BA42.00"/>
    <x v="3"/>
    <x v="3"/>
    <m/>
    <m/>
    <m/>
  </r>
  <r>
    <s v="YK263501064"/>
    <x v="1"/>
    <x v="1"/>
    <n v="1"/>
    <x v="1"/>
    <d v="2026-09-04T10:50:41"/>
    <x v="39"/>
    <x v="23"/>
    <x v="39"/>
    <s v="19BA42.00"/>
    <x v="3"/>
    <x v="3"/>
    <m/>
    <m/>
    <m/>
  </r>
  <r>
    <s v="YK263501065"/>
    <x v="21"/>
    <x v="21"/>
    <n v="1"/>
    <x v="6"/>
    <d v="2026-09-02T14:10:35"/>
    <x v="39"/>
    <x v="23"/>
    <x v="39"/>
    <s v="19BA42.00"/>
    <x v="3"/>
    <x v="3"/>
    <m/>
    <m/>
    <m/>
  </r>
  <r>
    <s v="YK263501066"/>
    <x v="21"/>
    <x v="21"/>
    <n v="1"/>
    <x v="6"/>
    <d v="2026-09-02T10:14:55"/>
    <x v="39"/>
    <x v="23"/>
    <x v="39"/>
    <s v="19BA42.00"/>
    <x v="3"/>
    <x v="3"/>
    <m/>
    <m/>
    <m/>
  </r>
  <r>
    <s v="YK263501067"/>
    <x v="23"/>
    <x v="23"/>
    <n v="1"/>
    <x v="8"/>
    <d v="2026-09-02T10:41:32"/>
    <x v="39"/>
    <x v="23"/>
    <x v="39"/>
    <s v="19BA42.00"/>
    <x v="3"/>
    <x v="3"/>
    <m/>
    <m/>
    <m/>
  </r>
  <r>
    <s v="YK263501068"/>
    <x v="24"/>
    <x v="24"/>
    <n v="1"/>
    <x v="2"/>
    <d v="2026-09-02T14:08:08"/>
    <x v="39"/>
    <x v="23"/>
    <x v="39"/>
    <s v="19BA42.00"/>
    <x v="3"/>
    <x v="3"/>
    <m/>
    <m/>
    <m/>
  </r>
  <r>
    <s v="YK263501069"/>
    <x v="24"/>
    <x v="24"/>
    <n v="1"/>
    <x v="2"/>
    <d v="2026-09-02T13:56:24"/>
    <x v="39"/>
    <x v="23"/>
    <x v="39"/>
    <s v="19BA42.00"/>
    <x v="3"/>
    <x v="3"/>
    <m/>
    <m/>
    <m/>
  </r>
  <r>
    <s v="YK263501070"/>
    <x v="25"/>
    <x v="25"/>
    <n v="1"/>
    <x v="2"/>
    <d v="2026-09-10T06:34:26"/>
    <x v="39"/>
    <x v="23"/>
    <x v="39"/>
    <s v="19BA42.00"/>
    <x v="3"/>
    <x v="3"/>
    <m/>
    <m/>
    <m/>
  </r>
  <r>
    <s v="YK263501071"/>
    <x v="25"/>
    <x v="25"/>
    <n v="1"/>
    <x v="2"/>
    <d v="2026-09-10T07:03:48"/>
    <x v="39"/>
    <x v="23"/>
    <x v="39"/>
    <s v="19BA42.00"/>
    <x v="3"/>
    <x v="3"/>
    <m/>
    <m/>
    <m/>
  </r>
  <r>
    <s v="YK263501072"/>
    <x v="19"/>
    <x v="19"/>
    <n v="1"/>
    <x v="8"/>
    <d v="2026-09-10T07:30:36"/>
    <x v="39"/>
    <x v="23"/>
    <x v="39"/>
    <s v="19BA42.00"/>
    <x v="3"/>
    <x v="3"/>
    <m/>
    <m/>
    <m/>
  </r>
  <r>
    <s v="YK263501073"/>
    <x v="0"/>
    <x v="0"/>
    <n v="1"/>
    <x v="7"/>
    <d v="2026-08-28T10:16:21"/>
    <x v="39"/>
    <x v="23"/>
    <x v="39"/>
    <s v="19BA42.00"/>
    <x v="3"/>
    <x v="3"/>
    <m/>
    <m/>
    <m/>
  </r>
  <r>
    <s v="YK263501074"/>
    <x v="0"/>
    <x v="0"/>
    <n v="1"/>
    <x v="7"/>
    <d v="2026-08-28T10:16:21"/>
    <x v="39"/>
    <x v="23"/>
    <x v="39"/>
    <s v="19BA42.00"/>
    <x v="3"/>
    <x v="3"/>
    <m/>
    <m/>
    <m/>
  </r>
  <r>
    <s v="YK263501075"/>
    <x v="0"/>
    <x v="0"/>
    <n v="1"/>
    <x v="7"/>
    <d v="2026-08-28T10:16:21"/>
    <x v="39"/>
    <x v="23"/>
    <x v="39"/>
    <s v="19BA42.00"/>
    <x v="3"/>
    <x v="3"/>
    <m/>
    <m/>
    <m/>
  </r>
  <r>
    <s v="YK263501076"/>
    <x v="0"/>
    <x v="0"/>
    <n v="1"/>
    <x v="7"/>
    <d v="2026-08-28T10:16:21"/>
    <x v="39"/>
    <x v="23"/>
    <x v="39"/>
    <s v="19BA42.00"/>
    <x v="3"/>
    <x v="3"/>
    <m/>
    <m/>
    <m/>
  </r>
  <r>
    <s v="YK263501077"/>
    <x v="0"/>
    <x v="0"/>
    <n v="1"/>
    <x v="7"/>
    <d v="2026-08-28T10:16:21"/>
    <x v="39"/>
    <x v="23"/>
    <x v="39"/>
    <s v="19BA42.00"/>
    <x v="3"/>
    <x v="3"/>
    <m/>
    <m/>
    <m/>
  </r>
  <r>
    <s v="YK263501078"/>
    <x v="0"/>
    <x v="0"/>
    <n v="1"/>
    <x v="7"/>
    <d v="2026-08-28T10:16:21"/>
    <x v="39"/>
    <x v="23"/>
    <x v="39"/>
    <s v="19BA42.00"/>
    <x v="3"/>
    <x v="3"/>
    <m/>
    <m/>
    <m/>
  </r>
  <r>
    <s v="YK263501079"/>
    <x v="0"/>
    <x v="0"/>
    <n v="1"/>
    <x v="7"/>
    <d v="2026-08-28T10:16:21"/>
    <x v="39"/>
    <x v="23"/>
    <x v="39"/>
    <s v="19BA42.00"/>
    <x v="3"/>
    <x v="3"/>
    <m/>
    <m/>
    <m/>
  </r>
  <r>
    <s v="YK263501080"/>
    <x v="0"/>
    <x v="0"/>
    <n v="1"/>
    <x v="7"/>
    <d v="2026-08-28T10:16:21"/>
    <x v="39"/>
    <x v="23"/>
    <x v="39"/>
    <s v="19BA42.00"/>
    <x v="3"/>
    <x v="3"/>
    <m/>
    <m/>
    <m/>
  </r>
  <r>
    <s v="YK263501081"/>
    <x v="0"/>
    <x v="0"/>
    <n v="1"/>
    <x v="7"/>
    <d v="2026-08-28T10:16:21"/>
    <x v="39"/>
    <x v="23"/>
    <x v="39"/>
    <s v="19BA42.00"/>
    <x v="3"/>
    <x v="3"/>
    <m/>
    <m/>
    <m/>
  </r>
  <r>
    <s v="YK263501082"/>
    <x v="0"/>
    <x v="0"/>
    <n v="1"/>
    <x v="7"/>
    <d v="2026-08-28T10:16:21"/>
    <x v="39"/>
    <x v="23"/>
    <x v="39"/>
    <s v="19BA42.00"/>
    <x v="3"/>
    <x v="3"/>
    <m/>
    <m/>
    <m/>
  </r>
  <r>
    <s v="YK263501083"/>
    <x v="0"/>
    <x v="0"/>
    <n v="1"/>
    <x v="7"/>
    <d v="2026-08-28T10:16:21"/>
    <x v="39"/>
    <x v="23"/>
    <x v="39"/>
    <s v="19BA42.00"/>
    <x v="3"/>
    <x v="3"/>
    <m/>
    <m/>
    <m/>
  </r>
  <r>
    <s v="YK263501084"/>
    <x v="0"/>
    <x v="0"/>
    <n v="1"/>
    <x v="7"/>
    <d v="2026-08-28T10:16:21"/>
    <x v="39"/>
    <x v="23"/>
    <x v="39"/>
    <s v="19BA42.00"/>
    <x v="3"/>
    <x v="3"/>
    <m/>
    <m/>
    <m/>
  </r>
  <r>
    <s v="YK263501085"/>
    <x v="0"/>
    <x v="0"/>
    <n v="1"/>
    <x v="7"/>
    <d v="2026-08-28T10:16:21"/>
    <x v="39"/>
    <x v="23"/>
    <x v="39"/>
    <s v="19BA42.00"/>
    <x v="3"/>
    <x v="3"/>
    <m/>
    <m/>
    <m/>
  </r>
  <r>
    <s v="YK263501086"/>
    <x v="0"/>
    <x v="0"/>
    <n v="1"/>
    <x v="7"/>
    <d v="2026-08-28T10:16:21"/>
    <x v="39"/>
    <x v="23"/>
    <x v="39"/>
    <s v="19BA42.00"/>
    <x v="3"/>
    <x v="3"/>
    <m/>
    <m/>
    <m/>
  </r>
  <r>
    <s v="YK263501087"/>
    <x v="0"/>
    <x v="0"/>
    <n v="1"/>
    <x v="7"/>
    <d v="2026-08-28T10:16:21"/>
    <x v="39"/>
    <x v="23"/>
    <x v="39"/>
    <s v="19BA42.00"/>
    <x v="3"/>
    <x v="3"/>
    <m/>
    <m/>
    <m/>
  </r>
  <r>
    <s v="YK263501088"/>
    <x v="0"/>
    <x v="0"/>
    <n v="1"/>
    <x v="7"/>
    <d v="2026-08-28T10:16:21"/>
    <x v="39"/>
    <x v="23"/>
    <x v="39"/>
    <s v="19BA42.00"/>
    <x v="3"/>
    <x v="3"/>
    <m/>
    <m/>
    <m/>
  </r>
  <r>
    <s v="YK263501089"/>
    <x v="0"/>
    <x v="0"/>
    <n v="1"/>
    <x v="7"/>
    <d v="2026-08-28T10:16:21"/>
    <x v="39"/>
    <x v="23"/>
    <x v="39"/>
    <s v="19BA42.00"/>
    <x v="3"/>
    <x v="3"/>
    <m/>
    <m/>
    <m/>
  </r>
  <r>
    <s v="YK263501090"/>
    <x v="0"/>
    <x v="0"/>
    <n v="1"/>
    <x v="7"/>
    <d v="2026-08-28T10:16:21"/>
    <x v="39"/>
    <x v="23"/>
    <x v="39"/>
    <s v="19BA42.00"/>
    <x v="3"/>
    <x v="3"/>
    <m/>
    <m/>
    <m/>
  </r>
  <r>
    <s v="YK263501091"/>
    <x v="0"/>
    <x v="0"/>
    <n v="1"/>
    <x v="7"/>
    <d v="2026-08-28T10:16:21"/>
    <x v="39"/>
    <x v="23"/>
    <x v="39"/>
    <s v="19BA42.00"/>
    <x v="3"/>
    <x v="3"/>
    <m/>
    <m/>
    <m/>
  </r>
  <r>
    <s v="YK263501092"/>
    <x v="0"/>
    <x v="0"/>
    <n v="1"/>
    <x v="7"/>
    <d v="2026-08-28T10:16:21"/>
    <x v="39"/>
    <x v="23"/>
    <x v="39"/>
    <s v="19BA42.00"/>
    <x v="3"/>
    <x v="3"/>
    <m/>
    <m/>
    <m/>
  </r>
  <r>
    <s v="YK263501093"/>
    <x v="0"/>
    <x v="0"/>
    <n v="1"/>
    <x v="7"/>
    <d v="2026-08-28T10:16:21"/>
    <x v="39"/>
    <x v="23"/>
    <x v="39"/>
    <s v="19BA42.00"/>
    <x v="3"/>
    <x v="3"/>
    <m/>
    <m/>
    <m/>
  </r>
  <r>
    <s v="YK263501094"/>
    <x v="0"/>
    <x v="0"/>
    <n v="1"/>
    <x v="7"/>
    <d v="2026-08-28T10:16:21"/>
    <x v="39"/>
    <x v="23"/>
    <x v="39"/>
    <s v="19BA42.00"/>
    <x v="3"/>
    <x v="3"/>
    <m/>
    <m/>
    <m/>
  </r>
  <r>
    <s v="YK263501095"/>
    <x v="0"/>
    <x v="0"/>
    <n v="1"/>
    <x v="7"/>
    <d v="2026-08-28T10:16:21"/>
    <x v="39"/>
    <x v="23"/>
    <x v="39"/>
    <s v="19BA42.00"/>
    <x v="3"/>
    <x v="3"/>
    <m/>
    <m/>
    <m/>
  </r>
  <r>
    <s v="YK263501096"/>
    <x v="0"/>
    <x v="0"/>
    <n v="1"/>
    <x v="7"/>
    <d v="2026-08-28T10:16:21"/>
    <x v="39"/>
    <x v="23"/>
    <x v="39"/>
    <s v="19BA42.00"/>
    <x v="3"/>
    <x v="3"/>
    <m/>
    <m/>
    <m/>
  </r>
  <r>
    <s v="YK263501097"/>
    <x v="0"/>
    <x v="0"/>
    <n v="1"/>
    <x v="7"/>
    <d v="2026-08-28T10:16:21"/>
    <x v="39"/>
    <x v="23"/>
    <x v="39"/>
    <s v="19BA42.00"/>
    <x v="3"/>
    <x v="3"/>
    <m/>
    <m/>
    <m/>
  </r>
  <r>
    <s v="YK263501098"/>
    <x v="0"/>
    <x v="0"/>
    <n v="1"/>
    <x v="7"/>
    <d v="2026-08-28T10:16:21"/>
    <x v="39"/>
    <x v="23"/>
    <x v="39"/>
    <s v="19BA42.00"/>
    <x v="3"/>
    <x v="3"/>
    <m/>
    <m/>
    <m/>
  </r>
  <r>
    <s v="YK263501099"/>
    <x v="0"/>
    <x v="0"/>
    <n v="1"/>
    <x v="7"/>
    <d v="2026-08-28T10:16:21"/>
    <x v="39"/>
    <x v="23"/>
    <x v="39"/>
    <s v="19BA42.00"/>
    <x v="3"/>
    <x v="3"/>
    <m/>
    <m/>
    <m/>
  </r>
  <r>
    <s v="YK263501100"/>
    <x v="0"/>
    <x v="0"/>
    <n v="1"/>
    <x v="7"/>
    <d v="2026-08-28T10:16:21"/>
    <x v="39"/>
    <x v="23"/>
    <x v="39"/>
    <s v="19BA42.00"/>
    <x v="3"/>
    <x v="3"/>
    <m/>
    <m/>
    <m/>
  </r>
  <r>
    <s v="YK263501101"/>
    <x v="0"/>
    <x v="0"/>
    <n v="1"/>
    <x v="7"/>
    <d v="2026-08-28T10:16:21"/>
    <x v="39"/>
    <x v="23"/>
    <x v="39"/>
    <s v="19BA42.00"/>
    <x v="3"/>
    <x v="3"/>
    <m/>
    <m/>
    <m/>
  </r>
  <r>
    <s v="YK263501102"/>
    <x v="0"/>
    <x v="0"/>
    <n v="1"/>
    <x v="7"/>
    <d v="2026-08-28T10:16:21"/>
    <x v="39"/>
    <x v="23"/>
    <x v="39"/>
    <s v="19BA42.00"/>
    <x v="3"/>
    <x v="3"/>
    <m/>
    <m/>
    <m/>
  </r>
  <r>
    <s v="YK263501103"/>
    <x v="0"/>
    <x v="0"/>
    <n v="1"/>
    <x v="7"/>
    <d v="2026-08-28T10:16:21"/>
    <x v="39"/>
    <x v="23"/>
    <x v="39"/>
    <s v="19BA42.00"/>
    <x v="3"/>
    <x v="3"/>
    <m/>
    <m/>
    <m/>
  </r>
  <r>
    <s v="YK263501104"/>
    <x v="0"/>
    <x v="0"/>
    <n v="1"/>
    <x v="7"/>
    <d v="2026-08-28T10:16:21"/>
    <x v="39"/>
    <x v="23"/>
    <x v="39"/>
    <s v="19BA42.00"/>
    <x v="3"/>
    <x v="3"/>
    <m/>
    <m/>
    <m/>
  </r>
  <r>
    <s v="YK263501105"/>
    <x v="0"/>
    <x v="0"/>
    <n v="1"/>
    <x v="7"/>
    <d v="2026-08-28T10:16:21"/>
    <x v="39"/>
    <x v="23"/>
    <x v="39"/>
    <s v="19BA42.00"/>
    <x v="3"/>
    <x v="3"/>
    <m/>
    <m/>
    <m/>
  </r>
  <r>
    <s v="YK263501106"/>
    <x v="0"/>
    <x v="0"/>
    <n v="1"/>
    <x v="7"/>
    <d v="2026-08-28T10:16:21"/>
    <x v="39"/>
    <x v="23"/>
    <x v="39"/>
    <s v="19BA42.00"/>
    <x v="3"/>
    <x v="3"/>
    <m/>
    <m/>
    <m/>
  </r>
  <r>
    <s v="YK263501107"/>
    <x v="0"/>
    <x v="0"/>
    <n v="1"/>
    <x v="7"/>
    <d v="2026-08-28T10:16:21"/>
    <x v="39"/>
    <x v="23"/>
    <x v="39"/>
    <s v="19BA42.00"/>
    <x v="3"/>
    <x v="3"/>
    <m/>
    <m/>
    <m/>
  </r>
  <r>
    <s v="YK263501108"/>
    <x v="0"/>
    <x v="0"/>
    <n v="1"/>
    <x v="7"/>
    <d v="2026-08-28T10:16:21"/>
    <x v="39"/>
    <x v="23"/>
    <x v="39"/>
    <s v="19BA42.00"/>
    <x v="3"/>
    <x v="3"/>
    <m/>
    <m/>
    <m/>
  </r>
  <r>
    <s v="YK263501109"/>
    <x v="0"/>
    <x v="0"/>
    <n v="1"/>
    <x v="7"/>
    <d v="2026-08-28T10:16:21"/>
    <x v="39"/>
    <x v="23"/>
    <x v="39"/>
    <s v="19BA42.00"/>
    <x v="3"/>
    <x v="3"/>
    <m/>
    <m/>
    <m/>
  </r>
  <r>
    <s v="YK263501110"/>
    <x v="0"/>
    <x v="0"/>
    <n v="1"/>
    <x v="7"/>
    <d v="2026-08-28T10:16:21"/>
    <x v="39"/>
    <x v="23"/>
    <x v="39"/>
    <s v="19BA42.00"/>
    <x v="3"/>
    <x v="3"/>
    <m/>
    <m/>
    <m/>
  </r>
  <r>
    <s v="YK263501111"/>
    <x v="0"/>
    <x v="0"/>
    <n v="1"/>
    <x v="7"/>
    <d v="2026-08-28T10:16:21"/>
    <x v="39"/>
    <x v="23"/>
    <x v="39"/>
    <s v="19BA42.00"/>
    <x v="3"/>
    <x v="3"/>
    <m/>
    <m/>
    <m/>
  </r>
  <r>
    <s v="YK263501112"/>
    <x v="0"/>
    <x v="0"/>
    <n v="1"/>
    <x v="7"/>
    <d v="2026-08-28T10:16:21"/>
    <x v="39"/>
    <x v="23"/>
    <x v="39"/>
    <s v="19BA42.00"/>
    <x v="3"/>
    <x v="3"/>
    <m/>
    <m/>
    <m/>
  </r>
  <r>
    <s v="YK263501113"/>
    <x v="0"/>
    <x v="0"/>
    <n v="1"/>
    <x v="7"/>
    <d v="2026-08-28T10:16:21"/>
    <x v="39"/>
    <x v="23"/>
    <x v="39"/>
    <s v="19BA42.00"/>
    <x v="3"/>
    <x v="3"/>
    <m/>
    <m/>
    <m/>
  </r>
  <r>
    <s v="YK263501114"/>
    <x v="0"/>
    <x v="0"/>
    <n v="1"/>
    <x v="7"/>
    <d v="2026-08-28T10:16:21"/>
    <x v="39"/>
    <x v="23"/>
    <x v="39"/>
    <s v="19BA42.00"/>
    <x v="3"/>
    <x v="3"/>
    <m/>
    <m/>
    <m/>
  </r>
  <r>
    <s v="YK263501115"/>
    <x v="0"/>
    <x v="0"/>
    <n v="1"/>
    <x v="7"/>
    <d v="2026-08-28T10:16:21"/>
    <x v="39"/>
    <x v="23"/>
    <x v="39"/>
    <s v="19BA42.00"/>
    <x v="3"/>
    <x v="3"/>
    <m/>
    <m/>
    <m/>
  </r>
  <r>
    <s v="YK263501116"/>
    <x v="0"/>
    <x v="0"/>
    <n v="1"/>
    <x v="7"/>
    <d v="2026-08-28T10:16:21"/>
    <x v="39"/>
    <x v="23"/>
    <x v="39"/>
    <s v="19BA42.00"/>
    <x v="3"/>
    <x v="3"/>
    <m/>
    <m/>
    <m/>
  </r>
  <r>
    <s v="YK263501117"/>
    <x v="0"/>
    <x v="0"/>
    <n v="1"/>
    <x v="7"/>
    <d v="2026-08-28T10:16:21"/>
    <x v="39"/>
    <x v="23"/>
    <x v="39"/>
    <s v="19BA42.00"/>
    <x v="3"/>
    <x v="3"/>
    <m/>
    <m/>
    <m/>
  </r>
  <r>
    <s v="YK263501118"/>
    <x v="0"/>
    <x v="0"/>
    <n v="1"/>
    <x v="7"/>
    <d v="2026-08-28T10:16:21"/>
    <x v="39"/>
    <x v="23"/>
    <x v="39"/>
    <s v="19BA42.00"/>
    <x v="3"/>
    <x v="3"/>
    <m/>
    <m/>
    <m/>
  </r>
  <r>
    <s v="YK263501119"/>
    <x v="0"/>
    <x v="0"/>
    <n v="1"/>
    <x v="7"/>
    <d v="2026-08-28T10:16:21"/>
    <x v="39"/>
    <x v="23"/>
    <x v="39"/>
    <s v="19BA42.00"/>
    <x v="3"/>
    <x v="3"/>
    <m/>
    <m/>
    <m/>
  </r>
  <r>
    <s v="YK263501120"/>
    <x v="0"/>
    <x v="0"/>
    <n v="1"/>
    <x v="7"/>
    <d v="2026-08-28T10:16:21"/>
    <x v="39"/>
    <x v="23"/>
    <x v="39"/>
    <s v="19BA42.00"/>
    <x v="3"/>
    <x v="3"/>
    <m/>
    <m/>
    <m/>
  </r>
  <r>
    <s v="YK263300227"/>
    <x v="1"/>
    <x v="1"/>
    <n v="1"/>
    <x v="1"/>
    <d v="2026-09-03T14:17:43"/>
    <x v="40"/>
    <x v="24"/>
    <x v="40"/>
    <s v="20LA11.00"/>
    <x v="2"/>
    <x v="0"/>
    <m/>
    <d v="2026-09-04T00:00:00"/>
    <m/>
  </r>
  <r>
    <s v="YK263300228"/>
    <x v="1"/>
    <x v="1"/>
    <n v="1"/>
    <x v="1"/>
    <d v="2026-08-19T12:19:35"/>
    <x v="40"/>
    <x v="24"/>
    <x v="40"/>
    <s v="20LA11.00"/>
    <x v="2"/>
    <x v="0"/>
    <m/>
    <m/>
    <m/>
  </r>
  <r>
    <s v="YK263300229"/>
    <x v="1"/>
    <x v="1"/>
    <n v="1"/>
    <x v="1"/>
    <d v="2026-08-19T12:19:03"/>
    <x v="40"/>
    <x v="24"/>
    <x v="40"/>
    <s v="20LA11.00"/>
    <x v="2"/>
    <x v="0"/>
    <m/>
    <d v="2026-08-19T00:00:00"/>
    <m/>
  </r>
  <r>
    <s v="YK263300230"/>
    <x v="1"/>
    <x v="1"/>
    <n v="1"/>
    <x v="1"/>
    <d v="2026-08-19T12:18:30"/>
    <x v="40"/>
    <x v="24"/>
    <x v="40"/>
    <s v="20LA11.00"/>
    <x v="2"/>
    <x v="0"/>
    <m/>
    <d v="2026-08-19T00:00:00"/>
    <m/>
  </r>
  <r>
    <s v="YK263300231"/>
    <x v="1"/>
    <x v="1"/>
    <n v="1"/>
    <x v="1"/>
    <d v="2026-08-19T12:16:53"/>
    <x v="40"/>
    <x v="24"/>
    <x v="40"/>
    <s v="20LA11.00"/>
    <x v="2"/>
    <x v="0"/>
    <m/>
    <d v="2026-08-19T00:00:00"/>
    <m/>
  </r>
  <r>
    <s v="YK263300232"/>
    <x v="1"/>
    <x v="1"/>
    <n v="1"/>
    <x v="1"/>
    <d v="2026-08-19T12:18:00"/>
    <x v="40"/>
    <x v="24"/>
    <x v="40"/>
    <s v="20LA11.00"/>
    <x v="2"/>
    <x v="0"/>
    <m/>
    <d v="2026-08-19T00:00:00"/>
    <m/>
  </r>
  <r>
    <s v="YK263300233"/>
    <x v="1"/>
    <x v="1"/>
    <n v="1"/>
    <x v="1"/>
    <d v="2026-08-19T09:11:32"/>
    <x v="40"/>
    <x v="24"/>
    <x v="40"/>
    <s v="20LA11.00"/>
    <x v="2"/>
    <x v="0"/>
    <m/>
    <d v="2026-08-19T00:00:00"/>
    <m/>
  </r>
  <r>
    <s v="YK263300234"/>
    <x v="1"/>
    <x v="1"/>
    <n v="1"/>
    <x v="1"/>
    <d v="2026-08-19T09:13:52"/>
    <x v="40"/>
    <x v="24"/>
    <x v="40"/>
    <s v="20LA11.00"/>
    <x v="2"/>
    <x v="0"/>
    <m/>
    <d v="2026-08-19T00:00:00"/>
    <m/>
  </r>
  <r>
    <s v="YK263300235"/>
    <x v="1"/>
    <x v="1"/>
    <n v="1"/>
    <x v="1"/>
    <d v="2026-08-19T09:12:05"/>
    <x v="40"/>
    <x v="24"/>
    <x v="40"/>
    <s v="20LA11.00"/>
    <x v="2"/>
    <x v="0"/>
    <m/>
    <d v="2026-08-19T00:00:00"/>
    <m/>
  </r>
  <r>
    <s v="YK263300236"/>
    <x v="1"/>
    <x v="1"/>
    <n v="1"/>
    <x v="1"/>
    <d v="2026-08-19T09:12:54"/>
    <x v="40"/>
    <x v="24"/>
    <x v="40"/>
    <s v="20LA11.00"/>
    <x v="2"/>
    <x v="0"/>
    <m/>
    <d v="2026-08-19T00:00:00"/>
    <m/>
  </r>
  <r>
    <s v="YK263300237"/>
    <x v="1"/>
    <x v="1"/>
    <n v="1"/>
    <x v="1"/>
    <d v="2026-08-19T12:17:35"/>
    <x v="40"/>
    <x v="24"/>
    <x v="40"/>
    <s v="20LA11.00"/>
    <x v="2"/>
    <x v="0"/>
    <m/>
    <d v="2026-08-19T00:00:00"/>
    <m/>
  </r>
  <r>
    <s v="YK263300238"/>
    <x v="1"/>
    <x v="1"/>
    <n v="1"/>
    <x v="1"/>
    <d v="2026-08-19T09:13:23"/>
    <x v="40"/>
    <x v="24"/>
    <x v="40"/>
    <s v="20LA11.00"/>
    <x v="2"/>
    <x v="0"/>
    <m/>
    <d v="2026-08-19T00:00:00"/>
    <m/>
  </r>
  <r>
    <s v="YK263300239"/>
    <x v="1"/>
    <x v="1"/>
    <n v="1"/>
    <x v="1"/>
    <d v="2026-08-19T09:11:03"/>
    <x v="40"/>
    <x v="24"/>
    <x v="40"/>
    <s v="20LA11.00"/>
    <x v="2"/>
    <x v="0"/>
    <m/>
    <d v="2026-08-19T00:00:00"/>
    <m/>
  </r>
  <r>
    <s v="YK262300826"/>
    <x v="0"/>
    <x v="0"/>
    <n v="1"/>
    <x v="0"/>
    <d v="2026-08-04T09:13:40"/>
    <x v="41"/>
    <x v="18"/>
    <x v="41"/>
    <s v="20LA12.00"/>
    <x v="2"/>
    <x v="0"/>
    <m/>
    <m/>
    <m/>
  </r>
  <r>
    <s v="YK262300827"/>
    <x v="0"/>
    <x v="0"/>
    <n v="1"/>
    <x v="0"/>
    <d v="2026-07-30T12:20:10"/>
    <x v="41"/>
    <x v="18"/>
    <x v="41"/>
    <s v="20LA12.00"/>
    <x v="2"/>
    <x v="0"/>
    <m/>
    <m/>
    <m/>
  </r>
  <r>
    <s v="YK262300828"/>
    <x v="0"/>
    <x v="0"/>
    <n v="1"/>
    <x v="0"/>
    <d v="2026-07-14T06:39:10"/>
    <x v="41"/>
    <x v="18"/>
    <x v="41"/>
    <s v="20LA12.00"/>
    <x v="2"/>
    <x v="0"/>
    <m/>
    <m/>
    <m/>
  </r>
  <r>
    <s v="YK262300829"/>
    <x v="0"/>
    <x v="0"/>
    <n v="1"/>
    <x v="0"/>
    <d v="2026-07-02T13:41:04"/>
    <x v="41"/>
    <x v="18"/>
    <x v="41"/>
    <s v="20LA12.00"/>
    <x v="2"/>
    <x v="0"/>
    <m/>
    <m/>
    <m/>
  </r>
  <r>
    <s v="YK262300830"/>
    <x v="3"/>
    <x v="3"/>
    <n v="1"/>
    <x v="3"/>
    <d v="2026-06-24T20:34:10"/>
    <x v="41"/>
    <x v="18"/>
    <x v="41"/>
    <s v="20LA12.00"/>
    <x v="2"/>
    <x v="0"/>
    <m/>
    <m/>
    <m/>
  </r>
  <r>
    <s v="YK262300831"/>
    <x v="3"/>
    <x v="3"/>
    <n v="1"/>
    <x v="3"/>
    <d v="2026-06-24T07:42:16"/>
    <x v="41"/>
    <x v="18"/>
    <x v="41"/>
    <s v="20LA12.00"/>
    <x v="2"/>
    <x v="0"/>
    <m/>
    <m/>
    <m/>
  </r>
  <r>
    <s v="YK262300832"/>
    <x v="0"/>
    <x v="0"/>
    <n v="1"/>
    <x v="0"/>
    <d v="2026-07-13T14:09:49"/>
    <x v="41"/>
    <x v="18"/>
    <x v="41"/>
    <s v="20LA12.00"/>
    <x v="2"/>
    <x v="0"/>
    <m/>
    <m/>
    <m/>
  </r>
  <r>
    <s v="YK262300833"/>
    <x v="0"/>
    <x v="0"/>
    <n v="1"/>
    <x v="0"/>
    <d v="2026-07-02T13:41:54"/>
    <x v="41"/>
    <x v="18"/>
    <x v="41"/>
    <s v="20LA12.00"/>
    <x v="2"/>
    <x v="0"/>
    <m/>
    <m/>
    <m/>
  </r>
  <r>
    <s v="YK262300834"/>
    <x v="0"/>
    <x v="0"/>
    <n v="1"/>
    <x v="0"/>
    <d v="2026-07-02T13:41:02"/>
    <x v="41"/>
    <x v="18"/>
    <x v="41"/>
    <s v="20LA12.00"/>
    <x v="2"/>
    <x v="0"/>
    <m/>
    <m/>
    <m/>
  </r>
  <r>
    <s v="YK262300835"/>
    <x v="0"/>
    <x v="0"/>
    <n v="1"/>
    <x v="0"/>
    <d v="2026-07-30T12:21:20"/>
    <x v="41"/>
    <x v="18"/>
    <x v="41"/>
    <s v="20LA12.00"/>
    <x v="2"/>
    <x v="0"/>
    <m/>
    <m/>
    <m/>
  </r>
  <r>
    <s v="YK262300836"/>
    <x v="0"/>
    <x v="0"/>
    <n v="1"/>
    <x v="0"/>
    <d v="2026-07-13T14:01:06"/>
    <x v="41"/>
    <x v="18"/>
    <x v="41"/>
    <s v="20LA12.00"/>
    <x v="2"/>
    <x v="0"/>
    <m/>
    <m/>
    <m/>
  </r>
  <r>
    <s v="YK262300837"/>
    <x v="0"/>
    <x v="0"/>
    <n v="1"/>
    <x v="0"/>
    <d v="2026-08-14T11:44:57"/>
    <x v="41"/>
    <x v="18"/>
    <x v="41"/>
    <s v="20LA12.00"/>
    <x v="2"/>
    <x v="0"/>
    <m/>
    <m/>
    <m/>
  </r>
  <r>
    <s v="YK262300838"/>
    <x v="0"/>
    <x v="0"/>
    <n v="1"/>
    <x v="0"/>
    <d v="2026-08-14T11:43:43"/>
    <x v="41"/>
    <x v="18"/>
    <x v="41"/>
    <s v="20LA12.00"/>
    <x v="2"/>
    <x v="0"/>
    <m/>
    <m/>
    <m/>
  </r>
  <r>
    <s v="YK262300839"/>
    <x v="0"/>
    <x v="0"/>
    <n v="1"/>
    <x v="0"/>
    <d v="2026-07-30T12:20:30"/>
    <x v="41"/>
    <x v="18"/>
    <x v="41"/>
    <s v="20LA12.00"/>
    <x v="2"/>
    <x v="0"/>
    <m/>
    <m/>
    <m/>
  </r>
  <r>
    <s v="YK262300840"/>
    <x v="0"/>
    <x v="0"/>
    <n v="1"/>
    <x v="0"/>
    <d v="2026-08-14T11:44:47"/>
    <x v="41"/>
    <x v="18"/>
    <x v="41"/>
    <s v="20LA12.00"/>
    <x v="2"/>
    <x v="0"/>
    <m/>
    <m/>
    <m/>
  </r>
  <r>
    <s v="YK262300841"/>
    <x v="0"/>
    <x v="0"/>
    <n v="1"/>
    <x v="0"/>
    <d v="2026-07-02T13:41:26"/>
    <x v="41"/>
    <x v="18"/>
    <x v="41"/>
    <s v="20LA12.00"/>
    <x v="2"/>
    <x v="0"/>
    <m/>
    <m/>
    <m/>
  </r>
  <r>
    <s v="YK262300842"/>
    <x v="0"/>
    <x v="0"/>
    <n v="1"/>
    <x v="0"/>
    <d v="2026-07-14T06:39:14"/>
    <x v="41"/>
    <x v="18"/>
    <x v="41"/>
    <s v="20LA12.00"/>
    <x v="2"/>
    <x v="0"/>
    <m/>
    <m/>
    <m/>
  </r>
  <r>
    <s v="YK262300843"/>
    <x v="3"/>
    <x v="3"/>
    <n v="1"/>
    <x v="3"/>
    <d v="2026-06-24T07:36:48"/>
    <x v="41"/>
    <x v="18"/>
    <x v="41"/>
    <s v="20LA12.00"/>
    <x v="2"/>
    <x v="0"/>
    <m/>
    <m/>
    <m/>
  </r>
  <r>
    <s v="YK262300844"/>
    <x v="0"/>
    <x v="0"/>
    <n v="1"/>
    <x v="0"/>
    <d v="2026-07-14T06:38:35"/>
    <x v="41"/>
    <x v="18"/>
    <x v="41"/>
    <s v="20LA12.00"/>
    <x v="2"/>
    <x v="0"/>
    <m/>
    <m/>
    <m/>
  </r>
  <r>
    <s v="YK262300845"/>
    <x v="0"/>
    <x v="0"/>
    <n v="1"/>
    <x v="0"/>
    <d v="2026-07-31T22:02:01"/>
    <x v="41"/>
    <x v="18"/>
    <x v="41"/>
    <s v="20LA12.00"/>
    <x v="2"/>
    <x v="0"/>
    <m/>
    <m/>
    <m/>
  </r>
  <r>
    <s v="YK262300846"/>
    <x v="0"/>
    <x v="0"/>
    <n v="1"/>
    <x v="0"/>
    <d v="2026-08-14T11:43:30"/>
    <x v="41"/>
    <x v="18"/>
    <x v="41"/>
    <s v="20LA12.00"/>
    <x v="2"/>
    <x v="0"/>
    <m/>
    <m/>
    <m/>
  </r>
  <r>
    <s v="YK262300847"/>
    <x v="0"/>
    <x v="0"/>
    <n v="1"/>
    <x v="0"/>
    <d v="2026-07-31T22:02:18"/>
    <x v="41"/>
    <x v="18"/>
    <x v="41"/>
    <s v="20LA12.00"/>
    <x v="2"/>
    <x v="0"/>
    <m/>
    <m/>
    <m/>
  </r>
  <r>
    <s v="YK262300848"/>
    <x v="0"/>
    <x v="0"/>
    <n v="1"/>
    <x v="0"/>
    <d v="2026-07-13T14:09:14"/>
    <x v="41"/>
    <x v="18"/>
    <x v="41"/>
    <s v="20LA12.00"/>
    <x v="2"/>
    <x v="0"/>
    <m/>
    <m/>
    <m/>
  </r>
  <r>
    <s v="YK262300849"/>
    <x v="0"/>
    <x v="0"/>
    <n v="1"/>
    <x v="0"/>
    <d v="2026-08-04T09:13:11"/>
    <x v="41"/>
    <x v="18"/>
    <x v="41"/>
    <s v="20LA12.00"/>
    <x v="2"/>
    <x v="0"/>
    <m/>
    <m/>
    <m/>
  </r>
  <r>
    <s v="YK262300850"/>
    <x v="0"/>
    <x v="0"/>
    <n v="1"/>
    <x v="0"/>
    <d v="2026-07-31T22:03:06"/>
    <x v="41"/>
    <x v="18"/>
    <x v="41"/>
    <s v="20LA12.00"/>
    <x v="2"/>
    <x v="0"/>
    <m/>
    <m/>
    <m/>
  </r>
  <r>
    <s v="YK262300851"/>
    <x v="0"/>
    <x v="0"/>
    <n v="1"/>
    <x v="0"/>
    <d v="2026-07-31T22:03:31"/>
    <x v="41"/>
    <x v="18"/>
    <x v="41"/>
    <s v="20LA12.00"/>
    <x v="2"/>
    <x v="0"/>
    <m/>
    <m/>
    <m/>
  </r>
  <r>
    <s v="YK262300852"/>
    <x v="1"/>
    <x v="1"/>
    <n v="1"/>
    <x v="1"/>
    <d v="2026-07-08T08:30:54"/>
    <x v="41"/>
    <x v="18"/>
    <x v="41"/>
    <s v="20LA12.00"/>
    <x v="2"/>
    <x v="0"/>
    <m/>
    <d v="2026-07-08T00:00:00"/>
    <m/>
  </r>
  <r>
    <s v="YK262300853"/>
    <x v="0"/>
    <x v="0"/>
    <n v="1"/>
    <x v="0"/>
    <d v="2026-07-13T14:00:26"/>
    <x v="41"/>
    <x v="18"/>
    <x v="41"/>
    <s v="20LA12.00"/>
    <x v="2"/>
    <x v="0"/>
    <m/>
    <m/>
    <m/>
  </r>
  <r>
    <s v="YK262300854"/>
    <x v="0"/>
    <x v="0"/>
    <n v="1"/>
    <x v="0"/>
    <d v="2026-07-02T13:41:11"/>
    <x v="41"/>
    <x v="18"/>
    <x v="41"/>
    <s v="20LA12.00"/>
    <x v="2"/>
    <x v="0"/>
    <m/>
    <m/>
    <m/>
  </r>
  <r>
    <s v="YK262300855"/>
    <x v="0"/>
    <x v="0"/>
    <n v="1"/>
    <x v="0"/>
    <d v="2026-07-14T06:38:39"/>
    <x v="41"/>
    <x v="18"/>
    <x v="41"/>
    <s v="20LA12.00"/>
    <x v="2"/>
    <x v="0"/>
    <m/>
    <m/>
    <m/>
  </r>
  <r>
    <s v="YK262300856"/>
    <x v="0"/>
    <x v="0"/>
    <n v="1"/>
    <x v="0"/>
    <d v="2026-07-31T10:58:25"/>
    <x v="41"/>
    <x v="18"/>
    <x v="41"/>
    <s v="20LA12.00"/>
    <x v="2"/>
    <x v="0"/>
    <m/>
    <m/>
    <m/>
  </r>
  <r>
    <s v="YK262300857"/>
    <x v="0"/>
    <x v="0"/>
    <n v="1"/>
    <x v="0"/>
    <d v="2026-07-31T06:25:14"/>
    <x v="41"/>
    <x v="18"/>
    <x v="41"/>
    <s v="20LA12.00"/>
    <x v="2"/>
    <x v="0"/>
    <m/>
    <m/>
    <m/>
  </r>
  <r>
    <s v="YK262300962"/>
    <x v="0"/>
    <x v="0"/>
    <n v="1"/>
    <x v="0"/>
    <d v="2026-07-13T14:15:07"/>
    <x v="41"/>
    <x v="18"/>
    <x v="41"/>
    <s v="20LA12.00"/>
    <x v="2"/>
    <x v="0"/>
    <m/>
    <m/>
    <m/>
  </r>
  <r>
    <s v="YK262300963"/>
    <x v="0"/>
    <x v="0"/>
    <n v="1"/>
    <x v="0"/>
    <d v="2026-08-04T09:15:02"/>
    <x v="41"/>
    <x v="18"/>
    <x v="41"/>
    <s v="20LA12.00"/>
    <x v="2"/>
    <x v="0"/>
    <m/>
    <m/>
    <m/>
  </r>
  <r>
    <s v="YK262300964"/>
    <x v="0"/>
    <x v="0"/>
    <n v="1"/>
    <x v="0"/>
    <d v="2026-08-31T10:36:07"/>
    <x v="41"/>
    <x v="18"/>
    <x v="41"/>
    <s v="20LA12.00"/>
    <x v="2"/>
    <x v="0"/>
    <m/>
    <m/>
    <m/>
  </r>
  <r>
    <s v="YK262300965"/>
    <x v="0"/>
    <x v="0"/>
    <n v="1"/>
    <x v="0"/>
    <d v="2026-07-13T14:15:24"/>
    <x v="41"/>
    <x v="18"/>
    <x v="41"/>
    <s v="20LA12.00"/>
    <x v="2"/>
    <x v="0"/>
    <m/>
    <m/>
    <m/>
  </r>
  <r>
    <s v="YK262300966"/>
    <x v="0"/>
    <x v="0"/>
    <n v="1"/>
    <x v="0"/>
    <d v="2026-07-13T14:02:23"/>
    <x v="41"/>
    <x v="18"/>
    <x v="41"/>
    <s v="20LA12.00"/>
    <x v="2"/>
    <x v="0"/>
    <m/>
    <m/>
    <m/>
  </r>
  <r>
    <s v="YK262300967"/>
    <x v="0"/>
    <x v="0"/>
    <n v="1"/>
    <x v="0"/>
    <d v="2026-07-02T13:41:50"/>
    <x v="41"/>
    <x v="18"/>
    <x v="41"/>
    <s v="20LA12.00"/>
    <x v="2"/>
    <x v="0"/>
    <m/>
    <m/>
    <m/>
  </r>
  <r>
    <s v="YK262300968"/>
    <x v="0"/>
    <x v="0"/>
    <n v="1"/>
    <x v="0"/>
    <d v="2026-07-31T10:51:59"/>
    <x v="41"/>
    <x v="18"/>
    <x v="41"/>
    <s v="20LA12.00"/>
    <x v="2"/>
    <x v="0"/>
    <m/>
    <m/>
    <m/>
  </r>
  <r>
    <s v="YK262300969"/>
    <x v="0"/>
    <x v="0"/>
    <n v="1"/>
    <x v="0"/>
    <d v="2026-07-30T12:21:35"/>
    <x v="41"/>
    <x v="18"/>
    <x v="41"/>
    <s v="20LA12.00"/>
    <x v="2"/>
    <x v="0"/>
    <m/>
    <m/>
    <m/>
  </r>
  <r>
    <s v="YK262300970"/>
    <x v="0"/>
    <x v="0"/>
    <n v="1"/>
    <x v="0"/>
    <d v="2026-06-18T13:51:46"/>
    <x v="41"/>
    <x v="18"/>
    <x v="41"/>
    <s v="20LA12.00"/>
    <x v="2"/>
    <x v="0"/>
    <m/>
    <m/>
    <m/>
  </r>
  <r>
    <s v="YK262300971"/>
    <x v="0"/>
    <x v="0"/>
    <n v="1"/>
    <x v="0"/>
    <d v="2026-07-13T14:15:14"/>
    <x v="41"/>
    <x v="18"/>
    <x v="41"/>
    <s v="20LA12.00"/>
    <x v="2"/>
    <x v="0"/>
    <m/>
    <m/>
    <m/>
  </r>
  <r>
    <s v="YK262300972"/>
    <x v="0"/>
    <x v="0"/>
    <n v="1"/>
    <x v="0"/>
    <d v="2026-07-13T14:04:31"/>
    <x v="41"/>
    <x v="18"/>
    <x v="41"/>
    <s v="20LA12.00"/>
    <x v="2"/>
    <x v="0"/>
    <m/>
    <m/>
    <m/>
  </r>
  <r>
    <s v="YK262300973"/>
    <x v="0"/>
    <x v="0"/>
    <n v="1"/>
    <x v="0"/>
    <d v="2026-07-02T13:41:57"/>
    <x v="41"/>
    <x v="18"/>
    <x v="41"/>
    <s v="20LA12.00"/>
    <x v="2"/>
    <x v="0"/>
    <m/>
    <m/>
    <m/>
  </r>
  <r>
    <s v="YK262300974"/>
    <x v="0"/>
    <x v="0"/>
    <n v="1"/>
    <x v="0"/>
    <d v="2026-07-31T10:55:05"/>
    <x v="41"/>
    <x v="18"/>
    <x v="41"/>
    <s v="20LA12.00"/>
    <x v="2"/>
    <x v="0"/>
    <m/>
    <m/>
    <m/>
  </r>
  <r>
    <s v="YK262300975"/>
    <x v="0"/>
    <x v="0"/>
    <n v="1"/>
    <x v="0"/>
    <d v="2026-06-19T14:17:38"/>
    <x v="41"/>
    <x v="18"/>
    <x v="41"/>
    <s v="20LA12.00"/>
    <x v="2"/>
    <x v="0"/>
    <m/>
    <m/>
    <m/>
  </r>
  <r>
    <s v="YK262300976"/>
    <x v="0"/>
    <x v="0"/>
    <n v="1"/>
    <x v="0"/>
    <d v="2026-06-19T14:17:00"/>
    <x v="41"/>
    <x v="18"/>
    <x v="41"/>
    <s v="20LA12.00"/>
    <x v="2"/>
    <x v="0"/>
    <m/>
    <m/>
    <m/>
  </r>
  <r>
    <s v="YK262300977"/>
    <x v="0"/>
    <x v="0"/>
    <n v="1"/>
    <x v="0"/>
    <d v="2026-06-18T13:05:54"/>
    <x v="41"/>
    <x v="18"/>
    <x v="41"/>
    <s v="20LA12.00"/>
    <x v="2"/>
    <x v="0"/>
    <m/>
    <m/>
    <m/>
  </r>
  <r>
    <s v="YK262300978"/>
    <x v="0"/>
    <x v="0"/>
    <n v="1"/>
    <x v="0"/>
    <d v="2026-06-18T13:05:13"/>
    <x v="41"/>
    <x v="18"/>
    <x v="41"/>
    <s v="20LA12.00"/>
    <x v="2"/>
    <x v="0"/>
    <m/>
    <m/>
    <m/>
  </r>
  <r>
    <s v="YK262300979"/>
    <x v="0"/>
    <x v="0"/>
    <n v="1"/>
    <x v="0"/>
    <d v="2026-07-31T10:50:19"/>
    <x v="41"/>
    <x v="18"/>
    <x v="41"/>
    <s v="20LA12.00"/>
    <x v="2"/>
    <x v="0"/>
    <m/>
    <m/>
    <m/>
  </r>
  <r>
    <s v="YK262300980"/>
    <x v="0"/>
    <x v="0"/>
    <n v="1"/>
    <x v="0"/>
    <d v="2026-08-04T09:14:43"/>
    <x v="41"/>
    <x v="18"/>
    <x v="41"/>
    <s v="20LA12.00"/>
    <x v="2"/>
    <x v="0"/>
    <m/>
    <m/>
    <m/>
  </r>
  <r>
    <s v="YK262300981"/>
    <x v="8"/>
    <x v="8"/>
    <n v="1"/>
    <x v="6"/>
    <d v="2026-09-08T11:42:35"/>
    <x v="41"/>
    <x v="18"/>
    <x v="41"/>
    <s v="20LA12.00"/>
    <x v="2"/>
    <x v="0"/>
    <m/>
    <m/>
    <m/>
  </r>
  <r>
    <s v="YK262300982"/>
    <x v="0"/>
    <x v="0"/>
    <n v="1"/>
    <x v="0"/>
    <d v="2026-07-13T14:15:29"/>
    <x v="41"/>
    <x v="18"/>
    <x v="41"/>
    <s v="20LA12.00"/>
    <x v="2"/>
    <x v="0"/>
    <m/>
    <m/>
    <m/>
  </r>
  <r>
    <s v="YK262300983"/>
    <x v="0"/>
    <x v="0"/>
    <n v="1"/>
    <x v="0"/>
    <d v="2026-07-13T14:09:43"/>
    <x v="41"/>
    <x v="18"/>
    <x v="41"/>
    <s v="20LA12.00"/>
    <x v="2"/>
    <x v="0"/>
    <m/>
    <m/>
    <m/>
  </r>
  <r>
    <s v="YK262300984"/>
    <x v="0"/>
    <x v="0"/>
    <n v="1"/>
    <x v="0"/>
    <d v="2026-07-31T06:24:53"/>
    <x v="41"/>
    <x v="18"/>
    <x v="41"/>
    <s v="20LA12.00"/>
    <x v="2"/>
    <x v="0"/>
    <m/>
    <m/>
    <m/>
  </r>
  <r>
    <s v="YK262300985"/>
    <x v="0"/>
    <x v="0"/>
    <n v="1"/>
    <x v="0"/>
    <d v="2026-07-31T06:23:59"/>
    <x v="41"/>
    <x v="18"/>
    <x v="41"/>
    <s v="20LA12.00"/>
    <x v="2"/>
    <x v="0"/>
    <m/>
    <m/>
    <m/>
  </r>
  <r>
    <s v="YK262300986"/>
    <x v="3"/>
    <x v="3"/>
    <n v="1"/>
    <x v="3"/>
    <d v="2026-06-24T07:55:18"/>
    <x v="41"/>
    <x v="18"/>
    <x v="41"/>
    <s v="20LA12.00"/>
    <x v="2"/>
    <x v="0"/>
    <m/>
    <m/>
    <m/>
  </r>
  <r>
    <s v="YK262300987"/>
    <x v="4"/>
    <x v="4"/>
    <n v="1"/>
    <x v="4"/>
    <d v="2026-07-22T06:29:06"/>
    <x v="41"/>
    <x v="18"/>
    <x v="41"/>
    <s v="20LA12.00"/>
    <x v="2"/>
    <x v="0"/>
    <m/>
    <m/>
    <m/>
  </r>
  <r>
    <s v="YK262300988"/>
    <x v="0"/>
    <x v="0"/>
    <n v="1"/>
    <x v="0"/>
    <d v="2026-07-13T14:09:10"/>
    <x v="41"/>
    <x v="18"/>
    <x v="41"/>
    <s v="20LA12.00"/>
    <x v="2"/>
    <x v="0"/>
    <m/>
    <m/>
    <m/>
  </r>
  <r>
    <s v="YK262300989"/>
    <x v="0"/>
    <x v="0"/>
    <n v="1"/>
    <x v="0"/>
    <d v="2026-07-02T13:41:59"/>
    <x v="41"/>
    <x v="18"/>
    <x v="41"/>
    <s v="20LA12.00"/>
    <x v="2"/>
    <x v="0"/>
    <m/>
    <m/>
    <m/>
  </r>
  <r>
    <s v="YK262300990"/>
    <x v="0"/>
    <x v="0"/>
    <n v="1"/>
    <x v="0"/>
    <d v="2026-07-31T06:23:32"/>
    <x v="41"/>
    <x v="18"/>
    <x v="41"/>
    <s v="20LA12.00"/>
    <x v="2"/>
    <x v="0"/>
    <m/>
    <m/>
    <m/>
  </r>
  <r>
    <s v="YK262300991"/>
    <x v="0"/>
    <x v="0"/>
    <n v="1"/>
    <x v="0"/>
    <d v="2026-06-19T14:17:33"/>
    <x v="41"/>
    <x v="18"/>
    <x v="41"/>
    <s v="20LA12.00"/>
    <x v="2"/>
    <x v="0"/>
    <m/>
    <m/>
    <m/>
  </r>
  <r>
    <s v="YK262300992"/>
    <x v="0"/>
    <x v="0"/>
    <n v="1"/>
    <x v="0"/>
    <d v="2026-06-19T14:36:39"/>
    <x v="41"/>
    <x v="18"/>
    <x v="41"/>
    <s v="20LA12.00"/>
    <x v="2"/>
    <x v="0"/>
    <m/>
    <m/>
    <m/>
  </r>
  <r>
    <s v="YK262300993"/>
    <x v="0"/>
    <x v="0"/>
    <n v="1"/>
    <x v="0"/>
    <d v="2026-06-18T13:05:28"/>
    <x v="41"/>
    <x v="18"/>
    <x v="41"/>
    <s v="20LA12.00"/>
    <x v="2"/>
    <x v="0"/>
    <m/>
    <m/>
    <m/>
  </r>
  <r>
    <s v="YK262300858"/>
    <x v="0"/>
    <x v="0"/>
    <n v="1"/>
    <x v="0"/>
    <d v="2026-07-13T14:09:36"/>
    <x v="42"/>
    <x v="19"/>
    <x v="42"/>
    <s v="20LA12.10"/>
    <x v="2"/>
    <x v="0"/>
    <m/>
    <m/>
    <m/>
  </r>
  <r>
    <s v="YK262300859"/>
    <x v="0"/>
    <x v="0"/>
    <n v="1"/>
    <x v="0"/>
    <d v="2026-06-18T13:05:38"/>
    <x v="42"/>
    <x v="19"/>
    <x v="42"/>
    <s v="20LA12.10"/>
    <x v="2"/>
    <x v="0"/>
    <m/>
    <m/>
    <m/>
  </r>
  <r>
    <s v="YK262300860"/>
    <x v="0"/>
    <x v="0"/>
    <n v="1"/>
    <x v="0"/>
    <d v="2026-07-13T14:15:16"/>
    <x v="42"/>
    <x v="19"/>
    <x v="42"/>
    <s v="20LA12.10"/>
    <x v="2"/>
    <x v="0"/>
    <m/>
    <m/>
    <m/>
  </r>
  <r>
    <s v="YK262300861"/>
    <x v="3"/>
    <x v="3"/>
    <n v="1"/>
    <x v="3"/>
    <d v="2026-08-20T07:41:26"/>
    <x v="42"/>
    <x v="19"/>
    <x v="42"/>
    <s v="20LA12.10"/>
    <x v="2"/>
    <x v="0"/>
    <m/>
    <m/>
    <m/>
  </r>
  <r>
    <s v="YK262300862"/>
    <x v="0"/>
    <x v="0"/>
    <n v="1"/>
    <x v="0"/>
    <d v="2026-07-31T22:02:34"/>
    <x v="42"/>
    <x v="19"/>
    <x v="42"/>
    <s v="20LA12.10"/>
    <x v="2"/>
    <x v="0"/>
    <m/>
    <m/>
    <m/>
  </r>
  <r>
    <s v="YK262300863"/>
    <x v="0"/>
    <x v="0"/>
    <n v="1"/>
    <x v="0"/>
    <d v="2026-07-13T14:09:22"/>
    <x v="42"/>
    <x v="19"/>
    <x v="42"/>
    <s v="20LA12.10"/>
    <x v="2"/>
    <x v="0"/>
    <m/>
    <m/>
    <m/>
  </r>
  <r>
    <s v="YK262300864"/>
    <x v="0"/>
    <x v="0"/>
    <n v="1"/>
    <x v="0"/>
    <d v="2026-07-14T06:38:30"/>
    <x v="42"/>
    <x v="19"/>
    <x v="42"/>
    <s v="20LA12.10"/>
    <x v="2"/>
    <x v="0"/>
    <m/>
    <m/>
    <m/>
  </r>
  <r>
    <s v="YK262300865"/>
    <x v="0"/>
    <x v="0"/>
    <n v="1"/>
    <x v="0"/>
    <d v="2026-06-18T13:05:32"/>
    <x v="42"/>
    <x v="19"/>
    <x v="42"/>
    <s v="20LA12.10"/>
    <x v="2"/>
    <x v="0"/>
    <m/>
    <m/>
    <m/>
  </r>
  <r>
    <s v="YK262300866"/>
    <x v="0"/>
    <x v="0"/>
    <n v="1"/>
    <x v="0"/>
    <d v="2026-06-19T14:17:19"/>
    <x v="42"/>
    <x v="19"/>
    <x v="42"/>
    <s v="20LA12.10"/>
    <x v="2"/>
    <x v="0"/>
    <m/>
    <m/>
    <m/>
  </r>
  <r>
    <s v="YK262300867"/>
    <x v="0"/>
    <x v="0"/>
    <n v="1"/>
    <x v="0"/>
    <d v="2026-07-31T10:47:05"/>
    <x v="42"/>
    <x v="19"/>
    <x v="42"/>
    <s v="20LA12.10"/>
    <x v="2"/>
    <x v="0"/>
    <m/>
    <m/>
    <m/>
  </r>
  <r>
    <s v="YK262300868"/>
    <x v="0"/>
    <x v="0"/>
    <n v="1"/>
    <x v="0"/>
    <d v="2026-07-14T06:38:43"/>
    <x v="42"/>
    <x v="19"/>
    <x v="42"/>
    <s v="20LA12.10"/>
    <x v="2"/>
    <x v="0"/>
    <m/>
    <m/>
    <m/>
  </r>
  <r>
    <s v="YK262300869"/>
    <x v="4"/>
    <x v="4"/>
    <n v="1"/>
    <x v="4"/>
    <d v="2026-08-19T08:58:26"/>
    <x v="42"/>
    <x v="19"/>
    <x v="42"/>
    <s v="20LA12.10"/>
    <x v="2"/>
    <x v="0"/>
    <m/>
    <m/>
    <m/>
  </r>
  <r>
    <s v="YK262300870"/>
    <x v="0"/>
    <x v="0"/>
    <n v="1"/>
    <x v="0"/>
    <d v="2026-07-02T13:42:03"/>
    <x v="42"/>
    <x v="19"/>
    <x v="42"/>
    <s v="20LA12.10"/>
    <x v="2"/>
    <x v="0"/>
    <m/>
    <m/>
    <m/>
  </r>
  <r>
    <s v="YK262300871"/>
    <x v="0"/>
    <x v="0"/>
    <n v="1"/>
    <x v="0"/>
    <d v="2026-06-18T13:05:40"/>
    <x v="42"/>
    <x v="19"/>
    <x v="42"/>
    <s v="20LA12.10"/>
    <x v="2"/>
    <x v="0"/>
    <m/>
    <m/>
    <m/>
  </r>
  <r>
    <s v="YK262300872"/>
    <x v="1"/>
    <x v="1"/>
    <n v="1"/>
    <x v="1"/>
    <d v="2026-07-08T08:29:39"/>
    <x v="42"/>
    <x v="19"/>
    <x v="42"/>
    <s v="20LA12.10"/>
    <x v="2"/>
    <x v="0"/>
    <m/>
    <d v="2026-07-08T00:00:00"/>
    <m/>
  </r>
  <r>
    <s v="YK262300873"/>
    <x v="0"/>
    <x v="0"/>
    <n v="1"/>
    <x v="0"/>
    <d v="2026-06-18T13:05:35"/>
    <x v="42"/>
    <x v="19"/>
    <x v="42"/>
    <s v="20LA12.10"/>
    <x v="2"/>
    <x v="0"/>
    <m/>
    <m/>
    <m/>
  </r>
  <r>
    <s v="YK262300874"/>
    <x v="0"/>
    <x v="0"/>
    <n v="1"/>
    <x v="0"/>
    <d v="2026-07-31T10:46:07"/>
    <x v="42"/>
    <x v="19"/>
    <x v="42"/>
    <s v="20LA12.10"/>
    <x v="2"/>
    <x v="0"/>
    <m/>
    <m/>
    <m/>
  </r>
  <r>
    <s v="YK262300875"/>
    <x v="0"/>
    <x v="0"/>
    <n v="1"/>
    <x v="0"/>
    <d v="2026-06-19T14:17:27"/>
    <x v="42"/>
    <x v="19"/>
    <x v="42"/>
    <s v="20LA12.10"/>
    <x v="2"/>
    <x v="0"/>
    <m/>
    <m/>
    <m/>
  </r>
  <r>
    <s v="YK262300876"/>
    <x v="0"/>
    <x v="0"/>
    <n v="1"/>
    <x v="0"/>
    <d v="2026-06-19T14:17:14"/>
    <x v="42"/>
    <x v="19"/>
    <x v="42"/>
    <s v="20LA12.10"/>
    <x v="2"/>
    <x v="0"/>
    <m/>
    <m/>
    <m/>
  </r>
  <r>
    <s v="YK262300877"/>
    <x v="0"/>
    <x v="0"/>
    <n v="1"/>
    <x v="0"/>
    <d v="2026-08-04T09:14:27"/>
    <x v="42"/>
    <x v="19"/>
    <x v="42"/>
    <s v="20LA12.10"/>
    <x v="2"/>
    <x v="0"/>
    <m/>
    <m/>
    <m/>
  </r>
  <r>
    <s v="YK262300878"/>
    <x v="3"/>
    <x v="3"/>
    <n v="1"/>
    <x v="3"/>
    <d v="2026-07-02T10:29:36"/>
    <x v="42"/>
    <x v="19"/>
    <x v="42"/>
    <s v="20LA12.10"/>
    <x v="2"/>
    <x v="0"/>
    <m/>
    <m/>
    <m/>
  </r>
  <r>
    <s v="YK262300879"/>
    <x v="0"/>
    <x v="0"/>
    <n v="1"/>
    <x v="0"/>
    <d v="2026-07-31T22:04:19"/>
    <x v="42"/>
    <x v="19"/>
    <x v="42"/>
    <s v="20LA12.10"/>
    <x v="2"/>
    <x v="0"/>
    <m/>
    <m/>
    <m/>
  </r>
  <r>
    <s v="YK262300880"/>
    <x v="0"/>
    <x v="0"/>
    <n v="1"/>
    <x v="0"/>
    <d v="2026-07-31T10:45:45"/>
    <x v="42"/>
    <x v="19"/>
    <x v="42"/>
    <s v="20LA12.10"/>
    <x v="2"/>
    <x v="0"/>
    <m/>
    <m/>
    <m/>
  </r>
  <r>
    <s v="YK262300881"/>
    <x v="3"/>
    <x v="3"/>
    <n v="1"/>
    <x v="3"/>
    <d v="2026-07-02T11:21:17"/>
    <x v="42"/>
    <x v="19"/>
    <x v="42"/>
    <s v="20LA12.10"/>
    <x v="2"/>
    <x v="0"/>
    <m/>
    <m/>
    <m/>
  </r>
  <r>
    <s v="YK262300882"/>
    <x v="0"/>
    <x v="0"/>
    <n v="1"/>
    <x v="0"/>
    <d v="2026-07-14T06:39:20"/>
    <x v="42"/>
    <x v="19"/>
    <x v="42"/>
    <s v="20LA12.10"/>
    <x v="2"/>
    <x v="0"/>
    <m/>
    <m/>
    <m/>
  </r>
  <r>
    <s v="YK262300883"/>
    <x v="0"/>
    <x v="0"/>
    <n v="1"/>
    <x v="0"/>
    <d v="2026-07-31T06:24:32"/>
    <x v="42"/>
    <x v="19"/>
    <x v="42"/>
    <s v="20LA12.10"/>
    <x v="2"/>
    <x v="0"/>
    <m/>
    <m/>
    <m/>
  </r>
  <r>
    <s v="YK262300884"/>
    <x v="0"/>
    <x v="0"/>
    <n v="1"/>
    <x v="0"/>
    <d v="2026-07-02T13:41:05"/>
    <x v="42"/>
    <x v="19"/>
    <x v="42"/>
    <s v="20LA12.10"/>
    <x v="2"/>
    <x v="0"/>
    <m/>
    <m/>
    <m/>
  </r>
  <r>
    <s v="YK262300885"/>
    <x v="0"/>
    <x v="0"/>
    <n v="1"/>
    <x v="0"/>
    <d v="2026-07-02T13:40:59"/>
    <x v="42"/>
    <x v="19"/>
    <x v="42"/>
    <s v="20LA12.10"/>
    <x v="2"/>
    <x v="0"/>
    <m/>
    <m/>
    <m/>
  </r>
  <r>
    <s v="YK262300886"/>
    <x v="3"/>
    <x v="3"/>
    <n v="1"/>
    <x v="3"/>
    <d v="2026-07-02T10:34:33"/>
    <x v="42"/>
    <x v="19"/>
    <x v="42"/>
    <s v="20LA12.10"/>
    <x v="2"/>
    <x v="0"/>
    <m/>
    <m/>
    <m/>
  </r>
  <r>
    <s v="YK262300887"/>
    <x v="0"/>
    <x v="0"/>
    <n v="1"/>
    <x v="0"/>
    <d v="2026-07-13T14:15:31"/>
    <x v="42"/>
    <x v="19"/>
    <x v="42"/>
    <s v="20LA12.10"/>
    <x v="2"/>
    <x v="0"/>
    <m/>
    <m/>
    <m/>
  </r>
  <r>
    <s v="YK262300888"/>
    <x v="0"/>
    <x v="0"/>
    <n v="1"/>
    <x v="0"/>
    <d v="2026-07-13T14:08:41"/>
    <x v="42"/>
    <x v="19"/>
    <x v="42"/>
    <s v="20LA12.10"/>
    <x v="2"/>
    <x v="0"/>
    <m/>
    <m/>
    <m/>
  </r>
  <r>
    <s v="YK262300889"/>
    <x v="0"/>
    <x v="0"/>
    <n v="1"/>
    <x v="0"/>
    <d v="2026-07-02T13:41:48"/>
    <x v="42"/>
    <x v="19"/>
    <x v="42"/>
    <s v="20LA12.10"/>
    <x v="2"/>
    <x v="0"/>
    <m/>
    <m/>
    <m/>
  </r>
  <r>
    <s v="YK262300994"/>
    <x v="8"/>
    <x v="8"/>
    <n v="1"/>
    <x v="6"/>
    <d v="2026-08-06T13:42:34"/>
    <x v="42"/>
    <x v="19"/>
    <x v="42"/>
    <s v="20LA12.10"/>
    <x v="2"/>
    <x v="0"/>
    <m/>
    <m/>
    <m/>
  </r>
  <r>
    <s v="YK262300995"/>
    <x v="0"/>
    <x v="0"/>
    <n v="1"/>
    <x v="0"/>
    <d v="2026-07-31T10:44:47"/>
    <x v="42"/>
    <x v="19"/>
    <x v="42"/>
    <s v="20LA12.10"/>
    <x v="2"/>
    <x v="0"/>
    <m/>
    <m/>
    <m/>
  </r>
  <r>
    <s v="YK262300996"/>
    <x v="0"/>
    <x v="0"/>
    <n v="1"/>
    <x v="0"/>
    <d v="2026-08-04T09:15:26"/>
    <x v="42"/>
    <x v="19"/>
    <x v="42"/>
    <s v="20LA12.10"/>
    <x v="2"/>
    <x v="0"/>
    <m/>
    <m/>
    <m/>
  </r>
  <r>
    <s v="YK262300997"/>
    <x v="8"/>
    <x v="8"/>
    <n v="1"/>
    <x v="6"/>
    <d v="2026-08-31T07:43:36"/>
    <x v="42"/>
    <x v="19"/>
    <x v="42"/>
    <s v="20LA12.10"/>
    <x v="2"/>
    <x v="0"/>
    <m/>
    <m/>
    <m/>
  </r>
  <r>
    <s v="YK262300998"/>
    <x v="0"/>
    <x v="0"/>
    <n v="1"/>
    <x v="0"/>
    <d v="2026-07-13T14:15:22"/>
    <x v="42"/>
    <x v="19"/>
    <x v="42"/>
    <s v="20LA12.10"/>
    <x v="2"/>
    <x v="0"/>
    <m/>
    <m/>
    <m/>
  </r>
  <r>
    <s v="YK262300999"/>
    <x v="0"/>
    <x v="0"/>
    <n v="1"/>
    <x v="0"/>
    <d v="2026-08-04T09:12:53"/>
    <x v="42"/>
    <x v="19"/>
    <x v="42"/>
    <s v="20LA12.10"/>
    <x v="2"/>
    <x v="0"/>
    <m/>
    <m/>
    <m/>
  </r>
  <r>
    <s v="YK262301000"/>
    <x v="0"/>
    <x v="0"/>
    <n v="1"/>
    <x v="0"/>
    <d v="2026-07-13T14:02:43"/>
    <x v="42"/>
    <x v="19"/>
    <x v="42"/>
    <s v="20LA12.10"/>
    <x v="2"/>
    <x v="0"/>
    <m/>
    <m/>
    <m/>
  </r>
  <r>
    <s v="YK262301001"/>
    <x v="0"/>
    <x v="0"/>
    <n v="1"/>
    <x v="0"/>
    <d v="2026-07-02T13:41:08"/>
    <x v="42"/>
    <x v="19"/>
    <x v="42"/>
    <s v="20LA12.10"/>
    <x v="2"/>
    <x v="0"/>
    <m/>
    <m/>
    <m/>
  </r>
  <r>
    <s v="YK262301002"/>
    <x v="0"/>
    <x v="0"/>
    <n v="1"/>
    <x v="0"/>
    <d v="2026-07-13T13:58:54"/>
    <x v="42"/>
    <x v="19"/>
    <x v="42"/>
    <s v="20LA12.10"/>
    <x v="2"/>
    <x v="0"/>
    <m/>
    <m/>
    <m/>
  </r>
  <r>
    <s v="YK262301003"/>
    <x v="0"/>
    <x v="0"/>
    <n v="1"/>
    <x v="0"/>
    <d v="2026-07-13T14:01:40"/>
    <x v="42"/>
    <x v="19"/>
    <x v="42"/>
    <s v="20LA12.10"/>
    <x v="2"/>
    <x v="0"/>
    <m/>
    <m/>
    <m/>
  </r>
  <r>
    <s v="YK262301004"/>
    <x v="0"/>
    <x v="0"/>
    <n v="1"/>
    <x v="0"/>
    <d v="2026-07-31T06:23:06"/>
    <x v="42"/>
    <x v="19"/>
    <x v="42"/>
    <s v="20LA12.10"/>
    <x v="2"/>
    <x v="0"/>
    <m/>
    <m/>
    <m/>
  </r>
  <r>
    <s v="YK262301005"/>
    <x v="0"/>
    <x v="0"/>
    <n v="1"/>
    <x v="0"/>
    <d v="2026-07-30T12:19:52"/>
    <x v="42"/>
    <x v="19"/>
    <x v="42"/>
    <s v="20LA12.10"/>
    <x v="2"/>
    <x v="0"/>
    <m/>
    <m/>
    <m/>
  </r>
  <r>
    <s v="YK262301006"/>
    <x v="0"/>
    <x v="0"/>
    <n v="1"/>
    <x v="0"/>
    <d v="2026-08-14T11:44:03"/>
    <x v="42"/>
    <x v="19"/>
    <x v="42"/>
    <s v="20LA12.10"/>
    <x v="2"/>
    <x v="0"/>
    <m/>
    <m/>
    <m/>
  </r>
  <r>
    <s v="YK262301007"/>
    <x v="0"/>
    <x v="0"/>
    <n v="1"/>
    <x v="0"/>
    <d v="2026-07-02T13:41:53"/>
    <x v="42"/>
    <x v="19"/>
    <x v="42"/>
    <s v="20LA12.10"/>
    <x v="2"/>
    <x v="0"/>
    <m/>
    <m/>
    <m/>
  </r>
  <r>
    <s v="YK262301008"/>
    <x v="0"/>
    <x v="0"/>
    <n v="1"/>
    <x v="0"/>
    <d v="2026-08-14T11:43:17"/>
    <x v="42"/>
    <x v="19"/>
    <x v="42"/>
    <s v="20LA12.10"/>
    <x v="2"/>
    <x v="0"/>
    <m/>
    <m/>
    <m/>
  </r>
  <r>
    <s v="YK262301009"/>
    <x v="0"/>
    <x v="0"/>
    <n v="1"/>
    <x v="0"/>
    <d v="2026-07-31T22:01:44"/>
    <x v="42"/>
    <x v="19"/>
    <x v="42"/>
    <s v="20LA12.10"/>
    <x v="2"/>
    <x v="0"/>
    <m/>
    <m/>
    <m/>
  </r>
  <r>
    <s v="YK262301010"/>
    <x v="0"/>
    <x v="0"/>
    <n v="1"/>
    <x v="0"/>
    <d v="2026-07-13T14:09:53"/>
    <x v="42"/>
    <x v="19"/>
    <x v="42"/>
    <s v="20LA12.10"/>
    <x v="2"/>
    <x v="0"/>
    <m/>
    <m/>
    <m/>
  </r>
  <r>
    <s v="YK262301011"/>
    <x v="4"/>
    <x v="4"/>
    <n v="1"/>
    <x v="4"/>
    <d v="2026-07-02T11:38:17"/>
    <x v="42"/>
    <x v="19"/>
    <x v="42"/>
    <s v="20LA12.10"/>
    <x v="2"/>
    <x v="0"/>
    <m/>
    <m/>
    <m/>
  </r>
  <r>
    <s v="YK262301012"/>
    <x v="0"/>
    <x v="0"/>
    <n v="1"/>
    <x v="0"/>
    <d v="2026-07-02T13:41:55"/>
    <x v="42"/>
    <x v="19"/>
    <x v="42"/>
    <s v="20LA12.10"/>
    <x v="2"/>
    <x v="0"/>
    <m/>
    <m/>
    <m/>
  </r>
  <r>
    <s v="YK262301013"/>
    <x v="0"/>
    <x v="0"/>
    <n v="1"/>
    <x v="0"/>
    <d v="2026-06-19T14:17:09"/>
    <x v="42"/>
    <x v="19"/>
    <x v="42"/>
    <s v="20LA12.10"/>
    <x v="2"/>
    <x v="0"/>
    <m/>
    <m/>
    <m/>
  </r>
  <r>
    <s v="YK262301014"/>
    <x v="0"/>
    <x v="0"/>
    <n v="1"/>
    <x v="0"/>
    <d v="2026-07-31T06:25:29"/>
    <x v="42"/>
    <x v="19"/>
    <x v="42"/>
    <s v="20LA12.10"/>
    <x v="2"/>
    <x v="0"/>
    <m/>
    <m/>
    <m/>
  </r>
  <r>
    <s v="YK262301015"/>
    <x v="0"/>
    <x v="0"/>
    <n v="1"/>
    <x v="0"/>
    <d v="2026-08-04T09:14:01"/>
    <x v="42"/>
    <x v="19"/>
    <x v="42"/>
    <s v="20LA12.10"/>
    <x v="2"/>
    <x v="0"/>
    <m/>
    <m/>
    <m/>
  </r>
  <r>
    <s v="YK262301016"/>
    <x v="0"/>
    <x v="0"/>
    <n v="1"/>
    <x v="0"/>
    <d v="2026-07-30T12:20:43"/>
    <x v="42"/>
    <x v="19"/>
    <x v="42"/>
    <s v="20LA12.10"/>
    <x v="2"/>
    <x v="0"/>
    <m/>
    <m/>
    <m/>
  </r>
  <r>
    <s v="YK262301017"/>
    <x v="0"/>
    <x v="0"/>
    <n v="1"/>
    <x v="0"/>
    <d v="2026-07-31T22:02:48"/>
    <x v="42"/>
    <x v="19"/>
    <x v="42"/>
    <s v="20LA12.10"/>
    <x v="2"/>
    <x v="0"/>
    <m/>
    <m/>
    <m/>
  </r>
  <r>
    <s v="YK262301018"/>
    <x v="0"/>
    <x v="0"/>
    <n v="1"/>
    <x v="0"/>
    <d v="2026-07-14T06:38:49"/>
    <x v="42"/>
    <x v="19"/>
    <x v="42"/>
    <s v="20LA12.10"/>
    <x v="2"/>
    <x v="0"/>
    <m/>
    <m/>
    <m/>
  </r>
  <r>
    <s v="YK262301019"/>
    <x v="0"/>
    <x v="0"/>
    <n v="1"/>
    <x v="0"/>
    <d v="2026-07-02T13:41:27"/>
    <x v="42"/>
    <x v="19"/>
    <x v="42"/>
    <s v="20LA12.10"/>
    <x v="2"/>
    <x v="0"/>
    <m/>
    <m/>
    <m/>
  </r>
  <r>
    <s v="YK262301020"/>
    <x v="0"/>
    <x v="0"/>
    <n v="1"/>
    <x v="0"/>
    <d v="2026-07-13T14:01:22"/>
    <x v="42"/>
    <x v="19"/>
    <x v="42"/>
    <s v="20LA12.10"/>
    <x v="2"/>
    <x v="0"/>
    <m/>
    <m/>
    <m/>
  </r>
  <r>
    <s v="YK262301021"/>
    <x v="0"/>
    <x v="0"/>
    <n v="1"/>
    <x v="0"/>
    <d v="2026-07-30T12:22:05"/>
    <x v="42"/>
    <x v="19"/>
    <x v="42"/>
    <s v="20LA12.10"/>
    <x v="2"/>
    <x v="0"/>
    <m/>
    <m/>
    <m/>
  </r>
  <r>
    <s v="YK262301022"/>
    <x v="0"/>
    <x v="0"/>
    <n v="1"/>
    <x v="0"/>
    <d v="2026-07-30T12:20:59"/>
    <x v="42"/>
    <x v="19"/>
    <x v="42"/>
    <s v="20LA12.10"/>
    <x v="2"/>
    <x v="0"/>
    <m/>
    <m/>
    <m/>
  </r>
  <r>
    <s v="YK262301023"/>
    <x v="0"/>
    <x v="0"/>
    <n v="1"/>
    <x v="0"/>
    <d v="2026-07-13T14:14:47"/>
    <x v="42"/>
    <x v="19"/>
    <x v="42"/>
    <s v="20LA12.10"/>
    <x v="2"/>
    <x v="0"/>
    <m/>
    <m/>
    <m/>
  </r>
  <r>
    <s v="YK262301024"/>
    <x v="0"/>
    <x v="0"/>
    <n v="1"/>
    <x v="0"/>
    <d v="2026-07-31T06:24:18"/>
    <x v="42"/>
    <x v="19"/>
    <x v="42"/>
    <s v="20LA12.10"/>
    <x v="2"/>
    <x v="0"/>
    <m/>
    <m/>
    <m/>
  </r>
  <r>
    <s v="YK262301025"/>
    <x v="3"/>
    <x v="3"/>
    <n v="1"/>
    <x v="3"/>
    <d v="2026-07-02T10:25:10"/>
    <x v="42"/>
    <x v="19"/>
    <x v="42"/>
    <s v="20LA12.10"/>
    <x v="2"/>
    <x v="0"/>
    <m/>
    <m/>
    <m/>
  </r>
  <r>
    <s v="YK262801307"/>
    <x v="1"/>
    <x v="1"/>
    <n v="1"/>
    <x v="1"/>
    <d v="2026-07-24T12:22:14"/>
    <x v="43"/>
    <x v="18"/>
    <x v="43"/>
    <s v="20LA15.93"/>
    <x v="2"/>
    <x v="0"/>
    <m/>
    <d v="2026-07-23T00:00:00"/>
    <m/>
  </r>
  <r>
    <s v="YK262801308"/>
    <x v="1"/>
    <x v="1"/>
    <n v="1"/>
    <x v="1"/>
    <d v="2026-07-24T12:23:01"/>
    <x v="43"/>
    <x v="18"/>
    <x v="43"/>
    <s v="20LA15.93"/>
    <x v="2"/>
    <x v="0"/>
    <m/>
    <d v="2026-07-23T00:00:00"/>
    <m/>
  </r>
  <r>
    <s v="YK262801309"/>
    <x v="1"/>
    <x v="1"/>
    <n v="1"/>
    <x v="1"/>
    <d v="2026-07-24T10:33:47"/>
    <x v="43"/>
    <x v="18"/>
    <x v="43"/>
    <s v="20LA15.93"/>
    <x v="2"/>
    <x v="0"/>
    <m/>
    <d v="2026-07-27T00:00:00"/>
    <m/>
  </r>
  <r>
    <s v="YK262801310"/>
    <x v="1"/>
    <x v="1"/>
    <n v="1"/>
    <x v="1"/>
    <d v="2026-07-24T12:24:19"/>
    <x v="43"/>
    <x v="18"/>
    <x v="43"/>
    <s v="20LA15.93"/>
    <x v="2"/>
    <x v="0"/>
    <m/>
    <d v="2026-07-23T00:00:00"/>
    <m/>
  </r>
  <r>
    <s v="YK262801311"/>
    <x v="1"/>
    <x v="1"/>
    <n v="1"/>
    <x v="1"/>
    <d v="2026-07-24T10:50:10"/>
    <x v="43"/>
    <x v="18"/>
    <x v="43"/>
    <s v="20LA15.93"/>
    <x v="2"/>
    <x v="0"/>
    <m/>
    <d v="2026-07-27T00:00:00"/>
    <m/>
  </r>
  <r>
    <s v="YK262801312"/>
    <x v="1"/>
    <x v="1"/>
    <n v="1"/>
    <x v="1"/>
    <d v="2026-07-24T10:47:55"/>
    <x v="43"/>
    <x v="18"/>
    <x v="43"/>
    <s v="20LA15.93"/>
    <x v="2"/>
    <x v="0"/>
    <m/>
    <d v="2026-07-27T00:00:00"/>
    <m/>
  </r>
  <r>
    <s v="YK262801313"/>
    <x v="1"/>
    <x v="1"/>
    <n v="1"/>
    <x v="1"/>
    <d v="2026-07-24T12:25:02"/>
    <x v="43"/>
    <x v="18"/>
    <x v="43"/>
    <s v="20LA15.93"/>
    <x v="2"/>
    <x v="0"/>
    <m/>
    <d v="2026-07-23T00:00:00"/>
    <m/>
  </r>
  <r>
    <s v="YK262801314"/>
    <x v="1"/>
    <x v="1"/>
    <n v="1"/>
    <x v="1"/>
    <d v="2026-07-24T12:25:28"/>
    <x v="43"/>
    <x v="18"/>
    <x v="43"/>
    <s v="20LA15.93"/>
    <x v="2"/>
    <x v="0"/>
    <m/>
    <d v="2026-07-23T00:00:00"/>
    <m/>
  </r>
  <r>
    <s v="YK262801315"/>
    <x v="1"/>
    <x v="1"/>
    <n v="1"/>
    <x v="1"/>
    <d v="2026-07-24T12:27:15"/>
    <x v="43"/>
    <x v="18"/>
    <x v="43"/>
    <s v="20LA15.93"/>
    <x v="2"/>
    <x v="0"/>
    <m/>
    <d v="2026-07-23T00:00:00"/>
    <m/>
  </r>
  <r>
    <s v="YK262801316"/>
    <x v="1"/>
    <x v="1"/>
    <n v="1"/>
    <x v="1"/>
    <d v="2026-07-24T10:47:24"/>
    <x v="43"/>
    <x v="18"/>
    <x v="43"/>
    <s v="20LA15.93"/>
    <x v="2"/>
    <x v="0"/>
    <m/>
    <d v="2026-07-27T00:00:00"/>
    <m/>
  </r>
  <r>
    <s v="YK262801317"/>
    <x v="1"/>
    <x v="1"/>
    <n v="1"/>
    <x v="1"/>
    <d v="2026-07-24T12:27:47"/>
    <x v="43"/>
    <x v="18"/>
    <x v="43"/>
    <s v="20LA15.93"/>
    <x v="2"/>
    <x v="0"/>
    <m/>
    <m/>
    <m/>
  </r>
  <r>
    <s v="YK262801318"/>
    <x v="1"/>
    <x v="1"/>
    <n v="1"/>
    <x v="1"/>
    <d v="2026-07-24T12:28:17"/>
    <x v="43"/>
    <x v="18"/>
    <x v="43"/>
    <s v="20LA15.93"/>
    <x v="2"/>
    <x v="0"/>
    <m/>
    <d v="2026-07-23T00:00:00"/>
    <m/>
  </r>
  <r>
    <s v="YK262801319"/>
    <x v="1"/>
    <x v="1"/>
    <n v="1"/>
    <x v="1"/>
    <d v="2026-07-24T12:28:55"/>
    <x v="43"/>
    <x v="18"/>
    <x v="43"/>
    <s v="20LA15.93"/>
    <x v="2"/>
    <x v="0"/>
    <m/>
    <d v="2026-07-23T00:00:00"/>
    <m/>
  </r>
  <r>
    <s v="YK262801294"/>
    <x v="1"/>
    <x v="1"/>
    <n v="1"/>
    <x v="1"/>
    <d v="2026-08-18T09:34:50"/>
    <x v="44"/>
    <x v="19"/>
    <x v="44"/>
    <s v="20LA15.95"/>
    <x v="2"/>
    <x v="0"/>
    <m/>
    <d v="2026-07-23T00:00:00"/>
    <m/>
  </r>
  <r>
    <s v="YK262801295"/>
    <x v="1"/>
    <x v="1"/>
    <n v="1"/>
    <x v="1"/>
    <d v="2026-08-18T09:36:05"/>
    <x v="44"/>
    <x v="19"/>
    <x v="44"/>
    <s v="20LA15.95"/>
    <x v="2"/>
    <x v="0"/>
    <m/>
    <d v="2026-07-23T00:00:00"/>
    <m/>
  </r>
  <r>
    <s v="YK262801296"/>
    <x v="1"/>
    <x v="1"/>
    <n v="1"/>
    <x v="1"/>
    <d v="2026-08-18T09:37:11"/>
    <x v="44"/>
    <x v="19"/>
    <x v="44"/>
    <s v="20LA15.95"/>
    <x v="2"/>
    <x v="0"/>
    <m/>
    <d v="2026-07-23T00:00:00"/>
    <m/>
  </r>
  <r>
    <s v="YK262801297"/>
    <x v="1"/>
    <x v="1"/>
    <n v="1"/>
    <x v="1"/>
    <d v="2026-08-18T09:38:10"/>
    <x v="44"/>
    <x v="19"/>
    <x v="44"/>
    <s v="20LA15.95"/>
    <x v="2"/>
    <x v="0"/>
    <m/>
    <d v="2026-08-04T00:00:00"/>
    <m/>
  </r>
  <r>
    <s v="YK262801298"/>
    <x v="1"/>
    <x v="1"/>
    <n v="1"/>
    <x v="1"/>
    <d v="2026-08-18T09:39:14"/>
    <x v="44"/>
    <x v="19"/>
    <x v="44"/>
    <s v="20LA15.95"/>
    <x v="2"/>
    <x v="0"/>
    <m/>
    <d v="2026-07-23T00:00:00"/>
    <m/>
  </r>
  <r>
    <s v="YK262801299"/>
    <x v="1"/>
    <x v="1"/>
    <n v="1"/>
    <x v="1"/>
    <d v="2026-07-24T10:33:17"/>
    <x v="44"/>
    <x v="19"/>
    <x v="44"/>
    <s v="20LA15.95"/>
    <x v="2"/>
    <x v="0"/>
    <m/>
    <d v="2026-07-27T00:00:00"/>
    <m/>
  </r>
  <r>
    <s v="YK262801300"/>
    <x v="1"/>
    <x v="1"/>
    <n v="1"/>
    <x v="1"/>
    <d v="2026-08-18T09:40:21"/>
    <x v="44"/>
    <x v="19"/>
    <x v="44"/>
    <s v="20LA15.95"/>
    <x v="2"/>
    <x v="0"/>
    <m/>
    <d v="2026-07-23T00:00:00"/>
    <m/>
  </r>
  <r>
    <s v="YK262801301"/>
    <x v="1"/>
    <x v="1"/>
    <n v="1"/>
    <x v="1"/>
    <d v="2026-08-18T09:41:58"/>
    <x v="44"/>
    <x v="19"/>
    <x v="44"/>
    <s v="20LA15.95"/>
    <x v="2"/>
    <x v="0"/>
    <m/>
    <d v="2026-07-23T00:00:00"/>
    <m/>
  </r>
  <r>
    <s v="YK262801302"/>
    <x v="3"/>
    <x v="3"/>
    <n v="1"/>
    <x v="3"/>
    <d v="2026-07-17T08:41:38"/>
    <x v="44"/>
    <x v="19"/>
    <x v="44"/>
    <s v="20LA15.95"/>
    <x v="2"/>
    <x v="0"/>
    <s v="Update to shipped"/>
    <d v="2026-07-23T00:00:00"/>
    <m/>
  </r>
  <r>
    <s v="YK262801303"/>
    <x v="1"/>
    <x v="1"/>
    <n v="1"/>
    <x v="1"/>
    <d v="2026-08-18T09:44:43"/>
    <x v="44"/>
    <x v="19"/>
    <x v="44"/>
    <s v="20LA15.95"/>
    <x v="2"/>
    <x v="0"/>
    <m/>
    <d v="2026-08-04T00:00:00"/>
    <m/>
  </r>
  <r>
    <s v="YK262801304"/>
    <x v="1"/>
    <x v="1"/>
    <n v="1"/>
    <x v="1"/>
    <d v="2026-08-18T09:45:50"/>
    <x v="44"/>
    <x v="19"/>
    <x v="44"/>
    <s v="20LA15.95"/>
    <x v="2"/>
    <x v="0"/>
    <m/>
    <d v="2026-07-23T00:00:00"/>
    <m/>
  </r>
  <r>
    <s v="YK262801305"/>
    <x v="1"/>
    <x v="1"/>
    <n v="1"/>
    <x v="1"/>
    <d v="2026-08-18T09:46:52"/>
    <x v="44"/>
    <x v="19"/>
    <x v="44"/>
    <s v="20LA15.95"/>
    <x v="2"/>
    <x v="0"/>
    <m/>
    <d v="2026-07-23T00:00:00"/>
    <m/>
  </r>
  <r>
    <s v="YK262801306"/>
    <x v="1"/>
    <x v="1"/>
    <n v="1"/>
    <x v="1"/>
    <d v="2026-08-18T09:48:08"/>
    <x v="44"/>
    <x v="19"/>
    <x v="44"/>
    <s v="20LA15.95"/>
    <x v="2"/>
    <x v="0"/>
    <m/>
    <d v="2026-07-23T00:00:00"/>
    <m/>
  </r>
  <r>
    <s v="YK262000115"/>
    <x v="1"/>
    <x v="1"/>
    <n v="1"/>
    <x v="1"/>
    <d v="2026-05-27T09:01:07"/>
    <x v="45"/>
    <x v="25"/>
    <x v="45"/>
    <s v="20LA21.00"/>
    <x v="2"/>
    <x v="1"/>
    <m/>
    <m/>
    <m/>
  </r>
  <r>
    <s v="YK262000116"/>
    <x v="0"/>
    <x v="0"/>
    <n v="1"/>
    <x v="0"/>
    <d v="2026-07-14T08:39:57"/>
    <x v="45"/>
    <x v="25"/>
    <x v="45"/>
    <s v="20LA21.00"/>
    <x v="2"/>
    <x v="1"/>
    <m/>
    <m/>
    <m/>
  </r>
  <r>
    <s v="YK262000117"/>
    <x v="0"/>
    <x v="0"/>
    <n v="1"/>
    <x v="0"/>
    <d v="2026-06-18T14:19:25"/>
    <x v="45"/>
    <x v="25"/>
    <x v="45"/>
    <s v="20LA21.00"/>
    <x v="2"/>
    <x v="1"/>
    <m/>
    <m/>
    <m/>
  </r>
  <r>
    <s v="YK262000118"/>
    <x v="0"/>
    <x v="0"/>
    <n v="1"/>
    <x v="0"/>
    <d v="2026-07-16T08:35:53"/>
    <x v="45"/>
    <x v="25"/>
    <x v="45"/>
    <s v="20LA21.00"/>
    <x v="2"/>
    <x v="1"/>
    <m/>
    <m/>
    <m/>
  </r>
  <r>
    <s v="YK262000119"/>
    <x v="1"/>
    <x v="1"/>
    <n v="1"/>
    <x v="1"/>
    <d v="2026-05-27T08:57:54"/>
    <x v="45"/>
    <x v="25"/>
    <x v="45"/>
    <s v="20LA21.00"/>
    <x v="2"/>
    <x v="1"/>
    <m/>
    <d v="2026-05-27T00:00:00"/>
    <m/>
  </r>
  <r>
    <s v="YK262000120"/>
    <x v="0"/>
    <x v="0"/>
    <n v="1"/>
    <x v="0"/>
    <d v="2026-07-15T06:42:19"/>
    <x v="45"/>
    <x v="25"/>
    <x v="45"/>
    <s v="20LA21.00"/>
    <x v="2"/>
    <x v="1"/>
    <m/>
    <m/>
    <m/>
  </r>
  <r>
    <s v="YK262000121"/>
    <x v="0"/>
    <x v="0"/>
    <n v="1"/>
    <x v="0"/>
    <d v="2026-06-19T15:22:57"/>
    <x v="45"/>
    <x v="25"/>
    <x v="45"/>
    <s v="20LA21.00"/>
    <x v="2"/>
    <x v="1"/>
    <m/>
    <m/>
    <m/>
  </r>
  <r>
    <s v="YK262000122"/>
    <x v="0"/>
    <x v="0"/>
    <n v="1"/>
    <x v="0"/>
    <d v="2026-07-14T07:21:44"/>
    <x v="45"/>
    <x v="25"/>
    <x v="45"/>
    <s v="20LA21.00"/>
    <x v="2"/>
    <x v="1"/>
    <m/>
    <m/>
    <m/>
  </r>
  <r>
    <s v="YK262000123"/>
    <x v="0"/>
    <x v="0"/>
    <n v="1"/>
    <x v="0"/>
    <d v="2026-07-14T08:39:04"/>
    <x v="45"/>
    <x v="25"/>
    <x v="45"/>
    <s v="20LA21.00"/>
    <x v="2"/>
    <x v="1"/>
    <m/>
    <m/>
    <m/>
  </r>
  <r>
    <s v="YK262000124"/>
    <x v="0"/>
    <x v="0"/>
    <n v="1"/>
    <x v="0"/>
    <d v="2026-07-02T14:21:45"/>
    <x v="45"/>
    <x v="25"/>
    <x v="45"/>
    <s v="20LA21.00"/>
    <x v="2"/>
    <x v="1"/>
    <m/>
    <m/>
    <m/>
  </r>
  <r>
    <s v="SKL00084998"/>
    <x v="0"/>
    <x v="0"/>
    <n v="1"/>
    <x v="9"/>
    <d v="2026-08-24T11:44:35"/>
    <x v="46"/>
    <x v="26"/>
    <x v="46"/>
    <s v="20LA22.00"/>
    <x v="2"/>
    <x v="1"/>
    <m/>
    <m/>
    <m/>
  </r>
  <r>
    <s v="SKL00085009"/>
    <x v="0"/>
    <x v="0"/>
    <n v="1"/>
    <x v="9"/>
    <d v="2026-08-24T11:47:24"/>
    <x v="46"/>
    <x v="26"/>
    <x v="46"/>
    <s v="20LA22.00"/>
    <x v="2"/>
    <x v="1"/>
    <m/>
    <m/>
    <m/>
  </r>
  <r>
    <s v="SKL00085010"/>
    <x v="0"/>
    <x v="0"/>
    <n v="1"/>
    <x v="9"/>
    <d v="2026-08-24T11:47:24"/>
    <x v="46"/>
    <x v="26"/>
    <x v="46"/>
    <s v="20LA22.00"/>
    <x v="2"/>
    <x v="1"/>
    <m/>
    <m/>
    <m/>
  </r>
  <r>
    <s v="SKL00085011"/>
    <x v="0"/>
    <x v="0"/>
    <n v="1"/>
    <x v="9"/>
    <d v="2026-08-24T11:47:24"/>
    <x v="46"/>
    <x v="26"/>
    <x v="46"/>
    <s v="20LA22.00"/>
    <x v="2"/>
    <x v="1"/>
    <m/>
    <m/>
    <m/>
  </r>
  <r>
    <s v="SKL00085012"/>
    <x v="0"/>
    <x v="0"/>
    <n v="1"/>
    <x v="9"/>
    <d v="2026-08-24T11:47:24"/>
    <x v="46"/>
    <x v="26"/>
    <x v="46"/>
    <s v="20LA22.00"/>
    <x v="2"/>
    <x v="1"/>
    <m/>
    <m/>
    <m/>
  </r>
  <r>
    <s v="SKL00085013"/>
    <x v="0"/>
    <x v="0"/>
    <n v="1"/>
    <x v="9"/>
    <d v="2026-08-24T11:47:24"/>
    <x v="46"/>
    <x v="26"/>
    <x v="46"/>
    <s v="20LA22.00"/>
    <x v="2"/>
    <x v="1"/>
    <m/>
    <m/>
    <m/>
  </r>
  <r>
    <s v="SKL00085014"/>
    <x v="0"/>
    <x v="0"/>
    <n v="1"/>
    <x v="9"/>
    <d v="2026-08-24T11:47:24"/>
    <x v="46"/>
    <x v="26"/>
    <x v="46"/>
    <s v="20LA22.00"/>
    <x v="2"/>
    <x v="1"/>
    <m/>
    <m/>
    <m/>
  </r>
  <r>
    <s v="SKL00085015"/>
    <x v="0"/>
    <x v="0"/>
    <n v="1"/>
    <x v="9"/>
    <d v="2026-08-24T11:47:24"/>
    <x v="46"/>
    <x v="26"/>
    <x v="46"/>
    <s v="20LA22.00"/>
    <x v="2"/>
    <x v="1"/>
    <m/>
    <m/>
    <m/>
  </r>
  <r>
    <s v="SKL00085016"/>
    <x v="0"/>
    <x v="0"/>
    <n v="1"/>
    <x v="9"/>
    <d v="2026-08-24T11:47:24"/>
    <x v="46"/>
    <x v="26"/>
    <x v="46"/>
    <s v="20LA22.00"/>
    <x v="2"/>
    <x v="1"/>
    <m/>
    <m/>
    <m/>
  </r>
  <r>
    <s v="SKL00085017"/>
    <x v="0"/>
    <x v="0"/>
    <n v="1"/>
    <x v="9"/>
    <d v="2026-08-24T11:47:24"/>
    <x v="46"/>
    <x v="26"/>
    <x v="46"/>
    <s v="20LA22.00"/>
    <x v="2"/>
    <x v="1"/>
    <m/>
    <m/>
    <m/>
  </r>
  <r>
    <s v="YK262800085"/>
    <x v="1"/>
    <x v="1"/>
    <n v="1"/>
    <x v="1"/>
    <d v="2026-08-18T09:50:13"/>
    <x v="46"/>
    <x v="26"/>
    <x v="46"/>
    <s v="20LA22.00"/>
    <x v="2"/>
    <x v="1"/>
    <m/>
    <d v="2026-07-30T00:00:00"/>
    <m/>
  </r>
  <r>
    <s v="YK262800086"/>
    <x v="1"/>
    <x v="1"/>
    <n v="1"/>
    <x v="1"/>
    <d v="2026-08-18T09:56:27"/>
    <x v="46"/>
    <x v="26"/>
    <x v="46"/>
    <s v="20LA22.00"/>
    <x v="2"/>
    <x v="1"/>
    <m/>
    <d v="2026-07-30T00:00:00"/>
    <m/>
  </r>
  <r>
    <s v="YK262800087"/>
    <x v="1"/>
    <x v="1"/>
    <n v="1"/>
    <x v="1"/>
    <d v="2026-08-18T10:36:43"/>
    <x v="46"/>
    <x v="26"/>
    <x v="46"/>
    <s v="20LA22.00"/>
    <x v="2"/>
    <x v="1"/>
    <m/>
    <d v="2026-07-30T00:00:00"/>
    <m/>
  </r>
  <r>
    <s v="YK262800088"/>
    <x v="1"/>
    <x v="1"/>
    <n v="1"/>
    <x v="1"/>
    <d v="2026-08-18T10:01:55"/>
    <x v="46"/>
    <x v="26"/>
    <x v="46"/>
    <s v="20LA22.00"/>
    <x v="2"/>
    <x v="1"/>
    <m/>
    <d v="2026-07-30T00:00:00"/>
    <m/>
  </r>
  <r>
    <s v="YK263600007"/>
    <x v="0"/>
    <x v="0"/>
    <n v="1"/>
    <x v="7"/>
    <d v="2026-09-01T06:33:21"/>
    <x v="47"/>
    <x v="27"/>
    <x v="47"/>
    <s v="20LA23.00"/>
    <x v="2"/>
    <x v="1"/>
    <m/>
    <m/>
    <m/>
  </r>
  <r>
    <s v="YK263600008"/>
    <x v="0"/>
    <x v="0"/>
    <n v="1"/>
    <x v="7"/>
    <d v="2026-09-01T06:33:21"/>
    <x v="47"/>
    <x v="27"/>
    <x v="47"/>
    <s v="20LA23.00"/>
    <x v="2"/>
    <x v="1"/>
    <m/>
    <m/>
    <m/>
  </r>
  <r>
    <s v="YK263600009"/>
    <x v="0"/>
    <x v="0"/>
    <n v="1"/>
    <x v="7"/>
    <d v="2026-09-01T06:33:21"/>
    <x v="47"/>
    <x v="27"/>
    <x v="47"/>
    <s v="20LA23.00"/>
    <x v="2"/>
    <x v="1"/>
    <m/>
    <m/>
    <m/>
  </r>
  <r>
    <s v="YK263600010"/>
    <x v="0"/>
    <x v="0"/>
    <n v="1"/>
    <x v="7"/>
    <d v="2026-09-01T06:33:21"/>
    <x v="47"/>
    <x v="27"/>
    <x v="47"/>
    <s v="20LA23.00"/>
    <x v="2"/>
    <x v="1"/>
    <m/>
    <m/>
    <m/>
  </r>
  <r>
    <s v="YK263600011"/>
    <x v="0"/>
    <x v="0"/>
    <n v="1"/>
    <x v="7"/>
    <d v="2026-09-01T06:33:21"/>
    <x v="47"/>
    <x v="27"/>
    <x v="47"/>
    <s v="20LA23.00"/>
    <x v="2"/>
    <x v="1"/>
    <m/>
    <m/>
    <m/>
  </r>
  <r>
    <s v="YK263600012"/>
    <x v="0"/>
    <x v="0"/>
    <n v="1"/>
    <x v="7"/>
    <d v="2026-09-01T06:33:21"/>
    <x v="47"/>
    <x v="27"/>
    <x v="47"/>
    <s v="20LA23.00"/>
    <x v="2"/>
    <x v="1"/>
    <m/>
    <m/>
    <m/>
  </r>
  <r>
    <s v="YK263600013"/>
    <x v="0"/>
    <x v="0"/>
    <n v="1"/>
    <x v="7"/>
    <d v="2026-09-01T06:33:21"/>
    <x v="47"/>
    <x v="27"/>
    <x v="47"/>
    <s v="20LA23.00"/>
    <x v="2"/>
    <x v="1"/>
    <m/>
    <m/>
    <m/>
  </r>
  <r>
    <s v="YK263600014"/>
    <x v="0"/>
    <x v="0"/>
    <n v="1"/>
    <x v="7"/>
    <d v="2026-09-01T06:33:21"/>
    <x v="47"/>
    <x v="27"/>
    <x v="47"/>
    <s v="20LA23.00"/>
    <x v="2"/>
    <x v="1"/>
    <m/>
    <m/>
    <m/>
  </r>
  <r>
    <s v="YK263600015"/>
    <x v="0"/>
    <x v="0"/>
    <n v="1"/>
    <x v="7"/>
    <d v="2026-09-01T06:33:21"/>
    <x v="47"/>
    <x v="27"/>
    <x v="47"/>
    <s v="20LA23.00"/>
    <x v="2"/>
    <x v="1"/>
    <m/>
    <m/>
    <m/>
  </r>
  <r>
    <s v="YK263600016"/>
    <x v="0"/>
    <x v="0"/>
    <n v="1"/>
    <x v="7"/>
    <d v="2026-09-01T06:33:21"/>
    <x v="47"/>
    <x v="27"/>
    <x v="47"/>
    <s v="20LA23.00"/>
    <x v="2"/>
    <x v="1"/>
    <m/>
    <m/>
    <m/>
  </r>
  <r>
    <s v="YK263600017"/>
    <x v="0"/>
    <x v="0"/>
    <n v="1"/>
    <x v="7"/>
    <d v="2026-09-01T06:33:21"/>
    <x v="47"/>
    <x v="27"/>
    <x v="47"/>
    <s v="20LA23.00"/>
    <x v="2"/>
    <x v="1"/>
    <m/>
    <m/>
    <m/>
  </r>
  <r>
    <s v="YK263600018"/>
    <x v="0"/>
    <x v="0"/>
    <n v="1"/>
    <x v="7"/>
    <d v="2026-09-01T06:33:21"/>
    <x v="47"/>
    <x v="27"/>
    <x v="47"/>
    <s v="20LA23.00"/>
    <x v="2"/>
    <x v="1"/>
    <m/>
    <m/>
    <m/>
  </r>
  <r>
    <s v="YK263600019"/>
    <x v="0"/>
    <x v="0"/>
    <n v="1"/>
    <x v="7"/>
    <d v="2026-09-01T06:33:21"/>
    <x v="47"/>
    <x v="27"/>
    <x v="47"/>
    <s v="20LA23.00"/>
    <x v="2"/>
    <x v="1"/>
    <m/>
    <m/>
    <m/>
  </r>
  <r>
    <s v="YK263600020"/>
    <x v="0"/>
    <x v="0"/>
    <n v="1"/>
    <x v="7"/>
    <d v="2026-09-01T06:33:21"/>
    <x v="47"/>
    <x v="27"/>
    <x v="47"/>
    <s v="20LA23.00"/>
    <x v="2"/>
    <x v="1"/>
    <m/>
    <m/>
    <m/>
  </r>
  <r>
    <s v="YK263600021"/>
    <x v="0"/>
    <x v="0"/>
    <n v="1"/>
    <x v="7"/>
    <d v="2026-09-01T06:33:21"/>
    <x v="47"/>
    <x v="27"/>
    <x v="47"/>
    <s v="20LA23.00"/>
    <x v="2"/>
    <x v="1"/>
    <m/>
    <m/>
    <m/>
  </r>
  <r>
    <s v="YK263600022"/>
    <x v="0"/>
    <x v="0"/>
    <n v="1"/>
    <x v="7"/>
    <d v="2026-09-01T06:33:21"/>
    <x v="47"/>
    <x v="27"/>
    <x v="47"/>
    <s v="20LA23.00"/>
    <x v="2"/>
    <x v="1"/>
    <m/>
    <m/>
    <m/>
  </r>
  <r>
    <s v="YK263600023"/>
    <x v="0"/>
    <x v="0"/>
    <n v="1"/>
    <x v="7"/>
    <d v="2026-09-01T06:33:21"/>
    <x v="47"/>
    <x v="27"/>
    <x v="47"/>
    <s v="20LA23.00"/>
    <x v="2"/>
    <x v="1"/>
    <m/>
    <m/>
    <m/>
  </r>
  <r>
    <s v="YK263600024"/>
    <x v="0"/>
    <x v="0"/>
    <n v="1"/>
    <x v="7"/>
    <d v="2026-09-01T06:33:21"/>
    <x v="47"/>
    <x v="27"/>
    <x v="47"/>
    <s v="20LA23.00"/>
    <x v="2"/>
    <x v="1"/>
    <m/>
    <m/>
    <m/>
  </r>
  <r>
    <s v="YK263600025"/>
    <x v="0"/>
    <x v="0"/>
    <n v="1"/>
    <x v="7"/>
    <d v="2026-09-01T06:33:21"/>
    <x v="47"/>
    <x v="27"/>
    <x v="47"/>
    <s v="20LA23.00"/>
    <x v="2"/>
    <x v="1"/>
    <m/>
    <m/>
    <m/>
  </r>
  <r>
    <s v="YK263600026"/>
    <x v="0"/>
    <x v="0"/>
    <n v="1"/>
    <x v="7"/>
    <d v="2026-09-01T06:33:21"/>
    <x v="47"/>
    <x v="27"/>
    <x v="47"/>
    <s v="20LA23.00"/>
    <x v="2"/>
    <x v="1"/>
    <m/>
    <m/>
    <m/>
  </r>
  <r>
    <s v="YK263600027"/>
    <x v="0"/>
    <x v="0"/>
    <n v="1"/>
    <x v="7"/>
    <d v="2026-09-01T06:33:21"/>
    <x v="47"/>
    <x v="27"/>
    <x v="47"/>
    <s v="20LA23.00"/>
    <x v="2"/>
    <x v="1"/>
    <m/>
    <m/>
    <m/>
  </r>
  <r>
    <s v="YK263600028"/>
    <x v="0"/>
    <x v="0"/>
    <n v="1"/>
    <x v="7"/>
    <d v="2026-09-01T06:33:21"/>
    <x v="47"/>
    <x v="27"/>
    <x v="47"/>
    <s v="20LA23.00"/>
    <x v="2"/>
    <x v="1"/>
    <m/>
    <m/>
    <m/>
  </r>
  <r>
    <s v="YK263600029"/>
    <x v="0"/>
    <x v="0"/>
    <n v="1"/>
    <x v="7"/>
    <d v="2026-09-01T06:33:21"/>
    <x v="47"/>
    <x v="27"/>
    <x v="47"/>
    <s v="20LA23.00"/>
    <x v="2"/>
    <x v="1"/>
    <m/>
    <m/>
    <m/>
  </r>
  <r>
    <s v="YK263600030"/>
    <x v="0"/>
    <x v="0"/>
    <n v="1"/>
    <x v="7"/>
    <d v="2026-09-01T06:33:21"/>
    <x v="47"/>
    <x v="27"/>
    <x v="47"/>
    <s v="20LA23.00"/>
    <x v="2"/>
    <x v="1"/>
    <m/>
    <m/>
    <m/>
  </r>
  <r>
    <s v="YK263600031"/>
    <x v="0"/>
    <x v="0"/>
    <n v="1"/>
    <x v="7"/>
    <d v="2026-09-01T06:33:21"/>
    <x v="47"/>
    <x v="27"/>
    <x v="47"/>
    <s v="20LA23.00"/>
    <x v="2"/>
    <x v="1"/>
    <m/>
    <m/>
    <m/>
  </r>
  <r>
    <s v="YK263600032"/>
    <x v="0"/>
    <x v="0"/>
    <n v="1"/>
    <x v="7"/>
    <d v="2026-09-01T06:33:21"/>
    <x v="47"/>
    <x v="27"/>
    <x v="47"/>
    <s v="20LA23.00"/>
    <x v="2"/>
    <x v="1"/>
    <m/>
    <m/>
    <m/>
  </r>
  <r>
    <s v="YK263600033"/>
    <x v="0"/>
    <x v="0"/>
    <n v="1"/>
    <x v="7"/>
    <d v="2026-09-01T06:33:21"/>
    <x v="47"/>
    <x v="27"/>
    <x v="47"/>
    <s v="20LA23.00"/>
    <x v="2"/>
    <x v="1"/>
    <m/>
    <m/>
    <m/>
  </r>
  <r>
    <s v="YK263600034"/>
    <x v="0"/>
    <x v="0"/>
    <n v="1"/>
    <x v="7"/>
    <d v="2026-09-01T06:33:21"/>
    <x v="47"/>
    <x v="27"/>
    <x v="47"/>
    <s v="20LA23.00"/>
    <x v="2"/>
    <x v="1"/>
    <m/>
    <m/>
    <m/>
  </r>
  <r>
    <s v="YK263600035"/>
    <x v="0"/>
    <x v="0"/>
    <n v="1"/>
    <x v="7"/>
    <d v="2026-09-01T06:33:21"/>
    <x v="47"/>
    <x v="27"/>
    <x v="47"/>
    <s v="20LA23.00"/>
    <x v="2"/>
    <x v="1"/>
    <m/>
    <m/>
    <m/>
  </r>
  <r>
    <s v="YK263600036"/>
    <x v="0"/>
    <x v="0"/>
    <n v="1"/>
    <x v="7"/>
    <d v="2026-09-01T06:33:21"/>
    <x v="47"/>
    <x v="27"/>
    <x v="47"/>
    <s v="20LA23.00"/>
    <x v="2"/>
    <x v="1"/>
    <m/>
    <m/>
    <m/>
  </r>
  <r>
    <s v="YK263600037"/>
    <x v="0"/>
    <x v="0"/>
    <n v="1"/>
    <x v="7"/>
    <d v="2026-09-01T06:33:21"/>
    <x v="47"/>
    <x v="27"/>
    <x v="47"/>
    <s v="20LA23.00"/>
    <x v="2"/>
    <x v="1"/>
    <m/>
    <m/>
    <m/>
  </r>
  <r>
    <s v="YK263600038"/>
    <x v="0"/>
    <x v="0"/>
    <n v="1"/>
    <x v="7"/>
    <d v="2026-09-01T06:33:21"/>
    <x v="47"/>
    <x v="27"/>
    <x v="47"/>
    <s v="20LA23.00"/>
    <x v="2"/>
    <x v="1"/>
    <m/>
    <m/>
    <m/>
  </r>
  <r>
    <s v="YK263600039"/>
    <x v="0"/>
    <x v="0"/>
    <n v="1"/>
    <x v="7"/>
    <d v="2026-09-01T06:33:21"/>
    <x v="47"/>
    <x v="27"/>
    <x v="47"/>
    <s v="20LA23.00"/>
    <x v="2"/>
    <x v="1"/>
    <m/>
    <m/>
    <m/>
  </r>
  <r>
    <s v="YK263600040"/>
    <x v="0"/>
    <x v="0"/>
    <n v="1"/>
    <x v="7"/>
    <d v="2026-09-01T06:33:21"/>
    <x v="47"/>
    <x v="27"/>
    <x v="47"/>
    <s v="20LA23.00"/>
    <x v="2"/>
    <x v="1"/>
    <m/>
    <m/>
    <m/>
  </r>
  <r>
    <s v="YK263600041"/>
    <x v="0"/>
    <x v="0"/>
    <n v="1"/>
    <x v="7"/>
    <d v="2026-09-01T06:33:21"/>
    <x v="47"/>
    <x v="27"/>
    <x v="47"/>
    <s v="20LA23.00"/>
    <x v="2"/>
    <x v="1"/>
    <m/>
    <m/>
    <m/>
  </r>
  <r>
    <s v="YK263600042"/>
    <x v="0"/>
    <x v="0"/>
    <n v="1"/>
    <x v="7"/>
    <d v="2026-09-01T06:33:21"/>
    <x v="47"/>
    <x v="27"/>
    <x v="47"/>
    <s v="20LA23.00"/>
    <x v="2"/>
    <x v="1"/>
    <m/>
    <m/>
    <m/>
  </r>
  <r>
    <s v="YK263600043"/>
    <x v="0"/>
    <x v="0"/>
    <n v="1"/>
    <x v="7"/>
    <d v="2026-09-01T06:33:21"/>
    <x v="47"/>
    <x v="27"/>
    <x v="47"/>
    <s v="20LA23.00"/>
    <x v="2"/>
    <x v="1"/>
    <m/>
    <m/>
    <m/>
  </r>
  <r>
    <s v="YK263600044"/>
    <x v="0"/>
    <x v="0"/>
    <n v="1"/>
    <x v="7"/>
    <d v="2026-09-01T06:33:21"/>
    <x v="47"/>
    <x v="27"/>
    <x v="47"/>
    <s v="20LA23.00"/>
    <x v="2"/>
    <x v="1"/>
    <m/>
    <m/>
    <m/>
  </r>
  <r>
    <s v="YK263600045"/>
    <x v="0"/>
    <x v="0"/>
    <n v="1"/>
    <x v="7"/>
    <d v="2026-09-01T06:33:21"/>
    <x v="47"/>
    <x v="27"/>
    <x v="47"/>
    <s v="20LA23.00"/>
    <x v="2"/>
    <x v="1"/>
    <m/>
    <m/>
    <m/>
  </r>
  <r>
    <s v="YK263600046"/>
    <x v="0"/>
    <x v="0"/>
    <n v="1"/>
    <x v="7"/>
    <d v="2026-09-01T06:33:21"/>
    <x v="47"/>
    <x v="27"/>
    <x v="47"/>
    <s v="20LA23.00"/>
    <x v="2"/>
    <x v="1"/>
    <m/>
    <m/>
    <m/>
  </r>
  <r>
    <s v="YK263600047"/>
    <x v="0"/>
    <x v="0"/>
    <n v="1"/>
    <x v="7"/>
    <d v="2026-09-01T06:33:21"/>
    <x v="47"/>
    <x v="27"/>
    <x v="47"/>
    <s v="20LA23.00"/>
    <x v="2"/>
    <x v="1"/>
    <m/>
    <m/>
    <m/>
  </r>
  <r>
    <s v="YK263600048"/>
    <x v="0"/>
    <x v="0"/>
    <n v="1"/>
    <x v="7"/>
    <d v="2026-09-01T06:33:21"/>
    <x v="47"/>
    <x v="27"/>
    <x v="47"/>
    <s v="20LA23.00"/>
    <x v="2"/>
    <x v="1"/>
    <m/>
    <m/>
    <m/>
  </r>
  <r>
    <s v="YK263600049"/>
    <x v="0"/>
    <x v="0"/>
    <n v="1"/>
    <x v="7"/>
    <d v="2026-09-01T06:33:21"/>
    <x v="47"/>
    <x v="27"/>
    <x v="47"/>
    <s v="20LA23.00"/>
    <x v="2"/>
    <x v="1"/>
    <m/>
    <m/>
    <m/>
  </r>
  <r>
    <s v="YK263600050"/>
    <x v="0"/>
    <x v="0"/>
    <n v="1"/>
    <x v="7"/>
    <d v="2026-09-01T06:33:21"/>
    <x v="47"/>
    <x v="27"/>
    <x v="47"/>
    <s v="20LA23.00"/>
    <x v="2"/>
    <x v="1"/>
    <m/>
    <m/>
    <m/>
  </r>
  <r>
    <s v="YK263600051"/>
    <x v="0"/>
    <x v="0"/>
    <n v="1"/>
    <x v="7"/>
    <d v="2026-09-01T06:33:21"/>
    <x v="47"/>
    <x v="27"/>
    <x v="47"/>
    <s v="20LA23.00"/>
    <x v="2"/>
    <x v="1"/>
    <m/>
    <m/>
    <m/>
  </r>
  <r>
    <s v="YK263404044"/>
    <x v="1"/>
    <x v="1"/>
    <n v="1"/>
    <x v="1"/>
    <d v="2026-09-04T08:43:02"/>
    <x v="48"/>
    <x v="27"/>
    <x v="48"/>
    <s v="20LA23.10"/>
    <x v="2"/>
    <x v="1"/>
    <m/>
    <d v="2026-09-02T00:00:00"/>
    <m/>
  </r>
  <r>
    <s v="YK263404045"/>
    <x v="3"/>
    <x v="3"/>
    <n v="1"/>
    <x v="3"/>
    <d v="2026-09-09T17:44:58"/>
    <x v="48"/>
    <x v="27"/>
    <x v="48"/>
    <s v="20LA23.10"/>
    <x v="2"/>
    <x v="1"/>
    <m/>
    <m/>
    <m/>
  </r>
  <r>
    <s v="YK263404046"/>
    <x v="1"/>
    <x v="1"/>
    <n v="1"/>
    <x v="1"/>
    <d v="2026-09-04T08:45:22"/>
    <x v="48"/>
    <x v="27"/>
    <x v="48"/>
    <s v="20LA23.10"/>
    <x v="2"/>
    <x v="1"/>
    <m/>
    <d v="2026-09-02T00:00:00"/>
    <m/>
  </r>
  <r>
    <s v="YK263404047"/>
    <x v="7"/>
    <x v="7"/>
    <n v="1"/>
    <x v="2"/>
    <d v="2026-09-09T11:50:41"/>
    <x v="48"/>
    <x v="27"/>
    <x v="48"/>
    <s v="20LA23.10"/>
    <x v="2"/>
    <x v="1"/>
    <m/>
    <m/>
    <m/>
  </r>
  <r>
    <s v="YK263404048"/>
    <x v="8"/>
    <x v="8"/>
    <n v="1"/>
    <x v="6"/>
    <d v="2026-09-09T11:54:56"/>
    <x v="48"/>
    <x v="27"/>
    <x v="48"/>
    <s v="20LA23.10"/>
    <x v="2"/>
    <x v="1"/>
    <m/>
    <m/>
    <m/>
  </r>
  <r>
    <s v="YK263404049"/>
    <x v="3"/>
    <x v="3"/>
    <n v="1"/>
    <x v="3"/>
    <d v="2026-09-09T16:40:33"/>
    <x v="48"/>
    <x v="27"/>
    <x v="48"/>
    <s v="20LA23.10"/>
    <x v="2"/>
    <x v="1"/>
    <m/>
    <m/>
    <m/>
  </r>
  <r>
    <s v="YK263404050"/>
    <x v="7"/>
    <x v="7"/>
    <n v="1"/>
    <x v="2"/>
    <d v="2026-09-09T14:29:05"/>
    <x v="48"/>
    <x v="27"/>
    <x v="48"/>
    <s v="20LA23.10"/>
    <x v="2"/>
    <x v="1"/>
    <m/>
    <m/>
    <m/>
  </r>
  <r>
    <s v="YK263404051"/>
    <x v="4"/>
    <x v="4"/>
    <n v="1"/>
    <x v="4"/>
    <d v="2026-09-09T13:06:29"/>
    <x v="48"/>
    <x v="27"/>
    <x v="48"/>
    <s v="20LA23.10"/>
    <x v="2"/>
    <x v="1"/>
    <m/>
    <m/>
    <m/>
  </r>
  <r>
    <s v="YK263404052"/>
    <x v="4"/>
    <x v="4"/>
    <n v="1"/>
    <x v="4"/>
    <d v="2026-09-09T18:04:56"/>
    <x v="48"/>
    <x v="27"/>
    <x v="48"/>
    <s v="20LA23.10"/>
    <x v="2"/>
    <x v="1"/>
    <m/>
    <m/>
    <m/>
  </r>
  <r>
    <s v="YK263404053"/>
    <x v="4"/>
    <x v="4"/>
    <n v="1"/>
    <x v="4"/>
    <d v="2026-09-09T18:30:15"/>
    <x v="48"/>
    <x v="27"/>
    <x v="48"/>
    <s v="20LA23.10"/>
    <x v="2"/>
    <x v="1"/>
    <m/>
    <m/>
    <m/>
  </r>
  <r>
    <s v="YK262500727"/>
    <x v="1"/>
    <x v="1"/>
    <n v="1"/>
    <x v="1"/>
    <d v="2026-07-14T07:18:10"/>
    <x v="49"/>
    <x v="28"/>
    <x v="49"/>
    <s v="20LA41.00"/>
    <x v="2"/>
    <x v="3"/>
    <m/>
    <d v="2026-07-27T00:00:00"/>
    <m/>
  </r>
  <r>
    <s v="YK262500728"/>
    <x v="1"/>
    <x v="1"/>
    <n v="1"/>
    <x v="1"/>
    <d v="2026-07-08T09:45:46"/>
    <x v="49"/>
    <x v="28"/>
    <x v="49"/>
    <s v="20LA41.00"/>
    <x v="2"/>
    <x v="3"/>
    <m/>
    <d v="2026-07-27T00:00:00"/>
    <m/>
  </r>
  <r>
    <s v="YK262500729"/>
    <x v="1"/>
    <x v="1"/>
    <n v="1"/>
    <x v="1"/>
    <d v="2026-07-18T09:47:03"/>
    <x v="49"/>
    <x v="28"/>
    <x v="49"/>
    <s v="20LA41.00"/>
    <x v="2"/>
    <x v="3"/>
    <m/>
    <d v="2026-07-27T00:00:00"/>
    <m/>
  </r>
  <r>
    <s v="YK262500730"/>
    <x v="1"/>
    <x v="1"/>
    <n v="1"/>
    <x v="1"/>
    <d v="2026-07-15T14:04:05"/>
    <x v="49"/>
    <x v="28"/>
    <x v="49"/>
    <s v="20LA41.00"/>
    <x v="2"/>
    <x v="3"/>
    <m/>
    <d v="2026-07-17T00:00:00"/>
    <m/>
  </r>
  <r>
    <s v="YK262500731"/>
    <x v="1"/>
    <x v="1"/>
    <n v="1"/>
    <x v="1"/>
    <d v="2026-07-15T14:04:58"/>
    <x v="49"/>
    <x v="28"/>
    <x v="49"/>
    <s v="20LA41.00"/>
    <x v="2"/>
    <x v="3"/>
    <m/>
    <d v="2026-07-17T00:00:00"/>
    <m/>
  </r>
  <r>
    <s v="YK262500732"/>
    <x v="1"/>
    <x v="1"/>
    <n v="1"/>
    <x v="1"/>
    <d v="2026-07-15T14:05:21"/>
    <x v="49"/>
    <x v="28"/>
    <x v="49"/>
    <s v="20LA41.00"/>
    <x v="2"/>
    <x v="3"/>
    <m/>
    <d v="2026-07-17T00:00:00"/>
    <m/>
  </r>
  <r>
    <s v="YK262500733"/>
    <x v="1"/>
    <x v="1"/>
    <n v="1"/>
    <x v="1"/>
    <d v="2026-07-15T14:05:45"/>
    <x v="49"/>
    <x v="28"/>
    <x v="49"/>
    <s v="20LA41.00"/>
    <x v="2"/>
    <x v="3"/>
    <m/>
    <d v="2026-07-23T00:00:00"/>
    <m/>
  </r>
  <r>
    <s v="YK262500734"/>
    <x v="1"/>
    <x v="1"/>
    <n v="1"/>
    <x v="1"/>
    <d v="2026-07-15T14:06:30"/>
    <x v="49"/>
    <x v="28"/>
    <x v="49"/>
    <s v="20LA41.00"/>
    <x v="2"/>
    <x v="3"/>
    <m/>
    <d v="2026-07-17T00:00:00"/>
    <m/>
  </r>
  <r>
    <s v="YK263700001"/>
    <x v="0"/>
    <x v="0"/>
    <n v="1"/>
    <x v="7"/>
    <d v="2026-09-08T09:23:40"/>
    <x v="50"/>
    <x v="28"/>
    <x v="50"/>
    <s v="20LA42.00"/>
    <x v="2"/>
    <x v="3"/>
    <m/>
    <m/>
    <m/>
  </r>
  <r>
    <s v="YK263700002"/>
    <x v="0"/>
    <x v="0"/>
    <n v="1"/>
    <x v="7"/>
    <d v="2026-09-08T09:23:40"/>
    <x v="50"/>
    <x v="28"/>
    <x v="50"/>
    <s v="20LA42.00"/>
    <x v="2"/>
    <x v="3"/>
    <m/>
    <m/>
    <m/>
  </r>
  <r>
    <s v="YK263700003"/>
    <x v="0"/>
    <x v="0"/>
    <n v="1"/>
    <x v="7"/>
    <d v="2026-09-08T09:23:40"/>
    <x v="50"/>
    <x v="28"/>
    <x v="50"/>
    <s v="20LA42.00"/>
    <x v="2"/>
    <x v="3"/>
    <m/>
    <m/>
    <m/>
  </r>
  <r>
    <s v="YK263700004"/>
    <x v="0"/>
    <x v="0"/>
    <n v="1"/>
    <x v="7"/>
    <d v="2026-09-08T09:23:40"/>
    <x v="50"/>
    <x v="28"/>
    <x v="50"/>
    <s v="20LA42.00"/>
    <x v="2"/>
    <x v="3"/>
    <m/>
    <m/>
    <m/>
  </r>
  <r>
    <s v="YK263700005"/>
    <x v="0"/>
    <x v="0"/>
    <n v="1"/>
    <x v="7"/>
    <d v="2026-09-08T09:23:40"/>
    <x v="50"/>
    <x v="28"/>
    <x v="50"/>
    <s v="20LA42.00"/>
    <x v="2"/>
    <x v="3"/>
    <m/>
    <m/>
    <m/>
  </r>
  <r>
    <s v="YK263700006"/>
    <x v="0"/>
    <x v="0"/>
    <n v="1"/>
    <x v="7"/>
    <d v="2026-09-08T09:23:40"/>
    <x v="50"/>
    <x v="28"/>
    <x v="50"/>
    <s v="20LA42.00"/>
    <x v="2"/>
    <x v="3"/>
    <m/>
    <m/>
    <m/>
  </r>
  <r>
    <s v="YK263700007"/>
    <x v="0"/>
    <x v="0"/>
    <n v="1"/>
    <x v="7"/>
    <d v="2026-09-08T09:23:40"/>
    <x v="50"/>
    <x v="28"/>
    <x v="50"/>
    <s v="20LA42.00"/>
    <x v="2"/>
    <x v="3"/>
    <m/>
    <m/>
    <m/>
  </r>
  <r>
    <s v="YK263700008"/>
    <x v="0"/>
    <x v="0"/>
    <n v="1"/>
    <x v="7"/>
    <d v="2026-09-08T09:23:40"/>
    <x v="50"/>
    <x v="28"/>
    <x v="50"/>
    <s v="20LA42.00"/>
    <x v="2"/>
    <x v="3"/>
    <m/>
    <m/>
    <m/>
  </r>
  <r>
    <s v="YK263700009"/>
    <x v="0"/>
    <x v="0"/>
    <n v="1"/>
    <x v="7"/>
    <d v="2026-09-08T09:23:40"/>
    <x v="50"/>
    <x v="28"/>
    <x v="50"/>
    <s v="20LA42.00"/>
    <x v="2"/>
    <x v="3"/>
    <m/>
    <m/>
    <m/>
  </r>
  <r>
    <s v="YK263700010"/>
    <x v="0"/>
    <x v="0"/>
    <n v="1"/>
    <x v="7"/>
    <d v="2026-09-08T09:23:40"/>
    <x v="50"/>
    <x v="28"/>
    <x v="50"/>
    <s v="20LA42.00"/>
    <x v="2"/>
    <x v="3"/>
    <m/>
    <m/>
    <m/>
  </r>
  <r>
    <s v="YK263700011"/>
    <x v="0"/>
    <x v="0"/>
    <n v="1"/>
    <x v="7"/>
    <d v="2026-09-08T09:23:40"/>
    <x v="50"/>
    <x v="28"/>
    <x v="50"/>
    <s v="20LA42.00"/>
    <x v="2"/>
    <x v="3"/>
    <m/>
    <m/>
    <m/>
  </r>
  <r>
    <s v="YK263700012"/>
    <x v="0"/>
    <x v="0"/>
    <n v="1"/>
    <x v="7"/>
    <d v="2026-09-08T09:23:40"/>
    <x v="50"/>
    <x v="28"/>
    <x v="50"/>
    <s v="20LA42.00"/>
    <x v="2"/>
    <x v="3"/>
    <m/>
    <m/>
    <m/>
  </r>
  <r>
    <s v="YK263700013"/>
    <x v="0"/>
    <x v="0"/>
    <n v="1"/>
    <x v="7"/>
    <d v="2026-09-08T09:23:40"/>
    <x v="50"/>
    <x v="28"/>
    <x v="50"/>
    <s v="20LA42.00"/>
    <x v="2"/>
    <x v="3"/>
    <m/>
    <m/>
    <m/>
  </r>
  <r>
    <s v="YK263700014"/>
    <x v="0"/>
    <x v="0"/>
    <n v="1"/>
    <x v="7"/>
    <d v="2026-09-08T09:23:40"/>
    <x v="50"/>
    <x v="28"/>
    <x v="50"/>
    <s v="20LA42.00"/>
    <x v="2"/>
    <x v="3"/>
    <m/>
    <m/>
    <m/>
  </r>
  <r>
    <s v="YK263700015"/>
    <x v="0"/>
    <x v="0"/>
    <n v="1"/>
    <x v="7"/>
    <d v="2026-09-08T09:23:40"/>
    <x v="50"/>
    <x v="28"/>
    <x v="50"/>
    <s v="20LA42.00"/>
    <x v="2"/>
    <x v="3"/>
    <m/>
    <m/>
    <m/>
  </r>
  <r>
    <s v="YK263700016"/>
    <x v="0"/>
    <x v="0"/>
    <n v="1"/>
    <x v="7"/>
    <d v="2026-09-08T09:23:40"/>
    <x v="50"/>
    <x v="28"/>
    <x v="50"/>
    <s v="20LA42.00"/>
    <x v="2"/>
    <x v="3"/>
    <m/>
    <m/>
    <m/>
  </r>
  <r>
    <s v="YK263700017"/>
    <x v="0"/>
    <x v="0"/>
    <n v="1"/>
    <x v="7"/>
    <d v="2026-09-08T09:23:40"/>
    <x v="50"/>
    <x v="28"/>
    <x v="50"/>
    <s v="20LA42.00"/>
    <x v="2"/>
    <x v="3"/>
    <m/>
    <m/>
    <m/>
  </r>
  <r>
    <s v="YK263700018"/>
    <x v="0"/>
    <x v="0"/>
    <n v="1"/>
    <x v="7"/>
    <d v="2026-09-08T09:23:40"/>
    <x v="50"/>
    <x v="28"/>
    <x v="50"/>
    <s v="20LA42.00"/>
    <x v="2"/>
    <x v="3"/>
    <m/>
    <m/>
    <m/>
  </r>
  <r>
    <s v="YK263700019"/>
    <x v="0"/>
    <x v="0"/>
    <n v="1"/>
    <x v="7"/>
    <d v="2026-09-08T09:23:40"/>
    <x v="50"/>
    <x v="28"/>
    <x v="50"/>
    <s v="20LA42.00"/>
    <x v="2"/>
    <x v="3"/>
    <m/>
    <m/>
    <m/>
  </r>
  <r>
    <s v="YK263700020"/>
    <x v="0"/>
    <x v="0"/>
    <n v="1"/>
    <x v="7"/>
    <d v="2026-09-08T09:23:40"/>
    <x v="50"/>
    <x v="28"/>
    <x v="50"/>
    <s v="20LA42.00"/>
    <x v="2"/>
    <x v="3"/>
    <m/>
    <m/>
    <m/>
  </r>
  <r>
    <s v="YK263700021"/>
    <x v="0"/>
    <x v="0"/>
    <n v="1"/>
    <x v="7"/>
    <d v="2026-09-08T09:23:40"/>
    <x v="50"/>
    <x v="28"/>
    <x v="50"/>
    <s v="20LA42.00"/>
    <x v="2"/>
    <x v="3"/>
    <m/>
    <m/>
    <m/>
  </r>
  <r>
    <s v="YK263700022"/>
    <x v="0"/>
    <x v="0"/>
    <n v="1"/>
    <x v="7"/>
    <d v="2026-09-08T09:23:40"/>
    <x v="50"/>
    <x v="28"/>
    <x v="50"/>
    <s v="20LA42.00"/>
    <x v="2"/>
    <x v="3"/>
    <m/>
    <m/>
    <m/>
  </r>
  <r>
    <s v="YK263700023"/>
    <x v="0"/>
    <x v="0"/>
    <n v="1"/>
    <x v="7"/>
    <d v="2026-09-08T09:23:40"/>
    <x v="50"/>
    <x v="28"/>
    <x v="50"/>
    <s v="20LA42.00"/>
    <x v="2"/>
    <x v="3"/>
    <m/>
    <m/>
    <m/>
  </r>
  <r>
    <s v="YK263700024"/>
    <x v="0"/>
    <x v="0"/>
    <n v="1"/>
    <x v="7"/>
    <d v="2026-09-08T09:23:40"/>
    <x v="50"/>
    <x v="28"/>
    <x v="50"/>
    <s v="20LA42.00"/>
    <x v="2"/>
    <x v="3"/>
    <m/>
    <m/>
    <m/>
  </r>
  <r>
    <s v="YK263700025"/>
    <x v="0"/>
    <x v="0"/>
    <n v="1"/>
    <x v="7"/>
    <d v="2026-09-08T09:23:40"/>
    <x v="50"/>
    <x v="28"/>
    <x v="50"/>
    <s v="20LA42.00"/>
    <x v="2"/>
    <x v="3"/>
    <m/>
    <m/>
    <m/>
  </r>
  <r>
    <s v="YK263700026"/>
    <x v="0"/>
    <x v="0"/>
    <n v="1"/>
    <x v="7"/>
    <d v="2026-09-08T09:23:40"/>
    <x v="50"/>
    <x v="28"/>
    <x v="50"/>
    <s v="20LA42.00"/>
    <x v="2"/>
    <x v="3"/>
    <m/>
    <m/>
    <m/>
  </r>
  <r>
    <s v="YK263700027"/>
    <x v="0"/>
    <x v="0"/>
    <n v="1"/>
    <x v="7"/>
    <d v="2026-09-08T09:23:40"/>
    <x v="50"/>
    <x v="28"/>
    <x v="50"/>
    <s v="20LA42.00"/>
    <x v="2"/>
    <x v="3"/>
    <m/>
    <m/>
    <m/>
  </r>
  <r>
    <s v="YK263700028"/>
    <x v="0"/>
    <x v="0"/>
    <n v="1"/>
    <x v="7"/>
    <d v="2026-09-08T09:23:40"/>
    <x v="50"/>
    <x v="28"/>
    <x v="50"/>
    <s v="20LA42.00"/>
    <x v="2"/>
    <x v="3"/>
    <m/>
    <m/>
    <m/>
  </r>
  <r>
    <s v="YK263700029"/>
    <x v="0"/>
    <x v="0"/>
    <n v="1"/>
    <x v="7"/>
    <d v="2026-09-08T09:23:40"/>
    <x v="50"/>
    <x v="28"/>
    <x v="50"/>
    <s v="20LA42.00"/>
    <x v="2"/>
    <x v="3"/>
    <m/>
    <m/>
    <m/>
  </r>
  <r>
    <s v="YK263700030"/>
    <x v="0"/>
    <x v="0"/>
    <n v="1"/>
    <x v="7"/>
    <d v="2026-09-08T09:23:40"/>
    <x v="50"/>
    <x v="28"/>
    <x v="50"/>
    <s v="20LA42.00"/>
    <x v="2"/>
    <x v="3"/>
    <m/>
    <m/>
    <m/>
  </r>
  <r>
    <s v="YK263700031"/>
    <x v="0"/>
    <x v="0"/>
    <n v="1"/>
    <x v="7"/>
    <d v="2026-09-08T09:23:40"/>
    <x v="50"/>
    <x v="28"/>
    <x v="50"/>
    <s v="20LA42.00"/>
    <x v="2"/>
    <x v="3"/>
    <m/>
    <m/>
    <m/>
  </r>
  <r>
    <s v="YK263700032"/>
    <x v="0"/>
    <x v="0"/>
    <n v="1"/>
    <x v="7"/>
    <d v="2026-09-08T09:23:40"/>
    <x v="50"/>
    <x v="28"/>
    <x v="50"/>
    <s v="20LA42.00"/>
    <x v="2"/>
    <x v="3"/>
    <m/>
    <m/>
    <m/>
  </r>
  <r>
    <s v="YK263700033"/>
    <x v="0"/>
    <x v="0"/>
    <n v="1"/>
    <x v="7"/>
    <d v="2026-09-08T09:23:40"/>
    <x v="50"/>
    <x v="28"/>
    <x v="50"/>
    <s v="20LA42.00"/>
    <x v="2"/>
    <x v="3"/>
    <m/>
    <m/>
    <m/>
  </r>
  <r>
    <s v="YK263700034"/>
    <x v="0"/>
    <x v="0"/>
    <n v="1"/>
    <x v="7"/>
    <d v="2026-09-08T09:23:40"/>
    <x v="50"/>
    <x v="28"/>
    <x v="50"/>
    <s v="20LA42.00"/>
    <x v="2"/>
    <x v="3"/>
    <m/>
    <m/>
    <m/>
  </r>
  <r>
    <s v="YK263700035"/>
    <x v="0"/>
    <x v="0"/>
    <n v="1"/>
    <x v="7"/>
    <d v="2026-09-08T09:23:40"/>
    <x v="50"/>
    <x v="28"/>
    <x v="50"/>
    <s v="20LA42.00"/>
    <x v="2"/>
    <x v="3"/>
    <m/>
    <m/>
    <m/>
  </r>
  <r>
    <s v="YK263700036"/>
    <x v="0"/>
    <x v="0"/>
    <n v="1"/>
    <x v="7"/>
    <d v="2026-09-08T09:23:40"/>
    <x v="50"/>
    <x v="28"/>
    <x v="50"/>
    <s v="20LA42.00"/>
    <x v="2"/>
    <x v="3"/>
    <m/>
    <m/>
    <m/>
  </r>
  <r>
    <s v="YK263700037"/>
    <x v="0"/>
    <x v="0"/>
    <n v="1"/>
    <x v="7"/>
    <d v="2026-09-08T09:23:40"/>
    <x v="50"/>
    <x v="28"/>
    <x v="50"/>
    <s v="20LA42.00"/>
    <x v="2"/>
    <x v="3"/>
    <m/>
    <m/>
    <m/>
  </r>
  <r>
    <s v="YK263700038"/>
    <x v="0"/>
    <x v="0"/>
    <n v="1"/>
    <x v="7"/>
    <d v="2026-09-08T09:23:40"/>
    <x v="50"/>
    <x v="28"/>
    <x v="50"/>
    <s v="20LA42.00"/>
    <x v="2"/>
    <x v="3"/>
    <m/>
    <m/>
    <m/>
  </r>
  <r>
    <s v="YK263700039"/>
    <x v="0"/>
    <x v="0"/>
    <n v="1"/>
    <x v="7"/>
    <d v="2026-09-08T09:23:40"/>
    <x v="50"/>
    <x v="28"/>
    <x v="50"/>
    <s v="20LA42.00"/>
    <x v="2"/>
    <x v="3"/>
    <m/>
    <m/>
    <m/>
  </r>
  <r>
    <s v="YK263700040"/>
    <x v="0"/>
    <x v="0"/>
    <n v="1"/>
    <x v="7"/>
    <d v="2026-09-08T09:23:40"/>
    <x v="50"/>
    <x v="28"/>
    <x v="50"/>
    <s v="20LA42.00"/>
    <x v="2"/>
    <x v="3"/>
    <m/>
    <m/>
    <m/>
  </r>
  <r>
    <s v="YK263700041"/>
    <x v="0"/>
    <x v="0"/>
    <n v="1"/>
    <x v="7"/>
    <d v="2026-09-08T09:23:40"/>
    <x v="50"/>
    <x v="28"/>
    <x v="50"/>
    <s v="20LA42.00"/>
    <x v="2"/>
    <x v="3"/>
    <m/>
    <m/>
    <m/>
  </r>
  <r>
    <s v="YK263700042"/>
    <x v="0"/>
    <x v="0"/>
    <n v="1"/>
    <x v="7"/>
    <d v="2026-09-08T09:23:40"/>
    <x v="50"/>
    <x v="28"/>
    <x v="50"/>
    <s v="20LA42.00"/>
    <x v="2"/>
    <x v="3"/>
    <m/>
    <m/>
    <m/>
  </r>
  <r>
    <s v="YK263700043"/>
    <x v="0"/>
    <x v="0"/>
    <n v="1"/>
    <x v="7"/>
    <d v="2026-09-08T09:23:40"/>
    <x v="50"/>
    <x v="28"/>
    <x v="50"/>
    <s v="20LA42.00"/>
    <x v="2"/>
    <x v="3"/>
    <m/>
    <m/>
    <m/>
  </r>
  <r>
    <s v="YK263700044"/>
    <x v="0"/>
    <x v="0"/>
    <n v="1"/>
    <x v="7"/>
    <d v="2026-09-08T09:23:40"/>
    <x v="50"/>
    <x v="28"/>
    <x v="50"/>
    <s v="20LA42.00"/>
    <x v="2"/>
    <x v="3"/>
    <m/>
    <m/>
    <m/>
  </r>
  <r>
    <s v="YK263700045"/>
    <x v="0"/>
    <x v="0"/>
    <n v="1"/>
    <x v="7"/>
    <d v="2026-09-08T09:23:40"/>
    <x v="50"/>
    <x v="28"/>
    <x v="50"/>
    <s v="20LA42.00"/>
    <x v="2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8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28">
        <item x="21"/>
        <item x="7"/>
        <item x="6"/>
        <item x="9"/>
        <item x="15"/>
        <item x="10"/>
        <item x="16"/>
        <item x="19"/>
        <item x="3"/>
        <item x="4"/>
        <item x="12"/>
        <item x="2"/>
        <item x="0"/>
        <item x="18"/>
        <item x="11"/>
        <item x="8"/>
        <item x="17"/>
        <item x="1"/>
        <item x="14"/>
        <item x="13"/>
        <item x="20"/>
        <item x="23"/>
        <item x="24"/>
        <item h="1" m="1" x="26"/>
        <item h="1" x="5"/>
        <item h="1" x="22"/>
        <item h="1" x="25"/>
        <item t="default"/>
      </items>
    </pivotField>
    <pivotField axis="axisPage" multipleItemSelectionAllowed="1" showAll="0">
      <items count="28">
        <item x="7"/>
        <item x="15"/>
        <item x="9"/>
        <item x="10"/>
        <item x="16"/>
        <item h="1" x="3"/>
        <item h="1" x="21"/>
        <item h="1" x="12"/>
        <item h="1" x="2"/>
        <item h="1" x="14"/>
        <item h="1" x="0"/>
        <item h="1" x="18"/>
        <item h="1" x="8"/>
        <item h="1" x="13"/>
        <item x="6"/>
        <item h="1" x="11"/>
        <item h="1" x="17"/>
        <item h="1" x="1"/>
        <item h="1" x="4"/>
        <item h="1" x="19"/>
        <item h="1" x="20"/>
        <item h="1" x="23"/>
        <item h="1" x="24"/>
        <item h="1" m="1" x="26"/>
        <item h="1" x="5"/>
        <item h="1" x="22"/>
        <item h="1" x="25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0"/>
        <item x="1"/>
        <item x="2"/>
        <item x="3"/>
        <item m="1" x="4"/>
      </items>
    </pivotField>
    <pivotField axis="axisCol" showAll="0" defaultSubtotal="0">
      <items count="8">
        <item x="0"/>
        <item x="3"/>
        <item x="1"/>
        <item m="1" x="5"/>
        <item m="1" x="4"/>
        <item m="1" x="6"/>
        <item m="1" x="7"/>
        <item x="2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8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86" firstHeaderRow="1" firstDataRow="1" firstDataCol="5"/>
  <pivotFields count="15">
    <pivotField showAll="0"/>
    <pivotField showAll="0"/>
    <pivotField axis="axisRow" outline="0" showAll="0" defaultSubtotal="0">
      <items count="27">
        <item x="3"/>
        <item x="2"/>
        <item x="0"/>
        <item x="1"/>
        <item x="4"/>
        <item x="13"/>
        <item x="8"/>
        <item x="18"/>
        <item x="9"/>
        <item x="7"/>
        <item x="21"/>
        <item x="12"/>
        <item x="17"/>
        <item x="19"/>
        <item x="10"/>
        <item x="6"/>
        <item x="14"/>
        <item x="15"/>
        <item x="16"/>
        <item x="11"/>
        <item x="20"/>
        <item x="23"/>
        <item x="24"/>
        <item m="1" x="26"/>
        <item x="5"/>
        <item x="22"/>
        <item x="25"/>
      </items>
    </pivotField>
    <pivotField dataField="1" showAll="0"/>
    <pivotField axis="axisRow" showAll="0" sortType="ascending">
      <items count="11">
        <item x="3"/>
        <item x="6"/>
        <item x="4"/>
        <item x="2"/>
        <item x="8"/>
        <item x="5"/>
        <item x="1"/>
        <item x="7"/>
        <item x="0"/>
        <item x="9"/>
        <item t="default"/>
      </items>
    </pivotField>
    <pivotField showAll="0"/>
    <pivotField axis="axisRow" outline="0" showAll="0" sortType="ascending" defaultSubtota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</items>
    </pivotField>
    <pivotField axis="axisRow" outline="0" showAll="0" sortType="ascending" defaultSubtotal="0">
      <items count="51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9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8"/>
        <item x="22"/>
        <item x="47"/>
        <item x="5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85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8"/>
      <x/>
      <x v="2"/>
      <x v="8"/>
    </i>
    <i r="3">
      <x v="3"/>
      <x v="6"/>
    </i>
    <i>
      <x v="3"/>
      <x v="24"/>
      <x v="3"/>
      <x v="3"/>
      <x v="6"/>
    </i>
    <i>
      <x v="4"/>
      <x v="4"/>
      <x v="5"/>
      <x v="1"/>
      <x v="3"/>
    </i>
    <i r="3">
      <x v="2"/>
      <x v="8"/>
    </i>
    <i r="3">
      <x v="3"/>
      <x v="6"/>
    </i>
    <i>
      <x v="5"/>
      <x v="5"/>
      <x v="5"/>
      <x v="1"/>
      <x v="3"/>
    </i>
    <i r="3">
      <x v="2"/>
      <x v="8"/>
    </i>
    <i r="3">
      <x v="3"/>
      <x v="6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>
      <x v="7"/>
      <x v="3"/>
      <x v="4"/>
      <x v="1"/>
      <x v="3"/>
    </i>
    <i r="3">
      <x v="2"/>
      <x v="8"/>
    </i>
    <i r="3">
      <x v="3"/>
      <x v="6"/>
    </i>
    <i>
      <x v="8"/>
      <x v="19"/>
      <x v="6"/>
      <x v="2"/>
      <x v="8"/>
    </i>
    <i r="3">
      <x v="3"/>
      <x v="6"/>
    </i>
    <i>
      <x v="9"/>
      <x v="25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6"/>
      <x v="4"/>
      <x v="2"/>
      <x v="8"/>
    </i>
    <i r="3">
      <x v="3"/>
      <x v="6"/>
    </i>
    <i>
      <x v="12"/>
      <x v="20"/>
      <x v="8"/>
      <x/>
      <x/>
    </i>
    <i r="3">
      <x v="1"/>
      <x v="3"/>
    </i>
    <i r="3">
      <x v="2"/>
      <x v="8"/>
    </i>
    <i r="3">
      <x v="5"/>
      <x v="1"/>
    </i>
    <i>
      <x v="13"/>
      <x v="26"/>
      <x v="14"/>
      <x v="3"/>
      <x v="6"/>
    </i>
    <i>
      <x v="14"/>
      <x v="14"/>
      <x v="9"/>
      <x v="2"/>
      <x v="8"/>
    </i>
    <i r="3">
      <x v="3"/>
      <x v="6"/>
    </i>
    <i>
      <x v="15"/>
      <x v="15"/>
      <x v="10"/>
      <x/>
      <x/>
    </i>
    <i r="3">
      <x v="2"/>
      <x v="8"/>
    </i>
    <i r="3">
      <x v="3"/>
      <x v="6"/>
    </i>
    <i>
      <x v="16"/>
      <x v="32"/>
      <x v="11"/>
      <x v="3"/>
      <x v="6"/>
    </i>
    <i>
      <x v="17"/>
      <x v="33"/>
      <x v="12"/>
      <x v="3"/>
      <x v="6"/>
    </i>
    <i>
      <x v="18"/>
      <x v="45"/>
      <x v="13"/>
      <x v="2"/>
      <x v="8"/>
    </i>
    <i r="3">
      <x v="3"/>
      <x v="6"/>
    </i>
    <i>
      <x v="19"/>
      <x v="23"/>
      <x v="8"/>
      <x v="2"/>
      <x v="8"/>
    </i>
    <i r="3">
      <x v="7"/>
      <x v="3"/>
    </i>
    <i r="3">
      <x v="12"/>
      <x/>
    </i>
    <i>
      <x v="20"/>
      <x v="12"/>
      <x v="9"/>
      <x/>
      <x/>
    </i>
    <i r="3">
      <x v="2"/>
      <x v="8"/>
    </i>
    <i r="3">
      <x v="3"/>
      <x v="6"/>
    </i>
    <i r="3">
      <x v="6"/>
      <x v="1"/>
    </i>
    <i>
      <x v="21"/>
      <x v="13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8"/>
      <x v="14"/>
      <x v="1"/>
      <x v="3"/>
    </i>
    <i r="3">
      <x v="3"/>
      <x v="6"/>
    </i>
    <i r="3">
      <x v="13"/>
      <x v="4"/>
    </i>
    <i>
      <x v="23"/>
      <x v="29"/>
      <x v="14"/>
      <x v="3"/>
      <x v="6"/>
    </i>
    <i>
      <x v="24"/>
      <x v="16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7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1"/>
      <x v="11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7"/>
      <x v="42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49"/>
      <x v="16"/>
      <x v="3"/>
      <x v="6"/>
    </i>
    <i>
      <x v="29"/>
      <x v="36"/>
      <x v="21"/>
      <x v="2"/>
      <x v="8"/>
    </i>
    <i r="3">
      <x v="3"/>
      <x v="6"/>
    </i>
    <i r="3">
      <x v="4"/>
      <x v="2"/>
    </i>
    <i r="3">
      <x v="10"/>
      <x v="1"/>
    </i>
    <i>
      <x v="30"/>
      <x v="38"/>
      <x v="19"/>
      <x v="3"/>
      <x v="6"/>
    </i>
    <i r="3">
      <x v="6"/>
      <x v="1"/>
    </i>
    <i r="3">
      <x v="10"/>
      <x v="1"/>
    </i>
    <i>
      <x v="31"/>
      <x v="21"/>
      <x v="15"/>
      <x/>
      <x/>
    </i>
    <i r="3">
      <x v="2"/>
      <x v="8"/>
    </i>
    <i r="3">
      <x v="3"/>
      <x v="6"/>
    </i>
    <i r="3">
      <x v="6"/>
      <x v="1"/>
    </i>
    <i>
      <x v="32"/>
      <x v="9"/>
      <x v="18"/>
      <x v="1"/>
      <x v="3"/>
    </i>
    <i r="3">
      <x v="2"/>
      <x v="8"/>
    </i>
    <i r="3">
      <x v="3"/>
      <x v="6"/>
    </i>
    <i r="3">
      <x v="6"/>
      <x v="1"/>
    </i>
    <i>
      <x v="33"/>
      <x v="8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4"/>
      <x v="5"/>
    </i>
    <i>
      <x v="34"/>
      <x v="31"/>
      <x v="27"/>
      <x v="2"/>
      <x v="7"/>
    </i>
    <i r="3">
      <x v="8"/>
      <x v="3"/>
    </i>
    <i r="3">
      <x v="16"/>
      <x v="3"/>
    </i>
    <i>
      <x v="35"/>
      <x v="46"/>
      <x v="20"/>
      <x v="2"/>
      <x v="9"/>
    </i>
    <i r="3">
      <x v="3"/>
      <x v="6"/>
    </i>
    <i>
      <x v="36"/>
      <x v="43"/>
      <x v="11"/>
      <x v="3"/>
      <x v="6"/>
    </i>
    <i>
      <x v="37"/>
      <x v="44"/>
      <x v="12"/>
      <x/>
      <x/>
    </i>
    <i r="3">
      <x v="3"/>
      <x v="6"/>
    </i>
    <i>
      <x v="38"/>
      <x v="37"/>
      <x v="23"/>
      <x/>
      <x/>
    </i>
    <i r="3">
      <x v="1"/>
      <x v="3"/>
    </i>
    <i r="3">
      <x v="2"/>
      <x v="8"/>
    </i>
    <i r="3">
      <x v="4"/>
      <x v="2"/>
    </i>
    <i r="3">
      <x v="6"/>
      <x v="1"/>
    </i>
    <i r="3">
      <x v="8"/>
      <x v="3"/>
    </i>
    <i r="3">
      <x v="9"/>
      <x v="3"/>
    </i>
    <i r="3">
      <x v="16"/>
      <x v="3"/>
    </i>
    <i r="3">
      <x v="17"/>
      <x v="3"/>
    </i>
    <i r="3">
      <x v="18"/>
      <x v="1"/>
    </i>
    <i r="3">
      <x v="19"/>
      <x v="2"/>
    </i>
    <i>
      <x v="39"/>
      <x v="34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5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39"/>
      <x v="28"/>
      <x v="2"/>
      <x v="7"/>
    </i>
    <i r="3">
      <x v="3"/>
      <x v="6"/>
    </i>
    <i r="3">
      <x v="10"/>
      <x v="1"/>
    </i>
    <i r="3">
      <x v="13"/>
      <x v="4"/>
    </i>
    <i r="3">
      <x v="21"/>
      <x v="4"/>
    </i>
    <i r="3">
      <x v="22"/>
      <x v="3"/>
    </i>
    <i r="3">
      <x v="25"/>
      <x v="3"/>
    </i>
    <i r="3">
      <x v="26"/>
      <x v="3"/>
    </i>
    <i>
      <x v="42"/>
      <x v="27"/>
      <x v="25"/>
      <x v="1"/>
      <x v="3"/>
    </i>
    <i r="3">
      <x v="2"/>
      <x v="7"/>
    </i>
    <i r="3">
      <x v="3"/>
      <x v="6"/>
    </i>
    <i r="3">
      <x v="13"/>
      <x v="4"/>
    </i>
    <i>
      <x v="43"/>
      <x v="40"/>
      <x v="24"/>
      <x v="3"/>
      <x v="6"/>
    </i>
    <i>
      <x v="44"/>
      <x v="30"/>
      <x v="22"/>
      <x v="8"/>
      <x v="3"/>
    </i>
    <i r="3">
      <x v="9"/>
      <x v="3"/>
    </i>
    <i>
      <x v="45"/>
      <x v="10"/>
      <x v="17"/>
      <x v="1"/>
      <x v="3"/>
    </i>
    <i r="3">
      <x v="4"/>
      <x v="2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1"/>
      <x v="18"/>
      <x v="2"/>
      <x v="7"/>
    </i>
    <i r="3">
      <x v="8"/>
      <x v="3"/>
    </i>
    <i r="3">
      <x v="14"/>
      <x v="1"/>
    </i>
    <i r="3">
      <x v="19"/>
      <x v="2"/>
    </i>
    <i>
      <x v="47"/>
      <x v="48"/>
      <x v="26"/>
      <x/>
      <x/>
    </i>
    <i r="3">
      <x v="3"/>
      <x v="6"/>
    </i>
    <i r="3">
      <x v="4"/>
      <x v="2"/>
    </i>
    <i r="3">
      <x v="6"/>
      <x v="1"/>
    </i>
    <i r="3">
      <x v="9"/>
      <x v="3"/>
    </i>
    <i>
      <x v="48"/>
      <x v="22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7"/>
      <x v="26"/>
      <x v="2"/>
      <x v="7"/>
    </i>
    <i>
      <x v="50"/>
      <x v="50"/>
      <x v="1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41">
    <format dxfId="140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9">
      <pivotArea dataOnly="0" labelOnly="1" fieldPosition="0">
        <references count="3">
          <reference field="2" count="1">
            <x v="3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8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4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2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dataOnly="0" labelOnly="1" fieldPosition="0">
        <references count="1">
          <reference field="8" count="1">
            <x v="13"/>
          </reference>
        </references>
      </pivotArea>
    </format>
    <format dxfId="128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7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dataOnly="0" labelOnly="1" fieldPosition="0">
        <references count="1">
          <reference field="8" count="1">
            <x v="21"/>
          </reference>
        </references>
      </pivotArea>
    </format>
    <format dxfId="114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13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1">
          <reference field="8" count="1">
            <x v="22"/>
          </reference>
        </references>
      </pivotArea>
    </format>
    <format dxfId="100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1">
          <reference field="8" count="1">
            <x v="23"/>
          </reference>
        </references>
      </pivotArea>
    </format>
    <format dxfId="86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5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4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dataOnly="0" labelOnly="1" fieldPosition="0">
        <references count="1">
          <reference field="8" count="1">
            <x v="26"/>
          </reference>
        </references>
      </pivotArea>
    </format>
    <format dxfId="69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8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1">
          <reference field="8" count="1">
            <x v="27"/>
          </reference>
        </references>
      </pivotArea>
    </format>
    <format dxfId="50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9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1">
          <reference field="8" count="1">
            <x v="28"/>
          </reference>
        </references>
      </pivotArea>
    </format>
    <format dxfId="31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1">
      <pivotArea dataOnly="0" labelOnly="1" fieldPosition="0">
        <references count="4">
          <reference field="2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0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8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6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7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4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0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39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selection activeCell="D12" sqref="D12"/>
    </sheetView>
  </sheetViews>
  <sheetFormatPr defaultRowHeight="1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>
      <c r="A1" s="2" t="s">
        <v>2</v>
      </c>
      <c r="B1" s="11" t="s">
        <v>3811</v>
      </c>
      <c r="K1" t="s">
        <v>2</v>
      </c>
      <c r="L1" t="s">
        <v>3811</v>
      </c>
    </row>
    <row r="2" spans="1:21">
      <c r="A2" s="2" t="s">
        <v>1434</v>
      </c>
      <c r="B2" s="11" t="s">
        <v>4046</v>
      </c>
    </row>
    <row r="3" spans="1:21">
      <c r="K3" t="s">
        <v>73</v>
      </c>
      <c r="L3" t="s">
        <v>3812</v>
      </c>
    </row>
    <row r="4" spans="1:21">
      <c r="A4" s="2" t="s">
        <v>3812</v>
      </c>
      <c r="B4" s="2" t="s">
        <v>3961</v>
      </c>
      <c r="E4"/>
      <c r="K4" t="s">
        <v>954</v>
      </c>
      <c r="L4">
        <v>242</v>
      </c>
      <c r="T4" s="11" t="s">
        <v>1172</v>
      </c>
      <c r="U4" s="11" t="s">
        <v>3965</v>
      </c>
    </row>
    <row r="5" spans="1:21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3963</v>
      </c>
    </row>
    <row r="6" spans="1:21">
      <c r="A6" s="3" t="s">
        <v>954</v>
      </c>
      <c r="B6" s="4">
        <v>369</v>
      </c>
      <c r="C6" s="4">
        <v>5</v>
      </c>
      <c r="D6" s="4">
        <v>374</v>
      </c>
      <c r="E6"/>
      <c r="F6" s="4"/>
      <c r="G6" s="4"/>
      <c r="H6" s="4"/>
      <c r="I6" s="4"/>
      <c r="K6" t="s">
        <v>3503</v>
      </c>
      <c r="L6">
        <v>14</v>
      </c>
      <c r="T6" s="11" t="s">
        <v>3964</v>
      </c>
      <c r="U6" s="11" t="s">
        <v>3962</v>
      </c>
    </row>
    <row r="7" spans="1:21">
      <c r="A7" s="3" t="s">
        <v>2684</v>
      </c>
      <c r="B7" s="4">
        <v>19</v>
      </c>
      <c r="C7" s="4"/>
      <c r="D7" s="4">
        <v>19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3966</v>
      </c>
    </row>
    <row r="8" spans="1:21">
      <c r="A8" s="3" t="s">
        <v>956</v>
      </c>
      <c r="B8" s="4">
        <v>197</v>
      </c>
      <c r="C8" s="4">
        <v>57</v>
      </c>
      <c r="D8" s="4">
        <v>254</v>
      </c>
      <c r="E8"/>
      <c r="F8" s="4"/>
      <c r="G8" s="4"/>
      <c r="H8" s="4"/>
      <c r="I8" s="4"/>
      <c r="K8" t="s">
        <v>3508</v>
      </c>
      <c r="L8">
        <v>8</v>
      </c>
    </row>
    <row r="9" spans="1:21">
      <c r="A9" s="3" t="s">
        <v>3503</v>
      </c>
      <c r="B9" s="4"/>
      <c r="C9" s="4">
        <v>17</v>
      </c>
      <c r="D9" s="4">
        <v>17</v>
      </c>
      <c r="E9"/>
      <c r="F9" s="4"/>
      <c r="G9" s="4"/>
      <c r="H9" s="4"/>
      <c r="I9" s="4"/>
      <c r="K9" t="s">
        <v>74</v>
      </c>
      <c r="L9">
        <v>763</v>
      </c>
    </row>
    <row r="10" spans="1:21">
      <c r="A10" s="3" t="s">
        <v>2226</v>
      </c>
      <c r="B10" s="4">
        <v>82</v>
      </c>
      <c r="C10" s="4"/>
      <c r="D10" s="4">
        <v>82</v>
      </c>
      <c r="E10"/>
      <c r="F10" s="4"/>
      <c r="G10" s="4"/>
      <c r="H10" s="4"/>
      <c r="I10" s="4"/>
    </row>
    <row r="11" spans="1:21">
      <c r="A11" s="3" t="s">
        <v>3508</v>
      </c>
      <c r="B11" s="4"/>
      <c r="C11" s="4">
        <v>6</v>
      </c>
      <c r="D11" s="4">
        <v>6</v>
      </c>
      <c r="E11"/>
      <c r="F11" s="4"/>
      <c r="G11" s="4"/>
      <c r="H11" s="4"/>
      <c r="I11" s="4"/>
    </row>
    <row r="12" spans="1:21">
      <c r="A12" s="3" t="s">
        <v>74</v>
      </c>
      <c r="B12" s="4">
        <v>667</v>
      </c>
      <c r="C12" s="4">
        <v>85</v>
      </c>
      <c r="D12" s="4">
        <v>752</v>
      </c>
      <c r="E12"/>
      <c r="F12" s="4"/>
      <c r="G12" s="4"/>
      <c r="H12" s="4"/>
      <c r="I12" s="4"/>
    </row>
    <row r="19" spans="1:4">
      <c r="A19" s="53" t="s">
        <v>3812</v>
      </c>
      <c r="B19" s="53" t="s">
        <v>3961</v>
      </c>
      <c r="C19" s="53"/>
      <c r="D19" s="53"/>
    </row>
    <row r="20" spans="1:4">
      <c r="A20" s="54" t="s">
        <v>73</v>
      </c>
      <c r="B20" s="54" t="s">
        <v>1436</v>
      </c>
      <c r="C20" s="54" t="s">
        <v>2157</v>
      </c>
      <c r="D20" s="54" t="s">
        <v>74</v>
      </c>
    </row>
    <row r="21" spans="1:4">
      <c r="A21" s="3" t="s">
        <v>954</v>
      </c>
      <c r="B21" s="4">
        <v>374</v>
      </c>
      <c r="C21" s="4">
        <v>2</v>
      </c>
      <c r="D21" s="4">
        <v>376</v>
      </c>
    </row>
    <row r="22" spans="1:4">
      <c r="A22" s="3" t="s">
        <v>2684</v>
      </c>
      <c r="B22" s="4">
        <v>19</v>
      </c>
      <c r="C22" s="4">
        <v>3</v>
      </c>
      <c r="D22" s="4">
        <v>22</v>
      </c>
    </row>
    <row r="23" spans="1:4">
      <c r="A23" s="3" t="s">
        <v>956</v>
      </c>
      <c r="B23" s="4">
        <v>224</v>
      </c>
      <c r="C23" s="4">
        <v>56</v>
      </c>
      <c r="D23" s="4">
        <v>280</v>
      </c>
    </row>
    <row r="24" spans="1:4">
      <c r="A24" s="3" t="s">
        <v>3503</v>
      </c>
      <c r="B24" s="4"/>
      <c r="C24" s="4">
        <v>16</v>
      </c>
      <c r="D24" s="4">
        <v>16</v>
      </c>
    </row>
    <row r="25" spans="1:4">
      <c r="A25" s="3" t="s">
        <v>2226</v>
      </c>
      <c r="B25" s="4">
        <v>53</v>
      </c>
      <c r="C25" s="4">
        <v>1</v>
      </c>
      <c r="D25" s="4">
        <v>54</v>
      </c>
    </row>
    <row r="26" spans="1:4">
      <c r="A26" s="3" t="s">
        <v>3508</v>
      </c>
      <c r="B26" s="4"/>
      <c r="C26" s="4">
        <v>7</v>
      </c>
      <c r="D26" s="4">
        <v>7</v>
      </c>
    </row>
    <row r="27" spans="1:4">
      <c r="A27" s="55" t="s">
        <v>74</v>
      </c>
      <c r="B27" s="56">
        <v>670</v>
      </c>
      <c r="C27" s="56">
        <v>85</v>
      </c>
      <c r="D27" s="56">
        <v>755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P3722"/>
  <sheetViews>
    <sheetView topLeftCell="D1" workbookViewId="0">
      <pane ySplit="1" topLeftCell="A3684" activePane="bottomLeft" state="frozen"/>
      <selection pane="bottomLeft" activeCell="L2" sqref="L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48.5703125" bestFit="1" customWidth="1"/>
    <col min="14" max="35" width="23.4257812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4041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>
      <c r="A2" s="11" t="s">
        <v>1438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" t="str">
        <f>MID(G2,3,9)</f>
        <v>17IA14.00</v>
      </c>
      <c r="K2" s="1" t="str">
        <f>VLOOKUP(J2,WO!B:E,4,0)</f>
        <v>AXFIA</v>
      </c>
      <c r="L2" s="1" t="str">
        <f>VLOOKUP(J2,WO!B:F,5,0)</f>
        <v xml:space="preserve">  PA Assembly</v>
      </c>
      <c r="M2" s="11"/>
      <c r="N2" s="7"/>
    </row>
    <row r="3" spans="1:15">
      <c r="A3" s="11" t="s">
        <v>1439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" t="str">
        <f t="shared" ref="J3:J66" si="0">MID(G3,3,9)</f>
        <v>17IA14.00</v>
      </c>
      <c r="K3" s="1" t="str">
        <f>VLOOKUP(J3,WO!B:E,4,0)</f>
        <v>AXFIA</v>
      </c>
      <c r="L3" s="1" t="str">
        <f>VLOOKUP(J3,WO!B:F,5,0)</f>
        <v xml:space="preserve">  PA Assembly</v>
      </c>
      <c r="M3" s="11"/>
      <c r="N3" s="7"/>
    </row>
    <row r="4" spans="1:15">
      <c r="A4" s="11" t="s">
        <v>1440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" t="str">
        <f t="shared" si="0"/>
        <v>17IA14.00</v>
      </c>
      <c r="K4" s="1" t="str">
        <f>VLOOKUP(J4,WO!B:E,4,0)</f>
        <v>AXFIA</v>
      </c>
      <c r="L4" s="1" t="str">
        <f>VLOOKUP(J4,WO!B:F,5,0)</f>
        <v xml:space="preserve">  PA Assembly</v>
      </c>
      <c r="M4" s="11"/>
      <c r="N4" s="7"/>
    </row>
    <row r="5" spans="1:15">
      <c r="A5" s="11" t="s">
        <v>1441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" t="str">
        <f t="shared" si="0"/>
        <v>17IA14.00</v>
      </c>
      <c r="K5" s="1" t="str">
        <f>VLOOKUP(J5,WO!B:E,4,0)</f>
        <v>AXFIA</v>
      </c>
      <c r="L5" s="1" t="str">
        <f>VLOOKUP(J5,WO!B:F,5,0)</f>
        <v xml:space="preserve">  PA Assembly</v>
      </c>
      <c r="M5" s="11"/>
      <c r="N5" s="7"/>
    </row>
    <row r="6" spans="1:15">
      <c r="A6" s="11" t="s">
        <v>1442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" t="str">
        <f t="shared" si="0"/>
        <v>17IA14.00</v>
      </c>
      <c r="K6" s="1" t="str">
        <f>VLOOKUP(J6,WO!B:E,4,0)</f>
        <v>AXFIA</v>
      </c>
      <c r="L6" s="1" t="str">
        <f>VLOOKUP(J6,WO!B:F,5,0)</f>
        <v xml:space="preserve">  PA Assembly</v>
      </c>
      <c r="M6" s="11"/>
      <c r="N6" s="7"/>
    </row>
    <row r="7" spans="1:15">
      <c r="A7" s="11" t="s">
        <v>1443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" t="str">
        <f t="shared" si="0"/>
        <v>17IA14.00</v>
      </c>
      <c r="K7" s="1" t="str">
        <f>VLOOKUP(J7,WO!B:E,4,0)</f>
        <v>AXFIA</v>
      </c>
      <c r="L7" s="1" t="str">
        <f>VLOOKUP(J7,WO!B:F,5,0)</f>
        <v xml:space="preserve">  PA Assembly</v>
      </c>
      <c r="M7" s="11"/>
      <c r="N7" s="7"/>
    </row>
    <row r="8" spans="1:15">
      <c r="A8" s="11" t="s">
        <v>1444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" t="str">
        <f t="shared" si="0"/>
        <v>17IA14.00</v>
      </c>
      <c r="K8" s="1" t="str">
        <f>VLOOKUP(J8,WO!B:E,4,0)</f>
        <v>AXFIA</v>
      </c>
      <c r="L8" s="1" t="str">
        <f>VLOOKUP(J8,WO!B:F,5,0)</f>
        <v xml:space="preserve">  PA Assembly</v>
      </c>
      <c r="M8" s="11"/>
      <c r="N8" s="7"/>
    </row>
    <row r="9" spans="1:15">
      <c r="A9" s="11" t="s">
        <v>1445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" t="str">
        <f t="shared" si="0"/>
        <v>17IA14.00</v>
      </c>
      <c r="K9" s="1" t="str">
        <f>VLOOKUP(J9,WO!B:E,4,0)</f>
        <v>AXFIA</v>
      </c>
      <c r="L9" s="1" t="str">
        <f>VLOOKUP(J9,WO!B:F,5,0)</f>
        <v xml:space="preserve">  PA Assembly</v>
      </c>
      <c r="M9" s="11"/>
      <c r="N9" s="7"/>
    </row>
    <row r="10" spans="1:15">
      <c r="A10" s="11" t="s">
        <v>1446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" t="str">
        <f t="shared" si="0"/>
        <v>17IA14.00</v>
      </c>
      <c r="K10" s="1" t="str">
        <f>VLOOKUP(J10,WO!B:E,4,0)</f>
        <v>AXFIA</v>
      </c>
      <c r="L10" s="1" t="str">
        <f>VLOOKUP(J10,WO!B:F,5,0)</f>
        <v xml:space="preserve">  PA Assembly</v>
      </c>
      <c r="M10" s="11"/>
      <c r="N10" s="7"/>
    </row>
    <row r="11" spans="1:15">
      <c r="A11" s="11" t="s">
        <v>1447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" t="str">
        <f t="shared" si="0"/>
        <v>17IA14.00</v>
      </c>
      <c r="K11" s="1" t="str">
        <f>VLOOKUP(J11,WO!B:E,4,0)</f>
        <v>AXFIA</v>
      </c>
      <c r="L11" s="1" t="str">
        <f>VLOOKUP(J11,WO!B:F,5,0)</f>
        <v xml:space="preserve">  PA Assembly</v>
      </c>
      <c r="M11" s="11"/>
      <c r="N11" s="7"/>
    </row>
    <row r="12" spans="1:15">
      <c r="A12" s="11" t="s">
        <v>1448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" t="str">
        <f t="shared" si="0"/>
        <v>17IA14.00</v>
      </c>
      <c r="K12" s="1" t="str">
        <f>VLOOKUP(J12,WO!B:E,4,0)</f>
        <v>AXFIA</v>
      </c>
      <c r="L12" s="1" t="str">
        <f>VLOOKUP(J12,WO!B:F,5,0)</f>
        <v xml:space="preserve">  PA Assembly</v>
      </c>
      <c r="M12" s="11"/>
      <c r="N12" s="7"/>
    </row>
    <row r="13" spans="1:15">
      <c r="A13" s="11" t="s">
        <v>1449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" t="str">
        <f t="shared" si="0"/>
        <v>17IA14.00</v>
      </c>
      <c r="K13" s="1" t="str">
        <f>VLOOKUP(J13,WO!B:E,4,0)</f>
        <v>AXFIA</v>
      </c>
      <c r="L13" s="1" t="str">
        <f>VLOOKUP(J13,WO!B:F,5,0)</f>
        <v xml:space="preserve">  PA Assembly</v>
      </c>
      <c r="M13" s="11"/>
      <c r="N13" s="7"/>
    </row>
    <row r="14" spans="1:15">
      <c r="A14" s="11" t="s">
        <v>1450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" t="str">
        <f t="shared" si="0"/>
        <v>17IA14.00</v>
      </c>
      <c r="K14" s="1" t="str">
        <f>VLOOKUP(J14,WO!B:E,4,0)</f>
        <v>AXFIA</v>
      </c>
      <c r="L14" s="1" t="str">
        <f>VLOOKUP(J14,WO!B:F,5,0)</f>
        <v xml:space="preserve">  PA Assembly</v>
      </c>
      <c r="M14" s="11"/>
      <c r="N14" s="7"/>
    </row>
    <row r="15" spans="1:15">
      <c r="A15" s="11" t="s">
        <v>1451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" t="str">
        <f t="shared" si="0"/>
        <v>17IA14.00</v>
      </c>
      <c r="K15" s="1" t="str">
        <f>VLOOKUP(J15,WO!B:E,4,0)</f>
        <v>AXFIA</v>
      </c>
      <c r="L15" s="1" t="str">
        <f>VLOOKUP(J15,WO!B:F,5,0)</f>
        <v xml:space="preserve">  PA Assembly</v>
      </c>
      <c r="M15" s="11"/>
      <c r="N15" s="7"/>
    </row>
    <row r="16" spans="1:15">
      <c r="A16" s="11" t="s">
        <v>1452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" t="str">
        <f t="shared" si="0"/>
        <v>17IA14.00</v>
      </c>
      <c r="K16" s="1" t="str">
        <f>VLOOKUP(J16,WO!B:E,4,0)</f>
        <v>AXFIA</v>
      </c>
      <c r="L16" s="1" t="str">
        <f>VLOOKUP(J16,WO!B:F,5,0)</f>
        <v xml:space="preserve">  PA Assembly</v>
      </c>
      <c r="M16" s="11"/>
      <c r="N16" s="7"/>
    </row>
    <row r="17" spans="1:14">
      <c r="A17" s="11" t="s">
        <v>1453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" t="str">
        <f t="shared" si="0"/>
        <v>17IA14.00</v>
      </c>
      <c r="K17" s="1" t="str">
        <f>VLOOKUP(J17,WO!B:E,4,0)</f>
        <v>AXFIA</v>
      </c>
      <c r="L17" s="1" t="str">
        <f>VLOOKUP(J17,WO!B:F,5,0)</f>
        <v xml:space="preserve">  PA Assembly</v>
      </c>
      <c r="M17" s="11"/>
      <c r="N17" s="7"/>
    </row>
    <row r="18" spans="1:14">
      <c r="A18" s="11" t="s">
        <v>1454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" t="str">
        <f t="shared" si="0"/>
        <v>17IA14.00</v>
      </c>
      <c r="K18" s="1" t="str">
        <f>VLOOKUP(J18,WO!B:E,4,0)</f>
        <v>AXFIA</v>
      </c>
      <c r="L18" s="1" t="str">
        <f>VLOOKUP(J18,WO!B:F,5,0)</f>
        <v xml:space="preserve">  PA Assembly</v>
      </c>
      <c r="M18" s="11"/>
      <c r="N18" s="7"/>
    </row>
    <row r="19" spans="1:14">
      <c r="A19" s="11" t="s">
        <v>1455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" t="str">
        <f t="shared" si="0"/>
        <v>17IA14.00</v>
      </c>
      <c r="K19" s="1" t="str">
        <f>VLOOKUP(J19,WO!B:E,4,0)</f>
        <v>AXFIA</v>
      </c>
      <c r="L19" s="1" t="str">
        <f>VLOOKUP(J19,WO!B:F,5,0)</f>
        <v xml:space="preserve">  PA Assembly</v>
      </c>
      <c r="M19" s="11"/>
      <c r="N19" s="7"/>
    </row>
    <row r="20" spans="1:14">
      <c r="A20" s="11" t="s">
        <v>1456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" t="str">
        <f t="shared" si="0"/>
        <v>17IA14.00</v>
      </c>
      <c r="K20" s="1" t="str">
        <f>VLOOKUP(J20,WO!B:E,4,0)</f>
        <v>AXFIA</v>
      </c>
      <c r="L20" s="1" t="str">
        <f>VLOOKUP(J20,WO!B:F,5,0)</f>
        <v xml:space="preserve">  PA Assembly</v>
      </c>
      <c r="M20" s="11"/>
      <c r="N20" s="7"/>
    </row>
    <row r="21" spans="1:14">
      <c r="A21" s="11" t="s">
        <v>1457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" t="str">
        <f t="shared" si="0"/>
        <v>17IA14.00</v>
      </c>
      <c r="K21" s="1" t="str">
        <f>VLOOKUP(J21,WO!B:E,4,0)</f>
        <v>AXFIA</v>
      </c>
      <c r="L21" s="1" t="str">
        <f>VLOOKUP(J21,WO!B:F,5,0)</f>
        <v xml:space="preserve">  PA Assembly</v>
      </c>
      <c r="M21" s="11"/>
      <c r="N21" s="7"/>
    </row>
    <row r="22" spans="1:14">
      <c r="A22" s="11" t="s">
        <v>1458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" t="str">
        <f t="shared" si="0"/>
        <v>17IA14.00</v>
      </c>
      <c r="K22" s="1" t="str">
        <f>VLOOKUP(J22,WO!B:E,4,0)</f>
        <v>AXFIA</v>
      </c>
      <c r="L22" s="1" t="str">
        <f>VLOOKUP(J22,WO!B:F,5,0)</f>
        <v xml:space="preserve">  PA Assembly</v>
      </c>
      <c r="M22" s="11"/>
      <c r="N22" s="7"/>
    </row>
    <row r="23" spans="1:14">
      <c r="A23" s="11" t="s">
        <v>1459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" t="str">
        <f t="shared" si="0"/>
        <v>17IA14.00</v>
      </c>
      <c r="K23" s="1" t="str">
        <f>VLOOKUP(J23,WO!B:E,4,0)</f>
        <v>AXFIA</v>
      </c>
      <c r="L23" s="1" t="str">
        <f>VLOOKUP(J23,WO!B:F,5,0)</f>
        <v xml:space="preserve">  PA Assembly</v>
      </c>
      <c r="M23" s="11"/>
      <c r="N23" s="7"/>
    </row>
    <row r="24" spans="1:14">
      <c r="A24" s="11" t="s">
        <v>1460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" t="str">
        <f t="shared" si="0"/>
        <v>17IA14.00</v>
      </c>
      <c r="K24" s="1" t="str">
        <f>VLOOKUP(J24,WO!B:E,4,0)</f>
        <v>AXFIA</v>
      </c>
      <c r="L24" s="1" t="str">
        <f>VLOOKUP(J24,WO!B:F,5,0)</f>
        <v xml:space="preserve">  PA Assembly</v>
      </c>
      <c r="M24" s="11"/>
      <c r="N24" s="7"/>
    </row>
    <row r="25" spans="1:14">
      <c r="A25" s="11" t="s">
        <v>1461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" t="str">
        <f t="shared" si="0"/>
        <v>17IA14.00</v>
      </c>
      <c r="K25" s="1" t="str">
        <f>VLOOKUP(J25,WO!B:E,4,0)</f>
        <v>AXFIA</v>
      </c>
      <c r="L25" s="1" t="str">
        <f>VLOOKUP(J25,WO!B:F,5,0)</f>
        <v xml:space="preserve">  PA Assembly</v>
      </c>
      <c r="M25" s="11"/>
      <c r="N25" s="7"/>
    </row>
    <row r="26" spans="1:14">
      <c r="A26" s="11" t="s">
        <v>1462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" t="str">
        <f t="shared" si="0"/>
        <v>17IA14.00</v>
      </c>
      <c r="K26" s="1" t="str">
        <f>VLOOKUP(J26,WO!B:E,4,0)</f>
        <v>AXFIA</v>
      </c>
      <c r="L26" s="1" t="str">
        <f>VLOOKUP(J26,WO!B:F,5,0)</f>
        <v xml:space="preserve">  PA Assembly</v>
      </c>
      <c r="M26" s="11"/>
      <c r="N26" s="7"/>
    </row>
    <row r="27" spans="1:14">
      <c r="A27" s="11" t="s">
        <v>1463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" t="str">
        <f t="shared" si="0"/>
        <v>17IA14.00</v>
      </c>
      <c r="K27" s="1" t="str">
        <f>VLOOKUP(J27,WO!B:E,4,0)</f>
        <v>AXFIA</v>
      </c>
      <c r="L27" s="1" t="str">
        <f>VLOOKUP(J27,WO!B:F,5,0)</f>
        <v xml:space="preserve">  PA Assembly</v>
      </c>
      <c r="M27" s="11"/>
      <c r="N27" s="7"/>
    </row>
    <row r="28" spans="1:14">
      <c r="A28" s="11" t="s">
        <v>1464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" t="str">
        <f t="shared" si="0"/>
        <v>17IA14.00</v>
      </c>
      <c r="K28" s="1" t="str">
        <f>VLOOKUP(J28,WO!B:E,4,0)</f>
        <v>AXFIA</v>
      </c>
      <c r="L28" s="1" t="str">
        <f>VLOOKUP(J28,WO!B:F,5,0)</f>
        <v xml:space="preserve">  PA Assembly</v>
      </c>
      <c r="M28" s="11"/>
      <c r="N28" s="7"/>
    </row>
    <row r="29" spans="1:14">
      <c r="A29" s="11" t="s">
        <v>1465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" t="str">
        <f t="shared" si="0"/>
        <v>17IA14.00</v>
      </c>
      <c r="K29" s="1" t="str">
        <f>VLOOKUP(J29,WO!B:E,4,0)</f>
        <v>AXFIA</v>
      </c>
      <c r="L29" s="1" t="str">
        <f>VLOOKUP(J29,WO!B:F,5,0)</f>
        <v xml:space="preserve">  PA Assembly</v>
      </c>
      <c r="M29" s="11"/>
      <c r="N29" s="7"/>
    </row>
    <row r="30" spans="1:14">
      <c r="A30" s="11" t="s">
        <v>1466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" t="str">
        <f t="shared" si="0"/>
        <v>17IA14.00</v>
      </c>
      <c r="K30" s="1" t="str">
        <f>VLOOKUP(J30,WO!B:E,4,0)</f>
        <v>AXFIA</v>
      </c>
      <c r="L30" s="1" t="str">
        <f>VLOOKUP(J30,WO!B:F,5,0)</f>
        <v xml:space="preserve">  PA Assembly</v>
      </c>
      <c r="M30" s="11"/>
      <c r="N30" s="7"/>
    </row>
    <row r="31" spans="1:14">
      <c r="A31" s="11" t="s">
        <v>1467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" t="str">
        <f t="shared" si="0"/>
        <v>17IA14.00</v>
      </c>
      <c r="K31" s="1" t="str">
        <f>VLOOKUP(J31,WO!B:E,4,0)</f>
        <v>AXFIA</v>
      </c>
      <c r="L31" s="1" t="str">
        <f>VLOOKUP(J31,WO!B:F,5,0)</f>
        <v xml:space="preserve">  PA Assembly</v>
      </c>
      <c r="M31" s="11"/>
      <c r="N31" s="7"/>
    </row>
    <row r="32" spans="1:14">
      <c r="A32" s="11" t="s">
        <v>1468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" t="str">
        <f t="shared" si="0"/>
        <v>17IA14.00</v>
      </c>
      <c r="K32" s="1" t="str">
        <f>VLOOKUP(J32,WO!B:E,4,0)</f>
        <v>AXFIA</v>
      </c>
      <c r="L32" s="1" t="str">
        <f>VLOOKUP(J32,WO!B:F,5,0)</f>
        <v xml:space="preserve">  PA Assembly</v>
      </c>
      <c r="M32" s="11"/>
      <c r="N32" s="7"/>
    </row>
    <row r="33" spans="1:14">
      <c r="A33" s="11" t="s">
        <v>1469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" t="str">
        <f t="shared" si="0"/>
        <v>17IA14.00</v>
      </c>
      <c r="K33" s="1" t="str">
        <f>VLOOKUP(J33,WO!B:E,4,0)</f>
        <v>AXFIA</v>
      </c>
      <c r="L33" s="1" t="str">
        <f>VLOOKUP(J33,WO!B:F,5,0)</f>
        <v xml:space="preserve">  PA Assembly</v>
      </c>
      <c r="M33" s="11"/>
      <c r="N33" s="7"/>
    </row>
    <row r="34" spans="1:14">
      <c r="A34" s="11" t="s">
        <v>1470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" t="str">
        <f t="shared" si="0"/>
        <v>17IA14.00</v>
      </c>
      <c r="K34" s="1" t="str">
        <f>VLOOKUP(J34,WO!B:E,4,0)</f>
        <v>AXFIA</v>
      </c>
      <c r="L34" s="1" t="str">
        <f>VLOOKUP(J34,WO!B:F,5,0)</f>
        <v xml:space="preserve">  PA Assembly</v>
      </c>
      <c r="M34" s="11"/>
      <c r="N34" s="7"/>
    </row>
    <row r="35" spans="1:14">
      <c r="A35" s="11" t="s">
        <v>1471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" t="str">
        <f t="shared" si="0"/>
        <v>17IA14.00</v>
      </c>
      <c r="K35" s="1" t="str">
        <f>VLOOKUP(J35,WO!B:E,4,0)</f>
        <v>AXFIA</v>
      </c>
      <c r="L35" s="1" t="str">
        <f>VLOOKUP(J35,WO!B:F,5,0)</f>
        <v xml:space="preserve">  PA Assembly</v>
      </c>
      <c r="M35" s="11"/>
      <c r="N35" s="7"/>
    </row>
    <row r="36" spans="1:14">
      <c r="A36" s="11" t="s">
        <v>1472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" t="str">
        <f t="shared" si="0"/>
        <v>17IA14.00</v>
      </c>
      <c r="K36" s="1" t="str">
        <f>VLOOKUP(J36,WO!B:E,4,0)</f>
        <v>AXFIA</v>
      </c>
      <c r="L36" s="1" t="str">
        <f>VLOOKUP(J36,WO!B:F,5,0)</f>
        <v xml:space="preserve">  PA Assembly</v>
      </c>
      <c r="M36" s="11"/>
      <c r="N36" s="7"/>
    </row>
    <row r="37" spans="1:14">
      <c r="A37" s="11" t="s">
        <v>1473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" t="str">
        <f t="shared" si="0"/>
        <v>17IA14.00</v>
      </c>
      <c r="K37" s="1" t="str">
        <f>VLOOKUP(J37,WO!B:E,4,0)</f>
        <v>AXFIA</v>
      </c>
      <c r="L37" s="1" t="str">
        <f>VLOOKUP(J37,WO!B:F,5,0)</f>
        <v xml:space="preserve">  PA Assembly</v>
      </c>
      <c r="M37" s="11"/>
      <c r="N37" s="7"/>
    </row>
    <row r="38" spans="1:14">
      <c r="A38" s="11" t="s">
        <v>1474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" t="str">
        <f t="shared" si="0"/>
        <v>17IA14.00</v>
      </c>
      <c r="K38" s="1" t="str">
        <f>VLOOKUP(J38,WO!B:E,4,0)</f>
        <v>AXFIA</v>
      </c>
      <c r="L38" s="1" t="str">
        <f>VLOOKUP(J38,WO!B:F,5,0)</f>
        <v xml:space="preserve">  PA Assembly</v>
      </c>
      <c r="M38" s="11"/>
      <c r="N38" s="7"/>
    </row>
    <row r="39" spans="1:14">
      <c r="A39" s="11" t="s">
        <v>1475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" t="str">
        <f t="shared" si="0"/>
        <v>17IA14.00</v>
      </c>
      <c r="K39" s="1" t="str">
        <f>VLOOKUP(J39,WO!B:E,4,0)</f>
        <v>AXFIA</v>
      </c>
      <c r="L39" s="1" t="str">
        <f>VLOOKUP(J39,WO!B:F,5,0)</f>
        <v xml:space="preserve">  PA Assembly</v>
      </c>
      <c r="M39" s="11"/>
      <c r="N39" s="7"/>
    </row>
    <row r="40" spans="1:14">
      <c r="A40" s="11" t="s">
        <v>1476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" t="str">
        <f t="shared" si="0"/>
        <v>17IA14.00</v>
      </c>
      <c r="K40" s="1" t="str">
        <f>VLOOKUP(J40,WO!B:E,4,0)</f>
        <v>AXFIA</v>
      </c>
      <c r="L40" s="1" t="str">
        <f>VLOOKUP(J40,WO!B:F,5,0)</f>
        <v xml:space="preserve">  PA Assembly</v>
      </c>
      <c r="M40" s="11"/>
      <c r="N40" s="7"/>
    </row>
    <row r="41" spans="1:14">
      <c r="A41" s="11" t="s">
        <v>1477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" t="str">
        <f t="shared" si="0"/>
        <v>17IA14.00</v>
      </c>
      <c r="K41" s="1" t="str">
        <f>VLOOKUP(J41,WO!B:E,4,0)</f>
        <v>AXFIA</v>
      </c>
      <c r="L41" s="1" t="str">
        <f>VLOOKUP(J41,WO!B:F,5,0)</f>
        <v xml:space="preserve">  PA Assembly</v>
      </c>
      <c r="M41" s="11"/>
      <c r="N41" s="7"/>
    </row>
    <row r="42" spans="1:14">
      <c r="A42" s="11" t="s">
        <v>1478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" t="str">
        <f t="shared" si="0"/>
        <v>17IA14.00</v>
      </c>
      <c r="K42" s="1" t="str">
        <f>VLOOKUP(J42,WO!B:E,4,0)</f>
        <v>AXFIA</v>
      </c>
      <c r="L42" s="1" t="str">
        <f>VLOOKUP(J42,WO!B:F,5,0)</f>
        <v xml:space="preserve">  PA Assembly</v>
      </c>
      <c r="M42" s="11"/>
      <c r="N42" s="7"/>
    </row>
    <row r="43" spans="1:14">
      <c r="A43" s="11" t="s">
        <v>1479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" t="str">
        <f t="shared" si="0"/>
        <v>17IA14.00</v>
      </c>
      <c r="K43" s="1" t="str">
        <f>VLOOKUP(J43,WO!B:E,4,0)</f>
        <v>AXFIA</v>
      </c>
      <c r="L43" s="1" t="str">
        <f>VLOOKUP(J43,WO!B:F,5,0)</f>
        <v xml:space="preserve">  PA Assembly</v>
      </c>
      <c r="M43" s="11"/>
      <c r="N43" s="7"/>
    </row>
    <row r="44" spans="1:14">
      <c r="A44" s="11" t="s">
        <v>1480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7"/>
    </row>
    <row r="45" spans="1:14">
      <c r="A45" s="11" t="s">
        <v>1481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7"/>
    </row>
    <row r="46" spans="1:14">
      <c r="A46" s="11" t="s">
        <v>1482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7"/>
    </row>
    <row r="47" spans="1:14">
      <c r="A47" s="11" t="s">
        <v>1483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7"/>
    </row>
    <row r="48" spans="1:14">
      <c r="A48" s="11" t="s">
        <v>1484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7"/>
    </row>
    <row r="49" spans="1:14">
      <c r="A49" s="11" t="s">
        <v>1485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7"/>
    </row>
    <row r="50" spans="1:14">
      <c r="A50" s="11" t="s">
        <v>1486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7"/>
    </row>
    <row r="51" spans="1:14">
      <c r="A51" s="11" t="s">
        <v>1487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7"/>
    </row>
    <row r="52" spans="1:14">
      <c r="A52" s="11" t="s">
        <v>1488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7"/>
    </row>
    <row r="53" spans="1:14">
      <c r="A53" s="11" t="s">
        <v>1489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7"/>
    </row>
    <row r="54" spans="1:14">
      <c r="A54" s="11" t="s">
        <v>1490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7"/>
    </row>
    <row r="55" spans="1:14">
      <c r="A55" s="11" t="s">
        <v>1491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7"/>
    </row>
    <row r="56" spans="1:14">
      <c r="A56" s="11" t="s">
        <v>1492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7"/>
    </row>
    <row r="57" spans="1:14">
      <c r="A57" s="11" t="s">
        <v>1493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7"/>
    </row>
    <row r="58" spans="1:14">
      <c r="A58" s="11" t="s">
        <v>1494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7"/>
    </row>
    <row r="59" spans="1:14">
      <c r="A59" s="11" t="s">
        <v>1495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7"/>
    </row>
    <row r="60" spans="1:14">
      <c r="A60" s="11" t="s">
        <v>1496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7"/>
    </row>
    <row r="61" spans="1:14">
      <c r="A61" s="11" t="s">
        <v>1497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7"/>
    </row>
    <row r="62" spans="1:14">
      <c r="A62" s="11" t="s">
        <v>1498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7"/>
    </row>
    <row r="63" spans="1:14">
      <c r="A63" s="11" t="s">
        <v>1499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7"/>
    </row>
    <row r="64" spans="1:14">
      <c r="A64" s="11" t="s">
        <v>1500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7"/>
    </row>
    <row r="65" spans="1:14">
      <c r="A65" s="11" t="s">
        <v>1501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7"/>
    </row>
    <row r="66" spans="1:14">
      <c r="A66" s="11" t="s">
        <v>1502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7"/>
    </row>
    <row r="67" spans="1:14">
      <c r="A67" s="11" t="s">
        <v>1503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7"/>
    </row>
    <row r="68" spans="1:14">
      <c r="A68" s="11" t="s">
        <v>1504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7"/>
    </row>
    <row r="69" spans="1:14">
      <c r="A69" s="11" t="s">
        <v>1505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7"/>
    </row>
    <row r="70" spans="1:14">
      <c r="A70" s="11" t="s">
        <v>1506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7"/>
    </row>
    <row r="71" spans="1:14">
      <c r="A71" s="11" t="s">
        <v>1507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7"/>
    </row>
    <row r="72" spans="1:14">
      <c r="A72" s="11" t="s">
        <v>1508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" t="str">
        <f t="shared" si="1"/>
        <v>17IA14.10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7"/>
    </row>
    <row r="73" spans="1:14">
      <c r="A73" s="11" t="s">
        <v>1509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" t="str">
        <f t="shared" si="1"/>
        <v>17IA14.10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7"/>
    </row>
    <row r="74" spans="1:14">
      <c r="A74" s="11" t="s">
        <v>1510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" t="str">
        <f t="shared" si="1"/>
        <v>17IA14.10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7"/>
    </row>
    <row r="75" spans="1:14">
      <c r="A75" s="11" t="s">
        <v>1511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" t="str">
        <f t="shared" si="1"/>
        <v>17IA14.10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7"/>
    </row>
    <row r="76" spans="1:14">
      <c r="A76" s="11" t="s">
        <v>1512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" t="str">
        <f t="shared" si="1"/>
        <v>17IA14.10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7"/>
    </row>
    <row r="77" spans="1:14">
      <c r="A77" s="11" t="s">
        <v>1513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" t="str">
        <f t="shared" si="1"/>
        <v>17IA14.10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7"/>
    </row>
    <row r="78" spans="1:14">
      <c r="A78" s="11" t="s">
        <v>1514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" t="str">
        <f t="shared" si="1"/>
        <v>17IA14.10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7"/>
    </row>
    <row r="79" spans="1:14">
      <c r="A79" s="11" t="s">
        <v>1515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" t="str">
        <f t="shared" si="1"/>
        <v>17IA14.10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7"/>
    </row>
    <row r="80" spans="1:14">
      <c r="A80" s="11" t="s">
        <v>1516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" t="str">
        <f t="shared" si="1"/>
        <v>17IA14.10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7"/>
    </row>
    <row r="81" spans="1:14">
      <c r="A81" s="11" t="s">
        <v>1517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" t="str">
        <f t="shared" si="1"/>
        <v>17IA14.10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7"/>
    </row>
    <row r="82" spans="1:14">
      <c r="A82" s="11" t="s">
        <v>1518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" t="str">
        <f t="shared" si="1"/>
        <v>17IA14.10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7"/>
    </row>
    <row r="83" spans="1:14">
      <c r="A83" s="11" t="s">
        <v>1519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" t="str">
        <f t="shared" si="1"/>
        <v>17IA14.10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7"/>
    </row>
    <row r="84" spans="1:14">
      <c r="A84" s="11" t="s">
        <v>1520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" t="str">
        <f t="shared" si="1"/>
        <v>17IA14.10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7"/>
    </row>
    <row r="85" spans="1:14">
      <c r="A85" s="11" t="s">
        <v>1521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" t="str">
        <f t="shared" si="1"/>
        <v>17IA14.10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7"/>
    </row>
    <row r="86" spans="1:14">
      <c r="A86" s="11" t="s">
        <v>1522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" t="str">
        <f t="shared" si="1"/>
        <v>17IA14.10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7"/>
    </row>
    <row r="87" spans="1:14">
      <c r="A87" s="11" t="s">
        <v>1523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" t="str">
        <f t="shared" si="1"/>
        <v>17IA14.10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7"/>
    </row>
    <row r="88" spans="1:14">
      <c r="A88" s="11" t="s">
        <v>1524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" t="str">
        <f t="shared" si="1"/>
        <v>17IA14.10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7"/>
    </row>
    <row r="89" spans="1:14">
      <c r="A89" s="11" t="s">
        <v>1525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" t="str">
        <f t="shared" si="1"/>
        <v>17IA14.10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7"/>
    </row>
    <row r="90" spans="1:14">
      <c r="A90" s="11" t="s">
        <v>1526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" t="str">
        <f t="shared" si="1"/>
        <v>17IA14.10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7"/>
    </row>
    <row r="91" spans="1:14">
      <c r="A91" s="11" t="s">
        <v>1527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" t="str">
        <f t="shared" si="1"/>
        <v>17IA14.10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7"/>
    </row>
    <row r="92" spans="1:14">
      <c r="A92" s="11" t="s">
        <v>1528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" t="str">
        <f t="shared" si="1"/>
        <v>17IA14.10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7"/>
    </row>
    <row r="93" spans="1:14">
      <c r="A93" s="11" t="s">
        <v>1529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" t="str">
        <f t="shared" si="1"/>
        <v>17IA14.10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7"/>
    </row>
    <row r="94" spans="1:14">
      <c r="A94" s="11" t="s">
        <v>1530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" t="str">
        <f t="shared" si="1"/>
        <v>17IA14.10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7"/>
    </row>
    <row r="95" spans="1:14">
      <c r="A95" s="11" t="s">
        <v>1531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" t="str">
        <f t="shared" si="1"/>
        <v>17IA14.10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7"/>
    </row>
    <row r="96" spans="1:14">
      <c r="A96" s="11" t="s">
        <v>1532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" t="str">
        <f t="shared" si="1"/>
        <v>17IA14.10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7"/>
    </row>
    <row r="97" spans="1:14">
      <c r="A97" s="11" t="s">
        <v>1533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" t="str">
        <f t="shared" si="1"/>
        <v>17IA14.10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7"/>
    </row>
    <row r="98" spans="1:14">
      <c r="A98" s="11" t="s">
        <v>1534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" t="str">
        <f t="shared" si="1"/>
        <v>17IA14.10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7"/>
    </row>
    <row r="99" spans="1:14">
      <c r="A99" s="11" t="s">
        <v>1535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" t="str">
        <f t="shared" si="1"/>
        <v>17IA14.10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7"/>
    </row>
    <row r="100" spans="1:14">
      <c r="A100" s="11" t="s">
        <v>1536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" t="str">
        <f t="shared" si="1"/>
        <v>17IA14.10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7"/>
    </row>
    <row r="101" spans="1:14">
      <c r="A101" s="11" t="s">
        <v>1537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" t="str">
        <f t="shared" si="1"/>
        <v>17IA14.10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7"/>
    </row>
    <row r="102" spans="1:14">
      <c r="A102" s="11" t="s">
        <v>1538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" t="str">
        <f t="shared" si="1"/>
        <v>17IA14.10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7"/>
    </row>
    <row r="103" spans="1:14">
      <c r="A103" s="11" t="s">
        <v>1539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" t="str">
        <f t="shared" si="1"/>
        <v>17IA14.10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7"/>
    </row>
    <row r="104" spans="1:14">
      <c r="A104" s="11" t="s">
        <v>1540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" t="str">
        <f t="shared" si="1"/>
        <v>17IA14.10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7"/>
    </row>
    <row r="105" spans="1:14">
      <c r="A105" s="11" t="s">
        <v>1541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" t="str">
        <f t="shared" si="1"/>
        <v>17IA14.10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7"/>
    </row>
    <row r="106" spans="1:14">
      <c r="A106" s="11" t="s">
        <v>1542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" t="str">
        <f t="shared" si="1"/>
        <v>17IA14.10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7"/>
    </row>
    <row r="107" spans="1:14">
      <c r="A107" s="11" t="s">
        <v>1543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" t="str">
        <f t="shared" si="1"/>
        <v>17IA14.10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7"/>
    </row>
    <row r="108" spans="1:14">
      <c r="A108" s="11" t="s">
        <v>1544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" t="str">
        <f t="shared" si="1"/>
        <v>17IA14.10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7"/>
    </row>
    <row r="109" spans="1:14">
      <c r="A109" s="11" t="s">
        <v>1545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" t="str">
        <f t="shared" si="1"/>
        <v>17IA14.10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7"/>
    </row>
    <row r="110" spans="1:14">
      <c r="A110" s="11" t="s">
        <v>1546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" t="str">
        <f t="shared" si="1"/>
        <v>17IA14.10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7"/>
    </row>
    <row r="111" spans="1:14">
      <c r="A111" s="11" t="s">
        <v>1547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" t="str">
        <f t="shared" si="1"/>
        <v>17IA14.10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7"/>
    </row>
    <row r="112" spans="1:14">
      <c r="A112" s="11" t="s">
        <v>1548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" t="str">
        <f t="shared" si="1"/>
        <v>17IA14.10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7"/>
    </row>
    <row r="113" spans="1:14">
      <c r="A113" s="11" t="s">
        <v>1549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" t="str">
        <f t="shared" si="1"/>
        <v>17IA14.10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7"/>
    </row>
    <row r="114" spans="1:14">
      <c r="A114" s="11" t="s">
        <v>1550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7"/>
    </row>
    <row r="115" spans="1:14">
      <c r="A115" s="11" t="s">
        <v>1551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7"/>
    </row>
    <row r="116" spans="1:14">
      <c r="A116" s="11" t="s">
        <v>1552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7"/>
    </row>
    <row r="117" spans="1:14">
      <c r="A117" s="11" t="s">
        <v>1553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7"/>
    </row>
    <row r="118" spans="1:14">
      <c r="A118" s="11" t="s">
        <v>1554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7"/>
    </row>
    <row r="119" spans="1:14">
      <c r="A119" s="11" t="s">
        <v>1555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7"/>
    </row>
    <row r="120" spans="1:14">
      <c r="A120" s="11" t="s">
        <v>1556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7"/>
    </row>
    <row r="121" spans="1:14">
      <c r="A121" s="11" t="s">
        <v>1557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7"/>
    </row>
    <row r="122" spans="1:14">
      <c r="A122" s="11" t="s">
        <v>1558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7"/>
    </row>
    <row r="123" spans="1:14">
      <c r="A123" s="11" t="s">
        <v>1559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7"/>
    </row>
    <row r="124" spans="1:14">
      <c r="A124" s="11" t="s">
        <v>1560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7"/>
    </row>
    <row r="125" spans="1:14">
      <c r="A125" s="11" t="s">
        <v>1561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7"/>
    </row>
    <row r="126" spans="1:14">
      <c r="A126" s="11" t="s">
        <v>1562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7"/>
    </row>
    <row r="127" spans="1:14">
      <c r="A127" s="11" t="s">
        <v>1563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7"/>
    </row>
    <row r="128" spans="1:14">
      <c r="A128" s="11" t="s">
        <v>1564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7"/>
    </row>
    <row r="129" spans="1:14">
      <c r="A129" s="11" t="s">
        <v>1565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7"/>
    </row>
    <row r="130" spans="1:14">
      <c r="A130" s="11" t="s">
        <v>1566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7"/>
    </row>
    <row r="131" spans="1:14">
      <c r="A131" s="11" t="s">
        <v>1567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7"/>
    </row>
    <row r="132" spans="1:14">
      <c r="A132" s="11" t="s">
        <v>1568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7"/>
    </row>
    <row r="133" spans="1:14">
      <c r="A133" s="11" t="s">
        <v>1569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7"/>
    </row>
    <row r="134" spans="1:14">
      <c r="A134" s="11" t="s">
        <v>1570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7"/>
    </row>
    <row r="135" spans="1:14">
      <c r="A135" s="11" t="s">
        <v>1571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7"/>
    </row>
    <row r="136" spans="1:14">
      <c r="A136" s="11" t="s">
        <v>1572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7"/>
    </row>
    <row r="137" spans="1:14">
      <c r="A137" s="11" t="s">
        <v>1573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7"/>
    </row>
    <row r="138" spans="1:14">
      <c r="A138" s="11" t="s">
        <v>1574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7"/>
    </row>
    <row r="139" spans="1:14">
      <c r="A139" s="11" t="s">
        <v>1575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7"/>
    </row>
    <row r="140" spans="1:14">
      <c r="A140" s="11" t="s">
        <v>1576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7"/>
    </row>
    <row r="141" spans="1:14">
      <c r="A141" s="11" t="s">
        <v>1577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7"/>
    </row>
    <row r="142" spans="1:14">
      <c r="A142" s="11" t="s">
        <v>1578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7"/>
    </row>
    <row r="143" spans="1:14">
      <c r="A143" s="11" t="s">
        <v>1579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7"/>
    </row>
    <row r="144" spans="1:14">
      <c r="A144" s="11" t="s">
        <v>1580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7"/>
    </row>
    <row r="145" spans="1:16">
      <c r="A145" s="11" t="s">
        <v>1581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7"/>
    </row>
    <row r="146" spans="1:16">
      <c r="A146" s="11" t="s">
        <v>1582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7"/>
    </row>
    <row r="147" spans="1:16">
      <c r="A147" s="11" t="s">
        <v>1583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7"/>
    </row>
    <row r="148" spans="1:16">
      <c r="A148" s="11" t="s">
        <v>1584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7"/>
    </row>
    <row r="149" spans="1:16">
      <c r="A149" s="11" t="s">
        <v>1585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7"/>
    </row>
    <row r="150" spans="1:16">
      <c r="A150" s="11" t="s">
        <v>1586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7"/>
    </row>
    <row r="151" spans="1:16">
      <c r="A151" s="11" t="s">
        <v>1587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7"/>
    </row>
    <row r="152" spans="1:16">
      <c r="A152" s="11" t="s">
        <v>1588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" t="str">
        <f t="shared" si="2"/>
        <v>17IA14.20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7"/>
      <c r="P152" s="5"/>
    </row>
    <row r="153" spans="1:16">
      <c r="A153" s="11" t="s">
        <v>1589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" t="str">
        <f t="shared" si="2"/>
        <v>17IA14.20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7"/>
    </row>
    <row r="154" spans="1:16">
      <c r="A154" s="11" t="s">
        <v>1590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" t="str">
        <f t="shared" si="2"/>
        <v>17IA14.20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7">
        <v>46248</v>
      </c>
    </row>
    <row r="155" spans="1:16">
      <c r="A155" s="11" t="s">
        <v>1591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" t="str">
        <f t="shared" si="2"/>
        <v>17IA14.20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7"/>
    </row>
    <row r="156" spans="1:16">
      <c r="A156" s="11" t="s">
        <v>1592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" t="str">
        <f t="shared" si="2"/>
        <v>17IA14.20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7"/>
    </row>
    <row r="157" spans="1:16">
      <c r="A157" s="11" t="s">
        <v>1593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" t="str">
        <f t="shared" si="2"/>
        <v>17IA14.20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7">
        <v>46248</v>
      </c>
    </row>
    <row r="158" spans="1:16">
      <c r="A158" s="11" t="s">
        <v>1594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" t="str">
        <f t="shared" si="2"/>
        <v>17IA14.20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7"/>
    </row>
    <row r="159" spans="1:16">
      <c r="A159" s="11" t="s">
        <v>1595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" t="str">
        <f t="shared" si="2"/>
        <v>17IA14.20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7">
        <v>46105</v>
      </c>
    </row>
    <row r="160" spans="1:16">
      <c r="A160" s="11" t="s">
        <v>1596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" t="str">
        <f t="shared" si="2"/>
        <v>17IA14.20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7">
        <v>46105</v>
      </c>
    </row>
    <row r="161" spans="1:14">
      <c r="A161" s="11" t="s">
        <v>1597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" t="str">
        <f t="shared" si="2"/>
        <v>17IA14.20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7">
        <v>46248</v>
      </c>
    </row>
    <row r="162" spans="1:14">
      <c r="A162" s="11" t="s">
        <v>1598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" t="str">
        <f t="shared" si="2"/>
        <v>17IA14.20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7">
        <v>46105</v>
      </c>
    </row>
    <row r="163" spans="1:14">
      <c r="A163" s="11" t="s">
        <v>1599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" t="str">
        <f t="shared" si="2"/>
        <v>17IA14.20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7">
        <v>46156</v>
      </c>
    </row>
    <row r="164" spans="1:14">
      <c r="A164" s="11" t="s">
        <v>1600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" t="str">
        <f t="shared" si="2"/>
        <v>17IA14.20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7"/>
    </row>
    <row r="165" spans="1:14">
      <c r="A165" s="11" t="s">
        <v>1601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" t="str">
        <f t="shared" si="2"/>
        <v>17IA14.20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7"/>
    </row>
    <row r="166" spans="1:14">
      <c r="A166" s="11" t="s">
        <v>1602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" t="str">
        <f t="shared" si="2"/>
        <v>17IA14.20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7">
        <v>46248</v>
      </c>
    </row>
    <row r="167" spans="1:14">
      <c r="A167" s="11" t="s">
        <v>1603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" t="str">
        <f t="shared" si="2"/>
        <v>17IA14.20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7"/>
    </row>
    <row r="168" spans="1:14">
      <c r="A168" s="11" t="s">
        <v>1604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" t="str">
        <f t="shared" si="2"/>
        <v>17IA14.20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7"/>
    </row>
    <row r="169" spans="1:14">
      <c r="A169" s="11" t="s">
        <v>1605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" t="str">
        <f t="shared" si="2"/>
        <v>17IA14.20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7">
        <v>46097</v>
      </c>
    </row>
    <row r="170" spans="1:14">
      <c r="A170" s="11" t="s">
        <v>1606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" t="str">
        <f t="shared" si="2"/>
        <v>17IA14.20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7">
        <v>46248</v>
      </c>
    </row>
    <row r="171" spans="1:14">
      <c r="A171" s="11" t="s">
        <v>1607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" t="str">
        <f t="shared" si="2"/>
        <v>17IA14.20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7"/>
    </row>
    <row r="172" spans="1:14">
      <c r="A172" s="11" t="s">
        <v>1608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" t="str">
        <f t="shared" si="2"/>
        <v>17IA14.20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7"/>
    </row>
    <row r="173" spans="1:14">
      <c r="A173" s="11" t="s">
        <v>1609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" t="str">
        <f t="shared" si="2"/>
        <v>17IA14.20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7">
        <v>46128</v>
      </c>
    </row>
    <row r="174" spans="1:14">
      <c r="A174" s="11" t="s">
        <v>1610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" t="str">
        <f t="shared" si="2"/>
        <v>17IA14.20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7">
        <v>46248</v>
      </c>
    </row>
    <row r="175" spans="1:14">
      <c r="A175" s="11" t="s">
        <v>1611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" t="str">
        <f t="shared" si="2"/>
        <v>17IA14.20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7">
        <v>46248</v>
      </c>
    </row>
    <row r="176" spans="1:14">
      <c r="A176" s="11" t="s">
        <v>1612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" t="str">
        <f t="shared" si="2"/>
        <v>17IA14.20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7">
        <v>46248</v>
      </c>
    </row>
    <row r="177" spans="1:14">
      <c r="A177" s="11" t="s">
        <v>1613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" t="str">
        <f t="shared" si="2"/>
        <v>17IA14.20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7">
        <v>46248</v>
      </c>
    </row>
    <row r="178" spans="1:14">
      <c r="A178" s="11" t="s">
        <v>1614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" t="str">
        <f t="shared" si="2"/>
        <v>17IA14.20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7"/>
    </row>
    <row r="179" spans="1:14">
      <c r="A179" s="11" t="s">
        <v>1615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" t="str">
        <f t="shared" si="2"/>
        <v>17IA14.20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7">
        <v>46248</v>
      </c>
    </row>
    <row r="180" spans="1:14">
      <c r="A180" s="11" t="s">
        <v>1616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" t="str">
        <f t="shared" si="2"/>
        <v>17IA14.20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7">
        <v>46097</v>
      </c>
    </row>
    <row r="181" spans="1:14">
      <c r="A181" s="11" t="s">
        <v>1617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" t="str">
        <f t="shared" si="2"/>
        <v>17IA14.20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7">
        <v>46105</v>
      </c>
    </row>
    <row r="182" spans="1:14">
      <c r="A182" s="11" t="s">
        <v>1618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" t="str">
        <f t="shared" si="2"/>
        <v>17IA14.20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7">
        <v>46112</v>
      </c>
    </row>
    <row r="183" spans="1:14">
      <c r="A183" s="11" t="s">
        <v>1619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" t="str">
        <f t="shared" si="2"/>
        <v>17IA14.20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7"/>
    </row>
    <row r="184" spans="1:14">
      <c r="A184" s="11" t="s">
        <v>1620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" t="str">
        <f t="shared" si="2"/>
        <v>17IA14.20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7">
        <v>46248</v>
      </c>
    </row>
    <row r="185" spans="1:14">
      <c r="A185" s="11" t="s">
        <v>1621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" t="str">
        <f t="shared" si="2"/>
        <v>17IA14.20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7">
        <v>46105</v>
      </c>
    </row>
    <row r="186" spans="1:14">
      <c r="A186" s="11" t="s">
        <v>1622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" t="str">
        <f t="shared" si="2"/>
        <v>17IA14.20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7">
        <v>46248</v>
      </c>
    </row>
    <row r="187" spans="1:14">
      <c r="A187" s="11" t="s">
        <v>1623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" t="str">
        <f t="shared" si="2"/>
        <v>17IA14.20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7">
        <v>46248</v>
      </c>
    </row>
    <row r="188" spans="1:14">
      <c r="A188" s="11" t="s">
        <v>1624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" t="str">
        <f t="shared" si="2"/>
        <v>17IA14.20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7"/>
    </row>
    <row r="189" spans="1:14">
      <c r="A189" s="11" t="s">
        <v>1625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" t="str">
        <f t="shared" si="2"/>
        <v>17IA14.21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7">
        <v>46097</v>
      </c>
    </row>
    <row r="190" spans="1:14">
      <c r="A190" s="11" t="s">
        <v>1626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" t="str">
        <f t="shared" si="2"/>
        <v>17IA14.21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7"/>
    </row>
    <row r="191" spans="1:14">
      <c r="A191" s="11" t="s">
        <v>1627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" t="str">
        <f t="shared" si="2"/>
        <v>17IA14.21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7"/>
    </row>
    <row r="192" spans="1:14">
      <c r="A192" s="11" t="s">
        <v>1628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" t="str">
        <f t="shared" si="2"/>
        <v>17IA14.21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7"/>
    </row>
    <row r="193" spans="1:14">
      <c r="A193" s="11" t="s">
        <v>1629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" t="str">
        <f t="shared" si="2"/>
        <v>17IA14.21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7"/>
    </row>
    <row r="194" spans="1:14">
      <c r="A194" s="11" t="s">
        <v>1630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" t="str">
        <f t="shared" si="2"/>
        <v>17IA14.21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7"/>
    </row>
    <row r="195" spans="1:14">
      <c r="A195" s="11" t="s">
        <v>1631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" t="str">
        <f t="shared" ref="J195:J258" si="3">MID(G195,3,9)</f>
        <v>17IA14.21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7"/>
    </row>
    <row r="196" spans="1:14">
      <c r="A196" s="11" t="s">
        <v>1632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" t="str">
        <f t="shared" si="3"/>
        <v>17IA14.21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7"/>
    </row>
    <row r="197" spans="1:14">
      <c r="A197" s="11" t="s">
        <v>1633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" t="str">
        <f t="shared" si="3"/>
        <v>17IA14.21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7"/>
    </row>
    <row r="198" spans="1:14">
      <c r="A198" s="11" t="s">
        <v>1634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" t="str">
        <f t="shared" si="3"/>
        <v>17IA14.21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7">
        <v>46112</v>
      </c>
    </row>
    <row r="199" spans="1:14">
      <c r="A199" s="11" t="s">
        <v>1635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" t="str">
        <f t="shared" si="3"/>
        <v>17IA14.21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7"/>
    </row>
    <row r="200" spans="1:14">
      <c r="A200" s="11" t="s">
        <v>1636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" t="str">
        <f t="shared" si="3"/>
        <v>17IA14.21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7"/>
    </row>
    <row r="201" spans="1:14">
      <c r="A201" s="11" t="s">
        <v>1637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" t="str">
        <f t="shared" si="3"/>
        <v>17IA14.21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7"/>
    </row>
    <row r="202" spans="1:14">
      <c r="A202" s="11" t="s">
        <v>1638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" t="str">
        <f t="shared" si="3"/>
        <v>17IA14.21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7">
        <v>46112</v>
      </c>
    </row>
    <row r="203" spans="1:14">
      <c r="A203" s="11" t="s">
        <v>1639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" t="str">
        <f t="shared" si="3"/>
        <v>17IA14.21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7">
        <v>46248</v>
      </c>
    </row>
    <row r="204" spans="1:14">
      <c r="A204" s="11" t="s">
        <v>1640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" t="str">
        <f t="shared" si="3"/>
        <v>17IA14.21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7"/>
    </row>
    <row r="205" spans="1:14">
      <c r="A205" s="11" t="s">
        <v>1641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" t="str">
        <f t="shared" si="3"/>
        <v>17IA14.21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7">
        <v>46248</v>
      </c>
    </row>
    <row r="206" spans="1:14">
      <c r="A206" s="11" t="s">
        <v>1642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" t="str">
        <f t="shared" si="3"/>
        <v>17IA14.21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7">
        <v>46248</v>
      </c>
    </row>
    <row r="207" spans="1:14">
      <c r="A207" s="11" t="s">
        <v>1643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" t="str">
        <f t="shared" si="3"/>
        <v>17IA14.21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7"/>
    </row>
    <row r="208" spans="1:14">
      <c r="A208" s="11" t="s">
        <v>1644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" t="str">
        <f t="shared" si="3"/>
        <v>17IA14.21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7"/>
    </row>
    <row r="209" spans="1:14">
      <c r="A209" s="11" t="s">
        <v>1645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" t="str">
        <f t="shared" si="3"/>
        <v>17IA14.21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7"/>
    </row>
    <row r="210" spans="1:14">
      <c r="A210" s="11" t="s">
        <v>1646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" t="str">
        <f t="shared" si="3"/>
        <v>17IA14.21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7"/>
    </row>
    <row r="211" spans="1:14">
      <c r="A211" s="11" t="s">
        <v>1647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" t="str">
        <f t="shared" si="3"/>
        <v>17IA14.21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7"/>
    </row>
    <row r="212" spans="1:14">
      <c r="A212" s="11" t="s">
        <v>1648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" t="str">
        <f t="shared" si="3"/>
        <v>17IA14.21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7"/>
    </row>
    <row r="213" spans="1:14">
      <c r="A213" s="11" t="s">
        <v>1649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" t="str">
        <f t="shared" si="3"/>
        <v>17IA14.21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7">
        <v>46097</v>
      </c>
    </row>
    <row r="214" spans="1:14">
      <c r="A214" s="11" t="s">
        <v>1650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" t="str">
        <f t="shared" si="3"/>
        <v>17IA14.21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7">
        <v>46112</v>
      </c>
    </row>
    <row r="215" spans="1:14">
      <c r="A215" s="11" t="s">
        <v>1651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" t="str">
        <f t="shared" si="3"/>
        <v>17IA14.21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7"/>
    </row>
    <row r="216" spans="1:14">
      <c r="A216" s="11" t="s">
        <v>1652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" t="str">
        <f t="shared" si="3"/>
        <v>17IA14.21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7"/>
    </row>
    <row r="217" spans="1:14">
      <c r="A217" s="11" t="s">
        <v>1653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" t="str">
        <f t="shared" si="3"/>
        <v>17IA14.21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7"/>
    </row>
    <row r="218" spans="1:14">
      <c r="A218" s="11" t="s">
        <v>1654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" t="str">
        <f t="shared" si="3"/>
        <v>17IA14.21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7">
        <v>46128</v>
      </c>
    </row>
    <row r="219" spans="1:14">
      <c r="A219" s="11" t="s">
        <v>1655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" t="str">
        <f t="shared" si="3"/>
        <v>17IA14.21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7"/>
    </row>
    <row r="220" spans="1:14">
      <c r="A220" s="11" t="s">
        <v>1656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" t="str">
        <f t="shared" si="3"/>
        <v>17IA14.21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7"/>
    </row>
    <row r="221" spans="1:14">
      <c r="A221" s="11" t="s">
        <v>1657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" t="str">
        <f t="shared" si="3"/>
        <v>17IA14.21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7"/>
    </row>
    <row r="222" spans="1:14">
      <c r="A222" s="11" t="s">
        <v>1658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" t="str">
        <f t="shared" si="3"/>
        <v>17IA14.21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7"/>
    </row>
    <row r="223" spans="1:14">
      <c r="A223" s="11" t="s">
        <v>1659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" t="str">
        <f t="shared" si="3"/>
        <v>17IA14.21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7">
        <v>46248</v>
      </c>
    </row>
    <row r="224" spans="1:14">
      <c r="A224" s="11" t="s">
        <v>1660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" t="str">
        <f t="shared" si="3"/>
        <v>17IA14.21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7"/>
    </row>
    <row r="225" spans="1:14">
      <c r="A225" s="11" t="s">
        <v>1661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" t="str">
        <f t="shared" si="3"/>
        <v>17IA14.21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7"/>
    </row>
    <row r="226" spans="1:14">
      <c r="A226" s="11" t="s">
        <v>1662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" t="str">
        <f t="shared" si="3"/>
        <v>17IA14.30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7"/>
    </row>
    <row r="227" spans="1:14">
      <c r="A227" s="11" t="s">
        <v>1663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" t="str">
        <f t="shared" si="3"/>
        <v>17IA14.30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7">
        <v>46248</v>
      </c>
    </row>
    <row r="228" spans="1:14">
      <c r="A228" s="11" t="s">
        <v>1664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" t="str">
        <f t="shared" si="3"/>
        <v>17IA14.30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7">
        <v>46248</v>
      </c>
    </row>
    <row r="229" spans="1:14">
      <c r="A229" s="11" t="s">
        <v>1665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" t="str">
        <f t="shared" si="3"/>
        <v>17IA14.30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7"/>
    </row>
    <row r="230" spans="1:14">
      <c r="A230" s="11" t="s">
        <v>1666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" t="str">
        <f t="shared" si="3"/>
        <v>17IA14.30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7">
        <v>46248</v>
      </c>
    </row>
    <row r="231" spans="1:14">
      <c r="A231" s="11" t="s">
        <v>1667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" t="str">
        <f t="shared" si="3"/>
        <v>17IA14.30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7">
        <v>46248</v>
      </c>
    </row>
    <row r="232" spans="1:14">
      <c r="A232" s="11" t="s">
        <v>1668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" t="str">
        <f t="shared" si="3"/>
        <v>17IA14.30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7"/>
    </row>
    <row r="233" spans="1:14">
      <c r="A233" s="11" t="s">
        <v>1669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" t="str">
        <f t="shared" si="3"/>
        <v>17IA14.30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7">
        <v>46248</v>
      </c>
    </row>
    <row r="234" spans="1:14">
      <c r="A234" s="11" t="s">
        <v>1670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" t="str">
        <f t="shared" si="3"/>
        <v>17IA14.30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7"/>
    </row>
    <row r="235" spans="1:14">
      <c r="A235" s="11" t="s">
        <v>1671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" t="str">
        <f t="shared" si="3"/>
        <v>17IA14.30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7"/>
    </row>
    <row r="236" spans="1:14">
      <c r="A236" s="11" t="s">
        <v>1672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" t="str">
        <f t="shared" si="3"/>
        <v>17IA14.30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7"/>
    </row>
    <row r="237" spans="1:14">
      <c r="A237" s="11" t="s">
        <v>1673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" t="str">
        <f t="shared" si="3"/>
        <v>17IA14.30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7"/>
    </row>
    <row r="238" spans="1:14">
      <c r="A238" s="11" t="s">
        <v>1674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" t="str">
        <f t="shared" si="3"/>
        <v>17IA14.30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7">
        <v>46097</v>
      </c>
    </row>
    <row r="239" spans="1:14">
      <c r="A239" s="11" t="s">
        <v>1675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" t="str">
        <f t="shared" si="3"/>
        <v>17IA14.30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7"/>
    </row>
    <row r="240" spans="1:14">
      <c r="A240" s="11" t="s">
        <v>1676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" t="str">
        <f t="shared" si="3"/>
        <v>17IA14.30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7">
        <v>46097</v>
      </c>
    </row>
    <row r="241" spans="1:14">
      <c r="A241" s="11" t="s">
        <v>1677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" t="str">
        <f t="shared" si="3"/>
        <v>17IA14.30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7">
        <v>46097</v>
      </c>
    </row>
    <row r="242" spans="1:14">
      <c r="A242" s="11" t="s">
        <v>1678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" t="str">
        <f t="shared" si="3"/>
        <v>17IA14.30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7">
        <v>46169</v>
      </c>
    </row>
    <row r="243" spans="1:14">
      <c r="A243" s="11" t="s">
        <v>1679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" t="str">
        <f t="shared" si="3"/>
        <v>17IA14.30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7">
        <v>46248</v>
      </c>
    </row>
    <row r="244" spans="1:14">
      <c r="A244" s="11" t="s">
        <v>1680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" t="str">
        <f t="shared" si="3"/>
        <v>17IA14.30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7"/>
    </row>
    <row r="245" spans="1:14">
      <c r="A245" s="11" t="s">
        <v>1681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" t="str">
        <f t="shared" si="3"/>
        <v>17IA14.30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7">
        <v>46248</v>
      </c>
    </row>
    <row r="246" spans="1:14">
      <c r="A246" s="11" t="s">
        <v>1682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" t="str">
        <f t="shared" si="3"/>
        <v>17IA14.30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7">
        <v>46248</v>
      </c>
    </row>
    <row r="247" spans="1:14">
      <c r="A247" s="11" t="s">
        <v>1683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" t="str">
        <f t="shared" si="3"/>
        <v>17IA14.30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7"/>
    </row>
    <row r="248" spans="1:14">
      <c r="A248" s="11" t="s">
        <v>1684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" t="str">
        <f t="shared" si="3"/>
        <v>17IA14.30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7">
        <v>46248</v>
      </c>
    </row>
    <row r="249" spans="1:14">
      <c r="A249" s="11" t="s">
        <v>1685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" t="str">
        <f t="shared" si="3"/>
        <v>17IA14.30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7"/>
    </row>
    <row r="250" spans="1:14">
      <c r="A250" s="11" t="s">
        <v>1686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" t="str">
        <f t="shared" si="3"/>
        <v>17IA14.30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7">
        <v>46097</v>
      </c>
    </row>
    <row r="251" spans="1:14">
      <c r="A251" s="11" t="s">
        <v>1687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" t="str">
        <f t="shared" si="3"/>
        <v>17IA14.30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7">
        <v>46097</v>
      </c>
    </row>
    <row r="252" spans="1:14">
      <c r="A252" s="11" t="s">
        <v>1688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" t="str">
        <f t="shared" si="3"/>
        <v>17IA14.30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7">
        <v>46248</v>
      </c>
    </row>
    <row r="253" spans="1:14">
      <c r="A253" s="11" t="s">
        <v>1689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" t="str">
        <f t="shared" si="3"/>
        <v>17IA14.30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7">
        <v>46248</v>
      </c>
    </row>
    <row r="254" spans="1:14">
      <c r="A254" s="11" t="s">
        <v>1690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" t="str">
        <f t="shared" si="3"/>
        <v>17IA14.30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7">
        <v>46248</v>
      </c>
    </row>
    <row r="255" spans="1:14">
      <c r="A255" s="11" t="s">
        <v>1691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" t="str">
        <f t="shared" si="3"/>
        <v>17IA14.30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7">
        <v>46169</v>
      </c>
    </row>
    <row r="256" spans="1:14">
      <c r="A256" s="11" t="s">
        <v>1692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" t="str">
        <f t="shared" si="3"/>
        <v>17IA14.30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7"/>
    </row>
    <row r="257" spans="1:14">
      <c r="A257" s="11" t="s">
        <v>1693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" t="str">
        <f t="shared" si="3"/>
        <v>17IA14.30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7">
        <v>46248</v>
      </c>
    </row>
    <row r="258" spans="1:14">
      <c r="A258" s="11" t="s">
        <v>1694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" t="str">
        <f t="shared" si="3"/>
        <v>17IA14.30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7">
        <v>46248</v>
      </c>
    </row>
    <row r="259" spans="1:14">
      <c r="A259" s="11" t="s">
        <v>1695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" t="str">
        <f t="shared" ref="J259:J322" si="4">MID(G259,3,9)</f>
        <v>17IA14.30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7"/>
    </row>
    <row r="260" spans="1:14">
      <c r="A260" s="11" t="s">
        <v>1696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" t="str">
        <f t="shared" si="4"/>
        <v>17IA14.30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7">
        <v>46248</v>
      </c>
    </row>
    <row r="261" spans="1:14">
      <c r="A261" s="11" t="s">
        <v>1697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" t="str">
        <f t="shared" si="4"/>
        <v>17IA14.30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7"/>
    </row>
    <row r="262" spans="1:14">
      <c r="A262" s="11" t="s">
        <v>1698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" t="str">
        <f t="shared" si="4"/>
        <v>17IA14.30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7">
        <v>46169</v>
      </c>
    </row>
    <row r="263" spans="1:14">
      <c r="A263" s="11" t="s">
        <v>1699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" t="str">
        <f t="shared" si="4"/>
        <v>17IA14.31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7">
        <v>46248</v>
      </c>
    </row>
    <row r="264" spans="1:14">
      <c r="A264" s="11" t="s">
        <v>1700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" t="str">
        <f t="shared" si="4"/>
        <v>17IA14.31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7">
        <v>46248</v>
      </c>
    </row>
    <row r="265" spans="1:14">
      <c r="A265" s="11" t="s">
        <v>1701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" t="str">
        <f t="shared" si="4"/>
        <v>17IA14.31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7">
        <v>46156</v>
      </c>
    </row>
    <row r="266" spans="1:14">
      <c r="A266" s="11" t="s">
        <v>1702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" t="str">
        <f t="shared" si="4"/>
        <v>17IA14.31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7"/>
    </row>
    <row r="267" spans="1:14">
      <c r="A267" s="11" t="s">
        <v>1703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" t="str">
        <f t="shared" si="4"/>
        <v>17IA14.31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7"/>
    </row>
    <row r="268" spans="1:14">
      <c r="A268" s="11" t="s">
        <v>1704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" t="str">
        <f t="shared" si="4"/>
        <v>17IA14.31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7"/>
    </row>
    <row r="269" spans="1:14">
      <c r="A269" s="11" t="s">
        <v>1705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" t="str">
        <f t="shared" si="4"/>
        <v>17IA14.31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7"/>
    </row>
    <row r="270" spans="1:14">
      <c r="A270" s="11" t="s">
        <v>1706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" t="str">
        <f t="shared" si="4"/>
        <v>17IA14.31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7">
        <v>46248</v>
      </c>
    </row>
    <row r="271" spans="1:14">
      <c r="A271" s="11" t="s">
        <v>1707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" t="str">
        <f t="shared" si="4"/>
        <v>17IA14.31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7"/>
    </row>
    <row r="272" spans="1:14">
      <c r="A272" s="11" t="s">
        <v>1708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" t="str">
        <f t="shared" si="4"/>
        <v>17IA14.31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7"/>
    </row>
    <row r="273" spans="1:14">
      <c r="A273" s="11" t="s">
        <v>1709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" t="str">
        <f t="shared" si="4"/>
        <v>17IA14.31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7">
        <v>46248</v>
      </c>
    </row>
    <row r="274" spans="1:14">
      <c r="A274" s="11" t="s">
        <v>1710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" t="str">
        <f t="shared" si="4"/>
        <v>17IA14.31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7">
        <v>46248</v>
      </c>
    </row>
    <row r="275" spans="1:14">
      <c r="A275" s="11" t="s">
        <v>1711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" t="str">
        <f t="shared" si="4"/>
        <v>17IA14.31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7"/>
    </row>
    <row r="276" spans="1:14">
      <c r="A276" s="11" t="s">
        <v>1712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" t="str">
        <f t="shared" si="4"/>
        <v>17IA14.31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7">
        <v>46248</v>
      </c>
    </row>
    <row r="277" spans="1:14">
      <c r="A277" s="11" t="s">
        <v>1713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" t="str">
        <f t="shared" si="4"/>
        <v>17IA14.31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7">
        <v>46248</v>
      </c>
    </row>
    <row r="278" spans="1:14">
      <c r="A278" s="11" t="s">
        <v>1714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" t="str">
        <f t="shared" si="4"/>
        <v>17IA14.31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7"/>
    </row>
    <row r="279" spans="1:14">
      <c r="A279" s="11" t="s">
        <v>1715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" t="str">
        <f t="shared" si="4"/>
        <v>17IA14.31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7">
        <v>46112</v>
      </c>
    </row>
    <row r="280" spans="1:14">
      <c r="A280" s="11" t="s">
        <v>1716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" t="str">
        <f t="shared" si="4"/>
        <v>17IA14.31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7">
        <v>46248</v>
      </c>
    </row>
    <row r="281" spans="1:14">
      <c r="A281" s="11" t="s">
        <v>1717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" t="str">
        <f t="shared" si="4"/>
        <v>17IA14.31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7"/>
    </row>
    <row r="282" spans="1:14">
      <c r="A282" s="11" t="s">
        <v>1718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" t="str">
        <f t="shared" si="4"/>
        <v>17IA14.31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7"/>
    </row>
    <row r="283" spans="1:14">
      <c r="A283" s="11" t="s">
        <v>1719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" t="str">
        <f t="shared" si="4"/>
        <v>17IA14.31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7">
        <v>46112</v>
      </c>
    </row>
    <row r="284" spans="1:14">
      <c r="A284" s="11" t="s">
        <v>1720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" t="str">
        <f t="shared" si="4"/>
        <v>17IA14.31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7"/>
    </row>
    <row r="285" spans="1:14">
      <c r="A285" s="11" t="s">
        <v>1721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" t="str">
        <f t="shared" si="4"/>
        <v>17IA14.31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7">
        <v>46169</v>
      </c>
    </row>
    <row r="286" spans="1:14">
      <c r="A286" s="11" t="s">
        <v>1722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" t="str">
        <f t="shared" si="4"/>
        <v>17IA14.31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7">
        <v>46254</v>
      </c>
    </row>
    <row r="287" spans="1:14">
      <c r="A287" s="11" t="s">
        <v>1723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" t="str">
        <f t="shared" si="4"/>
        <v>17IA14.31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7">
        <v>46248</v>
      </c>
    </row>
    <row r="288" spans="1:14">
      <c r="A288" s="11" t="s">
        <v>1724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" t="str">
        <f t="shared" si="4"/>
        <v>17IA14.31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7">
        <v>46248</v>
      </c>
    </row>
    <row r="289" spans="1:14">
      <c r="A289" s="11" t="s">
        <v>1725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" t="str">
        <f t="shared" si="4"/>
        <v>17IA14.31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7">
        <v>46248</v>
      </c>
    </row>
    <row r="290" spans="1:14">
      <c r="A290" s="11" t="s">
        <v>1726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" t="str">
        <f t="shared" si="4"/>
        <v>17IA14.31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7"/>
    </row>
    <row r="291" spans="1:14">
      <c r="A291" s="11" t="s">
        <v>1727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" t="str">
        <f t="shared" si="4"/>
        <v>17IA14.31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7">
        <v>46169</v>
      </c>
    </row>
    <row r="292" spans="1:14">
      <c r="A292" s="11" t="s">
        <v>1728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" t="str">
        <f t="shared" si="4"/>
        <v>17IA14.31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7"/>
    </row>
    <row r="293" spans="1:14">
      <c r="A293" s="11" t="s">
        <v>1729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" t="str">
        <f t="shared" si="4"/>
        <v>17IA14.31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7">
        <v>46112</v>
      </c>
    </row>
    <row r="294" spans="1:14">
      <c r="A294" s="11" t="s">
        <v>1730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" t="str">
        <f t="shared" si="4"/>
        <v>17IA14.31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7">
        <v>46248</v>
      </c>
    </row>
    <row r="295" spans="1:14">
      <c r="A295" s="11" t="s">
        <v>1731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" t="str">
        <f t="shared" si="4"/>
        <v>17IA14.31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7">
        <v>46156</v>
      </c>
    </row>
    <row r="296" spans="1:14">
      <c r="A296" s="11" t="s">
        <v>1732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" t="str">
        <f t="shared" si="4"/>
        <v>17IA14.31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7">
        <v>46112</v>
      </c>
    </row>
    <row r="297" spans="1:14">
      <c r="A297" s="11" t="s">
        <v>1733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" t="str">
        <f t="shared" si="4"/>
        <v>17IA14.31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7">
        <v>46248</v>
      </c>
    </row>
    <row r="298" spans="1:14">
      <c r="A298" s="11" t="s">
        <v>1734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" t="str">
        <f t="shared" si="4"/>
        <v>17IA14.31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7">
        <v>46248</v>
      </c>
    </row>
    <row r="299" spans="1:14">
      <c r="A299" s="11" t="s">
        <v>1735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" t="str">
        <f t="shared" si="4"/>
        <v>17IA14.31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7"/>
    </row>
    <row r="300" spans="1:14">
      <c r="A300" s="11" t="s">
        <v>1736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" t="str">
        <f t="shared" si="4"/>
        <v>17IA14.40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7">
        <v>46254</v>
      </c>
    </row>
    <row r="301" spans="1:14">
      <c r="A301" s="11" t="s">
        <v>1737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" t="str">
        <f t="shared" si="4"/>
        <v>17IA14.40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7"/>
    </row>
    <row r="302" spans="1:14">
      <c r="A302" s="11" t="s">
        <v>1738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" t="str">
        <f t="shared" si="4"/>
        <v>17IA14.40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7"/>
    </row>
    <row r="303" spans="1:14">
      <c r="A303" s="11" t="s">
        <v>1739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" t="str">
        <f t="shared" si="4"/>
        <v>17IA14.40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7"/>
    </row>
    <row r="304" spans="1:14">
      <c r="A304" s="11" t="s">
        <v>1740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" t="str">
        <f t="shared" si="4"/>
        <v>17IA14.40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7"/>
    </row>
    <row r="305" spans="1:14">
      <c r="A305" s="11" t="s">
        <v>1741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" t="str">
        <f t="shared" si="4"/>
        <v>17IA14.40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7">
        <v>46254</v>
      </c>
    </row>
    <row r="306" spans="1:14">
      <c r="A306" s="11" t="s">
        <v>1742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" t="str">
        <f t="shared" si="4"/>
        <v>17IA14.40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7">
        <v>46254</v>
      </c>
    </row>
    <row r="307" spans="1:14">
      <c r="A307" s="11" t="s">
        <v>1743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" t="str">
        <f t="shared" si="4"/>
        <v>17IA14.40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7"/>
    </row>
    <row r="308" spans="1:14">
      <c r="A308" s="11" t="s">
        <v>1744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" t="str">
        <f t="shared" si="4"/>
        <v>17IA14.40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7"/>
    </row>
    <row r="309" spans="1:14">
      <c r="A309" s="11" t="s">
        <v>1745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" t="str">
        <f t="shared" si="4"/>
        <v>17IA14.40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7"/>
    </row>
    <row r="310" spans="1:14">
      <c r="A310" s="11" t="s">
        <v>1746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" t="str">
        <f t="shared" si="4"/>
        <v>17IA14.40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7"/>
    </row>
    <row r="311" spans="1:14">
      <c r="A311" s="11" t="s">
        <v>1747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" t="str">
        <f t="shared" si="4"/>
        <v>17IA14.40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7">
        <v>46248</v>
      </c>
    </row>
    <row r="312" spans="1:14">
      <c r="A312" s="11" t="s">
        <v>1748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" t="str">
        <f t="shared" si="4"/>
        <v>17IA14.40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7">
        <v>46248</v>
      </c>
    </row>
    <row r="313" spans="1:14">
      <c r="A313" s="11" t="s">
        <v>1749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" t="str">
        <f t="shared" si="4"/>
        <v>17IA14.40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7">
        <v>46248</v>
      </c>
    </row>
    <row r="314" spans="1:14">
      <c r="A314" s="11" t="s">
        <v>1750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" t="str">
        <f t="shared" si="4"/>
        <v>17IA14.40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7"/>
    </row>
    <row r="315" spans="1:14">
      <c r="A315" s="11" t="s">
        <v>1751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" t="str">
        <f t="shared" si="4"/>
        <v>17IA14.40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7"/>
    </row>
    <row r="316" spans="1:14">
      <c r="A316" s="11" t="s">
        <v>1752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" t="str">
        <f t="shared" si="4"/>
        <v>17IA14.40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7">
        <v>46254</v>
      </c>
    </row>
    <row r="317" spans="1:14">
      <c r="A317" s="11" t="s">
        <v>1753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" t="str">
        <f t="shared" si="4"/>
        <v>17IA14.40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7"/>
    </row>
    <row r="318" spans="1:14">
      <c r="A318" s="11" t="s">
        <v>1754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" t="str">
        <f t="shared" si="4"/>
        <v>17IA14.40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7">
        <v>46254</v>
      </c>
    </row>
    <row r="319" spans="1:14">
      <c r="A319" s="11" t="s">
        <v>1755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" t="str">
        <f t="shared" si="4"/>
        <v>17IA14.40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7">
        <v>46254</v>
      </c>
    </row>
    <row r="320" spans="1:14">
      <c r="A320" s="11" t="s">
        <v>1756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" t="str">
        <f t="shared" si="4"/>
        <v>17IA14.40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7">
        <v>46248</v>
      </c>
    </row>
    <row r="321" spans="1:14">
      <c r="A321" s="11" t="s">
        <v>1757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" t="str">
        <f t="shared" si="4"/>
        <v>17IA14.40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7">
        <v>46156</v>
      </c>
    </row>
    <row r="322" spans="1:14">
      <c r="A322" s="11" t="s">
        <v>1758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" t="str">
        <f t="shared" si="4"/>
        <v>17IA14.40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7">
        <v>46248</v>
      </c>
    </row>
    <row r="323" spans="1:14">
      <c r="A323" s="11" t="s">
        <v>1759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" t="str">
        <f t="shared" ref="J323:J386" si="5">MID(G323,3,9)</f>
        <v>17IA14.40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7">
        <v>46248</v>
      </c>
    </row>
    <row r="324" spans="1:14">
      <c r="A324" s="11" t="s">
        <v>1760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" t="str">
        <f t="shared" si="5"/>
        <v>17IA14.40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7">
        <v>46248</v>
      </c>
    </row>
    <row r="325" spans="1:14">
      <c r="A325" s="11" t="s">
        <v>1761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" t="str">
        <f t="shared" si="5"/>
        <v>17IA14.40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7">
        <v>46248</v>
      </c>
    </row>
    <row r="326" spans="1:14">
      <c r="A326" s="11" t="s">
        <v>1762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" t="str">
        <f t="shared" si="5"/>
        <v>17IA14.40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7">
        <v>46248</v>
      </c>
    </row>
    <row r="327" spans="1:14">
      <c r="A327" s="11" t="s">
        <v>1763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" t="str">
        <f t="shared" si="5"/>
        <v>17IA14.40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7"/>
    </row>
    <row r="328" spans="1:14">
      <c r="A328" s="11" t="s">
        <v>1764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" t="str">
        <f t="shared" si="5"/>
        <v>17IA14.40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7">
        <v>46248</v>
      </c>
    </row>
    <row r="329" spans="1:14">
      <c r="A329" s="11" t="s">
        <v>1765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" t="str">
        <f t="shared" si="5"/>
        <v>17IA14.40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7">
        <v>46248</v>
      </c>
    </row>
    <row r="330" spans="1:14">
      <c r="A330" s="11" t="s">
        <v>1766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" t="str">
        <f t="shared" si="5"/>
        <v>17IA14.40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7">
        <v>46254</v>
      </c>
    </row>
    <row r="331" spans="1:14">
      <c r="A331" s="11" t="s">
        <v>1767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" t="str">
        <f t="shared" si="5"/>
        <v>17IA14.40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7">
        <v>46248</v>
      </c>
    </row>
    <row r="332" spans="1:14">
      <c r="A332" s="11" t="s">
        <v>1768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" t="str">
        <f t="shared" si="5"/>
        <v>17IA14.40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7">
        <v>46248</v>
      </c>
    </row>
    <row r="333" spans="1:14">
      <c r="A333" s="11" t="s">
        <v>1769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" t="str">
        <f t="shared" si="5"/>
        <v>17IA14.40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7">
        <v>46248</v>
      </c>
    </row>
    <row r="334" spans="1:14">
      <c r="A334" s="11" t="s">
        <v>1770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" t="str">
        <f t="shared" si="5"/>
        <v>17IA14.40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7">
        <v>46248</v>
      </c>
    </row>
    <row r="335" spans="1:14">
      <c r="A335" s="11" t="s">
        <v>1771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" t="str">
        <f t="shared" si="5"/>
        <v>17IA14.40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7">
        <v>46248</v>
      </c>
    </row>
    <row r="336" spans="1:14">
      <c r="A336" s="11" t="s">
        <v>1772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" t="str">
        <f t="shared" si="5"/>
        <v>17IA14.40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7">
        <v>46248</v>
      </c>
    </row>
    <row r="337" spans="1:14">
      <c r="A337" s="11" t="s">
        <v>1773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" t="str">
        <f t="shared" si="5"/>
        <v>17IA14.40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7"/>
    </row>
    <row r="338" spans="1:14">
      <c r="A338" s="11" t="s">
        <v>1774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" t="str">
        <f t="shared" si="5"/>
        <v>17IA14.40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7"/>
    </row>
    <row r="339" spans="1:14">
      <c r="A339" s="11" t="s">
        <v>1775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" t="str">
        <f t="shared" si="5"/>
        <v>17IA14.40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7"/>
    </row>
    <row r="340" spans="1:14">
      <c r="A340" s="11" t="s">
        <v>1776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" t="str">
        <f t="shared" si="5"/>
        <v>17IA14.40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7">
        <v>46169</v>
      </c>
    </row>
    <row r="341" spans="1:14">
      <c r="A341" s="11" t="s">
        <v>1777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" t="str">
        <f t="shared" si="5"/>
        <v>17IA14.40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7">
        <v>46248</v>
      </c>
    </row>
    <row r="342" spans="1:14">
      <c r="A342" s="11" t="s">
        <v>1778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7">
        <v>46248</v>
      </c>
    </row>
    <row r="343" spans="1:14">
      <c r="A343" s="11" t="s">
        <v>1779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7">
        <v>46248</v>
      </c>
    </row>
    <row r="344" spans="1:14">
      <c r="A344" s="11" t="s">
        <v>1780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7">
        <v>46248</v>
      </c>
    </row>
    <row r="345" spans="1:14">
      <c r="A345" s="11" t="s">
        <v>1781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7">
        <v>46248</v>
      </c>
    </row>
    <row r="346" spans="1:14">
      <c r="A346" s="11" t="s">
        <v>1782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7">
        <v>46248</v>
      </c>
    </row>
    <row r="347" spans="1:14">
      <c r="A347" s="11" t="s">
        <v>1783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7">
        <v>46248</v>
      </c>
    </row>
    <row r="348" spans="1:14">
      <c r="A348" s="11" t="s">
        <v>1784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7">
        <v>46248</v>
      </c>
    </row>
    <row r="349" spans="1:14">
      <c r="A349" s="11" t="s">
        <v>1785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7">
        <v>46248</v>
      </c>
    </row>
    <row r="350" spans="1:14">
      <c r="A350" s="11" t="s">
        <v>1786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7">
        <v>46248</v>
      </c>
    </row>
    <row r="351" spans="1:14">
      <c r="A351" s="11" t="s">
        <v>1787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7"/>
    </row>
    <row r="352" spans="1:14">
      <c r="A352" s="11" t="s">
        <v>1788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7">
        <v>46248</v>
      </c>
    </row>
    <row r="353" spans="1:14">
      <c r="A353" s="11" t="s">
        <v>1789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7">
        <v>46248</v>
      </c>
    </row>
    <row r="354" spans="1:14">
      <c r="A354" s="11" t="s">
        <v>1790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7">
        <v>46248</v>
      </c>
    </row>
    <row r="355" spans="1:14">
      <c r="A355" s="11" t="s">
        <v>1791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7"/>
    </row>
    <row r="356" spans="1:14">
      <c r="A356" s="11" t="s">
        <v>1792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7">
        <v>46248</v>
      </c>
    </row>
    <row r="357" spans="1:14">
      <c r="A357" s="11" t="s">
        <v>1793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7"/>
    </row>
    <row r="358" spans="1:14">
      <c r="A358" s="11" t="s">
        <v>1794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7">
        <v>46248</v>
      </c>
    </row>
    <row r="359" spans="1:14">
      <c r="A359" s="11" t="s">
        <v>1795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7">
        <v>46254</v>
      </c>
    </row>
    <row r="360" spans="1:14">
      <c r="A360" s="11" t="s">
        <v>1796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7">
        <v>46248</v>
      </c>
    </row>
    <row r="361" spans="1:14">
      <c r="A361" s="11" t="s">
        <v>1797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7"/>
    </row>
    <row r="362" spans="1:14">
      <c r="A362" s="11" t="s">
        <v>1798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7">
        <v>46248</v>
      </c>
    </row>
    <row r="363" spans="1:14">
      <c r="A363" s="11" t="s">
        <v>1799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7"/>
    </row>
    <row r="364" spans="1:14">
      <c r="A364" s="11" t="s">
        <v>1800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7">
        <v>46254</v>
      </c>
    </row>
    <row r="365" spans="1:14">
      <c r="A365" s="11" t="s">
        <v>1801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7">
        <v>46254</v>
      </c>
    </row>
    <row r="366" spans="1:14">
      <c r="A366" s="11" t="s">
        <v>1802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7"/>
    </row>
    <row r="367" spans="1:14">
      <c r="A367" s="11" t="s">
        <v>1803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7"/>
    </row>
    <row r="368" spans="1:14">
      <c r="A368" s="11" t="s">
        <v>1804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7">
        <v>46248</v>
      </c>
    </row>
    <row r="369" spans="1:14">
      <c r="A369" s="11" t="s">
        <v>1805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7">
        <v>46248</v>
      </c>
    </row>
    <row r="370" spans="1:14">
      <c r="A370" s="11" t="s">
        <v>1806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7">
        <v>46248</v>
      </c>
    </row>
    <row r="371" spans="1:14">
      <c r="A371" s="11" t="s">
        <v>1807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7">
        <v>46248</v>
      </c>
    </row>
    <row r="372" spans="1:14">
      <c r="A372" s="11" t="s">
        <v>1808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7">
        <v>46254</v>
      </c>
    </row>
    <row r="373" spans="1:14">
      <c r="A373" s="11" t="s">
        <v>1809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7"/>
    </row>
    <row r="374" spans="1:14">
      <c r="A374" s="11" t="s">
        <v>1810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7">
        <v>46254</v>
      </c>
    </row>
    <row r="375" spans="1:14">
      <c r="A375" s="11" t="s">
        <v>1811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7">
        <v>46248</v>
      </c>
    </row>
    <row r="376" spans="1:14">
      <c r="A376" s="11" t="s">
        <v>1812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7">
        <v>46254</v>
      </c>
    </row>
    <row r="377" spans="1:14">
      <c r="A377" s="11" t="s">
        <v>1813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7">
        <v>46248</v>
      </c>
    </row>
    <row r="378" spans="1:14">
      <c r="A378" s="11" t="s">
        <v>1814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7">
        <v>46248</v>
      </c>
    </row>
    <row r="379" spans="1:14">
      <c r="A379" s="11" t="s">
        <v>1815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7">
        <v>46248</v>
      </c>
    </row>
    <row r="380" spans="1:14">
      <c r="A380" s="11" t="s">
        <v>1816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7">
        <v>46169</v>
      </c>
    </row>
    <row r="381" spans="1:14">
      <c r="A381" s="11" t="s">
        <v>1817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7">
        <v>46248</v>
      </c>
    </row>
    <row r="382" spans="1:14">
      <c r="A382" s="11" t="s">
        <v>1818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7">
        <v>46248</v>
      </c>
    </row>
    <row r="383" spans="1:14">
      <c r="A383" s="11" t="s">
        <v>1819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7">
        <v>46248</v>
      </c>
    </row>
    <row r="384" spans="1:14">
      <c r="A384" s="11" t="s">
        <v>1820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7"/>
    </row>
    <row r="385" spans="1:14">
      <c r="A385" s="11" t="s">
        <v>1821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7">
        <v>46169</v>
      </c>
    </row>
    <row r="386" spans="1:14">
      <c r="A386" s="11" t="s">
        <v>1822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7">
        <v>46254</v>
      </c>
    </row>
    <row r="387" spans="1:14">
      <c r="A387" s="11" t="s">
        <v>1823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7"/>
    </row>
    <row r="388" spans="1:14">
      <c r="A388" s="11" t="s">
        <v>1824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7">
        <v>46248</v>
      </c>
    </row>
    <row r="389" spans="1:14">
      <c r="A389" s="11" t="s">
        <v>1825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7">
        <v>46254</v>
      </c>
    </row>
    <row r="390" spans="1:14">
      <c r="A390" s="11" t="s">
        <v>1826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7">
        <v>46254</v>
      </c>
    </row>
    <row r="391" spans="1:14">
      <c r="A391" s="11" t="s">
        <v>1827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7">
        <v>46248</v>
      </c>
    </row>
    <row r="392" spans="1:14">
      <c r="A392" s="11" t="s">
        <v>1828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7">
        <v>46254</v>
      </c>
    </row>
    <row r="393" spans="1:14">
      <c r="A393" s="11" t="s">
        <v>1829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7">
        <v>46248</v>
      </c>
    </row>
    <row r="394" spans="1:14">
      <c r="A394" s="11" t="s">
        <v>1830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7">
        <v>46248</v>
      </c>
    </row>
    <row r="395" spans="1:14">
      <c r="A395" s="11" t="s">
        <v>1831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7"/>
    </row>
    <row r="396" spans="1:14">
      <c r="A396" s="11" t="s">
        <v>1832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7">
        <v>46248</v>
      </c>
    </row>
    <row r="397" spans="1:14">
      <c r="A397" s="11" t="s">
        <v>1833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7">
        <v>46248</v>
      </c>
    </row>
    <row r="398" spans="1:14">
      <c r="A398" s="11" t="s">
        <v>1834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7">
        <v>46248</v>
      </c>
    </row>
    <row r="399" spans="1:14">
      <c r="A399" s="11" t="s">
        <v>1835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7"/>
    </row>
    <row r="400" spans="1:14">
      <c r="A400" s="11" t="s">
        <v>1836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7">
        <v>46248</v>
      </c>
    </row>
    <row r="401" spans="1:14">
      <c r="A401" s="11" t="s">
        <v>1837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7">
        <v>46248</v>
      </c>
    </row>
    <row r="402" spans="1:14">
      <c r="A402" s="11" t="s">
        <v>1838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7">
        <v>46248</v>
      </c>
    </row>
    <row r="403" spans="1:14">
      <c r="A403" s="11" t="s">
        <v>1839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7">
        <v>46248</v>
      </c>
    </row>
    <row r="404" spans="1:14">
      <c r="A404" s="11" t="s">
        <v>1840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7">
        <v>46248</v>
      </c>
    </row>
    <row r="405" spans="1:14">
      <c r="A405" s="11" t="s">
        <v>1841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7">
        <v>46248</v>
      </c>
    </row>
    <row r="406" spans="1:14">
      <c r="A406" s="11" t="s">
        <v>1842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7">
        <v>46248</v>
      </c>
    </row>
    <row r="407" spans="1:14">
      <c r="A407" s="11" t="s">
        <v>1843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7">
        <v>46169</v>
      </c>
    </row>
    <row r="408" spans="1:14">
      <c r="A408" s="11" t="s">
        <v>1844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7"/>
    </row>
    <row r="409" spans="1:14">
      <c r="A409" s="11" t="s">
        <v>1845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7">
        <v>46248</v>
      </c>
    </row>
    <row r="410" spans="1:14">
      <c r="A410" s="11" t="s">
        <v>1846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7"/>
    </row>
    <row r="411" spans="1:14">
      <c r="A411" s="11" t="s">
        <v>1847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7">
        <v>46248</v>
      </c>
    </row>
    <row r="412" spans="1:14">
      <c r="A412" s="11" t="s">
        <v>1848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7">
        <v>46248</v>
      </c>
    </row>
    <row r="413" spans="1:14">
      <c r="A413" s="11" t="s">
        <v>1849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7">
        <v>46248</v>
      </c>
    </row>
    <row r="414" spans="1:14">
      <c r="A414" s="11" t="s">
        <v>1850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7">
        <v>46254</v>
      </c>
    </row>
    <row r="415" spans="1:14">
      <c r="A415" s="11" t="s">
        <v>1851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7"/>
    </row>
    <row r="416" spans="1:14">
      <c r="A416" s="11" t="s">
        <v>1852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7">
        <v>46248</v>
      </c>
    </row>
    <row r="417" spans="1:14">
      <c r="A417" s="11" t="s">
        <v>1853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7">
        <v>46248</v>
      </c>
    </row>
    <row r="418" spans="1:14">
      <c r="A418" s="11" t="s">
        <v>1854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7">
        <v>46248</v>
      </c>
    </row>
    <row r="419" spans="1:14">
      <c r="A419" s="11" t="s">
        <v>1855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7">
        <v>46248</v>
      </c>
    </row>
    <row r="420" spans="1:14">
      <c r="A420" s="11" t="s">
        <v>1856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7">
        <v>46248</v>
      </c>
    </row>
    <row r="421" spans="1:14">
      <c r="A421" s="11" t="s">
        <v>1857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7">
        <v>46248</v>
      </c>
    </row>
    <row r="422" spans="1:14">
      <c r="A422" s="11" t="s">
        <v>1858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7">
        <v>46248</v>
      </c>
    </row>
    <row r="423" spans="1:14">
      <c r="A423" s="11" t="s">
        <v>1859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7">
        <v>46248</v>
      </c>
    </row>
    <row r="424" spans="1:14">
      <c r="A424" s="11" t="s">
        <v>1860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7"/>
    </row>
    <row r="425" spans="1:14">
      <c r="A425" s="11" t="s">
        <v>1861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7">
        <v>46254</v>
      </c>
    </row>
    <row r="426" spans="1:14">
      <c r="A426" s="11" t="s">
        <v>1862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7">
        <v>46248</v>
      </c>
    </row>
    <row r="427" spans="1:14">
      <c r="A427" s="11" t="s">
        <v>1863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7"/>
    </row>
    <row r="428" spans="1:14">
      <c r="A428" s="11" t="s">
        <v>1864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7">
        <v>46248</v>
      </c>
    </row>
    <row r="429" spans="1:14">
      <c r="A429" s="11" t="s">
        <v>1865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7">
        <v>46248</v>
      </c>
    </row>
    <row r="430" spans="1:14">
      <c r="A430" s="11" t="s">
        <v>1866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7">
        <v>46248</v>
      </c>
    </row>
    <row r="431" spans="1:14">
      <c r="A431" s="11" t="s">
        <v>1867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7">
        <v>46248</v>
      </c>
    </row>
    <row r="432" spans="1:14">
      <c r="A432" s="11" t="s">
        <v>1868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" t="str">
        <f t="shared" si="6"/>
        <v>17IA14.50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7">
        <v>46248</v>
      </c>
    </row>
    <row r="433" spans="1:14">
      <c r="A433" s="11" t="s">
        <v>1869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" t="str">
        <f t="shared" si="6"/>
        <v>17IA14.50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7">
        <v>46119</v>
      </c>
    </row>
    <row r="434" spans="1:14">
      <c r="A434" s="11" t="s">
        <v>1870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" t="str">
        <f t="shared" si="6"/>
        <v>17IA14.50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7">
        <v>46248</v>
      </c>
    </row>
    <row r="435" spans="1:14">
      <c r="A435" s="11" t="s">
        <v>1871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" t="str">
        <f t="shared" si="6"/>
        <v>17IA14.50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7">
        <v>46248</v>
      </c>
    </row>
    <row r="436" spans="1:14">
      <c r="A436" s="11" t="s">
        <v>1872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" t="str">
        <f t="shared" si="6"/>
        <v>17IA14.50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7"/>
    </row>
    <row r="437" spans="1:14">
      <c r="A437" s="11" t="s">
        <v>1873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" t="str">
        <f t="shared" si="6"/>
        <v>17IA14.50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7">
        <v>46248</v>
      </c>
    </row>
    <row r="438" spans="1:14">
      <c r="A438" s="11" t="s">
        <v>1874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" t="str">
        <f t="shared" si="6"/>
        <v>17IA14.50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7">
        <v>46248</v>
      </c>
    </row>
    <row r="439" spans="1:14">
      <c r="A439" s="11" t="s">
        <v>1875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" t="str">
        <f t="shared" si="6"/>
        <v>17IA14.50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7">
        <v>46248</v>
      </c>
    </row>
    <row r="440" spans="1:14">
      <c r="A440" s="11" t="s">
        <v>1876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" t="str">
        <f t="shared" si="6"/>
        <v>17IA14.50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7">
        <v>46119</v>
      </c>
    </row>
    <row r="441" spans="1:14">
      <c r="A441" s="11" t="s">
        <v>1877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" t="str">
        <f t="shared" si="6"/>
        <v>17IA14.50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7"/>
    </row>
    <row r="442" spans="1:14">
      <c r="A442" s="11" t="s">
        <v>1878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" t="str">
        <f t="shared" si="6"/>
        <v>17IA14.50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7"/>
    </row>
    <row r="443" spans="1:14">
      <c r="A443" s="11" t="s">
        <v>1879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" t="str">
        <f t="shared" si="6"/>
        <v>17IA14.50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7">
        <v>46119</v>
      </c>
    </row>
    <row r="444" spans="1:14">
      <c r="A444" s="11" t="s">
        <v>1880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" t="str">
        <f t="shared" si="6"/>
        <v>17IA14.50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7">
        <v>46248</v>
      </c>
    </row>
    <row r="445" spans="1:14">
      <c r="A445" s="11" t="s">
        <v>1881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" t="str">
        <f t="shared" si="6"/>
        <v>17IA14.50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7"/>
    </row>
    <row r="446" spans="1:14">
      <c r="A446" s="11" t="s">
        <v>1882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" t="str">
        <f t="shared" si="6"/>
        <v>17IA14.50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7">
        <v>46248</v>
      </c>
    </row>
    <row r="447" spans="1:14">
      <c r="A447" s="11" t="s">
        <v>1883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" t="str">
        <f t="shared" si="6"/>
        <v>17IA14.50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7"/>
    </row>
    <row r="448" spans="1:14">
      <c r="A448" s="11" t="s">
        <v>1884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" t="str">
        <f t="shared" si="6"/>
        <v>17IA14.50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7">
        <v>46254</v>
      </c>
    </row>
    <row r="449" spans="1:14">
      <c r="A449" s="11" t="s">
        <v>1885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" t="str">
        <f t="shared" si="6"/>
        <v>17IA14.50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7">
        <v>46248</v>
      </c>
    </row>
    <row r="450" spans="1:14">
      <c r="A450" s="11" t="s">
        <v>1886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" t="str">
        <f t="shared" si="6"/>
        <v>17IA14.50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7">
        <v>46254</v>
      </c>
    </row>
    <row r="451" spans="1:14">
      <c r="A451" s="11" t="s">
        <v>1887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" t="str">
        <f t="shared" ref="J451:J514" si="7">MID(G451,3,9)</f>
        <v>17IA14.50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7">
        <v>46254</v>
      </c>
    </row>
    <row r="452" spans="1:14">
      <c r="A452" s="11" t="s">
        <v>1888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" t="str">
        <f t="shared" si="7"/>
        <v>17IA14.50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7"/>
    </row>
    <row r="453" spans="1:14">
      <c r="A453" s="11" t="s">
        <v>1889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" t="str">
        <f t="shared" si="7"/>
        <v>17IA14.50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7">
        <v>46119</v>
      </c>
    </row>
    <row r="454" spans="1:14">
      <c r="A454" s="11" t="s">
        <v>1890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" t="str">
        <f t="shared" si="7"/>
        <v>17IA14.50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7">
        <v>46248</v>
      </c>
    </row>
    <row r="455" spans="1:14">
      <c r="A455" s="11" t="s">
        <v>1891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" t="str">
        <f t="shared" si="7"/>
        <v>17IA14.50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7"/>
    </row>
    <row r="456" spans="1:14">
      <c r="A456" s="11" t="s">
        <v>1892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" t="str">
        <f t="shared" si="7"/>
        <v>17IA14.50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7">
        <v>46248</v>
      </c>
    </row>
    <row r="457" spans="1:14">
      <c r="A457" s="11" t="s">
        <v>1893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" t="str">
        <f t="shared" si="7"/>
        <v>17IA14.50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7">
        <v>46248</v>
      </c>
    </row>
    <row r="458" spans="1:14">
      <c r="A458" s="11" t="s">
        <v>1894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" t="str">
        <f t="shared" si="7"/>
        <v>17IA14.50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7">
        <v>46248</v>
      </c>
    </row>
    <row r="459" spans="1:14">
      <c r="A459" s="11" t="s">
        <v>1895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" t="str">
        <f t="shared" si="7"/>
        <v>17IA14.50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7">
        <v>46119</v>
      </c>
    </row>
    <row r="460" spans="1:14">
      <c r="A460" s="11" t="s">
        <v>1896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" t="str">
        <f t="shared" si="7"/>
        <v>17IA14.50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7"/>
    </row>
    <row r="461" spans="1:14">
      <c r="A461" s="11" t="s">
        <v>1897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" t="str">
        <f t="shared" si="7"/>
        <v>17IA14.50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7"/>
    </row>
    <row r="462" spans="1:14">
      <c r="A462" s="11" t="s">
        <v>1898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" t="str">
        <f t="shared" si="7"/>
        <v>17IA14.50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7">
        <v>46248</v>
      </c>
    </row>
    <row r="463" spans="1:14">
      <c r="A463" s="11" t="s">
        <v>1899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" t="str">
        <f t="shared" si="7"/>
        <v>17IA14.50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7"/>
    </row>
    <row r="464" spans="1:14">
      <c r="A464" s="11" t="s">
        <v>1900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" t="str">
        <f t="shared" si="7"/>
        <v>17IA14.50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7">
        <v>46169</v>
      </c>
    </row>
    <row r="465" spans="1:14">
      <c r="A465" s="11" t="s">
        <v>1901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" t="str">
        <f t="shared" si="7"/>
        <v>17IA14.50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7"/>
    </row>
    <row r="466" spans="1:14">
      <c r="A466" s="11" t="s">
        <v>1902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" t="str">
        <f t="shared" si="7"/>
        <v>17IA14.50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7">
        <v>46248</v>
      </c>
    </row>
    <row r="467" spans="1:14">
      <c r="A467" s="11" t="s">
        <v>1903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" t="str">
        <f t="shared" si="7"/>
        <v>17IA14.50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7"/>
    </row>
    <row r="468" spans="1:14">
      <c r="A468" s="11" t="s">
        <v>1904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" t="str">
        <f t="shared" si="7"/>
        <v>17IA14.50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7"/>
    </row>
    <row r="469" spans="1:14">
      <c r="A469" s="11" t="s">
        <v>1905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" t="str">
        <f t="shared" si="7"/>
        <v>17IA14.50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7"/>
    </row>
    <row r="470" spans="1:14">
      <c r="A470" s="11" t="s">
        <v>1906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" t="str">
        <f t="shared" si="7"/>
        <v>17IA14.50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7">
        <v>46248</v>
      </c>
    </row>
    <row r="471" spans="1:14">
      <c r="A471" s="11" t="s">
        <v>1907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" t="str">
        <f t="shared" si="7"/>
        <v>17IA14.50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7">
        <v>46248</v>
      </c>
    </row>
    <row r="472" spans="1:14">
      <c r="A472" s="11" t="s">
        <v>1908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" t="str">
        <f t="shared" si="7"/>
        <v>17IA14.50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7">
        <v>46248</v>
      </c>
    </row>
    <row r="473" spans="1:14">
      <c r="A473" s="11" t="s">
        <v>1909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" t="str">
        <f t="shared" si="7"/>
        <v>17IA14.50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7"/>
    </row>
    <row r="474" spans="1:14">
      <c r="A474" s="11" t="s">
        <v>1910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7"/>
    </row>
    <row r="475" spans="1:14">
      <c r="A475" s="11" t="s">
        <v>1911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7"/>
    </row>
    <row r="476" spans="1:14">
      <c r="A476" s="11" t="s">
        <v>1912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7">
        <v>46248</v>
      </c>
    </row>
    <row r="477" spans="1:14">
      <c r="A477" s="11" t="s">
        <v>1913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7">
        <v>46248</v>
      </c>
    </row>
    <row r="478" spans="1:14">
      <c r="A478" s="11" t="s">
        <v>1914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7">
        <v>46254</v>
      </c>
    </row>
    <row r="479" spans="1:14">
      <c r="A479" s="11" t="s">
        <v>1915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7"/>
    </row>
    <row r="480" spans="1:14">
      <c r="A480" s="11" t="s">
        <v>1916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7"/>
    </row>
    <row r="481" spans="1:14">
      <c r="A481" s="11" t="s">
        <v>1917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7">
        <v>46254</v>
      </c>
    </row>
    <row r="482" spans="1:14">
      <c r="A482" s="11" t="s">
        <v>1918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7"/>
    </row>
    <row r="483" spans="1:14">
      <c r="A483" s="11" t="s">
        <v>1919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7">
        <v>46254</v>
      </c>
    </row>
    <row r="484" spans="1:14">
      <c r="A484" s="11" t="s">
        <v>1920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7"/>
    </row>
    <row r="485" spans="1:14">
      <c r="A485" s="11" t="s">
        <v>1921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7">
        <v>46248</v>
      </c>
    </row>
    <row r="486" spans="1:14">
      <c r="A486" s="11" t="s">
        <v>1922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7"/>
    </row>
    <row r="487" spans="1:14">
      <c r="A487" s="11" t="s">
        <v>1923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7">
        <v>46254</v>
      </c>
    </row>
    <row r="488" spans="1:14">
      <c r="A488" s="11" t="s">
        <v>1924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7"/>
    </row>
    <row r="489" spans="1:14">
      <c r="A489" s="11" t="s">
        <v>1925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7"/>
    </row>
    <row r="490" spans="1:14">
      <c r="A490" s="11" t="s">
        <v>1926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7">
        <v>46254</v>
      </c>
    </row>
    <row r="491" spans="1:14">
      <c r="A491" s="11" t="s">
        <v>1927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7"/>
    </row>
    <row r="492" spans="1:14">
      <c r="A492" s="11" t="s">
        <v>1928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7"/>
    </row>
    <row r="493" spans="1:14">
      <c r="A493" s="11" t="s">
        <v>1929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7"/>
    </row>
    <row r="494" spans="1:14">
      <c r="A494" s="11" t="s">
        <v>1930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7"/>
    </row>
    <row r="495" spans="1:14">
      <c r="A495" s="11" t="s">
        <v>1931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7">
        <v>46248</v>
      </c>
    </row>
    <row r="496" spans="1:14">
      <c r="A496" s="11" t="s">
        <v>1932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7"/>
    </row>
    <row r="497" spans="1:14">
      <c r="A497" s="11" t="s">
        <v>1933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7"/>
    </row>
    <row r="498" spans="1:14">
      <c r="A498" s="11" t="s">
        <v>1934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7"/>
    </row>
    <row r="499" spans="1:14">
      <c r="A499" s="11" t="s">
        <v>1935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7"/>
    </row>
    <row r="500" spans="1:14">
      <c r="A500" s="11" t="s">
        <v>1936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7"/>
    </row>
    <row r="501" spans="1:14">
      <c r="A501" s="11" t="s">
        <v>1937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7"/>
    </row>
    <row r="502" spans="1:14">
      <c r="A502" s="11" t="s">
        <v>1938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7"/>
    </row>
    <row r="503" spans="1:14">
      <c r="A503" s="11" t="s">
        <v>1939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7"/>
    </row>
    <row r="504" spans="1:14">
      <c r="A504" s="11" t="s">
        <v>1940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7"/>
    </row>
    <row r="505" spans="1:14">
      <c r="A505" s="11" t="s">
        <v>1941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7">
        <v>46248</v>
      </c>
    </row>
    <row r="506" spans="1:14">
      <c r="A506" s="11" t="s">
        <v>1942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7"/>
    </row>
    <row r="507" spans="1:14">
      <c r="A507" s="11" t="s">
        <v>1943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7">
        <v>46248</v>
      </c>
    </row>
    <row r="508" spans="1:14">
      <c r="A508" s="11" t="s">
        <v>1944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7">
        <v>46248</v>
      </c>
    </row>
    <row r="509" spans="1:14">
      <c r="A509" s="11" t="s">
        <v>1945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7">
        <v>46254</v>
      </c>
    </row>
    <row r="510" spans="1:14">
      <c r="A510" s="11" t="s">
        <v>1946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7"/>
    </row>
    <row r="511" spans="1:14">
      <c r="A511" s="11" t="s">
        <v>1947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7">
        <v>46248</v>
      </c>
    </row>
    <row r="512" spans="1:14">
      <c r="A512" s="11" t="s">
        <v>1948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7">
        <v>46254</v>
      </c>
    </row>
    <row r="513" spans="1:14">
      <c r="A513" s="11" t="s">
        <v>1949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7">
        <v>46254</v>
      </c>
    </row>
    <row r="514" spans="1:14">
      <c r="A514" s="11" t="s">
        <v>1950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7"/>
    </row>
    <row r="515" spans="1:14">
      <c r="A515" s="11" t="s">
        <v>1951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7"/>
    </row>
    <row r="516" spans="1:14">
      <c r="A516" s="11" t="s">
        <v>1952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7">
        <v>46254</v>
      </c>
    </row>
    <row r="517" spans="1:14">
      <c r="A517" s="11" t="s">
        <v>1953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7"/>
    </row>
    <row r="518" spans="1:14">
      <c r="A518" s="11" t="s">
        <v>1954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7">
        <v>46248</v>
      </c>
    </row>
    <row r="519" spans="1:14">
      <c r="A519" s="11" t="s">
        <v>1955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7">
        <v>46254</v>
      </c>
    </row>
    <row r="520" spans="1:14">
      <c r="A520" s="11" t="s">
        <v>1956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7">
        <v>46254</v>
      </c>
    </row>
    <row r="521" spans="1:14">
      <c r="A521" s="11" t="s">
        <v>1957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7"/>
    </row>
    <row r="522" spans="1:14">
      <c r="A522" s="11" t="s">
        <v>1958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7">
        <v>46254</v>
      </c>
    </row>
    <row r="523" spans="1:14">
      <c r="A523" s="11" t="s">
        <v>1959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7">
        <v>46248</v>
      </c>
    </row>
    <row r="524" spans="1:14">
      <c r="A524" s="11" t="s">
        <v>1960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7"/>
    </row>
    <row r="525" spans="1:14">
      <c r="A525" s="11" t="s">
        <v>1961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7">
        <v>46248</v>
      </c>
    </row>
    <row r="526" spans="1:14">
      <c r="A526" s="11" t="s">
        <v>1962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7"/>
    </row>
    <row r="527" spans="1:14">
      <c r="A527" s="11" t="s">
        <v>1963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7">
        <v>46248</v>
      </c>
    </row>
    <row r="528" spans="1:14">
      <c r="A528" s="11" t="s">
        <v>1964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7">
        <v>46169</v>
      </c>
    </row>
    <row r="529" spans="1:14">
      <c r="A529" s="11" t="s">
        <v>1965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7">
        <v>46248</v>
      </c>
    </row>
    <row r="530" spans="1:14">
      <c r="A530" s="11" t="s">
        <v>1966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7">
        <v>46248</v>
      </c>
    </row>
    <row r="531" spans="1:14">
      <c r="A531" s="11" t="s">
        <v>1967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7">
        <v>46248</v>
      </c>
    </row>
    <row r="532" spans="1:14">
      <c r="A532" s="11" t="s">
        <v>1968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7">
        <v>46169</v>
      </c>
    </row>
    <row r="533" spans="1:14">
      <c r="A533" s="11" t="s">
        <v>1969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7">
        <v>46254</v>
      </c>
    </row>
    <row r="534" spans="1:14">
      <c r="A534" s="11" t="s">
        <v>1970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7">
        <v>46254</v>
      </c>
    </row>
    <row r="535" spans="1:14">
      <c r="A535" s="11" t="s">
        <v>1971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7">
        <v>46248</v>
      </c>
    </row>
    <row r="536" spans="1:14">
      <c r="A536" s="11" t="s">
        <v>1972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7">
        <v>46254</v>
      </c>
    </row>
    <row r="537" spans="1:14">
      <c r="A537" s="11" t="s">
        <v>1973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7"/>
    </row>
    <row r="538" spans="1:14">
      <c r="A538" s="11" t="s">
        <v>1974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7">
        <v>46248</v>
      </c>
    </row>
    <row r="539" spans="1:14">
      <c r="A539" s="11" t="s">
        <v>1975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7">
        <v>46248</v>
      </c>
    </row>
    <row r="540" spans="1:14">
      <c r="A540" s="11" t="s">
        <v>1976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7">
        <v>46248</v>
      </c>
    </row>
    <row r="541" spans="1:14">
      <c r="A541" s="11" t="s">
        <v>1977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7">
        <v>46248</v>
      </c>
    </row>
    <row r="542" spans="1:14">
      <c r="A542" s="11" t="s">
        <v>1978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7">
        <v>46248</v>
      </c>
    </row>
    <row r="543" spans="1:14">
      <c r="A543" s="11" t="s">
        <v>1979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7">
        <v>46248</v>
      </c>
    </row>
    <row r="544" spans="1:14">
      <c r="A544" s="11" t="s">
        <v>1980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7">
        <v>46248</v>
      </c>
    </row>
    <row r="545" spans="1:14">
      <c r="A545" s="11" t="s">
        <v>1981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7">
        <v>46248</v>
      </c>
    </row>
    <row r="546" spans="1:14">
      <c r="A546" s="11" t="s">
        <v>1982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7">
        <v>46248</v>
      </c>
    </row>
    <row r="547" spans="1:14">
      <c r="A547" s="11" t="s">
        <v>1983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7">
        <v>46248</v>
      </c>
    </row>
    <row r="548" spans="1:14">
      <c r="A548" s="11" t="s">
        <v>1984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7">
        <v>46248</v>
      </c>
    </row>
    <row r="549" spans="1:14">
      <c r="A549" s="11" t="s">
        <v>1985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7">
        <v>46248</v>
      </c>
    </row>
    <row r="550" spans="1:14">
      <c r="A550" s="11" t="s">
        <v>1986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7">
        <v>46248</v>
      </c>
    </row>
    <row r="551" spans="1:14">
      <c r="A551" s="11" t="s">
        <v>1987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7">
        <v>46248</v>
      </c>
    </row>
    <row r="552" spans="1:14">
      <c r="A552" s="11" t="s">
        <v>1988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7">
        <v>46169</v>
      </c>
    </row>
    <row r="553" spans="1:14">
      <c r="A553" s="11" t="s">
        <v>1989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7">
        <v>46248</v>
      </c>
    </row>
    <row r="554" spans="1:14">
      <c r="A554" s="11" t="s">
        <v>1990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7">
        <v>46254</v>
      </c>
    </row>
    <row r="555" spans="1:14">
      <c r="A555" s="11" t="s">
        <v>1991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7">
        <v>46248</v>
      </c>
    </row>
    <row r="556" spans="1:14">
      <c r="A556" s="11" t="s">
        <v>1992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7">
        <v>46248</v>
      </c>
    </row>
    <row r="557" spans="1:14">
      <c r="A557" s="11" t="s">
        <v>1993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7">
        <v>46248</v>
      </c>
    </row>
    <row r="558" spans="1:14">
      <c r="A558" s="11" t="s">
        <v>1994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7">
        <v>46248</v>
      </c>
    </row>
    <row r="559" spans="1:14">
      <c r="A559" s="11" t="s">
        <v>1995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7">
        <v>46248</v>
      </c>
    </row>
    <row r="560" spans="1:14">
      <c r="A560" s="11" t="s">
        <v>1996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7">
        <v>46248</v>
      </c>
    </row>
    <row r="561" spans="1:14">
      <c r="A561" s="11" t="s">
        <v>1997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7">
        <v>46248</v>
      </c>
    </row>
    <row r="562" spans="1:14">
      <c r="A562" s="11" t="s">
        <v>1998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7">
        <v>46254</v>
      </c>
    </row>
    <row r="563" spans="1:14">
      <c r="A563" s="11" t="s">
        <v>1999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7">
        <v>46248</v>
      </c>
    </row>
    <row r="564" spans="1:14">
      <c r="A564" s="11" t="s">
        <v>1272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" t="str">
        <f t="shared" si="8"/>
        <v>17IA14.60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7"/>
    </row>
    <row r="565" spans="1:14">
      <c r="A565" s="11" t="s">
        <v>1273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" t="str">
        <f t="shared" si="8"/>
        <v>17IA14.60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7"/>
    </row>
    <row r="566" spans="1:14">
      <c r="A566" s="11" t="s">
        <v>1274</v>
      </c>
      <c r="B566" s="11" t="s">
        <v>3956</v>
      </c>
      <c r="C566" s="11" t="s">
        <v>3957</v>
      </c>
      <c r="D566" s="11">
        <v>1</v>
      </c>
      <c r="E566" s="11" t="s">
        <v>3958</v>
      </c>
      <c r="F566" s="20">
        <v>46268.52107638889</v>
      </c>
      <c r="G566" s="11" t="s">
        <v>1173</v>
      </c>
      <c r="H566" s="11" t="s">
        <v>1213</v>
      </c>
      <c r="I566" s="1">
        <f>VLOOKUP(G566,WO!A:J,10,0)</f>
        <v>36</v>
      </c>
      <c r="J566" s="1" t="str">
        <f t="shared" si="8"/>
        <v>17IA14.60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7"/>
    </row>
    <row r="567" spans="1:14">
      <c r="A567" s="11" t="s">
        <v>1275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" t="str">
        <f t="shared" si="8"/>
        <v>17IA14.60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7"/>
    </row>
    <row r="568" spans="1:14">
      <c r="A568" s="11" t="s">
        <v>1276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" t="str">
        <f t="shared" si="8"/>
        <v>17IA14.60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7"/>
    </row>
    <row r="569" spans="1:14">
      <c r="A569" s="11" t="s">
        <v>1277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" t="str">
        <f t="shared" si="8"/>
        <v>17IA14.60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7"/>
    </row>
    <row r="570" spans="1:14">
      <c r="A570" s="11" t="s">
        <v>1278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" t="str">
        <f t="shared" si="8"/>
        <v>17IA14.60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7"/>
    </row>
    <row r="571" spans="1:14">
      <c r="A571" s="11" t="s">
        <v>1279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" t="str">
        <f t="shared" si="8"/>
        <v>17IA14.60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7"/>
    </row>
    <row r="572" spans="1:14">
      <c r="A572" s="11" t="s">
        <v>1280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" t="str">
        <f t="shared" si="8"/>
        <v>17IA14.60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7"/>
    </row>
    <row r="573" spans="1:14">
      <c r="A573" s="11" t="s">
        <v>1281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" t="str">
        <f t="shared" si="8"/>
        <v>17IA14.60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7"/>
    </row>
    <row r="574" spans="1:14">
      <c r="A574" s="11" t="s">
        <v>1282</v>
      </c>
      <c r="B574" s="11" t="s">
        <v>11</v>
      </c>
      <c r="C574" s="11" t="s">
        <v>12</v>
      </c>
      <c r="D574" s="11">
        <v>1</v>
      </c>
      <c r="E574" s="11" t="s">
        <v>13</v>
      </c>
      <c r="F574" s="20">
        <v>46273.328923611109</v>
      </c>
      <c r="G574" s="11" t="s">
        <v>1173</v>
      </c>
      <c r="H574" s="11" t="s">
        <v>1213</v>
      </c>
      <c r="I574" s="1">
        <f>VLOOKUP(G574,WO!A:J,10,0)</f>
        <v>36</v>
      </c>
      <c r="J574" s="1" t="str">
        <f t="shared" si="8"/>
        <v>17IA14.60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7"/>
    </row>
    <row r="575" spans="1:14">
      <c r="A575" s="11" t="s">
        <v>1283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" t="str">
        <f t="shared" si="8"/>
        <v>17IA14.60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7"/>
    </row>
    <row r="576" spans="1:14">
      <c r="A576" s="11" t="s">
        <v>1284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" t="str">
        <f t="shared" si="8"/>
        <v>17IA14.60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7"/>
    </row>
    <row r="577" spans="1:14">
      <c r="A577" s="11" t="s">
        <v>1285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" t="str">
        <f t="shared" si="8"/>
        <v>17IA14.60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7"/>
    </row>
    <row r="578" spans="1:14">
      <c r="A578" s="11" t="s">
        <v>1286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" t="str">
        <f t="shared" si="8"/>
        <v>17IA14.60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7"/>
    </row>
    <row r="579" spans="1:14">
      <c r="A579" s="11" t="s">
        <v>1287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" t="str">
        <f t="shared" ref="J579:J642" si="9">MID(G579,3,9)</f>
        <v>17IA14.60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7"/>
    </row>
    <row r="580" spans="1:14">
      <c r="A580" s="11" t="s">
        <v>1288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" t="str">
        <f t="shared" si="9"/>
        <v>17IA14.60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7"/>
    </row>
    <row r="581" spans="1:14">
      <c r="A581" s="11" t="s">
        <v>1289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" t="str">
        <f t="shared" si="9"/>
        <v>17IA14.60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7"/>
    </row>
    <row r="582" spans="1:14">
      <c r="A582" s="11" t="s">
        <v>1290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" t="str">
        <f t="shared" si="9"/>
        <v>17IA14.60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7"/>
    </row>
    <row r="583" spans="1:14">
      <c r="A583" s="11" t="s">
        <v>1291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" t="str">
        <f t="shared" si="9"/>
        <v>17IA14.60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7"/>
    </row>
    <row r="584" spans="1:14">
      <c r="A584" s="11" t="s">
        <v>1292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" t="str">
        <f t="shared" si="9"/>
        <v>17IA14.60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7"/>
    </row>
    <row r="585" spans="1:14">
      <c r="A585" s="11" t="s">
        <v>1293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" t="str">
        <f t="shared" si="9"/>
        <v>17IA14.60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7"/>
    </row>
    <row r="586" spans="1:14">
      <c r="A586" s="11" t="s">
        <v>1294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" t="str">
        <f t="shared" si="9"/>
        <v>17IA14.60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7"/>
    </row>
    <row r="587" spans="1:14">
      <c r="A587" s="11" t="s">
        <v>1295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" t="str">
        <f t="shared" si="9"/>
        <v>17IA14.60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7"/>
    </row>
    <row r="588" spans="1:14">
      <c r="A588" s="11" t="s">
        <v>1296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" t="str">
        <f t="shared" si="9"/>
        <v>17IA14.60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7"/>
    </row>
    <row r="589" spans="1:14">
      <c r="A589" s="11" t="s">
        <v>1297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" t="str">
        <f t="shared" si="9"/>
        <v>17IA14.60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7"/>
    </row>
    <row r="590" spans="1:14">
      <c r="A590" s="11" t="s">
        <v>1298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" t="str">
        <f t="shared" si="9"/>
        <v>17IA14.60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7"/>
    </row>
    <row r="591" spans="1:14">
      <c r="A591" s="11" t="s">
        <v>1299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" t="str">
        <f t="shared" si="9"/>
        <v>17IA14.60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7"/>
    </row>
    <row r="592" spans="1:14">
      <c r="A592" s="11" t="s">
        <v>1300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" t="str">
        <f t="shared" si="9"/>
        <v>17IA14.60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7">
        <v>46241</v>
      </c>
    </row>
    <row r="593" spans="1:14">
      <c r="A593" s="11" t="s">
        <v>1301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" t="str">
        <f t="shared" si="9"/>
        <v>17IA14.60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7">
        <v>46241</v>
      </c>
    </row>
    <row r="594" spans="1:14">
      <c r="A594" s="11" t="s">
        <v>1302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" t="str">
        <f t="shared" si="9"/>
        <v>17IA14.60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7">
        <v>46241</v>
      </c>
    </row>
    <row r="595" spans="1:14">
      <c r="A595" s="11" t="s">
        <v>1303</v>
      </c>
      <c r="B595" s="11" t="s">
        <v>11</v>
      </c>
      <c r="C595" s="11" t="s">
        <v>12</v>
      </c>
      <c r="D595" s="11">
        <v>1</v>
      </c>
      <c r="E595" s="11" t="s">
        <v>13</v>
      </c>
      <c r="F595" s="20">
        <v>46273.32980324074</v>
      </c>
      <c r="G595" s="11" t="s">
        <v>1173</v>
      </c>
      <c r="H595" s="11" t="s">
        <v>1213</v>
      </c>
      <c r="I595" s="1">
        <f>VLOOKUP(G595,WO!A:J,10,0)</f>
        <v>36</v>
      </c>
      <c r="J595" s="1" t="str">
        <f t="shared" si="9"/>
        <v>17IA14.60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7"/>
    </row>
    <row r="596" spans="1:14">
      <c r="A596" s="11" t="s">
        <v>1304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" t="str">
        <f t="shared" si="9"/>
        <v>17IA14.60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7">
        <v>46241</v>
      </c>
    </row>
    <row r="597" spans="1:14">
      <c r="A597" s="11" t="s">
        <v>1305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" t="str">
        <f t="shared" si="9"/>
        <v>17IA14.60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7">
        <v>46241</v>
      </c>
    </row>
    <row r="598" spans="1:14">
      <c r="A598" s="11" t="s">
        <v>1306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" t="str">
        <f t="shared" si="9"/>
        <v>17IA14.60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7">
        <v>46241</v>
      </c>
    </row>
    <row r="599" spans="1:14">
      <c r="A599" s="11" t="s">
        <v>1307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" t="str">
        <f t="shared" si="9"/>
        <v>17IA14.60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7"/>
    </row>
    <row r="600" spans="1:14">
      <c r="A600" s="11" t="s">
        <v>1308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" t="str">
        <f t="shared" si="9"/>
        <v>17IA14.60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7"/>
    </row>
    <row r="601" spans="1:14">
      <c r="A601" s="11" t="s">
        <v>1309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" t="str">
        <f t="shared" si="9"/>
        <v>17IA14.60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7"/>
    </row>
    <row r="602" spans="1:14">
      <c r="A602" s="11" t="s">
        <v>1310</v>
      </c>
      <c r="B602" s="11" t="s">
        <v>2684</v>
      </c>
      <c r="C602" s="11" t="s">
        <v>2685</v>
      </c>
      <c r="D602" s="11">
        <v>1</v>
      </c>
      <c r="E602" s="11" t="s">
        <v>151</v>
      </c>
      <c r="F602" s="20">
        <v>46272.61440972222</v>
      </c>
      <c r="G602" s="11" t="s">
        <v>1173</v>
      </c>
      <c r="H602" s="11" t="s">
        <v>1213</v>
      </c>
      <c r="I602" s="1">
        <f>VLOOKUP(G602,WO!A:J,10,0)</f>
        <v>36</v>
      </c>
      <c r="J602" s="1" t="str">
        <f t="shared" si="9"/>
        <v>17IA14.60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7"/>
    </row>
    <row r="603" spans="1:14">
      <c r="A603" s="11" t="s">
        <v>1311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" t="str">
        <f t="shared" si="9"/>
        <v>17IA14.60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7"/>
    </row>
    <row r="604" spans="1:14">
      <c r="A604" s="11" t="s">
        <v>1312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" t="str">
        <f t="shared" si="9"/>
        <v>17IA14.60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7"/>
    </row>
    <row r="605" spans="1:14">
      <c r="A605" s="11" t="s">
        <v>1313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" t="str">
        <f t="shared" si="9"/>
        <v>17IA14.60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7"/>
    </row>
    <row r="606" spans="1:14">
      <c r="A606" s="11" t="s">
        <v>1314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7"/>
    </row>
    <row r="607" spans="1:14">
      <c r="A607" s="11" t="s">
        <v>1315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7"/>
    </row>
    <row r="608" spans="1:14">
      <c r="A608" s="11" t="s">
        <v>1316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7">
        <v>46241</v>
      </c>
    </row>
    <row r="609" spans="1:14">
      <c r="A609" s="11" t="s">
        <v>1317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7">
        <v>46241</v>
      </c>
    </row>
    <row r="610" spans="1:14">
      <c r="A610" s="11" t="s">
        <v>1318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7"/>
    </row>
    <row r="611" spans="1:14">
      <c r="A611" s="11" t="s">
        <v>1319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7"/>
    </row>
    <row r="612" spans="1:14">
      <c r="A612" s="11" t="s">
        <v>1320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7"/>
    </row>
    <row r="613" spans="1:14">
      <c r="A613" s="11" t="s">
        <v>1321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7"/>
    </row>
    <row r="614" spans="1:14">
      <c r="A614" s="11" t="s">
        <v>1322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7"/>
    </row>
    <row r="615" spans="1:14">
      <c r="A615" s="11" t="s">
        <v>1323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7"/>
    </row>
    <row r="616" spans="1:14">
      <c r="A616" s="11" t="s">
        <v>1324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7"/>
    </row>
    <row r="617" spans="1:14">
      <c r="A617" s="11" t="s">
        <v>1325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7"/>
    </row>
    <row r="618" spans="1:14">
      <c r="A618" s="11" t="s">
        <v>1326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7"/>
    </row>
    <row r="619" spans="1:14">
      <c r="A619" s="11" t="s">
        <v>1327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7"/>
    </row>
    <row r="620" spans="1:14">
      <c r="A620" s="11" t="s">
        <v>1328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7"/>
    </row>
    <row r="621" spans="1:14">
      <c r="A621" s="11" t="s">
        <v>1329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7"/>
    </row>
    <row r="622" spans="1:14">
      <c r="A622" s="11" t="s">
        <v>1330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7"/>
    </row>
    <row r="623" spans="1:14">
      <c r="A623" s="11" t="s">
        <v>1331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7">
        <v>46241</v>
      </c>
    </row>
    <row r="624" spans="1:14">
      <c r="A624" s="11" t="s">
        <v>1332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7"/>
    </row>
    <row r="625" spans="1:14">
      <c r="A625" s="11" t="s">
        <v>1333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7">
        <v>46241</v>
      </c>
    </row>
    <row r="626" spans="1:14">
      <c r="A626" s="11" t="s">
        <v>1334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7"/>
    </row>
    <row r="627" spans="1:14">
      <c r="A627" s="11" t="s">
        <v>1335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7"/>
    </row>
    <row r="628" spans="1:14">
      <c r="A628" s="11" t="s">
        <v>1336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7"/>
    </row>
    <row r="629" spans="1:14">
      <c r="A629" s="11" t="s">
        <v>1337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7"/>
    </row>
    <row r="630" spans="1:14">
      <c r="A630" s="11" t="s">
        <v>1338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7"/>
    </row>
    <row r="631" spans="1:14">
      <c r="A631" s="11" t="s">
        <v>1339</v>
      </c>
      <c r="B631" s="11" t="s">
        <v>2684</v>
      </c>
      <c r="C631" s="11" t="s">
        <v>2685</v>
      </c>
      <c r="D631" s="11">
        <v>1</v>
      </c>
      <c r="E631" s="11" t="s">
        <v>151</v>
      </c>
      <c r="F631" s="20">
        <v>46272.58394675926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7"/>
    </row>
    <row r="632" spans="1:14">
      <c r="A632" s="11" t="s">
        <v>1340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7"/>
    </row>
    <row r="633" spans="1:14">
      <c r="A633" s="11" t="s">
        <v>1341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7"/>
    </row>
    <row r="634" spans="1:14">
      <c r="A634" s="11" t="s">
        <v>1342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7"/>
    </row>
    <row r="635" spans="1:14">
      <c r="A635" s="11" t="s">
        <v>1343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7"/>
    </row>
    <row r="636" spans="1:14">
      <c r="A636" s="11" t="s">
        <v>1344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7"/>
    </row>
    <row r="637" spans="1:14">
      <c r="A637" s="11" t="s">
        <v>1345</v>
      </c>
      <c r="B637" s="11" t="s">
        <v>8</v>
      </c>
      <c r="C637" s="11" t="s">
        <v>9</v>
      </c>
      <c r="D637" s="11">
        <v>1</v>
      </c>
      <c r="E637" s="11" t="s">
        <v>10</v>
      </c>
      <c r="F637" s="20">
        <v>46266.454398148147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7"/>
    </row>
    <row r="638" spans="1:14">
      <c r="A638" s="11" t="s">
        <v>1346</v>
      </c>
      <c r="B638" s="11" t="s">
        <v>11</v>
      </c>
      <c r="C638" s="11" t="s">
        <v>12</v>
      </c>
      <c r="D638" s="11">
        <v>1</v>
      </c>
      <c r="E638" s="11" t="s">
        <v>13</v>
      </c>
      <c r="F638" s="20">
        <v>46275.283819444441</v>
      </c>
      <c r="G638" s="11" t="s">
        <v>1347</v>
      </c>
      <c r="H638" s="11" t="s">
        <v>1348</v>
      </c>
      <c r="I638" s="1">
        <f>VLOOKUP(G638,WO!A:J,10,0)</f>
        <v>35</v>
      </c>
      <c r="J638" s="1" t="str">
        <f t="shared" si="9"/>
        <v>17IA14.70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7"/>
    </row>
    <row r="639" spans="1:14">
      <c r="A639" s="11" t="s">
        <v>1349</v>
      </c>
      <c r="B639" s="11" t="s">
        <v>11</v>
      </c>
      <c r="C639" s="11" t="s">
        <v>12</v>
      </c>
      <c r="D639" s="11">
        <v>1</v>
      </c>
      <c r="E639" s="11" t="s">
        <v>13</v>
      </c>
      <c r="F639" s="20">
        <v>46275.283831018518</v>
      </c>
      <c r="G639" s="11" t="s">
        <v>1347</v>
      </c>
      <c r="H639" s="11" t="s">
        <v>1348</v>
      </c>
      <c r="I639" s="1">
        <f>VLOOKUP(G639,WO!A:J,10,0)</f>
        <v>35</v>
      </c>
      <c r="J639" s="1" t="str">
        <f t="shared" si="9"/>
        <v>17IA14.70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7"/>
    </row>
    <row r="640" spans="1:14">
      <c r="A640" s="11" t="s">
        <v>1350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1347</v>
      </c>
      <c r="H640" s="11" t="s">
        <v>1348</v>
      </c>
      <c r="I640" s="1">
        <f>VLOOKUP(G640,WO!A:J,10,0)</f>
        <v>35</v>
      </c>
      <c r="J640" s="1" t="str">
        <f t="shared" si="9"/>
        <v>17IA14.70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7">
        <v>46234</v>
      </c>
    </row>
    <row r="641" spans="1:14">
      <c r="A641" s="11" t="s">
        <v>1351</v>
      </c>
      <c r="B641" s="11" t="s">
        <v>11</v>
      </c>
      <c r="C641" s="11" t="s">
        <v>12</v>
      </c>
      <c r="D641" s="11">
        <v>1</v>
      </c>
      <c r="E641" s="11" t="s">
        <v>13</v>
      </c>
      <c r="F641" s="20">
        <v>46275.283819444441</v>
      </c>
      <c r="G641" s="11" t="s">
        <v>1347</v>
      </c>
      <c r="H641" s="11" t="s">
        <v>1348</v>
      </c>
      <c r="I641" s="1">
        <f>VLOOKUP(G641,WO!A:J,10,0)</f>
        <v>35</v>
      </c>
      <c r="J641" s="1" t="str">
        <f t="shared" si="9"/>
        <v>17IA14.70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7"/>
    </row>
    <row r="642" spans="1:14">
      <c r="A642" s="11" t="s">
        <v>1352</v>
      </c>
      <c r="B642" s="11" t="s">
        <v>11</v>
      </c>
      <c r="C642" s="11" t="s">
        <v>12</v>
      </c>
      <c r="D642" s="11">
        <v>1</v>
      </c>
      <c r="E642" s="11" t="s">
        <v>13</v>
      </c>
      <c r="F642" s="20">
        <v>46275.283831018518</v>
      </c>
      <c r="G642" s="11" t="s">
        <v>1347</v>
      </c>
      <c r="H642" s="11" t="s">
        <v>1348</v>
      </c>
      <c r="I642" s="1">
        <f>VLOOKUP(G642,WO!A:J,10,0)</f>
        <v>35</v>
      </c>
      <c r="J642" s="1" t="str">
        <f t="shared" si="9"/>
        <v>17IA14.70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7"/>
    </row>
    <row r="643" spans="1:14">
      <c r="A643" s="11" t="s">
        <v>1353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1347</v>
      </c>
      <c r="H643" s="11" t="s">
        <v>1348</v>
      </c>
      <c r="I643" s="1">
        <f>VLOOKUP(G643,WO!A:J,10,0)</f>
        <v>35</v>
      </c>
      <c r="J643" s="1" t="str">
        <f t="shared" ref="J643:J706" si="10">MID(G643,3,9)</f>
        <v>17IA14.70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7"/>
    </row>
    <row r="644" spans="1:14">
      <c r="A644" s="11" t="s">
        <v>1354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1347</v>
      </c>
      <c r="H644" s="11" t="s">
        <v>1348</v>
      </c>
      <c r="I644" s="1">
        <f>VLOOKUP(G644,WO!A:J,10,0)</f>
        <v>35</v>
      </c>
      <c r="J644" s="1" t="str">
        <f t="shared" si="10"/>
        <v>17IA14.70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7">
        <v>46234</v>
      </c>
    </row>
    <row r="645" spans="1:14">
      <c r="A645" s="11" t="s">
        <v>1355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1347</v>
      </c>
      <c r="H645" s="11" t="s">
        <v>1348</v>
      </c>
      <c r="I645" s="1">
        <f>VLOOKUP(G645,WO!A:J,10,0)</f>
        <v>35</v>
      </c>
      <c r="J645" s="1" t="str">
        <f t="shared" si="10"/>
        <v>17IA14.70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7"/>
    </row>
    <row r="646" spans="1:14">
      <c r="A646" s="11" t="s">
        <v>1356</v>
      </c>
      <c r="B646" s="11" t="s">
        <v>11</v>
      </c>
      <c r="C646" s="11" t="s">
        <v>12</v>
      </c>
      <c r="D646" s="11">
        <v>1</v>
      </c>
      <c r="E646" s="11" t="s">
        <v>13</v>
      </c>
      <c r="F646" s="20">
        <v>46275.283831018518</v>
      </c>
      <c r="G646" s="11" t="s">
        <v>1347</v>
      </c>
      <c r="H646" s="11" t="s">
        <v>1348</v>
      </c>
      <c r="I646" s="1">
        <f>VLOOKUP(G646,WO!A:J,10,0)</f>
        <v>35</v>
      </c>
      <c r="J646" s="1" t="str">
        <f t="shared" si="10"/>
        <v>17IA14.70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7"/>
    </row>
    <row r="647" spans="1:14">
      <c r="A647" s="11" t="s">
        <v>1357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1347</v>
      </c>
      <c r="H647" s="11" t="s">
        <v>1348</v>
      </c>
      <c r="I647" s="1">
        <f>VLOOKUP(G647,WO!A:J,10,0)</f>
        <v>35</v>
      </c>
      <c r="J647" s="1" t="str">
        <f t="shared" si="10"/>
        <v>17IA14.70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7">
        <v>46234</v>
      </c>
    </row>
    <row r="648" spans="1:14">
      <c r="A648" s="11" t="s">
        <v>1358</v>
      </c>
      <c r="B648" s="11" t="s">
        <v>11</v>
      </c>
      <c r="C648" s="11" t="s">
        <v>12</v>
      </c>
      <c r="D648" s="11">
        <v>1</v>
      </c>
      <c r="E648" s="11" t="s">
        <v>13</v>
      </c>
      <c r="F648" s="20">
        <v>46275.281099537038</v>
      </c>
      <c r="G648" s="11" t="s">
        <v>1347</v>
      </c>
      <c r="H648" s="11" t="s">
        <v>1348</v>
      </c>
      <c r="I648" s="1">
        <f>VLOOKUP(G648,WO!A:J,10,0)</f>
        <v>35</v>
      </c>
      <c r="J648" s="1" t="str">
        <f t="shared" si="10"/>
        <v>17IA14.70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7"/>
    </row>
    <row r="649" spans="1:14">
      <c r="A649" s="11" t="s">
        <v>1359</v>
      </c>
      <c r="B649" s="11" t="s">
        <v>11</v>
      </c>
      <c r="C649" s="11" t="s">
        <v>12</v>
      </c>
      <c r="D649" s="11">
        <v>1</v>
      </c>
      <c r="E649" s="11" t="s">
        <v>13</v>
      </c>
      <c r="F649" s="20">
        <v>46275.283819444441</v>
      </c>
      <c r="G649" s="11" t="s">
        <v>1347</v>
      </c>
      <c r="H649" s="11" t="s">
        <v>1348</v>
      </c>
      <c r="I649" s="1">
        <f>VLOOKUP(G649,WO!A:J,10,0)</f>
        <v>35</v>
      </c>
      <c r="J649" s="1" t="str">
        <f t="shared" si="10"/>
        <v>17IA14.70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7"/>
    </row>
    <row r="650" spans="1:14">
      <c r="A650" s="11" t="s">
        <v>1360</v>
      </c>
      <c r="B650" s="11" t="s">
        <v>11</v>
      </c>
      <c r="C650" s="11" t="s">
        <v>12</v>
      </c>
      <c r="D650" s="11">
        <v>1</v>
      </c>
      <c r="E650" s="11" t="s">
        <v>13</v>
      </c>
      <c r="F650" s="20">
        <v>46275.283819444441</v>
      </c>
      <c r="G650" s="11" t="s">
        <v>1347</v>
      </c>
      <c r="H650" s="11" t="s">
        <v>1348</v>
      </c>
      <c r="I650" s="1">
        <f>VLOOKUP(G650,WO!A:J,10,0)</f>
        <v>35</v>
      </c>
      <c r="J650" s="1" t="str">
        <f t="shared" si="10"/>
        <v>17IA14.70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7"/>
    </row>
    <row r="651" spans="1:14">
      <c r="A651" s="11" t="s">
        <v>1361</v>
      </c>
      <c r="B651" s="11" t="s">
        <v>11</v>
      </c>
      <c r="C651" s="11" t="s">
        <v>12</v>
      </c>
      <c r="D651" s="11">
        <v>1</v>
      </c>
      <c r="E651" s="11" t="s">
        <v>13</v>
      </c>
      <c r="F651" s="20">
        <v>46275.283819444441</v>
      </c>
      <c r="G651" s="11" t="s">
        <v>1347</v>
      </c>
      <c r="H651" s="11" t="s">
        <v>1348</v>
      </c>
      <c r="I651" s="1">
        <f>VLOOKUP(G651,WO!A:J,10,0)</f>
        <v>35</v>
      </c>
      <c r="J651" s="1" t="str">
        <f t="shared" si="10"/>
        <v>17IA14.70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7"/>
    </row>
    <row r="652" spans="1:14">
      <c r="A652" s="11" t="s">
        <v>1362</v>
      </c>
      <c r="B652" s="11" t="s">
        <v>11</v>
      </c>
      <c r="C652" s="11" t="s">
        <v>12</v>
      </c>
      <c r="D652" s="11">
        <v>1</v>
      </c>
      <c r="E652" s="11" t="s">
        <v>13</v>
      </c>
      <c r="F652" s="20">
        <v>46275.283831018518</v>
      </c>
      <c r="G652" s="11" t="s">
        <v>1347</v>
      </c>
      <c r="H652" s="11" t="s">
        <v>1348</v>
      </c>
      <c r="I652" s="1">
        <f>VLOOKUP(G652,WO!A:J,10,0)</f>
        <v>35</v>
      </c>
      <c r="J652" s="1" t="str">
        <f t="shared" si="10"/>
        <v>17IA14.70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7"/>
    </row>
    <row r="653" spans="1:14">
      <c r="A653" s="11" t="s">
        <v>1363</v>
      </c>
      <c r="B653" s="11" t="s">
        <v>11</v>
      </c>
      <c r="C653" s="11" t="s">
        <v>12</v>
      </c>
      <c r="D653" s="11">
        <v>1</v>
      </c>
      <c r="E653" s="11" t="s">
        <v>13</v>
      </c>
      <c r="F653" s="20">
        <v>46275.283819444441</v>
      </c>
      <c r="G653" s="11" t="s">
        <v>1347</v>
      </c>
      <c r="H653" s="11" t="s">
        <v>1348</v>
      </c>
      <c r="I653" s="1">
        <f>VLOOKUP(G653,WO!A:J,10,0)</f>
        <v>35</v>
      </c>
      <c r="J653" s="1" t="str">
        <f t="shared" si="10"/>
        <v>17IA14.70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7"/>
    </row>
    <row r="654" spans="1:14">
      <c r="A654" s="11" t="s">
        <v>1364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1347</v>
      </c>
      <c r="H654" s="11" t="s">
        <v>1348</v>
      </c>
      <c r="I654" s="1">
        <f>VLOOKUP(G654,WO!A:J,10,0)</f>
        <v>35</v>
      </c>
      <c r="J654" s="1" t="str">
        <f t="shared" si="10"/>
        <v>17IA14.70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7">
        <v>46234</v>
      </c>
    </row>
    <row r="655" spans="1:14">
      <c r="A655" s="11" t="s">
        <v>1365</v>
      </c>
      <c r="B655" s="11" t="s">
        <v>11</v>
      </c>
      <c r="C655" s="11" t="s">
        <v>12</v>
      </c>
      <c r="D655" s="11">
        <v>1</v>
      </c>
      <c r="E655" s="11" t="s">
        <v>13</v>
      </c>
      <c r="F655" s="20">
        <v>46275.283831018518</v>
      </c>
      <c r="G655" s="11" t="s">
        <v>1347</v>
      </c>
      <c r="H655" s="11" t="s">
        <v>1348</v>
      </c>
      <c r="I655" s="1">
        <f>VLOOKUP(G655,WO!A:J,10,0)</f>
        <v>35</v>
      </c>
      <c r="J655" s="1" t="str">
        <f t="shared" si="10"/>
        <v>17IA14.70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7"/>
    </row>
    <row r="656" spans="1:14">
      <c r="A656" s="11" t="s">
        <v>1366</v>
      </c>
      <c r="B656" s="11" t="s">
        <v>11</v>
      </c>
      <c r="C656" s="11" t="s">
        <v>12</v>
      </c>
      <c r="D656" s="11">
        <v>1</v>
      </c>
      <c r="E656" s="11" t="s">
        <v>13</v>
      </c>
      <c r="F656" s="20">
        <v>46275.283819444441</v>
      </c>
      <c r="G656" s="11" t="s">
        <v>1347</v>
      </c>
      <c r="H656" s="11" t="s">
        <v>1348</v>
      </c>
      <c r="I656" s="1">
        <f>VLOOKUP(G656,WO!A:J,10,0)</f>
        <v>35</v>
      </c>
      <c r="J656" s="1" t="str">
        <f t="shared" si="10"/>
        <v>17IA14.70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7"/>
    </row>
    <row r="657" spans="1:14">
      <c r="A657" s="11" t="s">
        <v>1367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1347</v>
      </c>
      <c r="H657" s="11" t="s">
        <v>1348</v>
      </c>
      <c r="I657" s="1">
        <f>VLOOKUP(G657,WO!A:J,10,0)</f>
        <v>35</v>
      </c>
      <c r="J657" s="1" t="str">
        <f t="shared" si="10"/>
        <v>17IA14.70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7">
        <v>46234</v>
      </c>
    </row>
    <row r="658" spans="1:14">
      <c r="A658" s="11" t="s">
        <v>1368</v>
      </c>
      <c r="B658" s="11" t="s">
        <v>11</v>
      </c>
      <c r="C658" s="11" t="s">
        <v>12</v>
      </c>
      <c r="D658" s="11">
        <v>1</v>
      </c>
      <c r="E658" s="11" t="s">
        <v>13</v>
      </c>
      <c r="F658" s="20">
        <v>46275.283819444441</v>
      </c>
      <c r="G658" s="11" t="s">
        <v>1347</v>
      </c>
      <c r="H658" s="11" t="s">
        <v>1348</v>
      </c>
      <c r="I658" s="1">
        <f>VLOOKUP(G658,WO!A:J,10,0)</f>
        <v>35</v>
      </c>
      <c r="J658" s="1" t="str">
        <f t="shared" si="10"/>
        <v>17IA14.70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7"/>
    </row>
    <row r="659" spans="1:14">
      <c r="A659" s="11" t="s">
        <v>1369</v>
      </c>
      <c r="B659" s="11" t="s">
        <v>11</v>
      </c>
      <c r="C659" s="11" t="s">
        <v>12</v>
      </c>
      <c r="D659" s="11">
        <v>1</v>
      </c>
      <c r="E659" s="11" t="s">
        <v>13</v>
      </c>
      <c r="F659" s="20">
        <v>46275.283819444441</v>
      </c>
      <c r="G659" s="11" t="s">
        <v>1347</v>
      </c>
      <c r="H659" s="11" t="s">
        <v>1348</v>
      </c>
      <c r="I659" s="1">
        <f>VLOOKUP(G659,WO!A:J,10,0)</f>
        <v>35</v>
      </c>
      <c r="J659" s="1" t="str">
        <f t="shared" si="10"/>
        <v>17IA14.70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7"/>
    </row>
    <row r="660" spans="1:14">
      <c r="A660" s="11" t="s">
        <v>1370</v>
      </c>
      <c r="B660" s="11" t="s">
        <v>11</v>
      </c>
      <c r="C660" s="11" t="s">
        <v>12</v>
      </c>
      <c r="D660" s="11">
        <v>1</v>
      </c>
      <c r="E660" s="11" t="s">
        <v>13</v>
      </c>
      <c r="F660" s="20">
        <v>46275.283831018518</v>
      </c>
      <c r="G660" s="11" t="s">
        <v>1347</v>
      </c>
      <c r="H660" s="11" t="s">
        <v>1348</v>
      </c>
      <c r="I660" s="1">
        <f>VLOOKUP(G660,WO!A:J,10,0)</f>
        <v>35</v>
      </c>
      <c r="J660" s="1" t="str">
        <f t="shared" si="10"/>
        <v>17IA14.70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7"/>
    </row>
    <row r="661" spans="1:14">
      <c r="A661" s="11" t="s">
        <v>1371</v>
      </c>
      <c r="B661" s="11" t="s">
        <v>11</v>
      </c>
      <c r="C661" s="11" t="s">
        <v>12</v>
      </c>
      <c r="D661" s="11">
        <v>1</v>
      </c>
      <c r="E661" s="11" t="s">
        <v>13</v>
      </c>
      <c r="F661" s="20">
        <v>46275.283819444441</v>
      </c>
      <c r="G661" s="11" t="s">
        <v>1347</v>
      </c>
      <c r="H661" s="11" t="s">
        <v>1348</v>
      </c>
      <c r="I661" s="1">
        <f>VLOOKUP(G661,WO!A:J,10,0)</f>
        <v>35</v>
      </c>
      <c r="J661" s="1" t="str">
        <f t="shared" si="10"/>
        <v>17IA14.70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7"/>
    </row>
    <row r="662" spans="1:14">
      <c r="A662" s="11" t="s">
        <v>1372</v>
      </c>
      <c r="B662" s="11" t="s">
        <v>11</v>
      </c>
      <c r="C662" s="11" t="s">
        <v>12</v>
      </c>
      <c r="D662" s="11">
        <v>1</v>
      </c>
      <c r="E662" s="11" t="s">
        <v>13</v>
      </c>
      <c r="F662" s="20">
        <v>46275.283819444441</v>
      </c>
      <c r="G662" s="11" t="s">
        <v>1347</v>
      </c>
      <c r="H662" s="11" t="s">
        <v>1348</v>
      </c>
      <c r="I662" s="1">
        <f>VLOOKUP(G662,WO!A:J,10,0)</f>
        <v>35</v>
      </c>
      <c r="J662" s="1" t="str">
        <f t="shared" si="10"/>
        <v>17IA14.70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7"/>
    </row>
    <row r="663" spans="1:14">
      <c r="A663" s="11" t="s">
        <v>1373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1347</v>
      </c>
      <c r="H663" s="11" t="s">
        <v>1348</v>
      </c>
      <c r="I663" s="1">
        <f>VLOOKUP(G663,WO!A:J,10,0)</f>
        <v>35</v>
      </c>
      <c r="J663" s="1" t="str">
        <f t="shared" si="10"/>
        <v>17IA14.70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7">
        <v>46261</v>
      </c>
    </row>
    <row r="664" spans="1:14">
      <c r="A664" s="11" t="s">
        <v>1374</v>
      </c>
      <c r="B664" s="11" t="s">
        <v>11</v>
      </c>
      <c r="C664" s="11" t="s">
        <v>12</v>
      </c>
      <c r="D664" s="11">
        <v>1</v>
      </c>
      <c r="E664" s="11" t="s">
        <v>13</v>
      </c>
      <c r="F664" s="20">
        <v>46275.283819444441</v>
      </c>
      <c r="G664" s="11" t="s">
        <v>1347</v>
      </c>
      <c r="H664" s="11" t="s">
        <v>1348</v>
      </c>
      <c r="I664" s="1">
        <f>VLOOKUP(G664,WO!A:J,10,0)</f>
        <v>35</v>
      </c>
      <c r="J664" s="1" t="str">
        <f t="shared" si="10"/>
        <v>17IA14.70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7"/>
    </row>
    <row r="665" spans="1:14">
      <c r="A665" s="11" t="s">
        <v>1375</v>
      </c>
      <c r="B665" s="11" t="s">
        <v>11</v>
      </c>
      <c r="C665" s="11" t="s">
        <v>12</v>
      </c>
      <c r="D665" s="11">
        <v>1</v>
      </c>
      <c r="E665" s="11" t="s">
        <v>13</v>
      </c>
      <c r="F665" s="20">
        <v>46275.283831018518</v>
      </c>
      <c r="G665" s="11" t="s">
        <v>1347</v>
      </c>
      <c r="H665" s="11" t="s">
        <v>1348</v>
      </c>
      <c r="I665" s="1">
        <f>VLOOKUP(G665,WO!A:J,10,0)</f>
        <v>35</v>
      </c>
      <c r="J665" s="1" t="str">
        <f t="shared" si="10"/>
        <v>17IA14.70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7"/>
    </row>
    <row r="666" spans="1:14">
      <c r="A666" s="11" t="s">
        <v>1376</v>
      </c>
      <c r="B666" s="11" t="s">
        <v>11</v>
      </c>
      <c r="C666" s="11" t="s">
        <v>12</v>
      </c>
      <c r="D666" s="11">
        <v>1</v>
      </c>
      <c r="E666" s="11" t="s">
        <v>13</v>
      </c>
      <c r="F666" s="20">
        <v>46275.283819444441</v>
      </c>
      <c r="G666" s="11" t="s">
        <v>1347</v>
      </c>
      <c r="H666" s="11" t="s">
        <v>1348</v>
      </c>
      <c r="I666" s="1">
        <f>VLOOKUP(G666,WO!A:J,10,0)</f>
        <v>35</v>
      </c>
      <c r="J666" s="1" t="str">
        <f t="shared" si="10"/>
        <v>17IA14.70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7"/>
    </row>
    <row r="667" spans="1:14">
      <c r="A667" s="11" t="s">
        <v>1377</v>
      </c>
      <c r="B667" s="11" t="s">
        <v>11</v>
      </c>
      <c r="C667" s="11" t="s">
        <v>12</v>
      </c>
      <c r="D667" s="11">
        <v>1</v>
      </c>
      <c r="E667" s="11" t="s">
        <v>13</v>
      </c>
      <c r="F667" s="20">
        <v>46275.283819444441</v>
      </c>
      <c r="G667" s="11" t="s">
        <v>1347</v>
      </c>
      <c r="H667" s="11" t="s">
        <v>1348</v>
      </c>
      <c r="I667" s="1">
        <f>VLOOKUP(G667,WO!A:J,10,0)</f>
        <v>35</v>
      </c>
      <c r="J667" s="1" t="str">
        <f t="shared" si="10"/>
        <v>17IA14.70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7"/>
    </row>
    <row r="668" spans="1:14">
      <c r="A668" s="11" t="s">
        <v>1378</v>
      </c>
      <c r="B668" s="11" t="s">
        <v>11</v>
      </c>
      <c r="C668" s="11" t="s">
        <v>12</v>
      </c>
      <c r="D668" s="11">
        <v>1</v>
      </c>
      <c r="E668" s="11" t="s">
        <v>13</v>
      </c>
      <c r="F668" s="20">
        <v>46275.283819444441</v>
      </c>
      <c r="G668" s="11" t="s">
        <v>1347</v>
      </c>
      <c r="H668" s="11" t="s">
        <v>1348</v>
      </c>
      <c r="I668" s="1">
        <f>VLOOKUP(G668,WO!A:J,10,0)</f>
        <v>35</v>
      </c>
      <c r="J668" s="1" t="str">
        <f t="shared" si="10"/>
        <v>17IA14.70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7"/>
    </row>
    <row r="669" spans="1:14">
      <c r="A669" s="11" t="s">
        <v>1379</v>
      </c>
      <c r="B669" s="11" t="s">
        <v>11</v>
      </c>
      <c r="C669" s="11" t="s">
        <v>12</v>
      </c>
      <c r="D669" s="11">
        <v>1</v>
      </c>
      <c r="E669" s="11" t="s">
        <v>13</v>
      </c>
      <c r="F669" s="20">
        <v>46275.281099537038</v>
      </c>
      <c r="G669" s="11" t="s">
        <v>1347</v>
      </c>
      <c r="H669" s="11" t="s">
        <v>1348</v>
      </c>
      <c r="I669" s="1">
        <f>VLOOKUP(G669,WO!A:J,10,0)</f>
        <v>35</v>
      </c>
      <c r="J669" s="1" t="str">
        <f t="shared" si="10"/>
        <v>17IA14.70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7"/>
    </row>
    <row r="670" spans="1:14">
      <c r="A670" s="11" t="s">
        <v>1380</v>
      </c>
      <c r="B670" s="11" t="s">
        <v>11</v>
      </c>
      <c r="C670" s="11" t="s">
        <v>12</v>
      </c>
      <c r="D670" s="11">
        <v>1</v>
      </c>
      <c r="E670" s="11" t="s">
        <v>13</v>
      </c>
      <c r="F670" s="20">
        <v>46275.281099537038</v>
      </c>
      <c r="G670" s="11" t="s">
        <v>1347</v>
      </c>
      <c r="H670" s="11" t="s">
        <v>1348</v>
      </c>
      <c r="I670" s="1">
        <f>VLOOKUP(G670,WO!A:J,10,0)</f>
        <v>35</v>
      </c>
      <c r="J670" s="1" t="str">
        <f t="shared" si="10"/>
        <v>17IA14.70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7"/>
    </row>
    <row r="671" spans="1:14">
      <c r="A671" s="11" t="s">
        <v>1381</v>
      </c>
      <c r="B671" s="11" t="s">
        <v>11</v>
      </c>
      <c r="C671" s="11" t="s">
        <v>12</v>
      </c>
      <c r="D671" s="11">
        <v>1</v>
      </c>
      <c r="E671" s="11" t="s">
        <v>13</v>
      </c>
      <c r="F671" s="20">
        <v>46275.281099537038</v>
      </c>
      <c r="G671" s="11" t="s">
        <v>1347</v>
      </c>
      <c r="H671" s="11" t="s">
        <v>1348</v>
      </c>
      <c r="I671" s="1">
        <f>VLOOKUP(G671,WO!A:J,10,0)</f>
        <v>35</v>
      </c>
      <c r="J671" s="1" t="str">
        <f t="shared" si="10"/>
        <v>17IA14.70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7"/>
    </row>
    <row r="672" spans="1:14">
      <c r="A672" s="11" t="s">
        <v>1382</v>
      </c>
      <c r="B672" s="11" t="s">
        <v>11</v>
      </c>
      <c r="C672" s="11" t="s">
        <v>12</v>
      </c>
      <c r="D672" s="11">
        <v>1</v>
      </c>
      <c r="E672" s="11" t="s">
        <v>13</v>
      </c>
      <c r="F672" s="20">
        <v>46275.281099537038</v>
      </c>
      <c r="G672" s="11" t="s">
        <v>1347</v>
      </c>
      <c r="H672" s="11" t="s">
        <v>1348</v>
      </c>
      <c r="I672" s="1">
        <f>VLOOKUP(G672,WO!A:J,10,0)</f>
        <v>35</v>
      </c>
      <c r="J672" s="1" t="str">
        <f t="shared" si="10"/>
        <v>17IA14.70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7"/>
    </row>
    <row r="673" spans="1:14">
      <c r="A673" s="11" t="s">
        <v>1383</v>
      </c>
      <c r="B673" s="11" t="s">
        <v>11</v>
      </c>
      <c r="C673" s="11" t="s">
        <v>12</v>
      </c>
      <c r="D673" s="11">
        <v>1</v>
      </c>
      <c r="E673" s="11" t="s">
        <v>13</v>
      </c>
      <c r="F673" s="20">
        <v>46275.281099537038</v>
      </c>
      <c r="G673" s="11" t="s">
        <v>1347</v>
      </c>
      <c r="H673" s="11" t="s">
        <v>1348</v>
      </c>
      <c r="I673" s="1">
        <f>VLOOKUP(G673,WO!A:J,10,0)</f>
        <v>35</v>
      </c>
      <c r="J673" s="1" t="str">
        <f t="shared" si="10"/>
        <v>17IA14.70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7"/>
    </row>
    <row r="674" spans="1:14">
      <c r="A674" s="11" t="s">
        <v>1384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1347</v>
      </c>
      <c r="H674" s="11" t="s">
        <v>1348</v>
      </c>
      <c r="I674" s="1">
        <f>VLOOKUP(G674,WO!A:J,10,0)</f>
        <v>35</v>
      </c>
      <c r="J674" s="1" t="str">
        <f t="shared" si="10"/>
        <v>17IA14.70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7">
        <v>46261</v>
      </c>
    </row>
    <row r="675" spans="1:14">
      <c r="A675" s="11" t="s">
        <v>1385</v>
      </c>
      <c r="B675" s="11" t="s">
        <v>11</v>
      </c>
      <c r="C675" s="11" t="s">
        <v>12</v>
      </c>
      <c r="D675" s="11">
        <v>1</v>
      </c>
      <c r="E675" s="11" t="s">
        <v>13</v>
      </c>
      <c r="F675" s="20">
        <v>46275.281099537038</v>
      </c>
      <c r="G675" s="11" t="s">
        <v>1347</v>
      </c>
      <c r="H675" s="11" t="s">
        <v>1348</v>
      </c>
      <c r="I675" s="1">
        <f>VLOOKUP(G675,WO!A:J,10,0)</f>
        <v>35</v>
      </c>
      <c r="J675" s="1" t="str">
        <f t="shared" si="10"/>
        <v>17IA14.70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7"/>
    </row>
    <row r="676" spans="1:14">
      <c r="A676" s="11" t="s">
        <v>1386</v>
      </c>
      <c r="B676" s="11" t="s">
        <v>11</v>
      </c>
      <c r="C676" s="11" t="s">
        <v>12</v>
      </c>
      <c r="D676" s="11">
        <v>1</v>
      </c>
      <c r="E676" s="11" t="s">
        <v>13</v>
      </c>
      <c r="F676" s="20">
        <v>46275.281099537038</v>
      </c>
      <c r="G676" s="11" t="s">
        <v>1347</v>
      </c>
      <c r="H676" s="11" t="s">
        <v>1348</v>
      </c>
      <c r="I676" s="1">
        <f>VLOOKUP(G676,WO!A:J,10,0)</f>
        <v>35</v>
      </c>
      <c r="J676" s="1" t="str">
        <f t="shared" si="10"/>
        <v>17IA14.70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7"/>
    </row>
    <row r="677" spans="1:14">
      <c r="A677" s="11" t="s">
        <v>1387</v>
      </c>
      <c r="B677" s="11" t="s">
        <v>11</v>
      </c>
      <c r="C677" s="11" t="s">
        <v>12</v>
      </c>
      <c r="D677" s="11">
        <v>1</v>
      </c>
      <c r="E677" s="11" t="s">
        <v>13</v>
      </c>
      <c r="F677" s="20">
        <v>46275.281099537038</v>
      </c>
      <c r="G677" s="11" t="s">
        <v>1347</v>
      </c>
      <c r="H677" s="11" t="s">
        <v>1348</v>
      </c>
      <c r="I677" s="1">
        <f>VLOOKUP(G677,WO!A:J,10,0)</f>
        <v>35</v>
      </c>
      <c r="J677" s="1" t="str">
        <f t="shared" si="10"/>
        <v>17IA14.70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7"/>
    </row>
    <row r="678" spans="1:14">
      <c r="A678" s="11" t="s">
        <v>1388</v>
      </c>
      <c r="B678" s="11" t="s">
        <v>11</v>
      </c>
      <c r="C678" s="11" t="s">
        <v>12</v>
      </c>
      <c r="D678" s="11">
        <v>1</v>
      </c>
      <c r="E678" s="11" t="s">
        <v>13</v>
      </c>
      <c r="F678" s="20">
        <v>46275.283182870371</v>
      </c>
      <c r="G678" s="11" t="s">
        <v>1347</v>
      </c>
      <c r="H678" s="11" t="s">
        <v>1348</v>
      </c>
      <c r="I678" s="1">
        <f>VLOOKUP(G678,WO!A:J,10,0)</f>
        <v>35</v>
      </c>
      <c r="J678" s="1" t="str">
        <f t="shared" si="10"/>
        <v>17IA14.70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7"/>
    </row>
    <row r="679" spans="1:14">
      <c r="A679" s="11" t="s">
        <v>1389</v>
      </c>
      <c r="B679" s="11" t="s">
        <v>11</v>
      </c>
      <c r="C679" s="11" t="s">
        <v>12</v>
      </c>
      <c r="D679" s="11">
        <v>1</v>
      </c>
      <c r="E679" s="11" t="s">
        <v>13</v>
      </c>
      <c r="F679" s="20">
        <v>46275.281099537038</v>
      </c>
      <c r="G679" s="11" t="s">
        <v>1347</v>
      </c>
      <c r="H679" s="11" t="s">
        <v>1348</v>
      </c>
      <c r="I679" s="1">
        <f>VLOOKUP(G679,WO!A:J,10,0)</f>
        <v>35</v>
      </c>
      <c r="J679" s="1" t="str">
        <f t="shared" si="10"/>
        <v>17IA14.70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7"/>
    </row>
    <row r="680" spans="1:14">
      <c r="A680" s="11" t="s">
        <v>1390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7">
        <v>46261</v>
      </c>
    </row>
    <row r="681" spans="1:14">
      <c r="A681" s="11" t="s">
        <v>1391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7">
        <v>46234</v>
      </c>
    </row>
    <row r="682" spans="1:14">
      <c r="A682" s="11" t="s">
        <v>1392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7">
        <v>46234</v>
      </c>
    </row>
    <row r="683" spans="1:14">
      <c r="A683" s="11" t="s">
        <v>1393</v>
      </c>
      <c r="B683" s="11" t="s">
        <v>11</v>
      </c>
      <c r="C683" s="11" t="s">
        <v>12</v>
      </c>
      <c r="D683" s="11">
        <v>1</v>
      </c>
      <c r="E683" s="11" t="s">
        <v>13</v>
      </c>
      <c r="F683" s="20">
        <v>46275.281087962961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7"/>
    </row>
    <row r="684" spans="1:14">
      <c r="A684" s="11" t="s">
        <v>1394</v>
      </c>
      <c r="B684" s="11" t="s">
        <v>11</v>
      </c>
      <c r="C684" s="11" t="s">
        <v>12</v>
      </c>
      <c r="D684" s="11">
        <v>1</v>
      </c>
      <c r="E684" s="11" t="s">
        <v>13</v>
      </c>
      <c r="F684" s="20">
        <v>46275.281087962961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7"/>
    </row>
    <row r="685" spans="1:14">
      <c r="A685" s="11" t="s">
        <v>1395</v>
      </c>
      <c r="B685" s="11" t="s">
        <v>11</v>
      </c>
      <c r="C685" s="11" t="s">
        <v>12</v>
      </c>
      <c r="D685" s="11">
        <v>1</v>
      </c>
      <c r="E685" s="11" t="s">
        <v>13</v>
      </c>
      <c r="F685" s="20">
        <v>46275.281099537038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7"/>
    </row>
    <row r="686" spans="1:14">
      <c r="A686" s="11" t="s">
        <v>1396</v>
      </c>
      <c r="B686" s="11" t="s">
        <v>11</v>
      </c>
      <c r="C686" s="11" t="s">
        <v>12</v>
      </c>
      <c r="D686" s="11">
        <v>1</v>
      </c>
      <c r="E686" s="11" t="s">
        <v>13</v>
      </c>
      <c r="F686" s="20">
        <v>46275.281099537038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7"/>
    </row>
    <row r="687" spans="1:14">
      <c r="A687" s="11" t="s">
        <v>1397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7"/>
    </row>
    <row r="688" spans="1:14">
      <c r="A688" s="11" t="s">
        <v>1398</v>
      </c>
      <c r="B688" s="11" t="s">
        <v>11</v>
      </c>
      <c r="C688" s="11" t="s">
        <v>12</v>
      </c>
      <c r="D688" s="11">
        <v>1</v>
      </c>
      <c r="E688" s="11" t="s">
        <v>13</v>
      </c>
      <c r="F688" s="20">
        <v>46275.281087962961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7"/>
    </row>
    <row r="689" spans="1:14">
      <c r="A689" s="11" t="s">
        <v>1399</v>
      </c>
      <c r="B689" s="11" t="s">
        <v>11</v>
      </c>
      <c r="C689" s="11" t="s">
        <v>12</v>
      </c>
      <c r="D689" s="11">
        <v>1</v>
      </c>
      <c r="E689" s="11" t="s">
        <v>13</v>
      </c>
      <c r="F689" s="20">
        <v>46275.281087962961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7"/>
    </row>
    <row r="690" spans="1:14">
      <c r="A690" s="11" t="s">
        <v>1400</v>
      </c>
      <c r="B690" s="11" t="s">
        <v>11</v>
      </c>
      <c r="C690" s="11" t="s">
        <v>12</v>
      </c>
      <c r="D690" s="11">
        <v>1</v>
      </c>
      <c r="E690" s="11" t="s">
        <v>13</v>
      </c>
      <c r="F690" s="20">
        <v>46275.281099537038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7"/>
    </row>
    <row r="691" spans="1:14">
      <c r="A691" s="11" t="s">
        <v>1401</v>
      </c>
      <c r="B691" s="11" t="s">
        <v>11</v>
      </c>
      <c r="C691" s="11" t="s">
        <v>12</v>
      </c>
      <c r="D691" s="11">
        <v>1</v>
      </c>
      <c r="E691" s="11" t="s">
        <v>13</v>
      </c>
      <c r="F691" s="20">
        <v>46275.281099537038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7"/>
    </row>
    <row r="692" spans="1:14">
      <c r="A692" s="11" t="s">
        <v>1402</v>
      </c>
      <c r="B692" s="11" t="s">
        <v>11</v>
      </c>
      <c r="C692" s="11" t="s">
        <v>12</v>
      </c>
      <c r="D692" s="11">
        <v>1</v>
      </c>
      <c r="E692" s="11" t="s">
        <v>13</v>
      </c>
      <c r="F692" s="20">
        <v>46275.281087962961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7"/>
    </row>
    <row r="693" spans="1:14">
      <c r="A693" s="11" t="s">
        <v>1403</v>
      </c>
      <c r="B693" s="11" t="s">
        <v>11</v>
      </c>
      <c r="C693" s="11" t="s">
        <v>12</v>
      </c>
      <c r="D693" s="11">
        <v>1</v>
      </c>
      <c r="E693" s="11" t="s">
        <v>13</v>
      </c>
      <c r="F693" s="20">
        <v>46275.281099537038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7"/>
    </row>
    <row r="694" spans="1:14">
      <c r="A694" s="11" t="s">
        <v>1404</v>
      </c>
      <c r="B694" s="11" t="s">
        <v>11</v>
      </c>
      <c r="C694" s="11" t="s">
        <v>12</v>
      </c>
      <c r="D694" s="11">
        <v>1</v>
      </c>
      <c r="E694" s="11" t="s">
        <v>13</v>
      </c>
      <c r="F694" s="20">
        <v>46275.281099537038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7"/>
    </row>
    <row r="695" spans="1:14">
      <c r="A695" s="11" t="s">
        <v>1405</v>
      </c>
      <c r="B695" s="11" t="s">
        <v>11</v>
      </c>
      <c r="C695" s="11" t="s">
        <v>12</v>
      </c>
      <c r="D695" s="11">
        <v>1</v>
      </c>
      <c r="E695" s="11" t="s">
        <v>13</v>
      </c>
      <c r="F695" s="20">
        <v>46275.281087962961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7"/>
    </row>
    <row r="696" spans="1:14">
      <c r="A696" s="11" t="s">
        <v>1406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7">
        <v>46234</v>
      </c>
    </row>
    <row r="697" spans="1:14">
      <c r="A697" s="11" t="s">
        <v>1407</v>
      </c>
      <c r="B697" s="11" t="s">
        <v>11</v>
      </c>
      <c r="C697" s="11" t="s">
        <v>12</v>
      </c>
      <c r="D697" s="11">
        <v>1</v>
      </c>
      <c r="E697" s="11" t="s">
        <v>13</v>
      </c>
      <c r="F697" s="20">
        <v>46275.283182870371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7"/>
    </row>
    <row r="698" spans="1:14">
      <c r="A698" s="11" t="s">
        <v>1408</v>
      </c>
      <c r="B698" s="11" t="s">
        <v>11</v>
      </c>
      <c r="C698" s="11" t="s">
        <v>12</v>
      </c>
      <c r="D698" s="11">
        <v>1</v>
      </c>
      <c r="E698" s="11" t="s">
        <v>13</v>
      </c>
      <c r="F698" s="20">
        <v>46275.281087962961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7"/>
    </row>
    <row r="699" spans="1:14">
      <c r="A699" s="11" t="s">
        <v>1409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7"/>
    </row>
    <row r="700" spans="1:14">
      <c r="A700" s="11" t="s">
        <v>1410</v>
      </c>
      <c r="B700" s="11" t="s">
        <v>11</v>
      </c>
      <c r="C700" s="11" t="s">
        <v>12</v>
      </c>
      <c r="D700" s="11">
        <v>1</v>
      </c>
      <c r="E700" s="11" t="s">
        <v>13</v>
      </c>
      <c r="F700" s="20">
        <v>46275.281087962961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7"/>
    </row>
    <row r="701" spans="1:14">
      <c r="A701" s="11" t="s">
        <v>1411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7">
        <v>46234</v>
      </c>
    </row>
    <row r="702" spans="1:14">
      <c r="A702" s="11" t="s">
        <v>1412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7">
        <v>46234</v>
      </c>
    </row>
    <row r="703" spans="1:14">
      <c r="A703" s="11" t="s">
        <v>1413</v>
      </c>
      <c r="B703" s="11" t="s">
        <v>11</v>
      </c>
      <c r="C703" s="11" t="s">
        <v>12</v>
      </c>
      <c r="D703" s="11">
        <v>1</v>
      </c>
      <c r="E703" s="11" t="s">
        <v>13</v>
      </c>
      <c r="F703" s="20">
        <v>46275.281099537038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7"/>
    </row>
    <row r="704" spans="1:14">
      <c r="A704" s="11" t="s">
        <v>1414</v>
      </c>
      <c r="B704" s="11" t="s">
        <v>11</v>
      </c>
      <c r="C704" s="11" t="s">
        <v>12</v>
      </c>
      <c r="D704" s="11">
        <v>1</v>
      </c>
      <c r="E704" s="11" t="s">
        <v>13</v>
      </c>
      <c r="F704" s="20">
        <v>46275.281087962961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7"/>
    </row>
    <row r="705" spans="1:14">
      <c r="A705" s="11" t="s">
        <v>1415</v>
      </c>
      <c r="B705" s="11" t="s">
        <v>155</v>
      </c>
      <c r="C705" s="11" t="s">
        <v>156</v>
      </c>
      <c r="D705" s="11">
        <v>1</v>
      </c>
      <c r="E705" s="11" t="s">
        <v>151</v>
      </c>
      <c r="F705" s="20">
        <v>46275.284942129627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7"/>
    </row>
    <row r="706" spans="1:14">
      <c r="A706" s="11" t="s">
        <v>1416</v>
      </c>
      <c r="B706" s="11" t="s">
        <v>11</v>
      </c>
      <c r="C706" s="11" t="s">
        <v>12</v>
      </c>
      <c r="D706" s="11">
        <v>1</v>
      </c>
      <c r="E706" s="11" t="s">
        <v>13</v>
      </c>
      <c r="F706" s="20">
        <v>46275.283819444441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7"/>
    </row>
    <row r="707" spans="1:14">
      <c r="A707" s="11" t="s">
        <v>1417</v>
      </c>
      <c r="B707" s="11" t="s">
        <v>11</v>
      </c>
      <c r="C707" s="11" t="s">
        <v>12</v>
      </c>
      <c r="D707" s="11">
        <v>1</v>
      </c>
      <c r="E707" s="11" t="s">
        <v>13</v>
      </c>
      <c r="F707" s="20">
        <v>46275.283819444441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7"/>
    </row>
    <row r="708" spans="1:14">
      <c r="A708" s="11" t="s">
        <v>1418</v>
      </c>
      <c r="B708" s="11" t="s">
        <v>11</v>
      </c>
      <c r="C708" s="11" t="s">
        <v>12</v>
      </c>
      <c r="D708" s="11">
        <v>1</v>
      </c>
      <c r="E708" s="11" t="s">
        <v>13</v>
      </c>
      <c r="F708" s="20">
        <v>46275.283819444441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7"/>
    </row>
    <row r="709" spans="1:14">
      <c r="A709" s="11" t="s">
        <v>1419</v>
      </c>
      <c r="B709" s="11" t="s">
        <v>155</v>
      </c>
      <c r="C709" s="11" t="s">
        <v>156</v>
      </c>
      <c r="D709" s="11">
        <v>1</v>
      </c>
      <c r="E709" s="11" t="s">
        <v>151</v>
      </c>
      <c r="F709" s="20">
        <v>46275.284942129627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7"/>
    </row>
    <row r="710" spans="1:14">
      <c r="A710" s="11" t="s">
        <v>1420</v>
      </c>
      <c r="B710" s="11" t="s">
        <v>11</v>
      </c>
      <c r="C710" s="11" t="s">
        <v>12</v>
      </c>
      <c r="D710" s="11">
        <v>1</v>
      </c>
      <c r="E710" s="11" t="s">
        <v>13</v>
      </c>
      <c r="F710" s="20">
        <v>46275.283819444441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7"/>
    </row>
    <row r="711" spans="1:14">
      <c r="A711" s="11" t="s">
        <v>1421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46275.283819444441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7"/>
    </row>
    <row r="712" spans="1:14">
      <c r="A712" s="11" t="s">
        <v>3514</v>
      </c>
      <c r="B712" s="11" t="s">
        <v>11</v>
      </c>
      <c r="C712" s="11" t="s">
        <v>12</v>
      </c>
      <c r="D712" s="11">
        <v>1</v>
      </c>
      <c r="E712" s="11" t="s">
        <v>13</v>
      </c>
      <c r="F712" s="20">
        <v>46273.327199074076</v>
      </c>
      <c r="G712" s="11" t="s">
        <v>2221</v>
      </c>
      <c r="H712" s="11" t="s">
        <v>1213</v>
      </c>
      <c r="I712" s="1">
        <f>VLOOKUP(G712,WO!A:J,10,0)</f>
        <v>48</v>
      </c>
      <c r="J712" s="1" t="str">
        <f t="shared" si="11"/>
        <v>17IA14.80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7"/>
    </row>
    <row r="713" spans="1:14">
      <c r="A713" s="11" t="s">
        <v>3515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2221</v>
      </c>
      <c r="H713" s="11" t="s">
        <v>1213</v>
      </c>
      <c r="I713" s="1">
        <f>VLOOKUP(G713,WO!A:J,10,0)</f>
        <v>48</v>
      </c>
      <c r="J713" s="1" t="str">
        <f t="shared" si="11"/>
        <v>17IA14.80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7"/>
    </row>
    <row r="714" spans="1:14">
      <c r="A714" s="11" t="s">
        <v>3516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2221</v>
      </c>
      <c r="H714" s="11" t="s">
        <v>1213</v>
      </c>
      <c r="I714" s="1">
        <f>VLOOKUP(G714,WO!A:J,10,0)</f>
        <v>48</v>
      </c>
      <c r="J714" s="1" t="str">
        <f t="shared" si="11"/>
        <v>17IA14.80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7"/>
    </row>
    <row r="715" spans="1:14">
      <c r="A715" s="11" t="s">
        <v>3517</v>
      </c>
      <c r="B715" s="11" t="s">
        <v>954</v>
      </c>
      <c r="C715" s="11" t="s">
        <v>955</v>
      </c>
      <c r="D715" s="11">
        <v>1</v>
      </c>
      <c r="E715" s="11" t="s">
        <v>13</v>
      </c>
      <c r="F715" s="20">
        <v>46267.954444444447</v>
      </c>
      <c r="G715" s="11" t="s">
        <v>2221</v>
      </c>
      <c r="H715" s="11" t="s">
        <v>1213</v>
      </c>
      <c r="I715" s="1">
        <f>VLOOKUP(G715,WO!A:J,10,0)</f>
        <v>48</v>
      </c>
      <c r="J715" s="1" t="str">
        <f t="shared" si="11"/>
        <v>17IA14.80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7"/>
    </row>
    <row r="716" spans="1:14">
      <c r="A716" s="11" t="s">
        <v>3518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2221</v>
      </c>
      <c r="H716" s="11" t="s">
        <v>1213</v>
      </c>
      <c r="I716" s="1">
        <f>VLOOKUP(G716,WO!A:J,10,0)</f>
        <v>48</v>
      </c>
      <c r="J716" s="1" t="str">
        <f t="shared" si="11"/>
        <v>17IA14.80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7"/>
    </row>
    <row r="717" spans="1:14">
      <c r="A717" s="11" t="s">
        <v>3519</v>
      </c>
      <c r="B717" s="11" t="s">
        <v>954</v>
      </c>
      <c r="C717" s="11" t="s">
        <v>955</v>
      </c>
      <c r="D717" s="11">
        <v>1</v>
      </c>
      <c r="E717" s="11" t="s">
        <v>13</v>
      </c>
      <c r="F717" s="20">
        <v>46267.947164351855</v>
      </c>
      <c r="G717" s="11" t="s">
        <v>2221</v>
      </c>
      <c r="H717" s="11" t="s">
        <v>1213</v>
      </c>
      <c r="I717" s="1">
        <f>VLOOKUP(G717,WO!A:J,10,0)</f>
        <v>48</v>
      </c>
      <c r="J717" s="1" t="str">
        <f t="shared" si="11"/>
        <v>17IA14.80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7"/>
    </row>
    <row r="718" spans="1:14">
      <c r="A718" s="11" t="s">
        <v>3520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2221</v>
      </c>
      <c r="H718" s="11" t="s">
        <v>1213</v>
      </c>
      <c r="I718" s="1">
        <f>VLOOKUP(G718,WO!A:J,10,0)</f>
        <v>48</v>
      </c>
      <c r="J718" s="1" t="str">
        <f t="shared" si="11"/>
        <v>17IA14.80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7"/>
    </row>
    <row r="719" spans="1:14">
      <c r="A719" s="11" t="s">
        <v>3521</v>
      </c>
      <c r="B719" s="11" t="s">
        <v>954</v>
      </c>
      <c r="C719" s="11" t="s">
        <v>955</v>
      </c>
      <c r="D719" s="11">
        <v>1</v>
      </c>
      <c r="E719" s="11" t="s">
        <v>13</v>
      </c>
      <c r="F719" s="20">
        <v>46267.942800925928</v>
      </c>
      <c r="G719" s="11" t="s">
        <v>2221</v>
      </c>
      <c r="H719" s="11" t="s">
        <v>1213</v>
      </c>
      <c r="I719" s="1">
        <f>VLOOKUP(G719,WO!A:J,10,0)</f>
        <v>48</v>
      </c>
      <c r="J719" s="1" t="str">
        <f t="shared" si="11"/>
        <v>17IA14.80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7"/>
    </row>
    <row r="720" spans="1:14">
      <c r="A720" s="11" t="s">
        <v>3522</v>
      </c>
      <c r="B720" s="11" t="s">
        <v>954</v>
      </c>
      <c r="C720" s="11" t="s">
        <v>955</v>
      </c>
      <c r="D720" s="11">
        <v>1</v>
      </c>
      <c r="E720" s="11" t="s">
        <v>13</v>
      </c>
      <c r="F720" s="20">
        <v>46267.939629629633</v>
      </c>
      <c r="G720" s="11" t="s">
        <v>2221</v>
      </c>
      <c r="H720" s="11" t="s">
        <v>1213</v>
      </c>
      <c r="I720" s="1">
        <f>VLOOKUP(G720,WO!A:J,10,0)</f>
        <v>48</v>
      </c>
      <c r="J720" s="1" t="str">
        <f t="shared" si="11"/>
        <v>17IA14.80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7"/>
    </row>
    <row r="721" spans="1:14">
      <c r="A721" s="11" t="s">
        <v>3523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2221</v>
      </c>
      <c r="H721" s="11" t="s">
        <v>1213</v>
      </c>
      <c r="I721" s="1">
        <f>VLOOKUP(G721,WO!A:J,10,0)</f>
        <v>48</v>
      </c>
      <c r="J721" s="1" t="str">
        <f t="shared" si="11"/>
        <v>17IA14.80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7"/>
    </row>
    <row r="722" spans="1:14">
      <c r="A722" s="11" t="s">
        <v>3524</v>
      </c>
      <c r="B722" s="11" t="s">
        <v>954</v>
      </c>
      <c r="C722" s="11" t="s">
        <v>955</v>
      </c>
      <c r="D722" s="11">
        <v>1</v>
      </c>
      <c r="E722" s="11" t="s">
        <v>13</v>
      </c>
      <c r="F722" s="20">
        <v>46267.957905092589</v>
      </c>
      <c r="G722" s="11" t="s">
        <v>2221</v>
      </c>
      <c r="H722" s="11" t="s">
        <v>1213</v>
      </c>
      <c r="I722" s="1">
        <f>VLOOKUP(G722,WO!A:J,10,0)</f>
        <v>48</v>
      </c>
      <c r="J722" s="1" t="str">
        <f t="shared" si="11"/>
        <v>17IA14.80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7"/>
    </row>
    <row r="723" spans="1:14">
      <c r="A723" s="11" t="s">
        <v>3525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2221</v>
      </c>
      <c r="H723" s="11" t="s">
        <v>1213</v>
      </c>
      <c r="I723" s="1">
        <f>VLOOKUP(G723,WO!A:J,10,0)</f>
        <v>48</v>
      </c>
      <c r="J723" s="1" t="str">
        <f t="shared" si="11"/>
        <v>17IA14.80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7"/>
    </row>
    <row r="724" spans="1:14">
      <c r="A724" s="11" t="s">
        <v>3526</v>
      </c>
      <c r="B724" s="11" t="s">
        <v>11</v>
      </c>
      <c r="C724" s="11" t="s">
        <v>12</v>
      </c>
      <c r="D724" s="11">
        <v>1</v>
      </c>
      <c r="E724" s="11" t="s">
        <v>13</v>
      </c>
      <c r="F724" s="20">
        <v>46273.461828703701</v>
      </c>
      <c r="G724" s="11" t="s">
        <v>2221</v>
      </c>
      <c r="H724" s="11" t="s">
        <v>1213</v>
      </c>
      <c r="I724" s="1">
        <f>VLOOKUP(G724,WO!A:J,10,0)</f>
        <v>48</v>
      </c>
      <c r="J724" s="1" t="str">
        <f t="shared" si="11"/>
        <v>17IA14.80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7"/>
    </row>
    <row r="725" spans="1:14">
      <c r="A725" s="11" t="s">
        <v>3527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2221</v>
      </c>
      <c r="H725" s="11" t="s">
        <v>1213</v>
      </c>
      <c r="I725" s="1">
        <f>VLOOKUP(G725,WO!A:J,10,0)</f>
        <v>48</v>
      </c>
      <c r="J725" s="1" t="str">
        <f t="shared" si="11"/>
        <v>17IA14.80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7"/>
    </row>
    <row r="726" spans="1:14">
      <c r="A726" s="11" t="s">
        <v>3528</v>
      </c>
      <c r="B726" s="11" t="s">
        <v>954</v>
      </c>
      <c r="C726" s="11" t="s">
        <v>955</v>
      </c>
      <c r="D726" s="11">
        <v>1</v>
      </c>
      <c r="E726" s="11" t="s">
        <v>13</v>
      </c>
      <c r="F726" s="20">
        <v>46267.977060185185</v>
      </c>
      <c r="G726" s="11" t="s">
        <v>2221</v>
      </c>
      <c r="H726" s="11" t="s">
        <v>1213</v>
      </c>
      <c r="I726" s="1">
        <f>VLOOKUP(G726,WO!A:J,10,0)</f>
        <v>48</v>
      </c>
      <c r="J726" s="1" t="str">
        <f t="shared" si="11"/>
        <v>17IA14.80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7"/>
    </row>
    <row r="727" spans="1:14">
      <c r="A727" s="11" t="s">
        <v>3529</v>
      </c>
      <c r="B727" s="11" t="s">
        <v>954</v>
      </c>
      <c r="C727" s="11" t="s">
        <v>955</v>
      </c>
      <c r="D727" s="11">
        <v>1</v>
      </c>
      <c r="E727" s="11" t="s">
        <v>13</v>
      </c>
      <c r="F727" s="20">
        <v>46267.97378472222</v>
      </c>
      <c r="G727" s="11" t="s">
        <v>2221</v>
      </c>
      <c r="H727" s="11" t="s">
        <v>1213</v>
      </c>
      <c r="I727" s="1">
        <f>VLOOKUP(G727,WO!A:J,10,0)</f>
        <v>48</v>
      </c>
      <c r="J727" s="1" t="str">
        <f t="shared" si="11"/>
        <v>17IA14.80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7"/>
    </row>
    <row r="728" spans="1:14">
      <c r="A728" s="11" t="s">
        <v>3530</v>
      </c>
      <c r="B728" s="11" t="s">
        <v>954</v>
      </c>
      <c r="C728" s="11" t="s">
        <v>955</v>
      </c>
      <c r="D728" s="11">
        <v>1</v>
      </c>
      <c r="E728" s="11" t="s">
        <v>13</v>
      </c>
      <c r="F728" s="20">
        <v>46267.971134259256</v>
      </c>
      <c r="G728" s="11" t="s">
        <v>2221</v>
      </c>
      <c r="H728" s="11" t="s">
        <v>1213</v>
      </c>
      <c r="I728" s="1">
        <f>VLOOKUP(G728,WO!A:J,10,0)</f>
        <v>48</v>
      </c>
      <c r="J728" s="1" t="str">
        <f t="shared" si="11"/>
        <v>17IA14.80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7"/>
    </row>
    <row r="729" spans="1:14">
      <c r="A729" s="11" t="s">
        <v>3531</v>
      </c>
      <c r="B729" s="11" t="s">
        <v>954</v>
      </c>
      <c r="C729" s="11" t="s">
        <v>955</v>
      </c>
      <c r="D729" s="11">
        <v>1</v>
      </c>
      <c r="E729" s="11" t="s">
        <v>13</v>
      </c>
      <c r="F729" s="20">
        <v>46267.968402777777</v>
      </c>
      <c r="G729" s="11" t="s">
        <v>2221</v>
      </c>
      <c r="H729" s="11" t="s">
        <v>1213</v>
      </c>
      <c r="I729" s="1">
        <f>VLOOKUP(G729,WO!A:J,10,0)</f>
        <v>48</v>
      </c>
      <c r="J729" s="1" t="str">
        <f t="shared" si="11"/>
        <v>17IA14.80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7"/>
    </row>
    <row r="730" spans="1:14">
      <c r="A730" s="11" t="s">
        <v>3532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2221</v>
      </c>
      <c r="H730" s="11" t="s">
        <v>1213</v>
      </c>
      <c r="I730" s="1">
        <f>VLOOKUP(G730,WO!A:J,10,0)</f>
        <v>48</v>
      </c>
      <c r="J730" s="1" t="str">
        <f t="shared" si="11"/>
        <v>17IA14.80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7"/>
    </row>
    <row r="731" spans="1:14">
      <c r="A731" s="11" t="s">
        <v>3533</v>
      </c>
      <c r="B731" s="11" t="s">
        <v>954</v>
      </c>
      <c r="C731" s="11" t="s">
        <v>955</v>
      </c>
      <c r="D731" s="11">
        <v>1</v>
      </c>
      <c r="E731" s="11" t="s">
        <v>13</v>
      </c>
      <c r="F731" s="20">
        <v>46268.00503472222</v>
      </c>
      <c r="G731" s="11" t="s">
        <v>2221</v>
      </c>
      <c r="H731" s="11" t="s">
        <v>1213</v>
      </c>
      <c r="I731" s="1">
        <f>VLOOKUP(G731,WO!A:J,10,0)</f>
        <v>48</v>
      </c>
      <c r="J731" s="1" t="str">
        <f t="shared" si="11"/>
        <v>17IA14.80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7"/>
    </row>
    <row r="732" spans="1:14">
      <c r="A732" s="11" t="s">
        <v>3534</v>
      </c>
      <c r="B732" s="11" t="s">
        <v>954</v>
      </c>
      <c r="C732" s="11" t="s">
        <v>955</v>
      </c>
      <c r="D732" s="11">
        <v>1</v>
      </c>
      <c r="E732" s="11" t="s">
        <v>13</v>
      </c>
      <c r="F732" s="20">
        <v>46268.007233796299</v>
      </c>
      <c r="G732" s="11" t="s">
        <v>2221</v>
      </c>
      <c r="H732" s="11" t="s">
        <v>1213</v>
      </c>
      <c r="I732" s="1">
        <f>VLOOKUP(G732,WO!A:J,10,0)</f>
        <v>48</v>
      </c>
      <c r="J732" s="1" t="str">
        <f t="shared" si="11"/>
        <v>17IA14.80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7"/>
    </row>
    <row r="733" spans="1:14">
      <c r="A733" s="11" t="s">
        <v>3535</v>
      </c>
      <c r="B733" s="11" t="s">
        <v>954</v>
      </c>
      <c r="C733" s="11" t="s">
        <v>955</v>
      </c>
      <c r="D733" s="11">
        <v>1</v>
      </c>
      <c r="E733" s="11" t="s">
        <v>13</v>
      </c>
      <c r="F733" s="20">
        <v>46267.992719907408</v>
      </c>
      <c r="G733" s="11" t="s">
        <v>2221</v>
      </c>
      <c r="H733" s="11" t="s">
        <v>1213</v>
      </c>
      <c r="I733" s="1">
        <f>VLOOKUP(G733,WO!A:J,10,0)</f>
        <v>48</v>
      </c>
      <c r="J733" s="1" t="str">
        <f t="shared" si="11"/>
        <v>17IA14.80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7"/>
    </row>
    <row r="734" spans="1:14">
      <c r="A734" s="11" t="s">
        <v>3536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2221</v>
      </c>
      <c r="H734" s="11" t="s">
        <v>1213</v>
      </c>
      <c r="I734" s="1">
        <f>VLOOKUP(G734,WO!A:J,10,0)</f>
        <v>48</v>
      </c>
      <c r="J734" s="1" t="str">
        <f t="shared" si="11"/>
        <v>17IA14.80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7"/>
    </row>
    <row r="735" spans="1:14">
      <c r="A735" s="11" t="s">
        <v>3537</v>
      </c>
      <c r="B735" s="11" t="s">
        <v>954</v>
      </c>
      <c r="C735" s="11" t="s">
        <v>955</v>
      </c>
      <c r="D735" s="11">
        <v>1</v>
      </c>
      <c r="E735" s="11" t="s">
        <v>13</v>
      </c>
      <c r="F735" s="20">
        <v>46268.011064814818</v>
      </c>
      <c r="G735" s="11" t="s">
        <v>2221</v>
      </c>
      <c r="H735" s="11" t="s">
        <v>1213</v>
      </c>
      <c r="I735" s="1">
        <f>VLOOKUP(G735,WO!A:J,10,0)</f>
        <v>48</v>
      </c>
      <c r="J735" s="1" t="str">
        <f t="shared" si="11"/>
        <v>17IA14.80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7"/>
    </row>
    <row r="736" spans="1:14">
      <c r="A736" s="11" t="s">
        <v>3538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46273.326273148145</v>
      </c>
      <c r="G736" s="11" t="s">
        <v>2221</v>
      </c>
      <c r="H736" s="11" t="s">
        <v>1213</v>
      </c>
      <c r="I736" s="1">
        <f>VLOOKUP(G736,WO!A:J,10,0)</f>
        <v>48</v>
      </c>
      <c r="J736" s="1" t="str">
        <f t="shared" si="11"/>
        <v>17IA14.80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7"/>
    </row>
    <row r="737" spans="1:14">
      <c r="A737" s="11" t="s">
        <v>3539</v>
      </c>
      <c r="B737" s="11" t="s">
        <v>954</v>
      </c>
      <c r="C737" s="11" t="s">
        <v>955</v>
      </c>
      <c r="D737" s="11">
        <v>1</v>
      </c>
      <c r="E737" s="11" t="s">
        <v>13</v>
      </c>
      <c r="F737" s="20">
        <v>46268.001747685186</v>
      </c>
      <c r="G737" s="11" t="s">
        <v>2221</v>
      </c>
      <c r="H737" s="11" t="s">
        <v>1213</v>
      </c>
      <c r="I737" s="1">
        <f>VLOOKUP(G737,WO!A:J,10,0)</f>
        <v>48</v>
      </c>
      <c r="J737" s="1" t="str">
        <f t="shared" si="11"/>
        <v>17IA14.80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7"/>
    </row>
    <row r="738" spans="1:14">
      <c r="A738" s="11" t="s">
        <v>3540</v>
      </c>
      <c r="B738" s="11" t="s">
        <v>954</v>
      </c>
      <c r="C738" s="11" t="s">
        <v>955</v>
      </c>
      <c r="D738" s="11">
        <v>1</v>
      </c>
      <c r="E738" s="11" t="s">
        <v>13</v>
      </c>
      <c r="F738" s="20">
        <v>46268.009664351855</v>
      </c>
      <c r="G738" s="11" t="s">
        <v>2221</v>
      </c>
      <c r="H738" s="11" t="s">
        <v>1213</v>
      </c>
      <c r="I738" s="1">
        <f>VLOOKUP(G738,WO!A:J,10,0)</f>
        <v>48</v>
      </c>
      <c r="J738" s="1" t="str">
        <f t="shared" si="11"/>
        <v>17IA14.80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7"/>
    </row>
    <row r="739" spans="1:14">
      <c r="A739" s="11" t="s">
        <v>3541</v>
      </c>
      <c r="B739" s="11" t="s">
        <v>954</v>
      </c>
      <c r="C739" s="11" t="s">
        <v>955</v>
      </c>
      <c r="D739" s="11">
        <v>1</v>
      </c>
      <c r="E739" s="11" t="s">
        <v>13</v>
      </c>
      <c r="F739" s="20">
        <v>46272.580821759257</v>
      </c>
      <c r="G739" s="11" t="s">
        <v>2221</v>
      </c>
      <c r="H739" s="11" t="s">
        <v>1213</v>
      </c>
      <c r="I739" s="1">
        <f>VLOOKUP(G739,WO!A:J,10,0)</f>
        <v>48</v>
      </c>
      <c r="J739" s="1" t="str">
        <f t="shared" si="11"/>
        <v>17IA14.80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7"/>
    </row>
    <row r="740" spans="1:14">
      <c r="A740" s="11" t="s">
        <v>3542</v>
      </c>
      <c r="B740" s="11" t="s">
        <v>954</v>
      </c>
      <c r="C740" s="11" t="s">
        <v>955</v>
      </c>
      <c r="D740" s="11">
        <v>1</v>
      </c>
      <c r="E740" s="11" t="s">
        <v>13</v>
      </c>
      <c r="F740" s="20">
        <v>46272.584270833337</v>
      </c>
      <c r="G740" s="11" t="s">
        <v>2221</v>
      </c>
      <c r="H740" s="11" t="s">
        <v>1213</v>
      </c>
      <c r="I740" s="1">
        <f>VLOOKUP(G740,WO!A:J,10,0)</f>
        <v>48</v>
      </c>
      <c r="J740" s="1" t="str">
        <f t="shared" si="11"/>
        <v>17IA14.80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7"/>
    </row>
    <row r="741" spans="1:14">
      <c r="A741" s="11" t="s">
        <v>3543</v>
      </c>
      <c r="B741" s="11" t="s">
        <v>954</v>
      </c>
      <c r="C741" s="11" t="s">
        <v>955</v>
      </c>
      <c r="D741" s="11">
        <v>1</v>
      </c>
      <c r="E741" s="11" t="s">
        <v>13</v>
      </c>
      <c r="F741" s="20">
        <v>46272.587395833332</v>
      </c>
      <c r="G741" s="11" t="s">
        <v>2221</v>
      </c>
      <c r="H741" s="11" t="s">
        <v>1213</v>
      </c>
      <c r="I741" s="1">
        <f>VLOOKUP(G741,WO!A:J,10,0)</f>
        <v>48</v>
      </c>
      <c r="J741" s="1" t="str">
        <f t="shared" si="11"/>
        <v>17IA14.80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7"/>
    </row>
    <row r="742" spans="1:14">
      <c r="A742" s="11" t="s">
        <v>3544</v>
      </c>
      <c r="B742" s="11" t="s">
        <v>2226</v>
      </c>
      <c r="C742" s="11" t="s">
        <v>2227</v>
      </c>
      <c r="D742" s="11">
        <v>1</v>
      </c>
      <c r="E742" s="11" t="s">
        <v>151</v>
      </c>
      <c r="F742" s="20">
        <v>46272.590474537035</v>
      </c>
      <c r="G742" s="11" t="s">
        <v>2221</v>
      </c>
      <c r="H742" s="11" t="s">
        <v>1213</v>
      </c>
      <c r="I742" s="1">
        <f>VLOOKUP(G742,WO!A:J,10,0)</f>
        <v>48</v>
      </c>
      <c r="J742" s="1" t="str">
        <f t="shared" si="11"/>
        <v>17IA14.80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7"/>
    </row>
    <row r="743" spans="1:14">
      <c r="A743" s="11" t="s">
        <v>3545</v>
      </c>
      <c r="B743" s="11" t="s">
        <v>954</v>
      </c>
      <c r="C743" s="11" t="s">
        <v>955</v>
      </c>
      <c r="D743" s="11">
        <v>1</v>
      </c>
      <c r="E743" s="11" t="s">
        <v>13</v>
      </c>
      <c r="F743" s="20">
        <v>46272.596203703702</v>
      </c>
      <c r="G743" s="11" t="s">
        <v>2221</v>
      </c>
      <c r="H743" s="11" t="s">
        <v>1213</v>
      </c>
      <c r="I743" s="1">
        <f>VLOOKUP(G743,WO!A:J,10,0)</f>
        <v>48</v>
      </c>
      <c r="J743" s="1" t="str">
        <f t="shared" si="11"/>
        <v>17IA14.80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7"/>
    </row>
    <row r="744" spans="1:14">
      <c r="A744" s="11" t="s">
        <v>3546</v>
      </c>
      <c r="B744" s="11" t="s">
        <v>954</v>
      </c>
      <c r="C744" s="11" t="s">
        <v>955</v>
      </c>
      <c r="D744" s="11">
        <v>1</v>
      </c>
      <c r="E744" s="11" t="s">
        <v>13</v>
      </c>
      <c r="F744" s="20">
        <v>46272.601643518516</v>
      </c>
      <c r="G744" s="11" t="s">
        <v>2221</v>
      </c>
      <c r="H744" s="11" t="s">
        <v>1213</v>
      </c>
      <c r="I744" s="1">
        <f>VLOOKUP(G744,WO!A:J,10,0)</f>
        <v>48</v>
      </c>
      <c r="J744" s="1" t="str">
        <f t="shared" si="11"/>
        <v>17IA14.80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7"/>
    </row>
    <row r="745" spans="1:14">
      <c r="A745" s="11" t="s">
        <v>3547</v>
      </c>
      <c r="B745" s="11" t="s">
        <v>954</v>
      </c>
      <c r="C745" s="11" t="s">
        <v>955</v>
      </c>
      <c r="D745" s="11">
        <v>1</v>
      </c>
      <c r="E745" s="11" t="s">
        <v>13</v>
      </c>
      <c r="F745" s="20">
        <v>46272.677245370367</v>
      </c>
      <c r="G745" s="11" t="s">
        <v>2221</v>
      </c>
      <c r="H745" s="11" t="s">
        <v>1213</v>
      </c>
      <c r="I745" s="1">
        <f>VLOOKUP(G745,WO!A:J,10,0)</f>
        <v>48</v>
      </c>
      <c r="J745" s="1" t="str">
        <f t="shared" si="11"/>
        <v>17IA14.80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7"/>
    </row>
    <row r="746" spans="1:14">
      <c r="A746" s="11" t="s">
        <v>3548</v>
      </c>
      <c r="B746" s="11" t="s">
        <v>954</v>
      </c>
      <c r="C746" s="11" t="s">
        <v>955</v>
      </c>
      <c r="D746" s="11">
        <v>1</v>
      </c>
      <c r="E746" s="11" t="s">
        <v>13</v>
      </c>
      <c r="F746" s="20">
        <v>46272.599016203705</v>
      </c>
      <c r="G746" s="11" t="s">
        <v>2221</v>
      </c>
      <c r="H746" s="11" t="s">
        <v>1213</v>
      </c>
      <c r="I746" s="1">
        <f>VLOOKUP(G746,WO!A:J,10,0)</f>
        <v>48</v>
      </c>
      <c r="J746" s="1" t="str">
        <f t="shared" si="11"/>
        <v>17IA14.80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7"/>
    </row>
    <row r="747" spans="1:14">
      <c r="A747" s="11" t="s">
        <v>3549</v>
      </c>
      <c r="B747" s="11" t="s">
        <v>954</v>
      </c>
      <c r="C747" s="11" t="s">
        <v>955</v>
      </c>
      <c r="D747" s="11">
        <v>1</v>
      </c>
      <c r="E747" s="11" t="s">
        <v>13</v>
      </c>
      <c r="F747" s="20">
        <v>46272.680717592593</v>
      </c>
      <c r="G747" s="11" t="s">
        <v>2221</v>
      </c>
      <c r="H747" s="11" t="s">
        <v>1213</v>
      </c>
      <c r="I747" s="1">
        <f>VLOOKUP(G747,WO!A:J,10,0)</f>
        <v>48</v>
      </c>
      <c r="J747" s="1" t="str">
        <f t="shared" si="11"/>
        <v>17IA14.80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7"/>
    </row>
    <row r="748" spans="1:14">
      <c r="A748" s="11" t="s">
        <v>3550</v>
      </c>
      <c r="B748" s="11" t="s">
        <v>954</v>
      </c>
      <c r="C748" s="11" t="s">
        <v>955</v>
      </c>
      <c r="D748" s="11">
        <v>1</v>
      </c>
      <c r="E748" s="11" t="s">
        <v>13</v>
      </c>
      <c r="F748" s="20">
        <v>46272.689965277779</v>
      </c>
      <c r="G748" s="11" t="s">
        <v>2221</v>
      </c>
      <c r="H748" s="11" t="s">
        <v>1213</v>
      </c>
      <c r="I748" s="1">
        <f>VLOOKUP(G748,WO!A:J,10,0)</f>
        <v>48</v>
      </c>
      <c r="J748" s="1" t="str">
        <f t="shared" si="11"/>
        <v>17IA14.80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7"/>
    </row>
    <row r="749" spans="1:14">
      <c r="A749" s="11" t="s">
        <v>3551</v>
      </c>
      <c r="B749" s="11" t="s">
        <v>954</v>
      </c>
      <c r="C749" s="11" t="s">
        <v>955</v>
      </c>
      <c r="D749" s="11">
        <v>1</v>
      </c>
      <c r="E749" s="11" t="s">
        <v>13</v>
      </c>
      <c r="F749" s="20">
        <v>46272.672291666669</v>
      </c>
      <c r="G749" s="11" t="s">
        <v>2221</v>
      </c>
      <c r="H749" s="11" t="s">
        <v>1213</v>
      </c>
      <c r="I749" s="1">
        <f>VLOOKUP(G749,WO!A:J,10,0)</f>
        <v>48</v>
      </c>
      <c r="J749" s="1" t="str">
        <f t="shared" si="11"/>
        <v>17IA14.80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7"/>
    </row>
    <row r="750" spans="1:14">
      <c r="A750" s="11" t="s">
        <v>3552</v>
      </c>
      <c r="B750" s="11" t="s">
        <v>954</v>
      </c>
      <c r="C750" s="11" t="s">
        <v>955</v>
      </c>
      <c r="D750" s="11">
        <v>1</v>
      </c>
      <c r="E750" s="11" t="s">
        <v>13</v>
      </c>
      <c r="F750" s="20">
        <v>46272.899710648147</v>
      </c>
      <c r="G750" s="11" t="s">
        <v>2221</v>
      </c>
      <c r="H750" s="11" t="s">
        <v>1213</v>
      </c>
      <c r="I750" s="1">
        <f>VLOOKUP(G750,WO!A:J,10,0)</f>
        <v>48</v>
      </c>
      <c r="J750" s="1" t="str">
        <f t="shared" si="11"/>
        <v>17IA14.80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7"/>
    </row>
    <row r="751" spans="1:14">
      <c r="A751" s="11" t="s">
        <v>3553</v>
      </c>
      <c r="B751" s="11" t="s">
        <v>954</v>
      </c>
      <c r="C751" s="11" t="s">
        <v>955</v>
      </c>
      <c r="D751" s="11">
        <v>1</v>
      </c>
      <c r="E751" s="11" t="s">
        <v>13</v>
      </c>
      <c r="F751" s="20">
        <v>46272.897094907406</v>
      </c>
      <c r="G751" s="11" t="s">
        <v>2221</v>
      </c>
      <c r="H751" s="11" t="s">
        <v>1213</v>
      </c>
      <c r="I751" s="1">
        <f>VLOOKUP(G751,WO!A:J,10,0)</f>
        <v>48</v>
      </c>
      <c r="J751" s="1" t="str">
        <f t="shared" si="11"/>
        <v>17IA14.80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7"/>
    </row>
    <row r="752" spans="1:14">
      <c r="A752" s="11" t="s">
        <v>3554</v>
      </c>
      <c r="B752" s="11" t="s">
        <v>954</v>
      </c>
      <c r="C752" s="11" t="s">
        <v>955</v>
      </c>
      <c r="D752" s="11">
        <v>1</v>
      </c>
      <c r="E752" s="11" t="s">
        <v>13</v>
      </c>
      <c r="F752" s="20">
        <v>46272.894108796296</v>
      </c>
      <c r="G752" s="11" t="s">
        <v>2221</v>
      </c>
      <c r="H752" s="11" t="s">
        <v>1213</v>
      </c>
      <c r="I752" s="1">
        <f>VLOOKUP(G752,WO!A:J,10,0)</f>
        <v>48</v>
      </c>
      <c r="J752" s="1" t="str">
        <f t="shared" si="11"/>
        <v>17IA14.80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7"/>
    </row>
    <row r="753" spans="1:14">
      <c r="A753" s="11" t="s">
        <v>3555</v>
      </c>
      <c r="B753" s="11" t="s">
        <v>954</v>
      </c>
      <c r="C753" s="11" t="s">
        <v>955</v>
      </c>
      <c r="D753" s="11">
        <v>1</v>
      </c>
      <c r="E753" s="11" t="s">
        <v>13</v>
      </c>
      <c r="F753" s="20">
        <v>46272.890694444446</v>
      </c>
      <c r="G753" s="11" t="s">
        <v>2221</v>
      </c>
      <c r="H753" s="11" t="s">
        <v>1213</v>
      </c>
      <c r="I753" s="1">
        <f>VLOOKUP(G753,WO!A:J,10,0)</f>
        <v>48</v>
      </c>
      <c r="J753" s="1" t="str">
        <f t="shared" si="11"/>
        <v>17IA14.80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7"/>
    </row>
    <row r="754" spans="1:14">
      <c r="A754" s="11" t="s">
        <v>3556</v>
      </c>
      <c r="B754" s="11" t="s">
        <v>2226</v>
      </c>
      <c r="C754" s="11" t="s">
        <v>2227</v>
      </c>
      <c r="D754" s="11">
        <v>1</v>
      </c>
      <c r="E754" s="11" t="s">
        <v>151</v>
      </c>
      <c r="F754" s="20">
        <v>46265.582962962966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7"/>
    </row>
    <row r="755" spans="1:14">
      <c r="A755" s="11" t="s">
        <v>3557</v>
      </c>
      <c r="B755" s="11" t="s">
        <v>2226</v>
      </c>
      <c r="C755" s="11" t="s">
        <v>2227</v>
      </c>
      <c r="D755" s="11">
        <v>1</v>
      </c>
      <c r="E755" s="11" t="s">
        <v>151</v>
      </c>
      <c r="F755" s="20">
        <v>46265.580185185187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7"/>
    </row>
    <row r="756" spans="1:14">
      <c r="A756" s="11" t="s">
        <v>3558</v>
      </c>
      <c r="B756" s="11" t="s">
        <v>954</v>
      </c>
      <c r="C756" s="11" t="s">
        <v>955</v>
      </c>
      <c r="D756" s="11">
        <v>1</v>
      </c>
      <c r="E756" s="11" t="s">
        <v>13</v>
      </c>
      <c r="F756" s="20">
        <v>46272.887789351851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7"/>
    </row>
    <row r="757" spans="1:14">
      <c r="A757" s="11" t="s">
        <v>3559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46272.883333333331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7"/>
    </row>
    <row r="758" spans="1:14">
      <c r="A758" s="11" t="s">
        <v>3560</v>
      </c>
      <c r="B758" s="11" t="s">
        <v>954</v>
      </c>
      <c r="C758" s="11" t="s">
        <v>955</v>
      </c>
      <c r="D758" s="11">
        <v>1</v>
      </c>
      <c r="E758" s="11" t="s">
        <v>13</v>
      </c>
      <c r="F758" s="20">
        <v>46272.878495370373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7"/>
    </row>
    <row r="759" spans="1:14">
      <c r="A759" s="11" t="s">
        <v>3561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46272.874305555553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7"/>
    </row>
    <row r="760" spans="1:14">
      <c r="A760" s="11" t="s">
        <v>3562</v>
      </c>
      <c r="B760" s="11" t="s">
        <v>954</v>
      </c>
      <c r="C760" s="11" t="s">
        <v>955</v>
      </c>
      <c r="D760" s="11">
        <v>1</v>
      </c>
      <c r="E760" s="11" t="s">
        <v>13</v>
      </c>
      <c r="F760" s="20">
        <v>46272.840613425928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7"/>
    </row>
    <row r="761" spans="1:14">
      <c r="A761" s="11" t="s">
        <v>3563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7"/>
    </row>
    <row r="762" spans="1:14">
      <c r="A762" s="11" t="s">
        <v>3564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7"/>
    </row>
    <row r="763" spans="1:14">
      <c r="A763" s="11" t="s">
        <v>3565</v>
      </c>
      <c r="B763" s="11" t="s">
        <v>954</v>
      </c>
      <c r="C763" s="11" t="s">
        <v>955</v>
      </c>
      <c r="D763" s="11">
        <v>1</v>
      </c>
      <c r="E763" s="11" t="s">
        <v>13</v>
      </c>
      <c r="F763" s="20">
        <v>46268.990868055553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7"/>
    </row>
    <row r="764" spans="1:14">
      <c r="A764" s="11" t="s">
        <v>3566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7"/>
    </row>
    <row r="765" spans="1:14">
      <c r="A765" s="11" t="s">
        <v>3567</v>
      </c>
      <c r="B765" s="11" t="s">
        <v>954</v>
      </c>
      <c r="C765" s="11" t="s">
        <v>955</v>
      </c>
      <c r="D765" s="11">
        <v>1</v>
      </c>
      <c r="E765" s="11" t="s">
        <v>13</v>
      </c>
      <c r="F765" s="20">
        <v>46268.988796296297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7"/>
    </row>
    <row r="766" spans="1:14">
      <c r="A766" s="11" t="s">
        <v>3568</v>
      </c>
      <c r="B766" s="11" t="s">
        <v>954</v>
      </c>
      <c r="C766" s="11" t="s">
        <v>955</v>
      </c>
      <c r="D766" s="11">
        <v>1</v>
      </c>
      <c r="E766" s="11" t="s">
        <v>13</v>
      </c>
      <c r="F766" s="20">
        <v>46268.985717592594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7"/>
    </row>
    <row r="767" spans="1:14">
      <c r="A767" s="11" t="s">
        <v>3569</v>
      </c>
      <c r="B767" s="11" t="s">
        <v>954</v>
      </c>
      <c r="C767" s="11" t="s">
        <v>955</v>
      </c>
      <c r="D767" s="11">
        <v>1</v>
      </c>
      <c r="E767" s="11" t="s">
        <v>13</v>
      </c>
      <c r="F767" s="20">
        <v>46272.870497685188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7"/>
    </row>
    <row r="768" spans="1:14">
      <c r="A768" s="11" t="s">
        <v>3570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46268.98027777778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7"/>
    </row>
    <row r="769" spans="1:14">
      <c r="A769" s="11" t="s">
        <v>3571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46268.013495370367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7"/>
    </row>
    <row r="770" spans="1:14">
      <c r="A770" s="11" t="s">
        <v>3572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46268.992326388892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7"/>
    </row>
    <row r="771" spans="1:14">
      <c r="A771" s="11" t="s">
        <v>3573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46272.388460648152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7"/>
    </row>
    <row r="772" spans="1:14">
      <c r="A772" s="11" t="s">
        <v>3574</v>
      </c>
      <c r="B772" s="11" t="s">
        <v>2684</v>
      </c>
      <c r="C772" s="11" t="s">
        <v>2685</v>
      </c>
      <c r="D772" s="11">
        <v>1</v>
      </c>
      <c r="E772" s="11" t="s">
        <v>151</v>
      </c>
      <c r="F772" s="20">
        <v>46272.628842592596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7"/>
    </row>
    <row r="773" spans="1:14">
      <c r="A773" s="11" t="s">
        <v>3575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7"/>
    </row>
    <row r="774" spans="1:14">
      <c r="A774" s="11" t="s">
        <v>3576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46272.620949074073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7"/>
    </row>
    <row r="775" spans="1:14">
      <c r="A775" s="11" t="s">
        <v>3577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46268.996770833335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7"/>
    </row>
    <row r="776" spans="1:14">
      <c r="A776" s="11" t="s">
        <v>3578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7"/>
    </row>
    <row r="777" spans="1:14">
      <c r="A777" s="11" t="s">
        <v>3579</v>
      </c>
      <c r="B777" s="11" t="s">
        <v>2226</v>
      </c>
      <c r="C777" s="11" t="s">
        <v>2227</v>
      </c>
      <c r="D777" s="11">
        <v>1</v>
      </c>
      <c r="E777" s="11" t="s">
        <v>151</v>
      </c>
      <c r="F777" s="20">
        <v>46272.414826388886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7"/>
    </row>
    <row r="778" spans="1:14">
      <c r="A778" s="11" t="s">
        <v>3580</v>
      </c>
      <c r="B778" s="11" t="s">
        <v>2226</v>
      </c>
      <c r="C778" s="11" t="s">
        <v>2227</v>
      </c>
      <c r="D778" s="11">
        <v>1</v>
      </c>
      <c r="E778" s="11" t="s">
        <v>151</v>
      </c>
      <c r="F778" s="20">
        <v>46272.41134259259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7"/>
    </row>
    <row r="779" spans="1:14">
      <c r="A779" s="11" t="s">
        <v>3581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7"/>
    </row>
    <row r="780" spans="1:14">
      <c r="A780" s="11" t="s">
        <v>3582</v>
      </c>
      <c r="B780" s="11" t="s">
        <v>2684</v>
      </c>
      <c r="C780" s="11" t="s">
        <v>2685</v>
      </c>
      <c r="D780" s="11">
        <v>1</v>
      </c>
      <c r="E780" s="11" t="s">
        <v>151</v>
      </c>
      <c r="F780" s="20">
        <v>46272.637465277781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7"/>
    </row>
    <row r="781" spans="1:14">
      <c r="A781" s="11" t="s">
        <v>3583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46272.426840277774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7"/>
    </row>
    <row r="782" spans="1:14">
      <c r="A782" s="11" t="s">
        <v>3584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46268.994884259257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7"/>
    </row>
    <row r="783" spans="1:14">
      <c r="A783" s="11" t="s">
        <v>3585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46267.99759259259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7"/>
    </row>
    <row r="784" spans="1:14">
      <c r="A784" s="11" t="s">
        <v>3586</v>
      </c>
      <c r="B784" s="11" t="s">
        <v>11</v>
      </c>
      <c r="C784" s="11" t="s">
        <v>12</v>
      </c>
      <c r="D784" s="11">
        <v>1</v>
      </c>
      <c r="E784" s="11" t="s">
        <v>13</v>
      </c>
      <c r="F784" s="20">
        <v>46273.328055555554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7"/>
    </row>
    <row r="785" spans="1:14">
      <c r="A785" s="11" t="s">
        <v>3587</v>
      </c>
      <c r="B785" s="11" t="s">
        <v>2226</v>
      </c>
      <c r="C785" s="11" t="s">
        <v>2227</v>
      </c>
      <c r="D785" s="11">
        <v>1</v>
      </c>
      <c r="E785" s="11" t="s">
        <v>151</v>
      </c>
      <c r="F785" s="20">
        <v>46272.455138888887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7"/>
    </row>
    <row r="786" spans="1:14">
      <c r="A786" s="11" t="s">
        <v>3588</v>
      </c>
      <c r="B786" s="11" t="s">
        <v>954</v>
      </c>
      <c r="C786" s="11" t="s">
        <v>955</v>
      </c>
      <c r="D786" s="11">
        <v>1</v>
      </c>
      <c r="E786" s="11" t="s">
        <v>13</v>
      </c>
      <c r="F786" s="20">
        <v>46272.450023148151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7"/>
    </row>
    <row r="787" spans="1:14">
      <c r="A787" s="11" t="s">
        <v>3589</v>
      </c>
      <c r="B787" s="11" t="s">
        <v>954</v>
      </c>
      <c r="C787" s="11" t="s">
        <v>955</v>
      </c>
      <c r="D787" s="11">
        <v>1</v>
      </c>
      <c r="E787" s="11" t="s">
        <v>13</v>
      </c>
      <c r="F787" s="20">
        <v>46272.444594907407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7"/>
    </row>
    <row r="788" spans="1:14">
      <c r="A788" s="11" t="s">
        <v>3590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46272.435474537036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7"/>
    </row>
    <row r="789" spans="1:14">
      <c r="A789" s="11" t="s">
        <v>3591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46267.760138888887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7"/>
    </row>
    <row r="790" spans="1:14">
      <c r="A790" s="11" t="s">
        <v>3592</v>
      </c>
      <c r="B790" s="11" t="s">
        <v>954</v>
      </c>
      <c r="C790" s="11" t="s">
        <v>955</v>
      </c>
      <c r="D790" s="11">
        <v>1</v>
      </c>
      <c r="E790" s="11" t="s">
        <v>13</v>
      </c>
      <c r="F790" s="20">
        <v>46267.851273148146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7"/>
    </row>
    <row r="791" spans="1:14">
      <c r="A791" s="11" t="s">
        <v>3593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7"/>
    </row>
    <row r="792" spans="1:14">
      <c r="A792" s="11" t="s">
        <v>3594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46267.848356481481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7"/>
    </row>
    <row r="793" spans="1:14">
      <c r="A793" s="11" t="s">
        <v>3595</v>
      </c>
      <c r="B793" s="11" t="s">
        <v>954</v>
      </c>
      <c r="C793" s="11" t="s">
        <v>955</v>
      </c>
      <c r="D793" s="11">
        <v>1</v>
      </c>
      <c r="E793" s="11" t="s">
        <v>13</v>
      </c>
      <c r="F793" s="20">
        <v>46267.864317129628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7"/>
    </row>
    <row r="794" spans="1:14">
      <c r="A794" s="11" t="s">
        <v>3596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7"/>
    </row>
    <row r="795" spans="1:14">
      <c r="A795" s="11" t="s">
        <v>3597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46267.819490740738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7"/>
    </row>
    <row r="796" spans="1:14">
      <c r="A796" s="11" t="s">
        <v>3598</v>
      </c>
      <c r="B796" s="11" t="s">
        <v>954</v>
      </c>
      <c r="C796" s="11" t="s">
        <v>955</v>
      </c>
      <c r="D796" s="11">
        <v>1</v>
      </c>
      <c r="E796" s="11" t="s">
        <v>13</v>
      </c>
      <c r="F796" s="20">
        <v>46267.924837962964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7"/>
    </row>
    <row r="797" spans="1:14">
      <c r="A797" s="11" t="s">
        <v>3599</v>
      </c>
      <c r="B797" s="11" t="s">
        <v>954</v>
      </c>
      <c r="C797" s="11" t="s">
        <v>955</v>
      </c>
      <c r="D797" s="11">
        <v>1</v>
      </c>
      <c r="E797" s="11" t="s">
        <v>13</v>
      </c>
      <c r="F797" s="20">
        <v>46267.919432870367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7"/>
    </row>
    <row r="798" spans="1:14">
      <c r="A798" s="11" t="s">
        <v>3600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46267.912997685184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7"/>
    </row>
    <row r="799" spans="1:14">
      <c r="A799" s="11" t="s">
        <v>3601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46267.870868055557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7"/>
    </row>
    <row r="800" spans="1:14">
      <c r="A800" s="11" t="s">
        <v>3602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46267.815520833334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7"/>
    </row>
    <row r="801" spans="1:14">
      <c r="A801" s="11" t="s">
        <v>3603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7"/>
    </row>
    <row r="802" spans="1:14">
      <c r="A802" s="11" t="s">
        <v>3604</v>
      </c>
      <c r="B802" s="11" t="s">
        <v>954</v>
      </c>
      <c r="C802" s="11" t="s">
        <v>955</v>
      </c>
      <c r="D802" s="11">
        <v>1</v>
      </c>
      <c r="E802" s="11" t="s">
        <v>13</v>
      </c>
      <c r="F802" s="20">
        <v>46267.764270833337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7"/>
    </row>
    <row r="803" spans="1:14">
      <c r="A803" s="11" t="s">
        <v>3605</v>
      </c>
      <c r="B803" s="11" t="s">
        <v>954</v>
      </c>
      <c r="C803" s="11" t="s">
        <v>955</v>
      </c>
      <c r="D803" s="11">
        <v>1</v>
      </c>
      <c r="E803" s="11" t="s">
        <v>13</v>
      </c>
      <c r="F803" s="20">
        <v>46267.835763888892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7"/>
    </row>
    <row r="804" spans="1:14">
      <c r="A804" s="11" t="s">
        <v>3606</v>
      </c>
      <c r="B804" s="11" t="s">
        <v>954</v>
      </c>
      <c r="C804" s="11" t="s">
        <v>955</v>
      </c>
      <c r="D804" s="11">
        <v>1</v>
      </c>
      <c r="E804" s="11" t="s">
        <v>13</v>
      </c>
      <c r="F804" s="20">
        <v>46267.86109953704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7"/>
    </row>
    <row r="805" spans="1:14">
      <c r="A805" s="11" t="s">
        <v>3607</v>
      </c>
      <c r="B805" s="11" t="s">
        <v>954</v>
      </c>
      <c r="C805" s="11" t="s">
        <v>955</v>
      </c>
      <c r="D805" s="11">
        <v>1</v>
      </c>
      <c r="E805" s="11" t="s">
        <v>13</v>
      </c>
      <c r="F805" s="20">
        <v>46267.85728009259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7"/>
    </row>
    <row r="806" spans="1:14">
      <c r="A806" s="11" t="s">
        <v>3608</v>
      </c>
      <c r="B806" s="11" t="s">
        <v>954</v>
      </c>
      <c r="C806" s="11" t="s">
        <v>955</v>
      </c>
      <c r="D806" s="11">
        <v>1</v>
      </c>
      <c r="E806" s="11" t="s">
        <v>13</v>
      </c>
      <c r="F806" s="20">
        <v>46267.828136574077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7"/>
    </row>
    <row r="807" spans="1:14">
      <c r="A807" s="11" t="s">
        <v>3609</v>
      </c>
      <c r="B807" s="11" t="s">
        <v>954</v>
      </c>
      <c r="C807" s="11" t="s">
        <v>955</v>
      </c>
      <c r="D807" s="11">
        <v>1</v>
      </c>
      <c r="E807" s="11" t="s">
        <v>13</v>
      </c>
      <c r="F807" s="20">
        <v>46267.823993055557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7"/>
    </row>
    <row r="808" spans="1:14">
      <c r="A808" s="11" t="s">
        <v>3610</v>
      </c>
      <c r="B808" s="11" t="s">
        <v>954</v>
      </c>
      <c r="C808" s="11" t="s">
        <v>955</v>
      </c>
      <c r="D808" s="11">
        <v>1</v>
      </c>
      <c r="E808" s="11" t="s">
        <v>13</v>
      </c>
      <c r="F808" s="20">
        <v>46267.874016203707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7"/>
    </row>
    <row r="809" spans="1:14">
      <c r="A809" s="11" t="s">
        <v>3611</v>
      </c>
      <c r="B809" s="11" t="s">
        <v>954</v>
      </c>
      <c r="C809" s="11" t="s">
        <v>955</v>
      </c>
      <c r="D809" s="11">
        <v>1</v>
      </c>
      <c r="E809" s="11" t="s">
        <v>13</v>
      </c>
      <c r="F809" s="20">
        <v>46267.910312499997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7"/>
    </row>
    <row r="810" spans="1:14">
      <c r="A810" s="11" t="s">
        <v>3612</v>
      </c>
      <c r="B810" s="11" t="s">
        <v>954</v>
      </c>
      <c r="C810" s="11" t="s">
        <v>955</v>
      </c>
      <c r="D810" s="11">
        <v>1</v>
      </c>
      <c r="E810" s="11" t="s">
        <v>13</v>
      </c>
      <c r="F810" s="20">
        <v>46267.907638888886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7"/>
    </row>
    <row r="811" spans="1:14">
      <c r="A811" s="11" t="s">
        <v>3613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46267.915648148148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7"/>
    </row>
    <row r="812" spans="1:14">
      <c r="A812" s="11" t="s">
        <v>3614</v>
      </c>
      <c r="B812" s="11" t="s">
        <v>954</v>
      </c>
      <c r="C812" s="11" t="s">
        <v>955</v>
      </c>
      <c r="D812" s="11">
        <v>1</v>
      </c>
      <c r="E812" s="11" t="s">
        <v>13</v>
      </c>
      <c r="F812" s="20">
        <v>46267.812106481484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7"/>
    </row>
    <row r="813" spans="1:14">
      <c r="A813" s="11" t="s">
        <v>3615</v>
      </c>
      <c r="B813" s="11" t="s">
        <v>11</v>
      </c>
      <c r="C813" s="11" t="s">
        <v>12</v>
      </c>
      <c r="D813" s="11">
        <v>1</v>
      </c>
      <c r="E813" s="11" t="s">
        <v>13</v>
      </c>
      <c r="F813" s="20">
        <v>46273.461504629631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7"/>
    </row>
    <row r="814" spans="1:14">
      <c r="A814" s="11" t="s">
        <v>3616</v>
      </c>
      <c r="B814" s="11" t="s">
        <v>954</v>
      </c>
      <c r="C814" s="11" t="s">
        <v>955</v>
      </c>
      <c r="D814" s="11">
        <v>1</v>
      </c>
      <c r="E814" s="11" t="s">
        <v>13</v>
      </c>
      <c r="F814" s="20">
        <v>46266.30636574074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7"/>
    </row>
    <row r="815" spans="1:14">
      <c r="A815" s="11" t="s">
        <v>3617</v>
      </c>
      <c r="B815" s="11" t="s">
        <v>11</v>
      </c>
      <c r="C815" s="11" t="s">
        <v>12</v>
      </c>
      <c r="D815" s="11">
        <v>1</v>
      </c>
      <c r="E815" s="11" t="s">
        <v>13</v>
      </c>
      <c r="F815" s="20">
        <v>46270.510266203702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7"/>
    </row>
    <row r="816" spans="1:14">
      <c r="A816" s="11" t="s">
        <v>3618</v>
      </c>
      <c r="B816" s="11" t="s">
        <v>954</v>
      </c>
      <c r="C816" s="11" t="s">
        <v>955</v>
      </c>
      <c r="D816" s="11">
        <v>1</v>
      </c>
      <c r="E816" s="11" t="s">
        <v>13</v>
      </c>
      <c r="F816" s="20">
        <v>46266.393379629626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7"/>
    </row>
    <row r="817" spans="1:14">
      <c r="A817" s="11" t="s">
        <v>3619</v>
      </c>
      <c r="B817" s="11" t="s">
        <v>954</v>
      </c>
      <c r="C817" s="11" t="s">
        <v>955</v>
      </c>
      <c r="D817" s="11">
        <v>1</v>
      </c>
      <c r="E817" s="11" t="s">
        <v>13</v>
      </c>
      <c r="F817" s="20">
        <v>46267.742048611108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7"/>
    </row>
    <row r="818" spans="1:14">
      <c r="A818" s="11" t="s">
        <v>3620</v>
      </c>
      <c r="B818" s="11" t="s">
        <v>954</v>
      </c>
      <c r="C818" s="11" t="s">
        <v>955</v>
      </c>
      <c r="D818" s="11">
        <v>1</v>
      </c>
      <c r="E818" s="11" t="s">
        <v>13</v>
      </c>
      <c r="F818" s="20">
        <v>46267.789560185185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7"/>
    </row>
    <row r="819" spans="1:14">
      <c r="A819" s="11" t="s">
        <v>3621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7"/>
    </row>
    <row r="820" spans="1:14">
      <c r="A820" s="11" t="s">
        <v>3622</v>
      </c>
      <c r="B820" s="11" t="s">
        <v>956</v>
      </c>
      <c r="C820" s="11" t="s">
        <v>957</v>
      </c>
      <c r="D820" s="11">
        <v>1</v>
      </c>
      <c r="E820" s="11" t="s">
        <v>13</v>
      </c>
      <c r="F820" s="20">
        <v>46274.372777777775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7"/>
    </row>
    <row r="821" spans="1:14">
      <c r="A821" s="11" t="s">
        <v>3623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7"/>
    </row>
    <row r="822" spans="1:14">
      <c r="A822" s="11" t="s">
        <v>3624</v>
      </c>
      <c r="B822" s="11" t="s">
        <v>11</v>
      </c>
      <c r="C822" s="11" t="s">
        <v>12</v>
      </c>
      <c r="D822" s="11">
        <v>1</v>
      </c>
      <c r="E822" s="11" t="s">
        <v>13</v>
      </c>
      <c r="F822" s="20">
        <v>46270.509201388886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7"/>
    </row>
    <row r="823" spans="1:14">
      <c r="A823" s="11" t="s">
        <v>3625</v>
      </c>
      <c r="B823" s="11" t="s">
        <v>954</v>
      </c>
      <c r="C823" s="11" t="s">
        <v>955</v>
      </c>
      <c r="D823" s="11">
        <v>1</v>
      </c>
      <c r="E823" s="11" t="s">
        <v>13</v>
      </c>
      <c r="F823" s="20">
        <v>46265.968506944446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7"/>
    </row>
    <row r="824" spans="1:14">
      <c r="A824" s="11" t="s">
        <v>3626</v>
      </c>
      <c r="B824" s="11" t="s">
        <v>956</v>
      </c>
      <c r="C824" s="11" t="s">
        <v>957</v>
      </c>
      <c r="D824" s="11">
        <v>1</v>
      </c>
      <c r="E824" s="11" t="s">
        <v>13</v>
      </c>
      <c r="F824" s="20">
        <v>46274.372060185182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7"/>
    </row>
    <row r="825" spans="1:14">
      <c r="A825" s="11" t="s">
        <v>3627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46265.984074074076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7"/>
    </row>
    <row r="826" spans="1:14">
      <c r="A826" s="11" t="s">
        <v>3628</v>
      </c>
      <c r="B826" s="11" t="s">
        <v>2226</v>
      </c>
      <c r="C826" s="11" t="s">
        <v>2227</v>
      </c>
      <c r="D826" s="11">
        <v>1</v>
      </c>
      <c r="E826" s="11" t="s">
        <v>151</v>
      </c>
      <c r="F826" s="20">
        <v>46266.306979166664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7"/>
    </row>
    <row r="827" spans="1:14">
      <c r="A827" s="11" t="s">
        <v>3629</v>
      </c>
      <c r="B827" s="11" t="s">
        <v>954</v>
      </c>
      <c r="C827" s="11" t="s">
        <v>955</v>
      </c>
      <c r="D827" s="11">
        <v>1</v>
      </c>
      <c r="E827" s="11" t="s">
        <v>13</v>
      </c>
      <c r="F827" s="20">
        <v>46266.315775462965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7"/>
    </row>
    <row r="828" spans="1:14">
      <c r="A828" s="11" t="s">
        <v>3630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46266.393460648149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7"/>
    </row>
    <row r="829" spans="1:14">
      <c r="A829" s="11" t="s">
        <v>3631</v>
      </c>
      <c r="B829" s="11" t="s">
        <v>2226</v>
      </c>
      <c r="C829" s="11" t="s">
        <v>2227</v>
      </c>
      <c r="D829" s="11">
        <v>1</v>
      </c>
      <c r="E829" s="11" t="s">
        <v>151</v>
      </c>
      <c r="F829" s="20">
        <v>46266.344664351855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7"/>
    </row>
    <row r="830" spans="1:14">
      <c r="A830" s="11" t="s">
        <v>3632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7"/>
    </row>
    <row r="831" spans="1:14">
      <c r="A831" s="11" t="s">
        <v>3633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7"/>
    </row>
    <row r="832" spans="1:14">
      <c r="A832" s="11" t="s">
        <v>3634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46266.463136574072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7"/>
    </row>
    <row r="833" spans="1:14">
      <c r="A833" s="11" t="s">
        <v>3635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7"/>
    </row>
    <row r="834" spans="1:14">
      <c r="A834" s="11" t="s">
        <v>3636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46265.977847222224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7"/>
    </row>
    <row r="835" spans="1:14">
      <c r="A835" s="11" t="s">
        <v>3637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46266.393634259257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7"/>
    </row>
    <row r="836" spans="1:14">
      <c r="A836" s="11" t="s">
        <v>3638</v>
      </c>
      <c r="B836" s="11" t="s">
        <v>954</v>
      </c>
      <c r="C836" s="11" t="s">
        <v>955</v>
      </c>
      <c r="D836" s="11">
        <v>1</v>
      </c>
      <c r="E836" s="11" t="s">
        <v>13</v>
      </c>
      <c r="F836" s="20">
        <v>46266.393564814818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7"/>
    </row>
    <row r="837" spans="1:14">
      <c r="A837" s="11" t="s">
        <v>3639</v>
      </c>
      <c r="B837" s="11" t="s">
        <v>11</v>
      </c>
      <c r="C837" s="11" t="s">
        <v>12</v>
      </c>
      <c r="D837" s="11">
        <v>1</v>
      </c>
      <c r="E837" s="11" t="s">
        <v>13</v>
      </c>
      <c r="F837" s="20">
        <v>46266.305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7"/>
    </row>
    <row r="838" spans="1:14">
      <c r="A838" s="11" t="s">
        <v>3640</v>
      </c>
      <c r="B838" s="11" t="s">
        <v>11</v>
      </c>
      <c r="C838" s="11" t="s">
        <v>12</v>
      </c>
      <c r="D838" s="11">
        <v>1</v>
      </c>
      <c r="E838" s="11" t="s">
        <v>13</v>
      </c>
      <c r="F838" s="20">
        <v>46266.304340277777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7"/>
    </row>
    <row r="839" spans="1:14">
      <c r="A839" s="11" t="s">
        <v>3641</v>
      </c>
      <c r="B839" s="11" t="s">
        <v>11</v>
      </c>
      <c r="C839" s="11" t="s">
        <v>12</v>
      </c>
      <c r="D839" s="11">
        <v>1</v>
      </c>
      <c r="E839" s="11" t="s">
        <v>13</v>
      </c>
      <c r="F839" s="20">
        <v>46266.304930555554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7"/>
    </row>
    <row r="840" spans="1:14">
      <c r="A840" s="11" t="s">
        <v>3642</v>
      </c>
      <c r="B840" s="11" t="s">
        <v>83</v>
      </c>
      <c r="C840" s="11" t="s">
        <v>84</v>
      </c>
      <c r="D840" s="11">
        <v>1</v>
      </c>
      <c r="E840" s="11" t="s">
        <v>85</v>
      </c>
      <c r="F840" s="20">
        <v>46266.628831018519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7"/>
    </row>
    <row r="841" spans="1:14">
      <c r="A841" s="11" t="s">
        <v>3643</v>
      </c>
      <c r="B841" s="11" t="s">
        <v>11</v>
      </c>
      <c r="C841" s="11" t="s">
        <v>12</v>
      </c>
      <c r="D841" s="11">
        <v>1</v>
      </c>
      <c r="E841" s="11" t="s">
        <v>13</v>
      </c>
      <c r="F841" s="20">
        <v>46266.304467592592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7"/>
    </row>
    <row r="842" spans="1:14">
      <c r="A842" s="11" t="s">
        <v>3644</v>
      </c>
      <c r="B842" s="11" t="s">
        <v>2226</v>
      </c>
      <c r="C842" s="11" t="s">
        <v>2227</v>
      </c>
      <c r="D842" s="11">
        <v>1</v>
      </c>
      <c r="E842" s="11" t="s">
        <v>151</v>
      </c>
      <c r="F842" s="20">
        <v>46263.467291666668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7"/>
    </row>
    <row r="843" spans="1:14">
      <c r="A843" s="11" t="s">
        <v>3645</v>
      </c>
      <c r="B843" s="11" t="s">
        <v>83</v>
      </c>
      <c r="C843" s="11" t="s">
        <v>84</v>
      </c>
      <c r="D843" s="11">
        <v>1</v>
      </c>
      <c r="E843" s="11" t="s">
        <v>85</v>
      </c>
      <c r="F843" s="20">
        <v>46266.615648148145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7"/>
    </row>
    <row r="844" spans="1:14">
      <c r="A844" s="11" t="s">
        <v>3646</v>
      </c>
      <c r="B844" s="11" t="s">
        <v>11</v>
      </c>
      <c r="C844" s="11" t="s">
        <v>12</v>
      </c>
      <c r="D844" s="11">
        <v>1</v>
      </c>
      <c r="E844" s="11" t="s">
        <v>13</v>
      </c>
      <c r="F844" s="20">
        <v>46270.511238425926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7"/>
    </row>
    <row r="845" spans="1:14">
      <c r="A845" s="11" t="s">
        <v>3647</v>
      </c>
      <c r="B845" s="11" t="s">
        <v>83</v>
      </c>
      <c r="C845" s="11" t="s">
        <v>84</v>
      </c>
      <c r="D845" s="11">
        <v>1</v>
      </c>
      <c r="E845" s="11" t="s">
        <v>85</v>
      </c>
      <c r="F845" s="20">
        <v>46266.610891203702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7"/>
    </row>
    <row r="846" spans="1:14">
      <c r="A846" s="11" t="s">
        <v>3648</v>
      </c>
      <c r="B846" s="11" t="s">
        <v>11</v>
      </c>
      <c r="C846" s="11" t="s">
        <v>12</v>
      </c>
      <c r="D846" s="11">
        <v>1</v>
      </c>
      <c r="E846" s="11" t="s">
        <v>13</v>
      </c>
      <c r="F846" s="20">
        <v>46273.461678240739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7"/>
    </row>
    <row r="847" spans="1:14">
      <c r="A847" s="11" t="s">
        <v>3649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7"/>
    </row>
    <row r="848" spans="1:14">
      <c r="A848" s="11" t="s">
        <v>3650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7"/>
    </row>
    <row r="849" spans="1:14">
      <c r="A849" s="11" t="s">
        <v>3651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7"/>
    </row>
    <row r="850" spans="1:14">
      <c r="A850" s="11" t="s">
        <v>3652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46265.955358796295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7"/>
    </row>
    <row r="851" spans="1:14">
      <c r="A851" s="11" t="s">
        <v>3653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46266.280671296299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7"/>
    </row>
    <row r="852" spans="1:14">
      <c r="A852" s="11" t="s">
        <v>3654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7"/>
    </row>
    <row r="853" spans="1:14">
      <c r="A853" s="11" t="s">
        <v>3655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46266.283587962964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7"/>
    </row>
    <row r="854" spans="1:14">
      <c r="A854" s="11" t="s">
        <v>3656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46266.306469907409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7"/>
    </row>
    <row r="855" spans="1:14">
      <c r="A855" s="11" t="s">
        <v>3657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46273.461273148147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7"/>
    </row>
    <row r="856" spans="1:14">
      <c r="A856" s="11" t="s">
        <v>3658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46266.306423611109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7"/>
    </row>
    <row r="857" spans="1:14">
      <c r="A857" s="11" t="s">
        <v>3659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7"/>
    </row>
    <row r="858" spans="1:14">
      <c r="A858" s="11" t="s">
        <v>3660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7"/>
    </row>
    <row r="859" spans="1:14">
      <c r="A859" s="11" t="s">
        <v>3661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7"/>
    </row>
    <row r="860" spans="1:14">
      <c r="A860" s="11" t="s">
        <v>3662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7"/>
    </row>
    <row r="861" spans="1:14">
      <c r="A861" s="11" t="s">
        <v>3663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7"/>
    </row>
    <row r="862" spans="1:14">
      <c r="A862" s="11" t="s">
        <v>3664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7"/>
    </row>
    <row r="863" spans="1:14">
      <c r="A863" s="11" t="s">
        <v>3665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7"/>
    </row>
    <row r="864" spans="1:14">
      <c r="A864" s="11" t="s">
        <v>3666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7"/>
    </row>
    <row r="865" spans="1:14">
      <c r="A865" s="11" t="s">
        <v>3667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7"/>
    </row>
    <row r="866" spans="1:14">
      <c r="A866" s="11" t="s">
        <v>3668</v>
      </c>
      <c r="B866" s="11" t="s">
        <v>11</v>
      </c>
      <c r="C866" s="11" t="s">
        <v>12</v>
      </c>
      <c r="D866" s="11">
        <v>1</v>
      </c>
      <c r="E866" s="11" t="s">
        <v>13</v>
      </c>
      <c r="F866" s="20">
        <v>46266.305300925924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7"/>
    </row>
    <row r="867" spans="1:14">
      <c r="A867" s="11" t="s">
        <v>3669</v>
      </c>
      <c r="B867" s="11" t="s">
        <v>11</v>
      </c>
      <c r="C867" s="11" t="s">
        <v>12</v>
      </c>
      <c r="D867" s="11">
        <v>1</v>
      </c>
      <c r="E867" s="11" t="s">
        <v>13</v>
      </c>
      <c r="F867" s="20">
        <v>46266.305393518516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7"/>
    </row>
    <row r="868" spans="1:14">
      <c r="A868" s="11" t="s">
        <v>3670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7"/>
    </row>
    <row r="869" spans="1:14">
      <c r="A869" s="11" t="s">
        <v>3671</v>
      </c>
      <c r="B869" s="11" t="s">
        <v>11</v>
      </c>
      <c r="C869" s="11" t="s">
        <v>12</v>
      </c>
      <c r="D869" s="11">
        <v>1</v>
      </c>
      <c r="E869" s="11" t="s">
        <v>13</v>
      </c>
      <c r="F869" s="20">
        <v>46266.305034722223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7"/>
    </row>
    <row r="870" spans="1:14">
      <c r="A870" s="11" t="s">
        <v>3672</v>
      </c>
      <c r="B870" s="11" t="s">
        <v>11</v>
      </c>
      <c r="C870" s="11" t="s">
        <v>12</v>
      </c>
      <c r="D870" s="11">
        <v>1</v>
      </c>
      <c r="E870" s="11" t="s">
        <v>13</v>
      </c>
      <c r="F870" s="20">
        <v>46270.343449074076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7"/>
    </row>
    <row r="871" spans="1:14">
      <c r="A871" s="11" t="s">
        <v>3673</v>
      </c>
      <c r="B871" s="11" t="s">
        <v>11</v>
      </c>
      <c r="C871" s="11" t="s">
        <v>12</v>
      </c>
      <c r="D871" s="11">
        <v>1</v>
      </c>
      <c r="E871" s="11" t="s">
        <v>13</v>
      </c>
      <c r="F871" s="20">
        <v>46266.304259259261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7"/>
    </row>
    <row r="872" spans="1:14">
      <c r="A872" s="11" t="s">
        <v>3674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7"/>
    </row>
    <row r="873" spans="1:14">
      <c r="A873" s="11" t="s">
        <v>3675</v>
      </c>
      <c r="B873" s="11" t="s">
        <v>11</v>
      </c>
      <c r="C873" s="11" t="s">
        <v>12</v>
      </c>
      <c r="D873" s="11">
        <v>1</v>
      </c>
      <c r="E873" s="11" t="s">
        <v>13</v>
      </c>
      <c r="F873" s="20">
        <v>46266.30572916667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7"/>
    </row>
    <row r="874" spans="1:14">
      <c r="A874" s="11" t="s">
        <v>3676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7"/>
    </row>
    <row r="875" spans="1:14">
      <c r="A875" s="11" t="s">
        <v>3677</v>
      </c>
      <c r="B875" s="11" t="s">
        <v>11</v>
      </c>
      <c r="C875" s="11" t="s">
        <v>12</v>
      </c>
      <c r="D875" s="11">
        <v>1</v>
      </c>
      <c r="E875" s="11" t="s">
        <v>13</v>
      </c>
      <c r="F875" s="20">
        <v>46266.305497685185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7"/>
    </row>
    <row r="876" spans="1:14">
      <c r="A876" s="11" t="s">
        <v>3678</v>
      </c>
      <c r="B876" s="11" t="s">
        <v>11</v>
      </c>
      <c r="C876" s="11" t="s">
        <v>12</v>
      </c>
      <c r="D876" s="11">
        <v>1</v>
      </c>
      <c r="E876" s="11" t="s">
        <v>13</v>
      </c>
      <c r="F876" s="20">
        <v>46270.51221064815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7"/>
    </row>
    <row r="877" spans="1:14">
      <c r="A877" s="11" t="s">
        <v>3679</v>
      </c>
      <c r="B877" s="11" t="s">
        <v>83</v>
      </c>
      <c r="C877" s="11" t="s">
        <v>84</v>
      </c>
      <c r="D877" s="11">
        <v>1</v>
      </c>
      <c r="E877" s="11" t="s">
        <v>85</v>
      </c>
      <c r="F877" s="20">
        <v>46266.607268518521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7"/>
    </row>
    <row r="878" spans="1:14">
      <c r="A878" s="11" t="s">
        <v>3680</v>
      </c>
      <c r="B878" s="11" t="s">
        <v>11</v>
      </c>
      <c r="C878" s="11" t="s">
        <v>12</v>
      </c>
      <c r="D878" s="11">
        <v>1</v>
      </c>
      <c r="E878" s="11" t="s">
        <v>13</v>
      </c>
      <c r="F878" s="20">
        <v>46266.304571759261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7"/>
    </row>
    <row r="879" spans="1:14">
      <c r="A879" s="11" t="s">
        <v>3681</v>
      </c>
      <c r="B879" s="11" t="s">
        <v>2226</v>
      </c>
      <c r="C879" s="11" t="s">
        <v>2227</v>
      </c>
      <c r="D879" s="11">
        <v>1</v>
      </c>
      <c r="E879" s="11" t="s">
        <v>151</v>
      </c>
      <c r="F879" s="20">
        <v>46263.521296296298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7"/>
    </row>
    <row r="880" spans="1:14">
      <c r="A880" s="11" t="s">
        <v>3682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46266.305231481485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7"/>
    </row>
    <row r="881" spans="1:14">
      <c r="A881" s="11" t="s">
        <v>3683</v>
      </c>
      <c r="B881" s="11" t="s">
        <v>2226</v>
      </c>
      <c r="C881" s="11" t="s">
        <v>2227</v>
      </c>
      <c r="D881" s="11">
        <v>1</v>
      </c>
      <c r="E881" s="11" t="s">
        <v>151</v>
      </c>
      <c r="F881" s="20">
        <v>46263.425150462965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7"/>
    </row>
    <row r="882" spans="1:14">
      <c r="A882" s="11" t="s">
        <v>3684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7"/>
    </row>
    <row r="883" spans="1:14">
      <c r="A883" s="11" t="s">
        <v>3685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7"/>
    </row>
    <row r="884" spans="1:14">
      <c r="A884" s="11" t="s">
        <v>3686</v>
      </c>
      <c r="B884" s="11" t="s">
        <v>11</v>
      </c>
      <c r="C884" s="11" t="s">
        <v>12</v>
      </c>
      <c r="D884" s="11">
        <v>1</v>
      </c>
      <c r="E884" s="11" t="s">
        <v>13</v>
      </c>
      <c r="F884" s="20">
        <v>46266.305138888885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7"/>
    </row>
    <row r="885" spans="1:14">
      <c r="A885" s="11" t="s">
        <v>3687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7"/>
    </row>
    <row r="886" spans="1:14">
      <c r="A886" s="11" t="s">
        <v>3688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7"/>
    </row>
    <row r="887" spans="1:14">
      <c r="A887" s="11" t="s">
        <v>3689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7"/>
    </row>
    <row r="888" spans="1:14">
      <c r="A888" s="11" t="s">
        <v>3690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7"/>
    </row>
    <row r="889" spans="1:14">
      <c r="A889" s="11" t="s">
        <v>3691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7"/>
    </row>
    <row r="890" spans="1:14">
      <c r="A890" s="11" t="s">
        <v>3692</v>
      </c>
      <c r="B890" s="11" t="s">
        <v>2684</v>
      </c>
      <c r="C890" s="11" t="s">
        <v>2685</v>
      </c>
      <c r="D890" s="11">
        <v>1</v>
      </c>
      <c r="E890" s="11" t="s">
        <v>151</v>
      </c>
      <c r="F890" s="20">
        <v>46272.896331018521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7"/>
    </row>
    <row r="891" spans="1:14">
      <c r="A891" s="11" t="s">
        <v>3693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7"/>
    </row>
    <row r="892" spans="1:14">
      <c r="A892" s="11" t="s">
        <v>3694</v>
      </c>
      <c r="B892" s="11" t="s">
        <v>2684</v>
      </c>
      <c r="C892" s="11" t="s">
        <v>2685</v>
      </c>
      <c r="D892" s="11">
        <v>1</v>
      </c>
      <c r="E892" s="11" t="s">
        <v>151</v>
      </c>
      <c r="F892" s="20">
        <v>46272.88621527778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7"/>
    </row>
    <row r="893" spans="1:14">
      <c r="A893" s="11" t="s">
        <v>3695</v>
      </c>
      <c r="B893" s="11" t="s">
        <v>11</v>
      </c>
      <c r="C893" s="11" t="s">
        <v>12</v>
      </c>
      <c r="D893" s="11">
        <v>1</v>
      </c>
      <c r="E893" s="11" t="s">
        <v>13</v>
      </c>
      <c r="F893" s="20">
        <v>46273.318668981483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7"/>
    </row>
    <row r="894" spans="1:14">
      <c r="A894" s="11" t="s">
        <v>3696</v>
      </c>
      <c r="B894" s="11" t="s">
        <v>2684</v>
      </c>
      <c r="C894" s="11" t="s">
        <v>2685</v>
      </c>
      <c r="D894" s="11">
        <v>1</v>
      </c>
      <c r="E894" s="11" t="s">
        <v>151</v>
      </c>
      <c r="F894" s="20">
        <v>46272.911909722221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7"/>
    </row>
    <row r="895" spans="1:14">
      <c r="A895" s="11" t="s">
        <v>3697</v>
      </c>
      <c r="B895" s="11" t="s">
        <v>11</v>
      </c>
      <c r="C895" s="11" t="s">
        <v>12</v>
      </c>
      <c r="D895" s="11">
        <v>1</v>
      </c>
      <c r="E895" s="11" t="s">
        <v>13</v>
      </c>
      <c r="F895" s="20">
        <v>46273.320069444446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7"/>
    </row>
    <row r="896" spans="1:14">
      <c r="A896" s="11" t="s">
        <v>3698</v>
      </c>
      <c r="B896" s="11" t="s">
        <v>2684</v>
      </c>
      <c r="C896" s="11" t="s">
        <v>2685</v>
      </c>
      <c r="D896" s="11">
        <v>1</v>
      </c>
      <c r="E896" s="11" t="s">
        <v>151</v>
      </c>
      <c r="F896" s="20">
        <v>46272.908194444448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7"/>
    </row>
    <row r="897" spans="1:14">
      <c r="A897" s="11" t="s">
        <v>3699</v>
      </c>
      <c r="B897" s="11" t="s">
        <v>3774</v>
      </c>
      <c r="C897" s="11" t="s">
        <v>3775</v>
      </c>
      <c r="D897" s="11">
        <v>1</v>
      </c>
      <c r="E897" s="11" t="s">
        <v>85</v>
      </c>
      <c r="F897" s="20">
        <v>46274.456006944441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7"/>
    </row>
    <row r="898" spans="1:14">
      <c r="A898" s="11" t="s">
        <v>3700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7"/>
    </row>
    <row r="899" spans="1:14">
      <c r="A899" s="11" t="s">
        <v>3701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7"/>
    </row>
    <row r="900" spans="1:14">
      <c r="A900" s="11" t="s">
        <v>3702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7"/>
    </row>
    <row r="901" spans="1:14">
      <c r="A901" s="11" t="s">
        <v>3703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7"/>
    </row>
    <row r="902" spans="1:14">
      <c r="A902" s="11" t="s">
        <v>3704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7"/>
    </row>
    <row r="903" spans="1:14">
      <c r="A903" s="11" t="s">
        <v>3705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7"/>
    </row>
    <row r="904" spans="1:14">
      <c r="A904" s="11" t="s">
        <v>3706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7"/>
    </row>
    <row r="905" spans="1:14">
      <c r="A905" s="11" t="s">
        <v>3707</v>
      </c>
      <c r="B905" s="11" t="s">
        <v>11</v>
      </c>
      <c r="C905" s="11" t="s">
        <v>12</v>
      </c>
      <c r="D905" s="11">
        <v>1</v>
      </c>
      <c r="E905" s="11" t="s">
        <v>13</v>
      </c>
      <c r="F905" s="20">
        <v>46273.461585648147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7"/>
    </row>
    <row r="906" spans="1:14">
      <c r="A906" s="11" t="s">
        <v>3708</v>
      </c>
      <c r="B906" s="11" t="s">
        <v>11</v>
      </c>
      <c r="C906" s="11" t="s">
        <v>12</v>
      </c>
      <c r="D906" s="11">
        <v>1</v>
      </c>
      <c r="E906" s="11" t="s">
        <v>13</v>
      </c>
      <c r="F906" s="20">
        <v>46273.461435185185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7"/>
    </row>
    <row r="907" spans="1:14">
      <c r="A907" s="11" t="s">
        <v>3709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7"/>
    </row>
    <row r="908" spans="1:14">
      <c r="A908" s="11" t="s">
        <v>3710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7"/>
    </row>
    <row r="909" spans="1:14">
      <c r="A909" s="11" t="s">
        <v>3711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7"/>
    </row>
    <row r="910" spans="1:14">
      <c r="A910" s="11" t="s">
        <v>3712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7"/>
    </row>
    <row r="911" spans="1:14">
      <c r="A911" s="11" t="s">
        <v>3713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7"/>
    </row>
    <row r="912" spans="1:14">
      <c r="A912" s="11" t="s">
        <v>3714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7"/>
    </row>
    <row r="913" spans="1:14">
      <c r="A913" s="11" t="s">
        <v>3715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7"/>
    </row>
    <row r="914" spans="1:14">
      <c r="A914" s="11" t="s">
        <v>3716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7"/>
    </row>
    <row r="915" spans="1:14">
      <c r="A915" s="11" t="s">
        <v>3717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7"/>
    </row>
    <row r="916" spans="1:14">
      <c r="A916" s="11" t="s">
        <v>3718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7"/>
    </row>
    <row r="917" spans="1:14">
      <c r="A917" s="11" t="s">
        <v>3719</v>
      </c>
      <c r="B917" s="11" t="s">
        <v>2226</v>
      </c>
      <c r="C917" s="11" t="s">
        <v>2227</v>
      </c>
      <c r="D917" s="11">
        <v>1</v>
      </c>
      <c r="E917" s="11" t="s">
        <v>151</v>
      </c>
      <c r="F917" s="20">
        <v>46262.461284722223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7"/>
    </row>
    <row r="918" spans="1:14">
      <c r="A918" s="11" t="s">
        <v>3720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7"/>
    </row>
    <row r="919" spans="1:14">
      <c r="A919" s="11" t="s">
        <v>3721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7"/>
    </row>
    <row r="920" spans="1:14">
      <c r="A920" s="11" t="s">
        <v>3722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7"/>
    </row>
    <row r="921" spans="1:14">
      <c r="A921" s="11" t="s">
        <v>3723</v>
      </c>
      <c r="B921" s="11" t="s">
        <v>11</v>
      </c>
      <c r="C921" s="11" t="s">
        <v>12</v>
      </c>
      <c r="D921" s="11">
        <v>1</v>
      </c>
      <c r="E921" s="11" t="s">
        <v>13</v>
      </c>
      <c r="F921" s="20">
        <v>46273.461342592593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7"/>
    </row>
    <row r="922" spans="1:14">
      <c r="A922" s="11" t="s">
        <v>3724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7"/>
    </row>
    <row r="923" spans="1:14">
      <c r="A923" s="11" t="s">
        <v>3725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7"/>
    </row>
    <row r="924" spans="1:14">
      <c r="A924" s="11" t="s">
        <v>3726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7"/>
    </row>
    <row r="925" spans="1:14">
      <c r="A925" s="11" t="s">
        <v>3727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46266.305659722224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7"/>
    </row>
    <row r="926" spans="1:14">
      <c r="A926" s="11" t="s">
        <v>3728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46273.321157407408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7"/>
    </row>
    <row r="927" spans="1:14">
      <c r="A927" s="11" t="s">
        <v>3729</v>
      </c>
      <c r="B927" s="11" t="s">
        <v>2226</v>
      </c>
      <c r="C927" s="11" t="s">
        <v>2227</v>
      </c>
      <c r="D927" s="11">
        <v>1</v>
      </c>
      <c r="E927" s="11" t="s">
        <v>151</v>
      </c>
      <c r="F927" s="20">
        <v>46263.375509259262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7"/>
    </row>
    <row r="928" spans="1:14">
      <c r="A928" s="11" t="s">
        <v>3730</v>
      </c>
      <c r="B928" s="11" t="s">
        <v>11</v>
      </c>
      <c r="C928" s="11" t="s">
        <v>12</v>
      </c>
      <c r="D928" s="11">
        <v>1</v>
      </c>
      <c r="E928" s="11" t="s">
        <v>13</v>
      </c>
      <c r="F928" s="20">
        <v>46266.305555555555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7"/>
    </row>
    <row r="929" spans="1:14">
      <c r="A929" s="11" t="s">
        <v>3731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7"/>
    </row>
    <row r="930" spans="1:14">
      <c r="A930" s="11" t="s">
        <v>3732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7"/>
    </row>
    <row r="931" spans="1:14">
      <c r="A931" s="11" t="s">
        <v>3733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7"/>
    </row>
    <row r="932" spans="1:14">
      <c r="A932" s="11" t="s">
        <v>3734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7"/>
    </row>
    <row r="933" spans="1:14">
      <c r="A933" s="11" t="s">
        <v>3735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7"/>
    </row>
    <row r="934" spans="1:14">
      <c r="A934" s="11" t="s">
        <v>3736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7"/>
    </row>
    <row r="935" spans="1:14">
      <c r="A935" s="11" t="s">
        <v>3737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7"/>
    </row>
    <row r="936" spans="1:14">
      <c r="A936" s="11" t="s">
        <v>3738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7"/>
    </row>
    <row r="937" spans="1:14">
      <c r="A937" s="11" t="s">
        <v>3739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7"/>
    </row>
    <row r="938" spans="1:14">
      <c r="A938" s="11" t="s">
        <v>3209</v>
      </c>
      <c r="B938" s="11" t="s">
        <v>2226</v>
      </c>
      <c r="C938" s="11" t="s">
        <v>2227</v>
      </c>
      <c r="D938" s="11">
        <v>1</v>
      </c>
      <c r="E938" s="11" t="s">
        <v>151</v>
      </c>
      <c r="F938" s="20">
        <v>46274.383888888886</v>
      </c>
      <c r="G938" s="11" t="s">
        <v>2222</v>
      </c>
      <c r="H938" s="11" t="s">
        <v>1348</v>
      </c>
      <c r="I938" s="1">
        <f>VLOOKUP(G938,WO!A:J,10,0)</f>
        <v>49</v>
      </c>
      <c r="J938" s="1" t="str">
        <f t="shared" si="14"/>
        <v>17IA14.90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7"/>
    </row>
    <row r="939" spans="1:14">
      <c r="A939" s="11" t="s">
        <v>3210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46274.453043981484</v>
      </c>
      <c r="G939" s="11" t="s">
        <v>2222</v>
      </c>
      <c r="H939" s="11" t="s">
        <v>1348</v>
      </c>
      <c r="I939" s="1">
        <f>VLOOKUP(G939,WO!A:J,10,0)</f>
        <v>49</v>
      </c>
      <c r="J939" s="1" t="str">
        <f t="shared" si="14"/>
        <v>17IA14.90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7"/>
    </row>
    <row r="940" spans="1:14">
      <c r="A940" s="11" t="s">
        <v>3211</v>
      </c>
      <c r="B940" s="11" t="s">
        <v>3774</v>
      </c>
      <c r="C940" s="11" t="s">
        <v>3775</v>
      </c>
      <c r="D940" s="11">
        <v>1</v>
      </c>
      <c r="E940" s="11" t="s">
        <v>85</v>
      </c>
      <c r="F940" s="20">
        <v>46274.456689814811</v>
      </c>
      <c r="G940" s="11" t="s">
        <v>2222</v>
      </c>
      <c r="H940" s="11" t="s">
        <v>1348</v>
      </c>
      <c r="I940" s="1">
        <f>VLOOKUP(G940,WO!A:J,10,0)</f>
        <v>49</v>
      </c>
      <c r="J940" s="1" t="str">
        <f t="shared" si="14"/>
        <v>17IA14.90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7"/>
    </row>
    <row r="941" spans="1:14">
      <c r="A941" s="11" t="s">
        <v>3212</v>
      </c>
      <c r="B941" s="11" t="s">
        <v>3774</v>
      </c>
      <c r="C941" s="11" t="s">
        <v>3775</v>
      </c>
      <c r="D941" s="11">
        <v>1</v>
      </c>
      <c r="E941" s="11" t="s">
        <v>85</v>
      </c>
      <c r="F941" s="20">
        <v>46274.452546296299</v>
      </c>
      <c r="G941" s="11" t="s">
        <v>2222</v>
      </c>
      <c r="H941" s="11" t="s">
        <v>1348</v>
      </c>
      <c r="I941" s="1">
        <f>VLOOKUP(G941,WO!A:J,10,0)</f>
        <v>49</v>
      </c>
      <c r="J941" s="1" t="str">
        <f t="shared" si="14"/>
        <v>17IA14.90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7"/>
    </row>
    <row r="942" spans="1:14">
      <c r="A942" s="11" t="s">
        <v>3213</v>
      </c>
      <c r="B942" s="11" t="s">
        <v>3774</v>
      </c>
      <c r="C942" s="11" t="s">
        <v>3775</v>
      </c>
      <c r="D942" s="11">
        <v>1</v>
      </c>
      <c r="E942" s="11" t="s">
        <v>85</v>
      </c>
      <c r="F942" s="20">
        <v>46274.454988425925</v>
      </c>
      <c r="G942" s="11" t="s">
        <v>2222</v>
      </c>
      <c r="H942" s="11" t="s">
        <v>1348</v>
      </c>
      <c r="I942" s="1">
        <f>VLOOKUP(G942,WO!A:J,10,0)</f>
        <v>49</v>
      </c>
      <c r="J942" s="1" t="str">
        <f t="shared" si="14"/>
        <v>17IA14.90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7"/>
    </row>
    <row r="943" spans="1:14">
      <c r="A943" s="11" t="s">
        <v>3214</v>
      </c>
      <c r="B943" s="11" t="s">
        <v>3774</v>
      </c>
      <c r="C943" s="11" t="s">
        <v>3775</v>
      </c>
      <c r="D943" s="11">
        <v>1</v>
      </c>
      <c r="E943" s="11" t="s">
        <v>85</v>
      </c>
      <c r="F943" s="20">
        <v>46274.453865740739</v>
      </c>
      <c r="G943" s="11" t="s">
        <v>2222</v>
      </c>
      <c r="H943" s="11" t="s">
        <v>1348</v>
      </c>
      <c r="I943" s="1">
        <f>VLOOKUP(G943,WO!A:J,10,0)</f>
        <v>49</v>
      </c>
      <c r="J943" s="1" t="str">
        <f t="shared" si="14"/>
        <v>17IA14.90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7"/>
    </row>
    <row r="944" spans="1:14">
      <c r="A944" s="11" t="s">
        <v>3215</v>
      </c>
      <c r="B944" s="11" t="s">
        <v>3774</v>
      </c>
      <c r="C944" s="11" t="s">
        <v>3775</v>
      </c>
      <c r="D944" s="11">
        <v>1</v>
      </c>
      <c r="E944" s="11" t="s">
        <v>85</v>
      </c>
      <c r="F944" s="20">
        <v>46274.454340277778</v>
      </c>
      <c r="G944" s="11" t="s">
        <v>2222</v>
      </c>
      <c r="H944" s="11" t="s">
        <v>1348</v>
      </c>
      <c r="I944" s="1">
        <f>VLOOKUP(G944,WO!A:J,10,0)</f>
        <v>49</v>
      </c>
      <c r="J944" s="1" t="str">
        <f t="shared" si="14"/>
        <v>17IA14.90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7"/>
    </row>
    <row r="945" spans="1:14">
      <c r="A945" s="11" t="s">
        <v>3216</v>
      </c>
      <c r="B945" s="11" t="s">
        <v>3774</v>
      </c>
      <c r="C945" s="11" t="s">
        <v>3775</v>
      </c>
      <c r="D945" s="11">
        <v>1</v>
      </c>
      <c r="E945" s="11" t="s">
        <v>85</v>
      </c>
      <c r="F945" s="20">
        <v>46274.455543981479</v>
      </c>
      <c r="G945" s="11" t="s">
        <v>2222</v>
      </c>
      <c r="H945" s="11" t="s">
        <v>1348</v>
      </c>
      <c r="I945" s="1">
        <f>VLOOKUP(G945,WO!A:J,10,0)</f>
        <v>49</v>
      </c>
      <c r="J945" s="1" t="str">
        <f t="shared" si="14"/>
        <v>17IA14.90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7"/>
    </row>
    <row r="946" spans="1:14">
      <c r="A946" s="11" t="s">
        <v>3217</v>
      </c>
      <c r="B946" s="11" t="s">
        <v>3774</v>
      </c>
      <c r="C946" s="11" t="s">
        <v>3775</v>
      </c>
      <c r="D946" s="11">
        <v>1</v>
      </c>
      <c r="E946" s="11" t="s">
        <v>85</v>
      </c>
      <c r="F946" s="20">
        <v>46274.451608796298</v>
      </c>
      <c r="G946" s="11" t="s">
        <v>2222</v>
      </c>
      <c r="H946" s="11" t="s">
        <v>1348</v>
      </c>
      <c r="I946" s="1">
        <f>VLOOKUP(G946,WO!A:J,10,0)</f>
        <v>49</v>
      </c>
      <c r="J946" s="1" t="str">
        <f t="shared" si="14"/>
        <v>17IA14.90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7"/>
    </row>
    <row r="947" spans="1:14">
      <c r="A947" s="11" t="s">
        <v>3218</v>
      </c>
      <c r="B947" s="11" t="s">
        <v>3774</v>
      </c>
      <c r="C947" s="11" t="s">
        <v>3775</v>
      </c>
      <c r="D947" s="11">
        <v>1</v>
      </c>
      <c r="E947" s="11" t="s">
        <v>85</v>
      </c>
      <c r="F947" s="20">
        <v>46274.457037037035</v>
      </c>
      <c r="G947" s="11" t="s">
        <v>2222</v>
      </c>
      <c r="H947" s="11" t="s">
        <v>1348</v>
      </c>
      <c r="I947" s="1">
        <f>VLOOKUP(G947,WO!A:J,10,0)</f>
        <v>49</v>
      </c>
      <c r="J947" s="1" t="str">
        <f t="shared" si="14"/>
        <v>17IA14.90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7"/>
    </row>
    <row r="948" spans="1:14">
      <c r="A948" s="11" t="s">
        <v>3219</v>
      </c>
      <c r="B948" s="11" t="s">
        <v>2226</v>
      </c>
      <c r="C948" s="11" t="s">
        <v>2227</v>
      </c>
      <c r="D948" s="11">
        <v>1</v>
      </c>
      <c r="E948" s="11" t="s">
        <v>151</v>
      </c>
      <c r="F948" s="20">
        <v>46274.381342592591</v>
      </c>
      <c r="G948" s="11" t="s">
        <v>2222</v>
      </c>
      <c r="H948" s="11" t="s">
        <v>1348</v>
      </c>
      <c r="I948" s="1">
        <f>VLOOKUP(G948,WO!A:J,10,0)</f>
        <v>49</v>
      </c>
      <c r="J948" s="1" t="str">
        <f t="shared" si="14"/>
        <v>17IA14.90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7"/>
    </row>
    <row r="949" spans="1:14">
      <c r="A949" s="11" t="s">
        <v>3220</v>
      </c>
      <c r="B949" s="11" t="s">
        <v>2226</v>
      </c>
      <c r="C949" s="11" t="s">
        <v>2227</v>
      </c>
      <c r="D949" s="11">
        <v>1</v>
      </c>
      <c r="E949" s="11" t="s">
        <v>151</v>
      </c>
      <c r="F949" s="20">
        <v>46274.382314814815</v>
      </c>
      <c r="G949" s="11" t="s">
        <v>2222</v>
      </c>
      <c r="H949" s="11" t="s">
        <v>1348</v>
      </c>
      <c r="I949" s="1">
        <f>VLOOKUP(G949,WO!A:J,10,0)</f>
        <v>49</v>
      </c>
      <c r="J949" s="1" t="str">
        <f t="shared" si="14"/>
        <v>17IA14.90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7"/>
    </row>
    <row r="950" spans="1:14">
      <c r="A950" s="11" t="s">
        <v>3221</v>
      </c>
      <c r="B950" s="11" t="s">
        <v>3774</v>
      </c>
      <c r="C950" s="11" t="s">
        <v>3775</v>
      </c>
      <c r="D950" s="11">
        <v>1</v>
      </c>
      <c r="E950" s="11" t="s">
        <v>85</v>
      </c>
      <c r="F950" s="20">
        <v>46274.453379629631</v>
      </c>
      <c r="G950" s="11" t="s">
        <v>2222</v>
      </c>
      <c r="H950" s="11" t="s">
        <v>1348</v>
      </c>
      <c r="I950" s="1">
        <f>VLOOKUP(G950,WO!A:J,10,0)</f>
        <v>49</v>
      </c>
      <c r="J950" s="1" t="str">
        <f t="shared" si="14"/>
        <v>17IA14.90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7"/>
    </row>
    <row r="951" spans="1:14">
      <c r="A951" s="11" t="s">
        <v>3222</v>
      </c>
      <c r="B951" s="11" t="s">
        <v>3774</v>
      </c>
      <c r="C951" s="11" t="s">
        <v>3775</v>
      </c>
      <c r="D951" s="11">
        <v>1</v>
      </c>
      <c r="E951" s="11" t="s">
        <v>85</v>
      </c>
      <c r="F951" s="20">
        <v>46274.456307870372</v>
      </c>
      <c r="G951" s="11" t="s">
        <v>2222</v>
      </c>
      <c r="H951" s="11" t="s">
        <v>1348</v>
      </c>
      <c r="I951" s="1">
        <f>VLOOKUP(G951,WO!A:J,10,0)</f>
        <v>49</v>
      </c>
      <c r="J951" s="1" t="str">
        <f t="shared" si="14"/>
        <v>17IA14.90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7"/>
    </row>
    <row r="952" spans="1:14">
      <c r="A952" s="11" t="s">
        <v>3223</v>
      </c>
      <c r="B952" s="11" t="s">
        <v>3774</v>
      </c>
      <c r="C952" s="11" t="s">
        <v>3775</v>
      </c>
      <c r="D952" s="11">
        <v>1</v>
      </c>
      <c r="E952" s="11" t="s">
        <v>85</v>
      </c>
      <c r="F952" s="20">
        <v>46274.454618055555</v>
      </c>
      <c r="G952" s="11" t="s">
        <v>2222</v>
      </c>
      <c r="H952" s="11" t="s">
        <v>1348</v>
      </c>
      <c r="I952" s="1">
        <f>VLOOKUP(G952,WO!A:J,10,0)</f>
        <v>49</v>
      </c>
      <c r="J952" s="1" t="str">
        <f t="shared" si="14"/>
        <v>17IA14.90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7"/>
    </row>
    <row r="953" spans="1:14">
      <c r="A953" s="11" t="s">
        <v>3224</v>
      </c>
      <c r="B953" s="11" t="s">
        <v>2226</v>
      </c>
      <c r="C953" s="11" t="s">
        <v>2227</v>
      </c>
      <c r="D953" s="11">
        <v>1</v>
      </c>
      <c r="E953" s="11" t="s">
        <v>151</v>
      </c>
      <c r="F953" s="20">
        <v>46274.383611111109</v>
      </c>
      <c r="G953" s="11" t="s">
        <v>2222</v>
      </c>
      <c r="H953" s="11" t="s">
        <v>1348</v>
      </c>
      <c r="I953" s="1">
        <f>VLOOKUP(G953,WO!A:J,10,0)</f>
        <v>49</v>
      </c>
      <c r="J953" s="1" t="str">
        <f t="shared" si="14"/>
        <v>17IA14.90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7"/>
    </row>
    <row r="954" spans="1:14">
      <c r="A954" s="11" t="s">
        <v>3225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2222</v>
      </c>
      <c r="H954" s="11" t="s">
        <v>1348</v>
      </c>
      <c r="I954" s="1">
        <f>VLOOKUP(G954,WO!A:J,10,0)</f>
        <v>49</v>
      </c>
      <c r="J954" s="1" t="str">
        <f t="shared" si="14"/>
        <v>17IA14.90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7"/>
    </row>
    <row r="955" spans="1:14">
      <c r="A955" s="11" t="s">
        <v>3226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2222</v>
      </c>
      <c r="H955" s="11" t="s">
        <v>1348</v>
      </c>
      <c r="I955" s="1">
        <f>VLOOKUP(G955,WO!A:J,10,0)</f>
        <v>49</v>
      </c>
      <c r="J955" s="1" t="str">
        <f t="shared" si="14"/>
        <v>17IA14.90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7"/>
    </row>
    <row r="956" spans="1:14">
      <c r="A956" s="11" t="s">
        <v>3227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2222</v>
      </c>
      <c r="H956" s="11" t="s">
        <v>1348</v>
      </c>
      <c r="I956" s="1">
        <f>VLOOKUP(G956,WO!A:J,10,0)</f>
        <v>49</v>
      </c>
      <c r="J956" s="1" t="str">
        <f t="shared" si="14"/>
        <v>17IA14.90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7"/>
    </row>
    <row r="957" spans="1:14">
      <c r="A957" s="11" t="s">
        <v>3228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2222</v>
      </c>
      <c r="H957" s="11" t="s">
        <v>1348</v>
      </c>
      <c r="I957" s="1">
        <f>VLOOKUP(G957,WO!A:J,10,0)</f>
        <v>49</v>
      </c>
      <c r="J957" s="1" t="str">
        <f t="shared" si="14"/>
        <v>17IA14.90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7"/>
    </row>
    <row r="958" spans="1:14">
      <c r="A958" s="11" t="s">
        <v>3229</v>
      </c>
      <c r="B958" s="11" t="s">
        <v>956</v>
      </c>
      <c r="C958" s="11" t="s">
        <v>957</v>
      </c>
      <c r="D958" s="11">
        <v>1</v>
      </c>
      <c r="E958" s="11" t="s">
        <v>13</v>
      </c>
      <c r="F958" s="20">
        <v>46274.26934027778</v>
      </c>
      <c r="G958" s="11" t="s">
        <v>2222</v>
      </c>
      <c r="H958" s="11" t="s">
        <v>1348</v>
      </c>
      <c r="I958" s="1">
        <f>VLOOKUP(G958,WO!A:J,10,0)</f>
        <v>49</v>
      </c>
      <c r="J958" s="1" t="str">
        <f t="shared" si="14"/>
        <v>17IA14.90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7"/>
    </row>
    <row r="959" spans="1:14">
      <c r="A959" s="11" t="s">
        <v>3230</v>
      </c>
      <c r="B959" s="11" t="s">
        <v>956</v>
      </c>
      <c r="C959" s="11" t="s">
        <v>957</v>
      </c>
      <c r="D959" s="11">
        <v>1</v>
      </c>
      <c r="E959" s="11" t="s">
        <v>13</v>
      </c>
      <c r="F959" s="20">
        <v>46274.33971064815</v>
      </c>
      <c r="G959" s="11" t="s">
        <v>2222</v>
      </c>
      <c r="H959" s="11" t="s">
        <v>1348</v>
      </c>
      <c r="I959" s="1">
        <f>VLOOKUP(G959,WO!A:J,10,0)</f>
        <v>49</v>
      </c>
      <c r="J959" s="1" t="str">
        <f t="shared" si="14"/>
        <v>17IA14.90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7"/>
    </row>
    <row r="960" spans="1:14">
      <c r="A960" s="11" t="s">
        <v>3231</v>
      </c>
      <c r="B960" s="11" t="s">
        <v>956</v>
      </c>
      <c r="C960" s="11" t="s">
        <v>957</v>
      </c>
      <c r="D960" s="11">
        <v>1</v>
      </c>
      <c r="E960" s="11" t="s">
        <v>13</v>
      </c>
      <c r="F960" s="20">
        <v>46274.339849537035</v>
      </c>
      <c r="G960" s="11" t="s">
        <v>2222</v>
      </c>
      <c r="H960" s="11" t="s">
        <v>1348</v>
      </c>
      <c r="I960" s="1">
        <f>VLOOKUP(G960,WO!A:J,10,0)</f>
        <v>49</v>
      </c>
      <c r="J960" s="1" t="str">
        <f t="shared" si="14"/>
        <v>17IA14.90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7"/>
    </row>
    <row r="961" spans="1:14">
      <c r="A961" s="11" t="s">
        <v>3232</v>
      </c>
      <c r="B961" s="11" t="s">
        <v>956</v>
      </c>
      <c r="C961" s="11" t="s">
        <v>957</v>
      </c>
      <c r="D961" s="11">
        <v>1</v>
      </c>
      <c r="E961" s="11" t="s">
        <v>13</v>
      </c>
      <c r="F961" s="20">
        <v>46274.339988425927</v>
      </c>
      <c r="G961" s="11" t="s">
        <v>2222</v>
      </c>
      <c r="H961" s="11" t="s">
        <v>1348</v>
      </c>
      <c r="I961" s="1">
        <f>VLOOKUP(G961,WO!A:J,10,0)</f>
        <v>49</v>
      </c>
      <c r="J961" s="1" t="str">
        <f t="shared" si="14"/>
        <v>17IA14.90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7"/>
    </row>
    <row r="962" spans="1:14">
      <c r="A962" s="11" t="s">
        <v>3233</v>
      </c>
      <c r="B962" s="11" t="s">
        <v>956</v>
      </c>
      <c r="C962" s="11" t="s">
        <v>957</v>
      </c>
      <c r="D962" s="11">
        <v>1</v>
      </c>
      <c r="E962" s="11" t="s">
        <v>13</v>
      </c>
      <c r="F962" s="20">
        <v>46274.340115740742</v>
      </c>
      <c r="G962" s="11" t="s">
        <v>2222</v>
      </c>
      <c r="H962" s="11" t="s">
        <v>1348</v>
      </c>
      <c r="I962" s="1">
        <f>VLOOKUP(G962,WO!A:J,10,0)</f>
        <v>49</v>
      </c>
      <c r="J962" s="1" t="str">
        <f t="shared" si="14"/>
        <v>17IA14.90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7"/>
    </row>
    <row r="963" spans="1:14">
      <c r="A963" s="11" t="s">
        <v>3234</v>
      </c>
      <c r="B963" s="11" t="s">
        <v>956</v>
      </c>
      <c r="C963" s="11" t="s">
        <v>957</v>
      </c>
      <c r="D963" s="11">
        <v>1</v>
      </c>
      <c r="E963" s="11" t="s">
        <v>13</v>
      </c>
      <c r="F963" s="20">
        <v>46274.340289351851</v>
      </c>
      <c r="G963" s="11" t="s">
        <v>2222</v>
      </c>
      <c r="H963" s="11" t="s">
        <v>1348</v>
      </c>
      <c r="I963" s="1">
        <f>VLOOKUP(G963,WO!A:J,10,0)</f>
        <v>49</v>
      </c>
      <c r="J963" s="1" t="str">
        <f t="shared" ref="J963:J1026" si="15">MID(G963,3,9)</f>
        <v>17IA14.90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7"/>
    </row>
    <row r="964" spans="1:14">
      <c r="A964" s="11" t="s">
        <v>3235</v>
      </c>
      <c r="B964" s="11" t="s">
        <v>956</v>
      </c>
      <c r="C964" s="11" t="s">
        <v>957</v>
      </c>
      <c r="D964" s="11">
        <v>1</v>
      </c>
      <c r="E964" s="11" t="s">
        <v>13</v>
      </c>
      <c r="F964" s="20">
        <v>46274.340416666666</v>
      </c>
      <c r="G964" s="11" t="s">
        <v>2222</v>
      </c>
      <c r="H964" s="11" t="s">
        <v>1348</v>
      </c>
      <c r="I964" s="1">
        <f>VLOOKUP(G964,WO!A:J,10,0)</f>
        <v>49</v>
      </c>
      <c r="J964" s="1" t="str">
        <f t="shared" si="15"/>
        <v>17IA14.90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7"/>
    </row>
    <row r="965" spans="1:14">
      <c r="A965" s="11" t="s">
        <v>3236</v>
      </c>
      <c r="B965" s="11" t="s">
        <v>956</v>
      </c>
      <c r="C965" s="11" t="s">
        <v>957</v>
      </c>
      <c r="D965" s="11">
        <v>1</v>
      </c>
      <c r="E965" s="11" t="s">
        <v>13</v>
      </c>
      <c r="F965" s="20">
        <v>46274.340543981481</v>
      </c>
      <c r="G965" s="11" t="s">
        <v>2222</v>
      </c>
      <c r="H965" s="11" t="s">
        <v>1348</v>
      </c>
      <c r="I965" s="1">
        <f>VLOOKUP(G965,WO!A:J,10,0)</f>
        <v>49</v>
      </c>
      <c r="J965" s="1" t="str">
        <f t="shared" si="15"/>
        <v>17IA14.90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7"/>
    </row>
    <row r="966" spans="1:14">
      <c r="A966" s="11" t="s">
        <v>3237</v>
      </c>
      <c r="B966" s="11" t="s">
        <v>956</v>
      </c>
      <c r="C966" s="11" t="s">
        <v>957</v>
      </c>
      <c r="D966" s="11">
        <v>1</v>
      </c>
      <c r="E966" s="11" t="s">
        <v>13</v>
      </c>
      <c r="F966" s="20">
        <v>46274.34065972222</v>
      </c>
      <c r="G966" s="11" t="s">
        <v>2222</v>
      </c>
      <c r="H966" s="11" t="s">
        <v>1348</v>
      </c>
      <c r="I966" s="1">
        <f>VLOOKUP(G966,WO!A:J,10,0)</f>
        <v>49</v>
      </c>
      <c r="J966" s="1" t="str">
        <f t="shared" si="15"/>
        <v>17IA14.90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7"/>
    </row>
    <row r="967" spans="1:14">
      <c r="A967" s="11" t="s">
        <v>3238</v>
      </c>
      <c r="B967" s="11" t="s">
        <v>956</v>
      </c>
      <c r="C967" s="11" t="s">
        <v>957</v>
      </c>
      <c r="D967" s="11">
        <v>1</v>
      </c>
      <c r="E967" s="11" t="s">
        <v>13</v>
      </c>
      <c r="F967" s="20">
        <v>46274.341006944444</v>
      </c>
      <c r="G967" s="11" t="s">
        <v>2222</v>
      </c>
      <c r="H967" s="11" t="s">
        <v>1348</v>
      </c>
      <c r="I967" s="1">
        <f>VLOOKUP(G967,WO!A:J,10,0)</f>
        <v>49</v>
      </c>
      <c r="J967" s="1" t="str">
        <f t="shared" si="15"/>
        <v>17IA14.90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7"/>
    </row>
    <row r="968" spans="1:14">
      <c r="A968" s="11" t="s">
        <v>3239</v>
      </c>
      <c r="B968" s="11" t="s">
        <v>956</v>
      </c>
      <c r="C968" s="11" t="s">
        <v>957</v>
      </c>
      <c r="D968" s="11">
        <v>1</v>
      </c>
      <c r="E968" s="11" t="s">
        <v>13</v>
      </c>
      <c r="F968" s="20">
        <v>46274.339155092595</v>
      </c>
      <c r="G968" s="11" t="s">
        <v>2222</v>
      </c>
      <c r="H968" s="11" t="s">
        <v>1348</v>
      </c>
      <c r="I968" s="1">
        <f>VLOOKUP(G968,WO!A:J,10,0)</f>
        <v>49</v>
      </c>
      <c r="J968" s="1" t="str">
        <f t="shared" si="15"/>
        <v>17IA14.90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7"/>
    </row>
    <row r="969" spans="1:14">
      <c r="A969" s="11" t="s">
        <v>3240</v>
      </c>
      <c r="B969" s="11" t="s">
        <v>956</v>
      </c>
      <c r="C969" s="11" t="s">
        <v>957</v>
      </c>
      <c r="D969" s="11">
        <v>1</v>
      </c>
      <c r="E969" s="11" t="s">
        <v>13</v>
      </c>
      <c r="F969" s="20">
        <v>46274.341168981482</v>
      </c>
      <c r="G969" s="11" t="s">
        <v>2222</v>
      </c>
      <c r="H969" s="11" t="s">
        <v>1348</v>
      </c>
      <c r="I969" s="1">
        <f>VLOOKUP(G969,WO!A:J,10,0)</f>
        <v>49</v>
      </c>
      <c r="J969" s="1" t="str">
        <f t="shared" si="15"/>
        <v>17IA14.90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7"/>
    </row>
    <row r="970" spans="1:14">
      <c r="A970" s="11" t="s">
        <v>3241</v>
      </c>
      <c r="B970" s="11" t="s">
        <v>956</v>
      </c>
      <c r="C970" s="11" t="s">
        <v>957</v>
      </c>
      <c r="D970" s="11">
        <v>1</v>
      </c>
      <c r="E970" s="11" t="s">
        <v>13</v>
      </c>
      <c r="F970" s="20">
        <v>46274.341331018521</v>
      </c>
      <c r="G970" s="11" t="s">
        <v>2222</v>
      </c>
      <c r="H970" s="11" t="s">
        <v>1348</v>
      </c>
      <c r="I970" s="1">
        <f>VLOOKUP(G970,WO!A:J,10,0)</f>
        <v>49</v>
      </c>
      <c r="J970" s="1" t="str">
        <f t="shared" si="15"/>
        <v>17IA14.90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7"/>
    </row>
    <row r="971" spans="1:14">
      <c r="A971" s="11" t="s">
        <v>3242</v>
      </c>
      <c r="B971" s="11" t="s">
        <v>956</v>
      </c>
      <c r="C971" s="11" t="s">
        <v>957</v>
      </c>
      <c r="D971" s="11">
        <v>1</v>
      </c>
      <c r="E971" s="11" t="s">
        <v>13</v>
      </c>
      <c r="F971" s="20">
        <v>46274.341516203705</v>
      </c>
      <c r="G971" s="11" t="s">
        <v>2222</v>
      </c>
      <c r="H971" s="11" t="s">
        <v>1348</v>
      </c>
      <c r="I971" s="1">
        <f>VLOOKUP(G971,WO!A:J,10,0)</f>
        <v>49</v>
      </c>
      <c r="J971" s="1" t="str">
        <f t="shared" si="15"/>
        <v>17IA14.90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7"/>
    </row>
    <row r="972" spans="1:14">
      <c r="A972" s="11" t="s">
        <v>3243</v>
      </c>
      <c r="B972" s="11" t="s">
        <v>956</v>
      </c>
      <c r="C972" s="11" t="s">
        <v>957</v>
      </c>
      <c r="D972" s="11">
        <v>1</v>
      </c>
      <c r="E972" s="11" t="s">
        <v>13</v>
      </c>
      <c r="F972" s="20">
        <v>46274.341631944444</v>
      </c>
      <c r="G972" s="11" t="s">
        <v>2222</v>
      </c>
      <c r="H972" s="11" t="s">
        <v>1348</v>
      </c>
      <c r="I972" s="1">
        <f>VLOOKUP(G972,WO!A:J,10,0)</f>
        <v>49</v>
      </c>
      <c r="J972" s="1" t="str">
        <f t="shared" si="15"/>
        <v>17IA14.90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7"/>
    </row>
    <row r="973" spans="1:14">
      <c r="A973" s="11" t="s">
        <v>3244</v>
      </c>
      <c r="B973" s="11" t="s">
        <v>956</v>
      </c>
      <c r="C973" s="11" t="s">
        <v>957</v>
      </c>
      <c r="D973" s="11">
        <v>1</v>
      </c>
      <c r="E973" s="11" t="s">
        <v>13</v>
      </c>
      <c r="F973" s="20">
        <v>46274.341863425929</v>
      </c>
      <c r="G973" s="11" t="s">
        <v>2222</v>
      </c>
      <c r="H973" s="11" t="s">
        <v>1348</v>
      </c>
      <c r="I973" s="1">
        <f>VLOOKUP(G973,WO!A:J,10,0)</f>
        <v>49</v>
      </c>
      <c r="J973" s="1" t="str">
        <f t="shared" si="15"/>
        <v>17IA14.90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7"/>
    </row>
    <row r="974" spans="1:14">
      <c r="A974" s="11" t="s">
        <v>3245</v>
      </c>
      <c r="B974" s="11" t="s">
        <v>956</v>
      </c>
      <c r="C974" s="11" t="s">
        <v>957</v>
      </c>
      <c r="D974" s="11">
        <v>1</v>
      </c>
      <c r="E974" s="11" t="s">
        <v>13</v>
      </c>
      <c r="F974" s="20">
        <v>46274.342002314814</v>
      </c>
      <c r="G974" s="11" t="s">
        <v>2222</v>
      </c>
      <c r="H974" s="11" t="s">
        <v>1348</v>
      </c>
      <c r="I974" s="1">
        <f>VLOOKUP(G974,WO!A:J,10,0)</f>
        <v>49</v>
      </c>
      <c r="J974" s="1" t="str">
        <f t="shared" si="15"/>
        <v>17IA14.90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7"/>
    </row>
    <row r="975" spans="1:14">
      <c r="A975" s="11" t="s">
        <v>3246</v>
      </c>
      <c r="B975" s="11" t="s">
        <v>956</v>
      </c>
      <c r="C975" s="11" t="s">
        <v>957</v>
      </c>
      <c r="D975" s="11">
        <v>1</v>
      </c>
      <c r="E975" s="11" t="s">
        <v>13</v>
      </c>
      <c r="F975" s="20">
        <v>46274.342129629629</v>
      </c>
      <c r="G975" s="11" t="s">
        <v>2222</v>
      </c>
      <c r="H975" s="11" t="s">
        <v>1348</v>
      </c>
      <c r="I975" s="1">
        <f>VLOOKUP(G975,WO!A:J,10,0)</f>
        <v>49</v>
      </c>
      <c r="J975" s="1" t="str">
        <f t="shared" si="15"/>
        <v>17IA14.90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7"/>
    </row>
    <row r="976" spans="1:14">
      <c r="A976" s="11" t="s">
        <v>3247</v>
      </c>
      <c r="B976" s="11" t="s">
        <v>956</v>
      </c>
      <c r="C976" s="11" t="s">
        <v>957</v>
      </c>
      <c r="D976" s="11">
        <v>1</v>
      </c>
      <c r="E976" s="11" t="s">
        <v>13</v>
      </c>
      <c r="F976" s="20">
        <v>46274.342245370368</v>
      </c>
      <c r="G976" s="11" t="s">
        <v>2222</v>
      </c>
      <c r="H976" s="11" t="s">
        <v>1348</v>
      </c>
      <c r="I976" s="1">
        <f>VLOOKUP(G976,WO!A:J,10,0)</f>
        <v>49</v>
      </c>
      <c r="J976" s="1" t="str">
        <f t="shared" si="15"/>
        <v>17IA14.90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7"/>
    </row>
    <row r="977" spans="1:14">
      <c r="A977" s="11" t="s">
        <v>3248</v>
      </c>
      <c r="B977" s="11" t="s">
        <v>956</v>
      </c>
      <c r="C977" s="11" t="s">
        <v>957</v>
      </c>
      <c r="D977" s="11">
        <v>1</v>
      </c>
      <c r="E977" s="11" t="s">
        <v>13</v>
      </c>
      <c r="F977" s="20">
        <v>46274.342372685183</v>
      </c>
      <c r="G977" s="11" t="s">
        <v>2222</v>
      </c>
      <c r="H977" s="11" t="s">
        <v>1348</v>
      </c>
      <c r="I977" s="1">
        <f>VLOOKUP(G977,WO!A:J,10,0)</f>
        <v>49</v>
      </c>
      <c r="J977" s="1" t="str">
        <f t="shared" si="15"/>
        <v>17IA14.90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7"/>
    </row>
    <row r="978" spans="1:14">
      <c r="A978" s="11" t="s">
        <v>3249</v>
      </c>
      <c r="B978" s="11" t="s">
        <v>956</v>
      </c>
      <c r="C978" s="11" t="s">
        <v>957</v>
      </c>
      <c r="D978" s="11">
        <v>1</v>
      </c>
      <c r="E978" s="11" t="s">
        <v>13</v>
      </c>
      <c r="F978" s="20">
        <v>46274.342928240738</v>
      </c>
      <c r="G978" s="11" t="s">
        <v>2222</v>
      </c>
      <c r="H978" s="11" t="s">
        <v>1348</v>
      </c>
      <c r="I978" s="1">
        <f>VLOOKUP(G978,WO!A:J,10,0)</f>
        <v>49</v>
      </c>
      <c r="J978" s="1" t="str">
        <f t="shared" si="15"/>
        <v>17IA14.90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7"/>
    </row>
    <row r="979" spans="1:14">
      <c r="A979" s="11" t="s">
        <v>3250</v>
      </c>
      <c r="B979" s="11" t="s">
        <v>956</v>
      </c>
      <c r="C979" s="11" t="s">
        <v>957</v>
      </c>
      <c r="D979" s="11">
        <v>1</v>
      </c>
      <c r="E979" s="11" t="s">
        <v>13</v>
      </c>
      <c r="F979" s="20">
        <v>46274.343090277776</v>
      </c>
      <c r="G979" s="11" t="s">
        <v>2222</v>
      </c>
      <c r="H979" s="11" t="s">
        <v>1348</v>
      </c>
      <c r="I979" s="1">
        <f>VLOOKUP(G979,WO!A:J,10,0)</f>
        <v>49</v>
      </c>
      <c r="J979" s="1" t="str">
        <f t="shared" si="15"/>
        <v>17IA14.90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7"/>
    </row>
    <row r="980" spans="1:14">
      <c r="A980" s="11" t="s">
        <v>3251</v>
      </c>
      <c r="B980" s="11" t="s">
        <v>956</v>
      </c>
      <c r="C980" s="11" t="s">
        <v>957</v>
      </c>
      <c r="D980" s="11">
        <v>1</v>
      </c>
      <c r="E980" s="11" t="s">
        <v>13</v>
      </c>
      <c r="F980" s="20">
        <v>46274.343449074076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7"/>
    </row>
    <row r="981" spans="1:14">
      <c r="A981" s="11" t="s">
        <v>3252</v>
      </c>
      <c r="B981" s="11" t="s">
        <v>956</v>
      </c>
      <c r="C981" s="11" t="s">
        <v>957</v>
      </c>
      <c r="D981" s="11">
        <v>1</v>
      </c>
      <c r="E981" s="11" t="s">
        <v>13</v>
      </c>
      <c r="F981" s="20">
        <v>46274.343564814815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7"/>
    </row>
    <row r="982" spans="1:14">
      <c r="A982" s="11" t="s">
        <v>3253</v>
      </c>
      <c r="B982" s="11" t="s">
        <v>956</v>
      </c>
      <c r="C982" s="11" t="s">
        <v>957</v>
      </c>
      <c r="D982" s="11">
        <v>1</v>
      </c>
      <c r="E982" s="11" t="s">
        <v>13</v>
      </c>
      <c r="F982" s="20">
        <v>46274.343923611108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7"/>
    </row>
    <row r="983" spans="1:14">
      <c r="A983" s="11" t="s">
        <v>3254</v>
      </c>
      <c r="B983" s="11" t="s">
        <v>956</v>
      </c>
      <c r="C983" s="11" t="s">
        <v>957</v>
      </c>
      <c r="D983" s="11">
        <v>1</v>
      </c>
      <c r="E983" s="11" t="s">
        <v>13</v>
      </c>
      <c r="F983" s="20">
        <v>46274.344039351854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7"/>
    </row>
    <row r="984" spans="1:14">
      <c r="A984" s="11" t="s">
        <v>3255</v>
      </c>
      <c r="B984" s="11" t="s">
        <v>956</v>
      </c>
      <c r="C984" s="11" t="s">
        <v>957</v>
      </c>
      <c r="D984" s="11">
        <v>1</v>
      </c>
      <c r="E984" s="11" t="s">
        <v>13</v>
      </c>
      <c r="F984" s="20">
        <v>46274.344456018516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7"/>
    </row>
    <row r="985" spans="1:14">
      <c r="A985" s="11" t="s">
        <v>3256</v>
      </c>
      <c r="B985" s="11" t="s">
        <v>956</v>
      </c>
      <c r="C985" s="11" t="s">
        <v>957</v>
      </c>
      <c r="D985" s="11">
        <v>1</v>
      </c>
      <c r="E985" s="11" t="s">
        <v>13</v>
      </c>
      <c r="F985" s="20">
        <v>46274.344594907408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7"/>
    </row>
    <row r="986" spans="1:14">
      <c r="A986" s="11" t="s">
        <v>3257</v>
      </c>
      <c r="B986" s="11" t="s">
        <v>956</v>
      </c>
      <c r="C986" s="11" t="s">
        <v>957</v>
      </c>
      <c r="D986" s="11">
        <v>1</v>
      </c>
      <c r="E986" s="11" t="s">
        <v>13</v>
      </c>
      <c r="F986" s="20">
        <v>46274.344942129632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7"/>
    </row>
    <row r="987" spans="1:14">
      <c r="A987" s="11" t="s">
        <v>3258</v>
      </c>
      <c r="B987" s="11" t="s">
        <v>956</v>
      </c>
      <c r="C987" s="11" t="s">
        <v>957</v>
      </c>
      <c r="D987" s="11">
        <v>1</v>
      </c>
      <c r="E987" s="11" t="s">
        <v>13</v>
      </c>
      <c r="F987" s="20">
        <v>46274.345104166663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7"/>
    </row>
    <row r="988" spans="1:14">
      <c r="A988" s="11" t="s">
        <v>3259</v>
      </c>
      <c r="B988" s="11" t="s">
        <v>956</v>
      </c>
      <c r="C988" s="11" t="s">
        <v>957</v>
      </c>
      <c r="D988" s="11">
        <v>1</v>
      </c>
      <c r="E988" s="11" t="s">
        <v>13</v>
      </c>
      <c r="F988" s="20">
        <v>46274.413090277776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7"/>
    </row>
    <row r="989" spans="1:14">
      <c r="A989" s="11" t="s">
        <v>3260</v>
      </c>
      <c r="B989" s="11" t="s">
        <v>956</v>
      </c>
      <c r="C989" s="11" t="s">
        <v>957</v>
      </c>
      <c r="D989" s="11">
        <v>1</v>
      </c>
      <c r="E989" s="11" t="s">
        <v>13</v>
      </c>
      <c r="F989" s="20">
        <v>46274.413252314815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7"/>
    </row>
    <row r="990" spans="1:14">
      <c r="A990" s="11" t="s">
        <v>3261</v>
      </c>
      <c r="B990" s="11" t="s">
        <v>956</v>
      </c>
      <c r="C990" s="11" t="s">
        <v>957</v>
      </c>
      <c r="D990" s="11">
        <v>1</v>
      </c>
      <c r="E990" s="11" t="s">
        <v>13</v>
      </c>
      <c r="F990" s="20">
        <v>46274.413460648146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7"/>
    </row>
    <row r="991" spans="1:14">
      <c r="A991" s="11" t="s">
        <v>3262</v>
      </c>
      <c r="B991" s="11" t="s">
        <v>956</v>
      </c>
      <c r="C991" s="11" t="s">
        <v>957</v>
      </c>
      <c r="D991" s="11">
        <v>1</v>
      </c>
      <c r="E991" s="11" t="s">
        <v>13</v>
      </c>
      <c r="F991" s="20">
        <v>46274.413888888892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7"/>
    </row>
    <row r="992" spans="1:14">
      <c r="A992" s="11" t="s">
        <v>3263</v>
      </c>
      <c r="B992" s="11" t="s">
        <v>956</v>
      </c>
      <c r="C992" s="11" t="s">
        <v>957</v>
      </c>
      <c r="D992" s="11">
        <v>1</v>
      </c>
      <c r="E992" s="11" t="s">
        <v>13</v>
      </c>
      <c r="F992" s="20">
        <v>46274.413981481484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7"/>
    </row>
    <row r="993" spans="1:14">
      <c r="A993" s="11" t="s">
        <v>3264</v>
      </c>
      <c r="B993" s="11" t="s">
        <v>956</v>
      </c>
      <c r="C993" s="11" t="s">
        <v>957</v>
      </c>
      <c r="D993" s="11">
        <v>1</v>
      </c>
      <c r="E993" s="11" t="s">
        <v>13</v>
      </c>
      <c r="F993" s="20">
        <v>46274.414386574077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7"/>
    </row>
    <row r="994" spans="1:14">
      <c r="A994" s="11" t="s">
        <v>3265</v>
      </c>
      <c r="B994" s="11" t="s">
        <v>956</v>
      </c>
      <c r="C994" s="11" t="s">
        <v>957</v>
      </c>
      <c r="D994" s="11">
        <v>1</v>
      </c>
      <c r="E994" s="11" t="s">
        <v>13</v>
      </c>
      <c r="F994" s="20">
        <v>46274.414560185185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7"/>
    </row>
    <row r="995" spans="1:14">
      <c r="A995" s="11" t="s">
        <v>3266</v>
      </c>
      <c r="B995" s="11" t="s">
        <v>956</v>
      </c>
      <c r="C995" s="11" t="s">
        <v>957</v>
      </c>
      <c r="D995" s="11">
        <v>1</v>
      </c>
      <c r="E995" s="11" t="s">
        <v>13</v>
      </c>
      <c r="F995" s="20">
        <v>46274.415046296293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7"/>
    </row>
    <row r="996" spans="1:14">
      <c r="A996" s="11" t="s">
        <v>3267</v>
      </c>
      <c r="B996" s="11" t="s">
        <v>956</v>
      </c>
      <c r="C996" s="11" t="s">
        <v>957</v>
      </c>
      <c r="D996" s="11">
        <v>1</v>
      </c>
      <c r="E996" s="11" t="s">
        <v>13</v>
      </c>
      <c r="F996" s="20">
        <v>46274.415196759262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7"/>
    </row>
    <row r="997" spans="1:14">
      <c r="A997" s="11" t="s">
        <v>3268</v>
      </c>
      <c r="B997" s="11" t="s">
        <v>956</v>
      </c>
      <c r="C997" s="11" t="s">
        <v>957</v>
      </c>
      <c r="D997" s="11">
        <v>1</v>
      </c>
      <c r="E997" s="11" t="s">
        <v>13</v>
      </c>
      <c r="F997" s="20">
        <v>46274.415347222224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7"/>
    </row>
    <row r="998" spans="1:14">
      <c r="A998" s="11" t="s">
        <v>3269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7"/>
    </row>
    <row r="999" spans="1:14">
      <c r="A999" s="11" t="s">
        <v>3270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7"/>
    </row>
    <row r="1000" spans="1:14">
      <c r="A1000" s="11" t="s">
        <v>3271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7"/>
    </row>
    <row r="1001" spans="1:14">
      <c r="A1001" s="11" t="s">
        <v>3272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7"/>
    </row>
    <row r="1002" spans="1:14">
      <c r="A1002" s="11" t="s">
        <v>3273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7"/>
    </row>
    <row r="1003" spans="1:14">
      <c r="A1003" s="11" t="s">
        <v>3274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7"/>
    </row>
    <row r="1004" spans="1:14">
      <c r="A1004" s="11" t="s">
        <v>3275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7"/>
    </row>
    <row r="1005" spans="1:14">
      <c r="A1005" s="11" t="s">
        <v>3276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7"/>
    </row>
    <row r="1006" spans="1:14">
      <c r="A1006" s="11" t="s">
        <v>3277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7"/>
    </row>
    <row r="1007" spans="1:14">
      <c r="A1007" s="11" t="s">
        <v>3278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7"/>
    </row>
    <row r="1008" spans="1:14">
      <c r="A1008" s="11" t="s">
        <v>3279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7"/>
    </row>
    <row r="1009" spans="1:14">
      <c r="A1009" s="11" t="s">
        <v>3280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7"/>
    </row>
    <row r="1010" spans="1:14">
      <c r="A1010" s="11" t="s">
        <v>3281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7"/>
    </row>
    <row r="1011" spans="1:14">
      <c r="A1011" s="11" t="s">
        <v>3282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7"/>
    </row>
    <row r="1012" spans="1:14">
      <c r="A1012" s="11" t="s">
        <v>3283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7"/>
    </row>
    <row r="1013" spans="1:14">
      <c r="A1013" s="11" t="s">
        <v>3284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7"/>
    </row>
    <row r="1014" spans="1:14">
      <c r="A1014" s="11" t="s">
        <v>3285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7"/>
    </row>
    <row r="1015" spans="1:14">
      <c r="A1015" s="11" t="s">
        <v>3286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7"/>
    </row>
    <row r="1016" spans="1:14">
      <c r="A1016" s="11" t="s">
        <v>3287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7"/>
    </row>
    <row r="1017" spans="1:14">
      <c r="A1017" s="11" t="s">
        <v>3288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7"/>
    </row>
    <row r="1018" spans="1:14">
      <c r="A1018" s="11" t="s">
        <v>3289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7"/>
    </row>
    <row r="1019" spans="1:14">
      <c r="A1019" s="11" t="s">
        <v>3290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7"/>
    </row>
    <row r="1020" spans="1:14">
      <c r="A1020" s="11" t="s">
        <v>3291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7"/>
    </row>
    <row r="1021" spans="1:14">
      <c r="A1021" s="11" t="s">
        <v>3292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7"/>
    </row>
    <row r="1022" spans="1:14">
      <c r="A1022" s="11" t="s">
        <v>3293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7"/>
    </row>
    <row r="1023" spans="1:14">
      <c r="A1023" s="11" t="s">
        <v>3294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7"/>
    </row>
    <row r="1024" spans="1:14">
      <c r="A1024" s="11" t="s">
        <v>3295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7"/>
    </row>
    <row r="1025" spans="1:14">
      <c r="A1025" s="11" t="s">
        <v>3296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7"/>
    </row>
    <row r="1026" spans="1:14">
      <c r="A1026" s="11" t="s">
        <v>3297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7"/>
    </row>
    <row r="1027" spans="1:14">
      <c r="A1027" s="11" t="s">
        <v>3298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7"/>
    </row>
    <row r="1028" spans="1:14">
      <c r="A1028" s="11" t="s">
        <v>3299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7"/>
    </row>
    <row r="1029" spans="1:14">
      <c r="A1029" s="11" t="s">
        <v>3300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7"/>
    </row>
    <row r="1030" spans="1:14">
      <c r="A1030" s="11" t="s">
        <v>3301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7"/>
    </row>
    <row r="1031" spans="1:14">
      <c r="A1031" s="11" t="s">
        <v>3302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7"/>
    </row>
    <row r="1032" spans="1:14">
      <c r="A1032" s="11" t="s">
        <v>3303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7"/>
    </row>
    <row r="1033" spans="1:14">
      <c r="A1033" s="11" t="s">
        <v>3304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7"/>
    </row>
    <row r="1034" spans="1:14">
      <c r="A1034" s="11" t="s">
        <v>3305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7"/>
    </row>
    <row r="1035" spans="1:14">
      <c r="A1035" s="11" t="s">
        <v>3306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7"/>
    </row>
    <row r="1036" spans="1:14">
      <c r="A1036" s="11" t="s">
        <v>3307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7"/>
    </row>
    <row r="1037" spans="1:14">
      <c r="A1037" s="11" t="s">
        <v>3308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7"/>
    </row>
    <row r="1038" spans="1:14">
      <c r="A1038" s="11" t="s">
        <v>3309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7"/>
    </row>
    <row r="1039" spans="1:14">
      <c r="A1039" s="11" t="s">
        <v>3310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7"/>
    </row>
    <row r="1040" spans="1:14">
      <c r="A1040" s="11" t="s">
        <v>3311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7"/>
    </row>
    <row r="1041" spans="1:14">
      <c r="A1041" s="11" t="s">
        <v>3312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7"/>
    </row>
    <row r="1042" spans="1:14">
      <c r="A1042" s="11" t="s">
        <v>3313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7"/>
    </row>
    <row r="1043" spans="1:14">
      <c r="A1043" s="11" t="s">
        <v>3314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7"/>
    </row>
    <row r="1044" spans="1:14">
      <c r="A1044" s="11" t="s">
        <v>3315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7"/>
    </row>
    <row r="1045" spans="1:14">
      <c r="A1045" s="11" t="s">
        <v>3316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7"/>
    </row>
    <row r="1046" spans="1:14">
      <c r="A1046" s="11" t="s">
        <v>3317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7"/>
    </row>
    <row r="1047" spans="1:14">
      <c r="A1047" s="11" t="s">
        <v>3318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7"/>
    </row>
    <row r="1048" spans="1:14">
      <c r="A1048" s="11" t="s">
        <v>3319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7"/>
    </row>
    <row r="1049" spans="1:14">
      <c r="A1049" s="11" t="s">
        <v>3320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7"/>
    </row>
    <row r="1050" spans="1:14">
      <c r="A1050" s="11" t="s">
        <v>3321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7"/>
    </row>
    <row r="1051" spans="1:14">
      <c r="A1051" s="11" t="s">
        <v>3322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7"/>
    </row>
    <row r="1052" spans="1:14">
      <c r="A1052" s="11" t="s">
        <v>3323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7"/>
    </row>
    <row r="1053" spans="1:14">
      <c r="A1053" s="11" t="s">
        <v>3324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7"/>
    </row>
    <row r="1054" spans="1:14">
      <c r="A1054" s="11" t="s">
        <v>3325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7"/>
    </row>
    <row r="1055" spans="1:14">
      <c r="A1055" s="11" t="s">
        <v>3326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7"/>
    </row>
    <row r="1056" spans="1:14">
      <c r="A1056" s="11" t="s">
        <v>3327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7"/>
    </row>
    <row r="1057" spans="1:14">
      <c r="A1057" s="11" t="s">
        <v>3328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7"/>
    </row>
    <row r="1058" spans="1:14">
      <c r="A1058" s="11" t="s">
        <v>3329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7"/>
    </row>
    <row r="1059" spans="1:14">
      <c r="A1059" s="11" t="s">
        <v>3330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7"/>
    </row>
    <row r="1060" spans="1:14">
      <c r="A1060" s="11" t="s">
        <v>3331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7"/>
    </row>
    <row r="1061" spans="1:14">
      <c r="A1061" s="11" t="s">
        <v>3332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7"/>
    </row>
    <row r="1062" spans="1:14">
      <c r="A1062" s="11" t="s">
        <v>3333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7"/>
    </row>
    <row r="1063" spans="1:14">
      <c r="A1063" s="11" t="s">
        <v>3334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7"/>
    </row>
    <row r="1064" spans="1:14">
      <c r="A1064" s="11" t="s">
        <v>3335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7"/>
    </row>
    <row r="1065" spans="1:14">
      <c r="A1065" s="11" t="s">
        <v>3336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7"/>
    </row>
    <row r="1066" spans="1:14">
      <c r="A1066" s="11" t="s">
        <v>3337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7"/>
    </row>
    <row r="1067" spans="1:14">
      <c r="A1067" s="11" t="s">
        <v>3338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7"/>
    </row>
    <row r="1068" spans="1:14">
      <c r="A1068" s="11" t="s">
        <v>3339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7"/>
    </row>
    <row r="1069" spans="1:14">
      <c r="A1069" s="11" t="s">
        <v>3340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7"/>
    </row>
    <row r="1070" spans="1:14">
      <c r="A1070" s="11" t="s">
        <v>3341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7"/>
    </row>
    <row r="1071" spans="1:14">
      <c r="A1071" s="11" t="s">
        <v>3342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7"/>
    </row>
    <row r="1072" spans="1:14">
      <c r="A1072" s="11" t="s">
        <v>3343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7"/>
    </row>
    <row r="1073" spans="1:14">
      <c r="A1073" s="11" t="s">
        <v>3344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7"/>
    </row>
    <row r="1074" spans="1:14">
      <c r="A1074" s="11" t="s">
        <v>3345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7"/>
    </row>
    <row r="1075" spans="1:14">
      <c r="A1075" s="11" t="s">
        <v>3346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7"/>
    </row>
    <row r="1076" spans="1:14">
      <c r="A1076" s="11" t="s">
        <v>3347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7"/>
    </row>
    <row r="1077" spans="1:14">
      <c r="A1077" s="11" t="s">
        <v>3348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7"/>
    </row>
    <row r="1078" spans="1:14">
      <c r="A1078" s="11" t="s">
        <v>3349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7"/>
    </row>
    <row r="1079" spans="1:14">
      <c r="A1079" s="11" t="s">
        <v>3350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7"/>
    </row>
    <row r="1080" spans="1:14">
      <c r="A1080" s="11" t="s">
        <v>3351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7"/>
    </row>
    <row r="1081" spans="1:14">
      <c r="A1081" s="11" t="s">
        <v>3352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7"/>
    </row>
    <row r="1082" spans="1:14">
      <c r="A1082" s="11" t="s">
        <v>3353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7"/>
    </row>
    <row r="1083" spans="1:14">
      <c r="A1083" s="11" t="s">
        <v>3354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7"/>
    </row>
    <row r="1084" spans="1:14">
      <c r="A1084" s="11" t="s">
        <v>3355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7"/>
    </row>
    <row r="1085" spans="1:14">
      <c r="A1085" s="11" t="s">
        <v>3356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7"/>
    </row>
    <row r="1086" spans="1:14">
      <c r="A1086" s="11" t="s">
        <v>3357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7"/>
    </row>
    <row r="1087" spans="1:14">
      <c r="A1087" s="11" t="s">
        <v>3358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7"/>
    </row>
    <row r="1088" spans="1:14">
      <c r="A1088" s="11" t="s">
        <v>3359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7"/>
    </row>
    <row r="1089" spans="1:14">
      <c r="A1089" s="11" t="s">
        <v>3360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7"/>
    </row>
    <row r="1090" spans="1:14">
      <c r="A1090" s="11" t="s">
        <v>3361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7"/>
    </row>
    <row r="1091" spans="1:14">
      <c r="A1091" s="11" t="s">
        <v>3362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7"/>
    </row>
    <row r="1092" spans="1:14">
      <c r="A1092" s="11" t="s">
        <v>3363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7"/>
    </row>
    <row r="1093" spans="1:14">
      <c r="A1093" s="11" t="s">
        <v>3364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7"/>
    </row>
    <row r="1094" spans="1:14">
      <c r="A1094" s="11" t="s">
        <v>3365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7"/>
    </row>
    <row r="1095" spans="1:14">
      <c r="A1095" s="11" t="s">
        <v>3366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7"/>
    </row>
    <row r="1096" spans="1:14">
      <c r="A1096" s="11" t="s">
        <v>3367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7"/>
    </row>
    <row r="1097" spans="1:14">
      <c r="A1097" s="11" t="s">
        <v>3368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7"/>
    </row>
    <row r="1098" spans="1:14">
      <c r="A1098" s="11" t="s">
        <v>3369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7"/>
    </row>
    <row r="1099" spans="1:14">
      <c r="A1099" s="11" t="s">
        <v>3370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7"/>
    </row>
    <row r="1100" spans="1:14">
      <c r="A1100" s="11" t="s">
        <v>3371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7"/>
    </row>
    <row r="1101" spans="1:14">
      <c r="A1101" s="11" t="s">
        <v>3372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7"/>
    </row>
    <row r="1102" spans="1:14">
      <c r="A1102" s="11" t="s">
        <v>3373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7"/>
    </row>
    <row r="1103" spans="1:14">
      <c r="A1103" s="11" t="s">
        <v>3374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7"/>
    </row>
    <row r="1104" spans="1:14">
      <c r="A1104" s="11" t="s">
        <v>3375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7"/>
    </row>
    <row r="1105" spans="1:14">
      <c r="A1105" s="11" t="s">
        <v>3376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7"/>
    </row>
    <row r="1106" spans="1:14">
      <c r="A1106" s="11" t="s">
        <v>3377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7"/>
    </row>
    <row r="1107" spans="1:14">
      <c r="A1107" s="11" t="s">
        <v>3378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7"/>
    </row>
    <row r="1108" spans="1:14">
      <c r="A1108" s="11" t="s">
        <v>3379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7"/>
    </row>
    <row r="1109" spans="1:14">
      <c r="A1109" s="11" t="s">
        <v>3380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7"/>
    </row>
    <row r="1110" spans="1:14">
      <c r="A1110" s="11" t="s">
        <v>3381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7"/>
    </row>
    <row r="1111" spans="1:14">
      <c r="A1111" s="11" t="s">
        <v>3382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7"/>
    </row>
    <row r="1112" spans="1:14">
      <c r="A1112" s="11" t="s">
        <v>3383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7"/>
    </row>
    <row r="1113" spans="1:14">
      <c r="A1113" s="11" t="s">
        <v>3384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7"/>
    </row>
    <row r="1114" spans="1:14">
      <c r="A1114" s="11" t="s">
        <v>3385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7"/>
    </row>
    <row r="1115" spans="1:14">
      <c r="A1115" s="11" t="s">
        <v>3386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7"/>
    </row>
    <row r="1116" spans="1:14">
      <c r="A1116" s="11" t="s">
        <v>3387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7"/>
    </row>
    <row r="1117" spans="1:14">
      <c r="A1117" s="11" t="s">
        <v>3388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7"/>
    </row>
    <row r="1118" spans="1:14">
      <c r="A1118" s="11" t="s">
        <v>3389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7"/>
    </row>
    <row r="1119" spans="1:14">
      <c r="A1119" s="11" t="s">
        <v>3390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7"/>
    </row>
    <row r="1120" spans="1:14">
      <c r="A1120" s="11" t="s">
        <v>3391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7"/>
    </row>
    <row r="1121" spans="1:14">
      <c r="A1121" s="11" t="s">
        <v>3392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7"/>
    </row>
    <row r="1122" spans="1:14">
      <c r="A1122" s="11" t="s">
        <v>3393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7"/>
    </row>
    <row r="1123" spans="1:14">
      <c r="A1123" s="11" t="s">
        <v>3394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7"/>
    </row>
    <row r="1124" spans="1:14">
      <c r="A1124" s="11" t="s">
        <v>3395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7"/>
    </row>
    <row r="1125" spans="1:14">
      <c r="A1125" s="11" t="s">
        <v>3396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7"/>
    </row>
    <row r="1126" spans="1:14">
      <c r="A1126" s="11" t="s">
        <v>3397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7"/>
    </row>
    <row r="1127" spans="1:14">
      <c r="A1127" s="11" t="s">
        <v>3398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7"/>
    </row>
    <row r="1128" spans="1:14">
      <c r="A1128" s="11" t="s">
        <v>3399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7"/>
    </row>
    <row r="1129" spans="1:14">
      <c r="A1129" s="11" t="s">
        <v>3400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7"/>
    </row>
    <row r="1130" spans="1:14">
      <c r="A1130" s="11" t="s">
        <v>3401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7"/>
    </row>
    <row r="1131" spans="1:14">
      <c r="A1131" s="11" t="s">
        <v>3402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7"/>
    </row>
    <row r="1132" spans="1:14">
      <c r="A1132" s="11" t="s">
        <v>3403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7"/>
    </row>
    <row r="1133" spans="1:14">
      <c r="A1133" s="11" t="s">
        <v>3404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7"/>
    </row>
    <row r="1134" spans="1:14">
      <c r="A1134" s="11" t="s">
        <v>3405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7"/>
    </row>
    <row r="1135" spans="1:14">
      <c r="A1135" s="11" t="s">
        <v>3406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7"/>
    </row>
    <row r="1136" spans="1:14">
      <c r="A1136" s="11" t="s">
        <v>3407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7"/>
    </row>
    <row r="1137" spans="1:14">
      <c r="A1137" s="11" t="s">
        <v>3408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7"/>
    </row>
    <row r="1138" spans="1:14">
      <c r="A1138" s="11" t="s">
        <v>3409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7"/>
    </row>
    <row r="1139" spans="1:14">
      <c r="A1139" s="11" t="s">
        <v>3410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7"/>
    </row>
    <row r="1140" spans="1:14">
      <c r="A1140" s="11" t="s">
        <v>3411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7"/>
    </row>
    <row r="1141" spans="1:14">
      <c r="A1141" s="11" t="s">
        <v>3412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7"/>
    </row>
    <row r="1142" spans="1:14">
      <c r="A1142" s="11" t="s">
        <v>3413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7"/>
    </row>
    <row r="1143" spans="1:14">
      <c r="A1143" s="11" t="s">
        <v>3414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7"/>
    </row>
    <row r="1144" spans="1:14">
      <c r="A1144" s="11" t="s">
        <v>3415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7"/>
    </row>
    <row r="1145" spans="1:14">
      <c r="A1145" s="11" t="s">
        <v>3416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7"/>
    </row>
    <row r="1146" spans="1:14">
      <c r="A1146" s="11" t="s">
        <v>3417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7"/>
    </row>
    <row r="1147" spans="1:14">
      <c r="A1147" s="11" t="s">
        <v>3418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7"/>
    </row>
    <row r="1148" spans="1:14">
      <c r="A1148" s="11" t="s">
        <v>3419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7"/>
    </row>
    <row r="1149" spans="1:14">
      <c r="A1149" s="11" t="s">
        <v>3420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7"/>
    </row>
    <row r="1150" spans="1:14">
      <c r="A1150" s="11" t="s">
        <v>3421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7"/>
    </row>
    <row r="1151" spans="1:14">
      <c r="A1151" s="11" t="s">
        <v>3422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7"/>
    </row>
    <row r="1152" spans="1:14">
      <c r="A1152" s="11" t="s">
        <v>3423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7"/>
    </row>
    <row r="1153" spans="1:14">
      <c r="A1153" s="11" t="s">
        <v>3424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7"/>
    </row>
    <row r="1154" spans="1:14">
      <c r="A1154" s="11" t="s">
        <v>3425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7"/>
    </row>
    <row r="1155" spans="1:14">
      <c r="A1155" s="11" t="s">
        <v>3426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7"/>
    </row>
    <row r="1156" spans="1:14">
      <c r="A1156" s="11" t="s">
        <v>3427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7"/>
    </row>
    <row r="1157" spans="1:14">
      <c r="A1157" s="11" t="s">
        <v>3428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7"/>
    </row>
    <row r="1158" spans="1:14">
      <c r="A1158" s="11" t="s">
        <v>3429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7"/>
    </row>
    <row r="1159" spans="1:14">
      <c r="A1159" s="11" t="s">
        <v>3430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7"/>
    </row>
    <row r="1160" spans="1:14">
      <c r="A1160" s="11" t="s">
        <v>3431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7"/>
    </row>
    <row r="1161" spans="1:14">
      <c r="A1161" s="11" t="s">
        <v>3432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7"/>
    </row>
    <row r="1162" spans="1:14">
      <c r="A1162" s="11" t="s">
        <v>3433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7"/>
    </row>
    <row r="1163" spans="1:14">
      <c r="A1163" s="11" t="s">
        <v>3434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7"/>
    </row>
    <row r="1164" spans="1:14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" t="str">
        <f t="shared" si="18"/>
        <v>17IA15.60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7"/>
    </row>
    <row r="1165" spans="1:14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" t="str">
        <f t="shared" si="18"/>
        <v>17IA15.60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7"/>
    </row>
    <row r="1166" spans="1:14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" t="str">
        <f t="shared" si="18"/>
        <v>17IA15.60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7"/>
    </row>
    <row r="1167" spans="1:14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" t="str">
        <f t="shared" si="18"/>
        <v>17IA15.60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7"/>
    </row>
    <row r="1168" spans="1:14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" t="str">
        <f t="shared" si="18"/>
        <v>17IA15.60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7"/>
    </row>
    <row r="1169" spans="1:14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" t="str">
        <f t="shared" si="18"/>
        <v>17IA15.60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7"/>
    </row>
    <row r="1170" spans="1:14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" t="str">
        <f t="shared" si="18"/>
        <v>17IA15.60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7"/>
    </row>
    <row r="1171" spans="1:14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" t="str">
        <f t="shared" si="18"/>
        <v>17IA15.60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7"/>
    </row>
    <row r="1172" spans="1:14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" t="str">
        <f t="shared" si="18"/>
        <v>17IA15.60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7"/>
    </row>
    <row r="1173" spans="1:14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" t="str">
        <f t="shared" si="18"/>
        <v>17IA15.60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7"/>
    </row>
    <row r="1174" spans="1:14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" t="str">
        <f t="shared" si="18"/>
        <v>17IA15.60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7"/>
    </row>
    <row r="1175" spans="1:14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" t="str">
        <f t="shared" si="18"/>
        <v>17IA15.60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7"/>
    </row>
    <row r="1176" spans="1:14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" t="str">
        <f t="shared" si="18"/>
        <v>17IA15.60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7"/>
    </row>
    <row r="1177" spans="1:14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" t="str">
        <f t="shared" si="18"/>
        <v>17IA15.60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7"/>
    </row>
    <row r="1178" spans="1:14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" t="str">
        <f t="shared" si="18"/>
        <v>17IA15.60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7">
        <v>46211</v>
      </c>
    </row>
    <row r="1179" spans="1:14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" t="str">
        <f t="shared" si="18"/>
        <v>17IA15.60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7"/>
    </row>
    <row r="1180" spans="1:14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" t="str">
        <f t="shared" si="18"/>
        <v>17IA15.60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7"/>
    </row>
    <row r="1181" spans="1:14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" t="str">
        <f t="shared" si="18"/>
        <v>17IA15.60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7"/>
    </row>
    <row r="1182" spans="1:14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" t="str">
        <f t="shared" si="18"/>
        <v>17IA15.60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7"/>
    </row>
    <row r="1183" spans="1:14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" t="str">
        <f t="shared" si="18"/>
        <v>17IA15.60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7"/>
    </row>
    <row r="1184" spans="1:14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" t="str">
        <f t="shared" si="18"/>
        <v>17IA15.60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7"/>
    </row>
    <row r="1185" spans="1:14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" t="str">
        <f t="shared" si="18"/>
        <v>17IA15.60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7"/>
    </row>
    <row r="1186" spans="1:14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" t="str">
        <f t="shared" si="18"/>
        <v>17IA15.60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7"/>
    </row>
    <row r="1187" spans="1:14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" t="str">
        <f t="shared" si="18"/>
        <v>17IA15.60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7"/>
    </row>
    <row r="1188" spans="1:14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" t="str">
        <f t="shared" si="18"/>
        <v>17IA15.60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7"/>
    </row>
    <row r="1189" spans="1:14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" t="str">
        <f t="shared" si="18"/>
        <v>17IA15.60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7"/>
    </row>
    <row r="1190" spans="1:14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" t="str">
        <f t="shared" si="18"/>
        <v>17IA15.60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7"/>
    </row>
    <row r="1191" spans="1:14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" t="str">
        <f t="shared" si="18"/>
        <v>17IA15.60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7"/>
    </row>
    <row r="1192" spans="1:14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" t="str">
        <f t="shared" si="18"/>
        <v>17IA15.60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7"/>
    </row>
    <row r="1193" spans="1:14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" t="str">
        <f t="shared" si="18"/>
        <v>17IA15.60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7"/>
    </row>
    <row r="1194" spans="1:14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" t="str">
        <f t="shared" si="18"/>
        <v>17IA15.60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7"/>
    </row>
    <row r="1195" spans="1:14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" t="str">
        <f t="shared" si="18"/>
        <v>17IA15.60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7"/>
    </row>
    <row r="1196" spans="1:14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" t="str">
        <f t="shared" si="18"/>
        <v>17IA15.60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7"/>
    </row>
    <row r="1197" spans="1:14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" t="str">
        <f t="shared" si="18"/>
        <v>17IA15.60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7"/>
    </row>
    <row r="1198" spans="1:14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" t="str">
        <f t="shared" si="18"/>
        <v>17IA15.60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7"/>
    </row>
    <row r="1199" spans="1:14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" t="str">
        <f t="shared" si="18"/>
        <v>17IA15.60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7"/>
    </row>
    <row r="1200" spans="1:14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" t="str">
        <f t="shared" si="18"/>
        <v>17IA15.60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7"/>
    </row>
    <row r="1201" spans="1:14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" t="str">
        <f t="shared" si="18"/>
        <v>17IA15.60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7"/>
    </row>
    <row r="1202" spans="1:14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" t="str">
        <f t="shared" si="18"/>
        <v>17IA15.60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7"/>
    </row>
    <row r="1203" spans="1:14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" t="str">
        <f t="shared" si="18"/>
        <v>17IA15.60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7"/>
    </row>
    <row r="1204" spans="1:14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" t="str">
        <f t="shared" si="18"/>
        <v>17IA15.60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7"/>
    </row>
    <row r="1205" spans="1:14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" t="str">
        <f t="shared" si="18"/>
        <v>17IA15.60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7"/>
    </row>
    <row r="1206" spans="1:14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7"/>
    </row>
    <row r="1207" spans="1:14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7"/>
    </row>
    <row r="1208" spans="1:14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7"/>
    </row>
    <row r="1209" spans="1:14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7"/>
    </row>
    <row r="1210" spans="1:14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7"/>
    </row>
    <row r="1211" spans="1:14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7"/>
    </row>
    <row r="1212" spans="1:14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7"/>
    </row>
    <row r="1213" spans="1:14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7"/>
    </row>
    <row r="1214" spans="1:14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7"/>
    </row>
    <row r="1215" spans="1:14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7"/>
    </row>
    <row r="1216" spans="1:14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7"/>
    </row>
    <row r="1217" spans="1:14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7"/>
    </row>
    <row r="1218" spans="1:14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7"/>
    </row>
    <row r="1219" spans="1:14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7"/>
    </row>
    <row r="1220" spans="1:14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7"/>
    </row>
    <row r="1221" spans="1:14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7"/>
    </row>
    <row r="1222" spans="1:14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7"/>
    </row>
    <row r="1223" spans="1:14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7"/>
    </row>
    <row r="1224" spans="1:14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7"/>
    </row>
    <row r="1225" spans="1:14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7"/>
    </row>
    <row r="1226" spans="1:14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7"/>
    </row>
    <row r="1227" spans="1:14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7"/>
    </row>
    <row r="1228" spans="1:14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7"/>
    </row>
    <row r="1229" spans="1:14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7"/>
    </row>
    <row r="1230" spans="1:14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7"/>
    </row>
    <row r="1231" spans="1:14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7"/>
    </row>
    <row r="1232" spans="1:14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7"/>
    </row>
    <row r="1233" spans="1:14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7"/>
    </row>
    <row r="1234" spans="1:14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7"/>
    </row>
    <row r="1235" spans="1:14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7"/>
    </row>
    <row r="1236" spans="1:14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7"/>
    </row>
    <row r="1237" spans="1:14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7"/>
    </row>
    <row r="1238" spans="1:14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7"/>
    </row>
    <row r="1239" spans="1:14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7"/>
    </row>
    <row r="1240" spans="1:14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7"/>
    </row>
    <row r="1241" spans="1:14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7"/>
    </row>
    <row r="1242" spans="1:14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7"/>
    </row>
    <row r="1243" spans="1:14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7"/>
    </row>
    <row r="1244" spans="1:14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7"/>
    </row>
    <row r="1245" spans="1:14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7"/>
    </row>
    <row r="1246" spans="1:14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7"/>
    </row>
    <row r="1247" spans="1:14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7"/>
    </row>
    <row r="1248" spans="1:14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7"/>
    </row>
    <row r="1249" spans="1:14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7"/>
    </row>
    <row r="1250" spans="1:14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7"/>
    </row>
    <row r="1251" spans="1:14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7"/>
    </row>
    <row r="1252" spans="1:14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7"/>
    </row>
    <row r="1253" spans="1:14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7"/>
    </row>
    <row r="1254" spans="1:14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7"/>
    </row>
    <row r="1255" spans="1:14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7"/>
    </row>
    <row r="1256" spans="1:14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7"/>
    </row>
    <row r="1257" spans="1:14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7"/>
    </row>
    <row r="1258" spans="1:14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7"/>
    </row>
    <row r="1259" spans="1:14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7"/>
    </row>
    <row r="1260" spans="1:14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7"/>
    </row>
    <row r="1261" spans="1:14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7"/>
    </row>
    <row r="1262" spans="1:14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7"/>
    </row>
    <row r="1263" spans="1:14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7"/>
    </row>
    <row r="1264" spans="1:14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7"/>
    </row>
    <row r="1265" spans="1:14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7"/>
    </row>
    <row r="1266" spans="1:14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7"/>
    </row>
    <row r="1267" spans="1:14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7"/>
    </row>
    <row r="1268" spans="1:14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7"/>
    </row>
    <row r="1269" spans="1:14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7"/>
    </row>
    <row r="1270" spans="1:14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7"/>
    </row>
    <row r="1271" spans="1:14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7"/>
    </row>
    <row r="1272" spans="1:14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7"/>
    </row>
    <row r="1273" spans="1:14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7"/>
    </row>
    <row r="1274" spans="1:14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7"/>
    </row>
    <row r="1275" spans="1:14">
      <c r="A1275" s="11" t="s">
        <v>689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46266.176388888889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7"/>
    </row>
    <row r="1276" spans="1:14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7"/>
    </row>
    <row r="1277" spans="1:14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7"/>
    </row>
    <row r="1278" spans="1:14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7"/>
    </row>
    <row r="1279" spans="1:14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7"/>
    </row>
    <row r="1280" spans="1:14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7"/>
    </row>
    <row r="1281" spans="1:14">
      <c r="A1281" s="11" t="s">
        <v>695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46266.176458333335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7"/>
    </row>
    <row r="1282" spans="1:14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7"/>
    </row>
    <row r="1283" spans="1:14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7"/>
    </row>
    <row r="1284" spans="1:14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7"/>
    </row>
    <row r="1285" spans="1:14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7"/>
    </row>
    <row r="1286" spans="1:14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7"/>
    </row>
    <row r="1287" spans="1:14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7"/>
    </row>
    <row r="1288" spans="1:14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7"/>
    </row>
    <row r="1289" spans="1:14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7"/>
    </row>
    <row r="1290" spans="1:14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7"/>
    </row>
    <row r="1291" spans="1:14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7"/>
    </row>
    <row r="1292" spans="1:14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7"/>
    </row>
    <row r="1293" spans="1:14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7"/>
    </row>
    <row r="1294" spans="1:14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7"/>
    </row>
    <row r="1295" spans="1:14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7"/>
    </row>
    <row r="1296" spans="1:14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7"/>
    </row>
    <row r="1297" spans="1:14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7"/>
    </row>
    <row r="1298" spans="1:14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7"/>
    </row>
    <row r="1299" spans="1:14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7"/>
    </row>
    <row r="1300" spans="1:14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7"/>
    </row>
    <row r="1301" spans="1:14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7"/>
    </row>
    <row r="1302" spans="1:14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7"/>
    </row>
    <row r="1303" spans="1:14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7"/>
    </row>
    <row r="1304" spans="1:14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7"/>
    </row>
    <row r="1305" spans="1:14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7"/>
    </row>
    <row r="1306" spans="1:14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7"/>
    </row>
    <row r="1307" spans="1:14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7"/>
    </row>
    <row r="1308" spans="1:14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7"/>
    </row>
    <row r="1309" spans="1:14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7"/>
    </row>
    <row r="1310" spans="1:14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7"/>
    </row>
    <row r="1311" spans="1:14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7"/>
    </row>
    <row r="1312" spans="1:14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7"/>
    </row>
    <row r="1313" spans="1:14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7"/>
    </row>
    <row r="1314" spans="1:14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7"/>
    </row>
    <row r="1315" spans="1:14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7"/>
    </row>
    <row r="1316" spans="1:14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7"/>
    </row>
    <row r="1317" spans="1:14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7"/>
    </row>
    <row r="1318" spans="1:14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7"/>
    </row>
    <row r="1319" spans="1:14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7"/>
    </row>
    <row r="1320" spans="1:14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7"/>
    </row>
    <row r="1321" spans="1:14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7"/>
    </row>
    <row r="1322" spans="1:14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7"/>
    </row>
    <row r="1323" spans="1:14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7"/>
    </row>
    <row r="1324" spans="1:14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7"/>
    </row>
    <row r="1325" spans="1:14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7"/>
    </row>
    <row r="1326" spans="1:14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7"/>
    </row>
    <row r="1327" spans="1:14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7"/>
    </row>
    <row r="1328" spans="1:14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7"/>
    </row>
    <row r="1329" spans="1:14">
      <c r="A1329" s="11" t="s">
        <v>743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46266.176539351851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7"/>
    </row>
    <row r="1330" spans="1:14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7"/>
    </row>
    <row r="1331" spans="1:14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7"/>
    </row>
    <row r="1332" spans="1:14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7"/>
    </row>
    <row r="1333" spans="1:14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7"/>
    </row>
    <row r="1334" spans="1:14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7"/>
    </row>
    <row r="1335" spans="1:14">
      <c r="A1335" s="11" t="s">
        <v>749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46266.17659722222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7"/>
    </row>
    <row r="1336" spans="1:14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7"/>
    </row>
    <row r="1337" spans="1:14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7"/>
    </row>
    <row r="1338" spans="1:14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7"/>
    </row>
    <row r="1339" spans="1:14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7"/>
    </row>
    <row r="1340" spans="1:14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7"/>
    </row>
    <row r="1341" spans="1:14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7"/>
    </row>
    <row r="1342" spans="1:14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7"/>
    </row>
    <row r="1343" spans="1:14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7"/>
    </row>
    <row r="1344" spans="1:14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7"/>
    </row>
    <row r="1345" spans="1:14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7"/>
    </row>
    <row r="1346" spans="1:14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7"/>
    </row>
    <row r="1347" spans="1:14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7"/>
    </row>
    <row r="1348" spans="1:14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7"/>
    </row>
    <row r="1349" spans="1:14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7"/>
    </row>
    <row r="1350" spans="1:14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7"/>
    </row>
    <row r="1351" spans="1:14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7"/>
    </row>
    <row r="1352" spans="1:14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" t="str">
        <f t="shared" si="21"/>
        <v>17IA15.70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7"/>
    </row>
    <row r="1353" spans="1:14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" t="str">
        <f t="shared" si="21"/>
        <v>17IA15.70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7"/>
    </row>
    <row r="1354" spans="1:14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" t="str">
        <f t="shared" si="21"/>
        <v>17IA15.70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7"/>
    </row>
    <row r="1355" spans="1:14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" t="str">
        <f t="shared" si="21"/>
        <v>17IA15.70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7"/>
    </row>
    <row r="1356" spans="1:14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" t="str">
        <f t="shared" si="21"/>
        <v>17IA15.70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7"/>
    </row>
    <row r="1357" spans="1:14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" t="str">
        <f t="shared" si="21"/>
        <v>17IA15.70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7"/>
    </row>
    <row r="1358" spans="1:14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" t="str">
        <f t="shared" si="21"/>
        <v>17IA15.70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7"/>
    </row>
    <row r="1359" spans="1:14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" t="str">
        <f t="shared" si="21"/>
        <v>17IA15.70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7"/>
    </row>
    <row r="1360" spans="1:14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" t="str">
        <f t="shared" si="21"/>
        <v>17IA15.70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7"/>
    </row>
    <row r="1361" spans="1:14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" t="str">
        <f t="shared" si="21"/>
        <v>17IA15.70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7"/>
    </row>
    <row r="1362" spans="1:14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" t="str">
        <f t="shared" si="21"/>
        <v>17IA15.70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7"/>
    </row>
    <row r="1363" spans="1:14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" t="str">
        <f t="shared" si="21"/>
        <v>17IA15.70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7"/>
    </row>
    <row r="1364" spans="1:14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" t="str">
        <f t="shared" si="21"/>
        <v>17IA15.70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7"/>
    </row>
    <row r="1365" spans="1:14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" t="str">
        <f t="shared" si="21"/>
        <v>17IA15.70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7"/>
    </row>
    <row r="1366" spans="1:14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" t="str">
        <f t="shared" si="21"/>
        <v>17IA15.70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7"/>
    </row>
    <row r="1367" spans="1:14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" t="str">
        <f t="shared" si="21"/>
        <v>17IA15.70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7"/>
    </row>
    <row r="1368" spans="1:14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" t="str">
        <f t="shared" si="21"/>
        <v>17IA15.70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7"/>
    </row>
    <row r="1369" spans="1:14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" t="str">
        <f t="shared" si="21"/>
        <v>17IA15.70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7"/>
    </row>
    <row r="1370" spans="1:14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" t="str">
        <f t="shared" si="21"/>
        <v>17IA15.70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7"/>
    </row>
    <row r="1371" spans="1:14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" t="str">
        <f t="shared" si="21"/>
        <v>17IA15.70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7"/>
    </row>
    <row r="1372" spans="1:14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" t="str">
        <f t="shared" si="21"/>
        <v>17IA15.70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7"/>
    </row>
    <row r="1373" spans="1:14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" t="str">
        <f t="shared" si="21"/>
        <v>17IA15.70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7"/>
    </row>
    <row r="1374" spans="1:14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" t="str">
        <f t="shared" si="21"/>
        <v>17IA15.70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7"/>
    </row>
    <row r="1375" spans="1:14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" t="str">
        <f t="shared" si="21"/>
        <v>17IA15.70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7"/>
    </row>
    <row r="1376" spans="1:14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" t="str">
        <f t="shared" si="21"/>
        <v>17IA15.70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7"/>
    </row>
    <row r="1377" spans="1:14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" t="str">
        <f t="shared" si="21"/>
        <v>17IA15.70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7"/>
    </row>
    <row r="1378" spans="1:14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" t="str">
        <f t="shared" si="21"/>
        <v>17IA15.70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7"/>
    </row>
    <row r="1379" spans="1:14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" t="str">
        <f t="shared" si="21"/>
        <v>17IA15.70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7"/>
    </row>
    <row r="1380" spans="1:14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" t="str">
        <f t="shared" si="21"/>
        <v>17IA15.70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7"/>
    </row>
    <row r="1381" spans="1:14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" t="str">
        <f t="shared" si="21"/>
        <v>17IA15.70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7"/>
    </row>
    <row r="1382" spans="1:14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" t="str">
        <f t="shared" si="21"/>
        <v>17IA15.70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7"/>
    </row>
    <row r="1383" spans="1:14">
      <c r="A1383" s="11" t="s">
        <v>797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46266.176724537036</v>
      </c>
      <c r="G1383" s="11" t="s">
        <v>246</v>
      </c>
      <c r="H1383" s="11" t="s">
        <v>160</v>
      </c>
      <c r="I1383" s="1">
        <f>VLOOKUP(G1383,WO!A:J,10,0)</f>
        <v>22</v>
      </c>
      <c r="J1383" s="1" t="str">
        <f t="shared" si="21"/>
        <v>17IA15.70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7"/>
    </row>
    <row r="1384" spans="1:14">
      <c r="A1384" s="11" t="s">
        <v>798</v>
      </c>
      <c r="B1384" s="11" t="s">
        <v>6</v>
      </c>
      <c r="C1384" s="11" t="s">
        <v>6</v>
      </c>
      <c r="D1384" s="11">
        <v>1</v>
      </c>
      <c r="E1384" s="11" t="s">
        <v>7</v>
      </c>
      <c r="F1384" s="20">
        <v>46266.17628472222</v>
      </c>
      <c r="G1384" s="11" t="s">
        <v>246</v>
      </c>
      <c r="H1384" s="11" t="s">
        <v>160</v>
      </c>
      <c r="I1384" s="1">
        <f>VLOOKUP(G1384,WO!A:J,10,0)</f>
        <v>22</v>
      </c>
      <c r="J1384" s="1" t="str">
        <f t="shared" si="21"/>
        <v>17IA15.70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7"/>
    </row>
    <row r="1385" spans="1:14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" t="str">
        <f t="shared" si="21"/>
        <v>17IA15.70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7"/>
    </row>
    <row r="1386" spans="1:14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" t="str">
        <f t="shared" si="21"/>
        <v>17IA15.70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7"/>
    </row>
    <row r="1387" spans="1:14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" t="str">
        <f t="shared" si="21"/>
        <v>17IA15.70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7"/>
    </row>
    <row r="1388" spans="1:14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" t="str">
        <f t="shared" si="21"/>
        <v>17IA15.70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7"/>
    </row>
    <row r="1389" spans="1:14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" t="str">
        <f t="shared" si="21"/>
        <v>17IA15.70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7"/>
    </row>
    <row r="1390" spans="1:14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" t="str">
        <f t="shared" si="21"/>
        <v>17IA15.70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7"/>
    </row>
    <row r="1391" spans="1:14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" t="str">
        <f t="shared" si="21"/>
        <v>17IA15.70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7"/>
    </row>
    <row r="1392" spans="1:14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" t="str">
        <f t="shared" si="21"/>
        <v>17IA15.70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7"/>
    </row>
    <row r="1393" spans="1:14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" t="str">
        <f t="shared" si="21"/>
        <v>17IA15.70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7"/>
    </row>
    <row r="1394" spans="1:14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7"/>
    </row>
    <row r="1395" spans="1:14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7"/>
    </row>
    <row r="1396" spans="1:14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7"/>
    </row>
    <row r="1397" spans="1:14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7"/>
    </row>
    <row r="1398" spans="1:14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7"/>
    </row>
    <row r="1399" spans="1:14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7"/>
    </row>
    <row r="1400" spans="1:14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7"/>
    </row>
    <row r="1401" spans="1:14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7"/>
    </row>
    <row r="1402" spans="1:14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7"/>
    </row>
    <row r="1403" spans="1:14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7"/>
    </row>
    <row r="1404" spans="1:14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7"/>
    </row>
    <row r="1405" spans="1:14">
      <c r="A1405" s="11" t="s">
        <v>819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46266.176354166666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7"/>
    </row>
    <row r="1406" spans="1:14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7"/>
    </row>
    <row r="1407" spans="1:14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7"/>
    </row>
    <row r="1408" spans="1:14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7"/>
    </row>
    <row r="1409" spans="1:14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7"/>
    </row>
    <row r="1410" spans="1:14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7"/>
    </row>
    <row r="1411" spans="1:14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7"/>
    </row>
    <row r="1412" spans="1:14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7"/>
    </row>
    <row r="1413" spans="1:14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7"/>
    </row>
    <row r="1414" spans="1:14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7"/>
    </row>
    <row r="1415" spans="1:14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7"/>
    </row>
    <row r="1416" spans="1:14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7"/>
    </row>
    <row r="1417" spans="1:14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7"/>
    </row>
    <row r="1418" spans="1:14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7"/>
    </row>
    <row r="1419" spans="1:14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7"/>
    </row>
    <row r="1420" spans="1:14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7"/>
    </row>
    <row r="1421" spans="1:14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7"/>
    </row>
    <row r="1422" spans="1:14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7"/>
    </row>
    <row r="1423" spans="1:14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7"/>
    </row>
    <row r="1424" spans="1:14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7"/>
    </row>
    <row r="1425" spans="1:14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7"/>
    </row>
    <row r="1426" spans="1:14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7"/>
    </row>
    <row r="1427" spans="1:14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7"/>
    </row>
    <row r="1428" spans="1:14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7"/>
    </row>
    <row r="1429" spans="1:14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7"/>
    </row>
    <row r="1430" spans="1:14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7"/>
    </row>
    <row r="1431" spans="1:14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7"/>
    </row>
    <row r="1432" spans="1:14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7"/>
    </row>
    <row r="1433" spans="1:14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7"/>
    </row>
    <row r="1434" spans="1:14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7"/>
    </row>
    <row r="1435" spans="1:14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7"/>
    </row>
    <row r="1436" spans="1:14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7"/>
    </row>
    <row r="1437" spans="1:14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7"/>
    </row>
    <row r="1438" spans="1:14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7"/>
    </row>
    <row r="1439" spans="1:14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7"/>
    </row>
    <row r="1440" spans="1:14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7"/>
    </row>
    <row r="1441" spans="1:14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7"/>
    </row>
    <row r="1442" spans="1:14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7"/>
    </row>
    <row r="1443" spans="1:14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7"/>
    </row>
    <row r="1444" spans="1:14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7"/>
    </row>
    <row r="1445" spans="1:14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7"/>
    </row>
    <row r="1446" spans="1:14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7"/>
    </row>
    <row r="1447" spans="1:14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7"/>
    </row>
    <row r="1448" spans="1:14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7"/>
    </row>
    <row r="1449" spans="1:14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7"/>
    </row>
    <row r="1450" spans="1:14">
      <c r="A1450" s="11" t="s">
        <v>864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46266.17664351852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7"/>
    </row>
    <row r="1451" spans="1:14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7"/>
    </row>
    <row r="1452" spans="1:14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7"/>
    </row>
    <row r="1453" spans="1:14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7"/>
    </row>
    <row r="1454" spans="1:14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7"/>
    </row>
    <row r="1455" spans="1:14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7"/>
    </row>
    <row r="1456" spans="1:14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7"/>
    </row>
    <row r="1457" spans="1:14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7"/>
    </row>
    <row r="1458" spans="1:14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7"/>
    </row>
    <row r="1459" spans="1:14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7">
        <v>46211</v>
      </c>
    </row>
    <row r="1460" spans="1:14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7"/>
    </row>
    <row r="1461" spans="1:14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7"/>
    </row>
    <row r="1462" spans="1:14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7"/>
    </row>
    <row r="1463" spans="1:14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7"/>
    </row>
    <row r="1464" spans="1:14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7"/>
    </row>
    <row r="1465" spans="1:14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7"/>
    </row>
    <row r="1466" spans="1:14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7"/>
    </row>
    <row r="1467" spans="1:14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7"/>
    </row>
    <row r="1468" spans="1:14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7"/>
    </row>
    <row r="1469" spans="1:14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7"/>
    </row>
    <row r="1470" spans="1:14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7"/>
    </row>
    <row r="1471" spans="1:14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7"/>
    </row>
    <row r="1472" spans="1:14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7"/>
    </row>
    <row r="1473" spans="1:14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7"/>
    </row>
    <row r="1474" spans="1:14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7"/>
    </row>
    <row r="1475" spans="1:14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7"/>
    </row>
    <row r="1476" spans="1:14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7"/>
    </row>
    <row r="1477" spans="1:14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7"/>
    </row>
    <row r="1478" spans="1:14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7"/>
    </row>
    <row r="1479" spans="1:14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7"/>
    </row>
    <row r="1480" spans="1:14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7"/>
    </row>
    <row r="1481" spans="1:14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7"/>
    </row>
    <row r="1482" spans="1:14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7"/>
    </row>
    <row r="1483" spans="1:14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7"/>
    </row>
    <row r="1484" spans="1:14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7"/>
    </row>
    <row r="1485" spans="1:14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7"/>
    </row>
    <row r="1486" spans="1:14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7"/>
    </row>
    <row r="1487" spans="1:14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7"/>
    </row>
    <row r="1488" spans="1:14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7"/>
    </row>
    <row r="1489" spans="1:14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7"/>
    </row>
    <row r="1490" spans="1:14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7"/>
    </row>
    <row r="1491" spans="1:14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7"/>
    </row>
    <row r="1492" spans="1:14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7"/>
    </row>
    <row r="1493" spans="1:14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7"/>
    </row>
    <row r="1494" spans="1:14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7"/>
    </row>
    <row r="1495" spans="1:14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7"/>
    </row>
    <row r="1496" spans="1:14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7"/>
    </row>
    <row r="1497" spans="1:14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7"/>
    </row>
    <row r="1498" spans="1:14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7"/>
    </row>
    <row r="1499" spans="1:14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7"/>
    </row>
    <row r="1500" spans="1:14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7"/>
    </row>
    <row r="1501" spans="1:14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7"/>
    </row>
    <row r="1502" spans="1:14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7"/>
    </row>
    <row r="1503" spans="1:14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7"/>
    </row>
    <row r="1504" spans="1:14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7"/>
    </row>
    <row r="1505" spans="1:14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7"/>
    </row>
    <row r="1506" spans="1:14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7"/>
    </row>
    <row r="1507" spans="1:14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7"/>
    </row>
    <row r="1508" spans="1:14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7"/>
    </row>
    <row r="1509" spans="1:14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7"/>
    </row>
    <row r="1510" spans="1:14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7"/>
    </row>
    <row r="1511" spans="1:14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7"/>
    </row>
    <row r="1512" spans="1:14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7"/>
    </row>
    <row r="1513" spans="1:14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7"/>
    </row>
    <row r="1514" spans="1:14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7"/>
    </row>
    <row r="1515" spans="1:14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7"/>
    </row>
    <row r="1516" spans="1:14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7"/>
    </row>
    <row r="1517" spans="1:14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7"/>
    </row>
    <row r="1518" spans="1:14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7"/>
    </row>
    <row r="1519" spans="1:14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7"/>
    </row>
    <row r="1520" spans="1:14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7"/>
    </row>
    <row r="1521" spans="1:14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7"/>
    </row>
    <row r="1522" spans="1:14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7"/>
    </row>
    <row r="1523" spans="1:14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7"/>
    </row>
    <row r="1524" spans="1:14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7"/>
    </row>
    <row r="1525" spans="1:14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7"/>
    </row>
    <row r="1526" spans="1:14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7"/>
    </row>
    <row r="1527" spans="1:14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7"/>
    </row>
    <row r="1528" spans="1:14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7"/>
    </row>
    <row r="1529" spans="1:14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7"/>
    </row>
    <row r="1530" spans="1:14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7"/>
    </row>
    <row r="1531" spans="1:14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7"/>
    </row>
    <row r="1532" spans="1:14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7"/>
    </row>
    <row r="1533" spans="1:14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7"/>
    </row>
    <row r="1534" spans="1:14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7"/>
    </row>
    <row r="1535" spans="1:14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7"/>
    </row>
    <row r="1536" spans="1:14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7"/>
    </row>
    <row r="1537" spans="1:14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7"/>
    </row>
    <row r="1538" spans="1:14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7"/>
    </row>
    <row r="1539" spans="1:14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7"/>
    </row>
    <row r="1540" spans="1:14">
      <c r="A1540" s="11" t="s">
        <v>2000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" t="str">
        <f t="shared" si="24"/>
        <v>17IA15.80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7"/>
    </row>
    <row r="1541" spans="1:14">
      <c r="A1541" s="11" t="s">
        <v>2001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" t="str">
        <f t="shared" si="24"/>
        <v>17IA15.80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7">
        <v>46155</v>
      </c>
    </row>
    <row r="1542" spans="1:14">
      <c r="A1542" s="11" t="s">
        <v>2002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" t="str">
        <f t="shared" si="24"/>
        <v>17IA15.80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7">
        <v>46155</v>
      </c>
    </row>
    <row r="1543" spans="1:14">
      <c r="A1543" s="11" t="s">
        <v>2003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" t="str">
        <f t="shared" si="24"/>
        <v>17IA15.80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7"/>
    </row>
    <row r="1544" spans="1:14">
      <c r="A1544" s="11" t="s">
        <v>2004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" t="str">
        <f t="shared" si="24"/>
        <v>17IA15.80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7">
        <v>46155</v>
      </c>
    </row>
    <row r="1545" spans="1:14">
      <c r="A1545" s="11" t="s">
        <v>2005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" t="str">
        <f t="shared" si="24"/>
        <v>17IA15.80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7">
        <v>46155</v>
      </c>
    </row>
    <row r="1546" spans="1:14">
      <c r="A1546" s="11" t="s">
        <v>2006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" t="str">
        <f t="shared" si="24"/>
        <v>17IA15.80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7"/>
    </row>
    <row r="1547" spans="1:14">
      <c r="A1547" s="11" t="s">
        <v>2007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" t="str">
        <f t="shared" si="24"/>
        <v>17IA15.80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7"/>
    </row>
    <row r="1548" spans="1:14">
      <c r="A1548" s="11" t="s">
        <v>2008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" t="str">
        <f t="shared" si="24"/>
        <v>17IA15.80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7"/>
    </row>
    <row r="1549" spans="1:14">
      <c r="A1549" s="11" t="s">
        <v>2009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" t="str">
        <f t="shared" si="24"/>
        <v>17IA15.80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7">
        <v>46155</v>
      </c>
    </row>
    <row r="1550" spans="1:14">
      <c r="A1550" s="11" t="s">
        <v>2010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" t="str">
        <f t="shared" si="24"/>
        <v>17IA15.80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7">
        <v>46150</v>
      </c>
    </row>
    <row r="1551" spans="1:14">
      <c r="A1551" s="11" t="s">
        <v>2011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" t="str">
        <f t="shared" si="24"/>
        <v>17IA15.80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7"/>
    </row>
    <row r="1552" spans="1:14">
      <c r="A1552" s="11" t="s">
        <v>2012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" t="str">
        <f t="shared" si="24"/>
        <v>17IA15.80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7"/>
    </row>
    <row r="1553" spans="1:15">
      <c r="A1553" s="11" t="s">
        <v>2013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" t="str">
        <f t="shared" si="24"/>
        <v>17IA15.80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7"/>
    </row>
    <row r="1554" spans="1:15">
      <c r="A1554" s="11" t="s">
        <v>2014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" t="str">
        <f t="shared" si="24"/>
        <v>17IA15.80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7"/>
    </row>
    <row r="1555" spans="1:15">
      <c r="A1555" s="11" t="s">
        <v>2015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" t="str">
        <f t="shared" si="24"/>
        <v>17IA15.80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7">
        <v>46150</v>
      </c>
    </row>
    <row r="1556" spans="1:15">
      <c r="A1556" s="11" t="s">
        <v>2016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" t="str">
        <f t="shared" si="24"/>
        <v>17IA15.80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7">
        <v>46150</v>
      </c>
    </row>
    <row r="1557" spans="1:15">
      <c r="A1557" s="11" t="s">
        <v>2017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" t="str">
        <f t="shared" si="24"/>
        <v>17IA15.80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7"/>
    </row>
    <row r="1558" spans="1:15">
      <c r="A1558" s="11" t="s">
        <v>2018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" t="str">
        <f t="shared" si="24"/>
        <v>17IA15.80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7"/>
    </row>
    <row r="1559" spans="1:15">
      <c r="A1559" s="11" t="s">
        <v>2019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" t="str">
        <f t="shared" si="24"/>
        <v>17IA15.80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7"/>
    </row>
    <row r="1560" spans="1:15">
      <c r="A1560" s="11" t="s">
        <v>2020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" t="str">
        <f t="shared" si="24"/>
        <v>17IA15.80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7"/>
    </row>
    <row r="1561" spans="1:15">
      <c r="A1561" s="11" t="s">
        <v>2021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" t="str">
        <f t="shared" si="24"/>
        <v>17IA15.80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7">
        <v>46155</v>
      </c>
    </row>
    <row r="1562" spans="1:15">
      <c r="A1562" s="11" t="s">
        <v>2022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" t="str">
        <f t="shared" si="24"/>
        <v>17IA15.80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7"/>
      <c r="O1562" s="7"/>
    </row>
    <row r="1563" spans="1:15">
      <c r="A1563" s="11" t="s">
        <v>2023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" t="str">
        <f t="shared" si="24"/>
        <v>17IA15.80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7"/>
    </row>
    <row r="1564" spans="1:15">
      <c r="A1564" s="11" t="s">
        <v>2024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" t="str">
        <f t="shared" si="24"/>
        <v>17IA15.80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7"/>
    </row>
    <row r="1565" spans="1:15">
      <c r="A1565" s="11" t="s">
        <v>2025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" t="str">
        <f t="shared" si="24"/>
        <v>17IA15.80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7">
        <v>46155</v>
      </c>
    </row>
    <row r="1566" spans="1:15">
      <c r="A1566" s="11" t="s">
        <v>2026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" t="str">
        <f t="shared" si="24"/>
        <v>17IA15.80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7"/>
    </row>
    <row r="1567" spans="1:15">
      <c r="A1567" s="11" t="s">
        <v>2027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" t="str">
        <f t="shared" si="24"/>
        <v>17IA15.80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7">
        <v>46155</v>
      </c>
    </row>
    <row r="1568" spans="1:15">
      <c r="A1568" s="11" t="s">
        <v>2028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" t="str">
        <f t="shared" si="24"/>
        <v>17IA15.80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7"/>
    </row>
    <row r="1569" spans="1:15">
      <c r="A1569" s="11" t="s">
        <v>2029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" t="str">
        <f t="shared" si="24"/>
        <v>17IA15.80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7">
        <v>46155</v>
      </c>
    </row>
    <row r="1570" spans="1:15">
      <c r="A1570" s="11" t="s">
        <v>2030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" t="str">
        <f t="shared" si="24"/>
        <v>17IA15.80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7">
        <v>46155</v>
      </c>
      <c r="O1570" s="7"/>
    </row>
    <row r="1571" spans="1:15">
      <c r="A1571" s="11" t="s">
        <v>2031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" t="str">
        <f t="shared" si="24"/>
        <v>17IA15.80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7"/>
      <c r="O1571" s="7"/>
    </row>
    <row r="1572" spans="1:15">
      <c r="A1572" s="11" t="s">
        <v>2032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" t="str">
        <f t="shared" si="24"/>
        <v>17IA15.80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7">
        <v>46155</v>
      </c>
      <c r="O1572" s="7"/>
    </row>
    <row r="1573" spans="1:15">
      <c r="A1573" s="11" t="s">
        <v>2033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" t="str">
        <f t="shared" si="24"/>
        <v>17IA15.80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7"/>
      <c r="O1573" s="7"/>
    </row>
    <row r="1574" spans="1:15">
      <c r="A1574" s="11" t="s">
        <v>2034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" t="str">
        <f t="shared" si="24"/>
        <v>17IA15.80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7">
        <v>46155</v>
      </c>
      <c r="O1574" s="7"/>
    </row>
    <row r="1575" spans="1:15">
      <c r="A1575" s="11" t="s">
        <v>2035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" t="str">
        <f t="shared" si="24"/>
        <v>17IA15.80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7"/>
    </row>
    <row r="1576" spans="1:15">
      <c r="A1576" s="11" t="s">
        <v>2036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" t="str">
        <f t="shared" si="24"/>
        <v>17IA15.80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7"/>
    </row>
    <row r="1577" spans="1:15">
      <c r="A1577" s="11" t="s">
        <v>2037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" t="str">
        <f t="shared" si="24"/>
        <v>17IA15.80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7"/>
    </row>
    <row r="1578" spans="1:15">
      <c r="A1578" s="11" t="s">
        <v>2038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" t="str">
        <f t="shared" si="24"/>
        <v>17IA15.80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7"/>
    </row>
    <row r="1579" spans="1:15">
      <c r="A1579" s="11" t="s">
        <v>2039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" t="str">
        <f t="shared" si="24"/>
        <v>17IA15.80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7"/>
    </row>
    <row r="1580" spans="1:15">
      <c r="A1580" s="11" t="s">
        <v>2040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" t="str">
        <f t="shared" si="24"/>
        <v>17IA15.80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7"/>
    </row>
    <row r="1581" spans="1:15">
      <c r="A1581" s="11" t="s">
        <v>2041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" t="str">
        <f t="shared" si="24"/>
        <v>17IA15.80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7"/>
    </row>
    <row r="1582" spans="1:15">
      <c r="A1582" s="11" t="s">
        <v>2042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7"/>
    </row>
    <row r="1583" spans="1:15">
      <c r="A1583" s="11" t="s">
        <v>2043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7"/>
    </row>
    <row r="1584" spans="1:15">
      <c r="A1584" s="11" t="s">
        <v>2044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7"/>
    </row>
    <row r="1585" spans="1:14">
      <c r="A1585" s="11" t="s">
        <v>2045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7"/>
    </row>
    <row r="1586" spans="1:14">
      <c r="A1586" s="11" t="s">
        <v>2046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7"/>
    </row>
    <row r="1587" spans="1:14">
      <c r="A1587" s="11" t="s">
        <v>2047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7"/>
    </row>
    <row r="1588" spans="1:14">
      <c r="A1588" s="11" t="s">
        <v>2048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7"/>
    </row>
    <row r="1589" spans="1:14">
      <c r="A1589" s="11" t="s">
        <v>2049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7"/>
    </row>
    <row r="1590" spans="1:14">
      <c r="A1590" s="11" t="s">
        <v>2050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7"/>
    </row>
    <row r="1591" spans="1:14">
      <c r="A1591" s="11" t="s">
        <v>2051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7"/>
    </row>
    <row r="1592" spans="1:14">
      <c r="A1592" s="11" t="s">
        <v>2052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7"/>
    </row>
    <row r="1593" spans="1:14">
      <c r="A1593" s="11" t="s">
        <v>2053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7"/>
    </row>
    <row r="1594" spans="1:14">
      <c r="A1594" s="11" t="s">
        <v>2054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7"/>
    </row>
    <row r="1595" spans="1:14">
      <c r="A1595" s="11" t="s">
        <v>2055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7"/>
    </row>
    <row r="1596" spans="1:14">
      <c r="A1596" s="11" t="s">
        <v>2056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7"/>
    </row>
    <row r="1597" spans="1:14">
      <c r="A1597" s="11" t="s">
        <v>2057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7">
        <v>46155</v>
      </c>
    </row>
    <row r="1598" spans="1:14">
      <c r="A1598" s="11" t="s">
        <v>2058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7"/>
    </row>
    <row r="1599" spans="1:14">
      <c r="A1599" s="11" t="s">
        <v>2059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7">
        <v>46195</v>
      </c>
    </row>
    <row r="1600" spans="1:14">
      <c r="A1600" s="11" t="s">
        <v>2060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7">
        <v>46155</v>
      </c>
    </row>
    <row r="1601" spans="1:14">
      <c r="A1601" s="11" t="s">
        <v>2061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7">
        <v>46150</v>
      </c>
    </row>
    <row r="1602" spans="1:14">
      <c r="A1602" s="11" t="s">
        <v>2062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" t="str">
        <f t="shared" si="24"/>
        <v>17IA15.90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7"/>
    </row>
    <row r="1603" spans="1:14">
      <c r="A1603" s="11" t="s">
        <v>2063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" t="str">
        <f t="shared" ref="J1603:J1666" si="25">MID(G1603,3,9)</f>
        <v>17IA15.90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7">
        <v>46175</v>
      </c>
    </row>
    <row r="1604" spans="1:14">
      <c r="A1604" s="11" t="s">
        <v>2064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" t="str">
        <f t="shared" si="25"/>
        <v>17IA15.90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7"/>
    </row>
    <row r="1605" spans="1:14">
      <c r="A1605" s="11" t="s">
        <v>2065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" t="str">
        <f t="shared" si="25"/>
        <v>17IA15.90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7"/>
    </row>
    <row r="1606" spans="1:14">
      <c r="A1606" s="11" t="s">
        <v>2066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" t="str">
        <f t="shared" si="25"/>
        <v>17IA15.90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7">
        <v>46175</v>
      </c>
    </row>
    <row r="1607" spans="1:14">
      <c r="A1607" s="11" t="s">
        <v>2067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" t="str">
        <f t="shared" si="25"/>
        <v>17IA15.90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7"/>
    </row>
    <row r="1608" spans="1:14">
      <c r="A1608" s="11" t="s">
        <v>2068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" t="str">
        <f t="shared" si="25"/>
        <v>17IA15.90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7"/>
    </row>
    <row r="1609" spans="1:14">
      <c r="A1609" s="11" t="s">
        <v>2069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" t="str">
        <f t="shared" si="25"/>
        <v>17IA15.90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7"/>
    </row>
    <row r="1610" spans="1:14">
      <c r="A1610" s="11" t="s">
        <v>2070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" t="str">
        <f t="shared" si="25"/>
        <v>17IA15.90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7"/>
    </row>
    <row r="1611" spans="1:14">
      <c r="A1611" s="11" t="s">
        <v>2071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" t="str">
        <f t="shared" si="25"/>
        <v>17IA15.90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7"/>
    </row>
    <row r="1612" spans="1:14">
      <c r="A1612" s="11" t="s">
        <v>2072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" t="str">
        <f t="shared" si="25"/>
        <v>17IA15.90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7"/>
    </row>
    <row r="1613" spans="1:14">
      <c r="A1613" s="11" t="s">
        <v>2073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" t="str">
        <f t="shared" si="25"/>
        <v>17IA15.90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7">
        <v>46175</v>
      </c>
    </row>
    <row r="1614" spans="1:14">
      <c r="A1614" s="11" t="s">
        <v>2074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" t="str">
        <f t="shared" si="25"/>
        <v>17IA15.90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7"/>
    </row>
    <row r="1615" spans="1:14">
      <c r="A1615" s="11" t="s">
        <v>2075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" t="str">
        <f t="shared" si="25"/>
        <v>17IA15.90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7"/>
    </row>
    <row r="1616" spans="1:14">
      <c r="A1616" s="11" t="s">
        <v>2076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" t="str">
        <f t="shared" si="25"/>
        <v>17IA15.90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7"/>
    </row>
    <row r="1617" spans="1:14">
      <c r="A1617" s="11" t="s">
        <v>2077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" t="str">
        <f t="shared" si="25"/>
        <v>17IA15.90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7"/>
    </row>
    <row r="1618" spans="1:14">
      <c r="A1618" s="11" t="s">
        <v>2078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" t="str">
        <f t="shared" si="25"/>
        <v>17IA15.90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7">
        <v>46175</v>
      </c>
    </row>
    <row r="1619" spans="1:14">
      <c r="A1619" s="11" t="s">
        <v>2079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" t="str">
        <f t="shared" si="25"/>
        <v>17IA15.90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7"/>
    </row>
    <row r="1620" spans="1:14">
      <c r="A1620" s="11" t="s">
        <v>2080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" t="str">
        <f t="shared" si="25"/>
        <v>17IA15.90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7"/>
    </row>
    <row r="1621" spans="1:14">
      <c r="A1621" s="11" t="s">
        <v>2081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" t="str">
        <f t="shared" si="25"/>
        <v>17IA15.90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7"/>
    </row>
    <row r="1622" spans="1:14">
      <c r="A1622" s="11" t="s">
        <v>2082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" t="str">
        <f t="shared" si="25"/>
        <v>17IA15.90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7">
        <v>46175</v>
      </c>
    </row>
    <row r="1623" spans="1:14">
      <c r="A1623" s="11" t="s">
        <v>2083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" t="str">
        <f t="shared" si="25"/>
        <v>17IA15.90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7"/>
    </row>
    <row r="1624" spans="1:14">
      <c r="A1624" s="11" t="s">
        <v>2084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" t="str">
        <f t="shared" si="25"/>
        <v>17IA15.90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7"/>
    </row>
    <row r="1625" spans="1:14">
      <c r="A1625" s="11" t="s">
        <v>2085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" t="str">
        <f t="shared" si="25"/>
        <v>17IA15.90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7"/>
    </row>
    <row r="1626" spans="1:14">
      <c r="A1626" s="11" t="s">
        <v>2086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" t="str">
        <f t="shared" si="25"/>
        <v>17IA15.90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7"/>
    </row>
    <row r="1627" spans="1:14">
      <c r="A1627" s="11" t="s">
        <v>2087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" t="str">
        <f t="shared" si="25"/>
        <v>17IA15.90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7"/>
    </row>
    <row r="1628" spans="1:14">
      <c r="A1628" s="11" t="s">
        <v>2088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" t="str">
        <f t="shared" si="25"/>
        <v>17IA15.90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7"/>
    </row>
    <row r="1629" spans="1:14">
      <c r="A1629" s="11" t="s">
        <v>2089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" t="str">
        <f t="shared" si="25"/>
        <v>17IA15.90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7"/>
    </row>
    <row r="1630" spans="1:14">
      <c r="A1630" s="11" t="s">
        <v>2090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" t="str">
        <f t="shared" si="25"/>
        <v>17IA15.90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7">
        <v>46175</v>
      </c>
    </row>
    <row r="1631" spans="1:14">
      <c r="A1631" s="11" t="s">
        <v>2091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" t="str">
        <f t="shared" si="25"/>
        <v>17IA15.90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7">
        <v>46175</v>
      </c>
    </row>
    <row r="1632" spans="1:14">
      <c r="A1632" s="11" t="s">
        <v>2092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" t="str">
        <f t="shared" si="25"/>
        <v>17IA15.90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7">
        <v>46175</v>
      </c>
    </row>
    <row r="1633" spans="1:14">
      <c r="A1633" s="11" t="s">
        <v>2093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" t="str">
        <f t="shared" si="25"/>
        <v>17IA15.90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7"/>
    </row>
    <row r="1634" spans="1:14">
      <c r="A1634" s="11" t="s">
        <v>2094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" t="str">
        <f t="shared" si="25"/>
        <v>17IA15.90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7">
        <v>46175</v>
      </c>
    </row>
    <row r="1635" spans="1:14">
      <c r="A1635" s="11" t="s">
        <v>2095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" t="str">
        <f t="shared" si="25"/>
        <v>17IA15.90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7"/>
    </row>
    <row r="1636" spans="1:14">
      <c r="A1636" s="11" t="s">
        <v>2096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" t="str">
        <f t="shared" si="25"/>
        <v>17IA15.90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7"/>
    </row>
    <row r="1637" spans="1:14">
      <c r="A1637" s="11" t="s">
        <v>2097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" t="str">
        <f t="shared" si="25"/>
        <v>17IA15.90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7"/>
    </row>
    <row r="1638" spans="1:14">
      <c r="A1638" s="11" t="s">
        <v>2098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" t="str">
        <f t="shared" si="25"/>
        <v>17IA15.90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7">
        <v>46273</v>
      </c>
    </row>
    <row r="1639" spans="1:14">
      <c r="A1639" s="11" t="s">
        <v>2099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" t="str">
        <f t="shared" si="25"/>
        <v>17IA15.90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7"/>
    </row>
    <row r="1640" spans="1:14">
      <c r="A1640" s="11" t="s">
        <v>2100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" t="str">
        <f t="shared" si="25"/>
        <v>17IA15.90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7">
        <v>46175</v>
      </c>
    </row>
    <row r="1641" spans="1:14">
      <c r="A1641" s="11" t="s">
        <v>2101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" t="str">
        <f t="shared" si="25"/>
        <v>17IA15.90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7"/>
    </row>
    <row r="1642" spans="1:14">
      <c r="A1642" s="11" t="s">
        <v>2102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" t="str">
        <f t="shared" si="25"/>
        <v>17IA15.90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7"/>
    </row>
    <row r="1643" spans="1:14">
      <c r="A1643" s="11" t="s">
        <v>2103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" t="str">
        <f t="shared" si="25"/>
        <v>17IA15.90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7"/>
    </row>
    <row r="1644" spans="1:14">
      <c r="A1644" s="11" t="s">
        <v>2104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7"/>
    </row>
    <row r="1645" spans="1:14">
      <c r="A1645" s="11" t="s">
        <v>2105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7"/>
    </row>
    <row r="1646" spans="1:14">
      <c r="A1646" s="11" t="s">
        <v>2106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7"/>
    </row>
    <row r="1647" spans="1:14">
      <c r="A1647" s="11" t="s">
        <v>2107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7"/>
    </row>
    <row r="1648" spans="1:14">
      <c r="A1648" s="11" t="s">
        <v>2108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7"/>
    </row>
    <row r="1649" spans="1:14">
      <c r="A1649" s="11" t="s">
        <v>2109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7"/>
    </row>
    <row r="1650" spans="1:14">
      <c r="A1650" s="11" t="s">
        <v>2110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7"/>
    </row>
    <row r="1651" spans="1:14">
      <c r="A1651" s="11" t="s">
        <v>2111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7">
        <v>46175</v>
      </c>
    </row>
    <row r="1652" spans="1:14">
      <c r="A1652" s="11" t="s">
        <v>2112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7"/>
    </row>
    <row r="1653" spans="1:14">
      <c r="A1653" s="11" t="s">
        <v>2113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7"/>
    </row>
    <row r="1654" spans="1:14">
      <c r="A1654" s="11" t="s">
        <v>2114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7"/>
    </row>
    <row r="1655" spans="1:14">
      <c r="A1655" s="11" t="s">
        <v>2115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7">
        <v>46175</v>
      </c>
    </row>
    <row r="1656" spans="1:14">
      <c r="A1656" s="11" t="s">
        <v>2116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7">
        <v>46175</v>
      </c>
    </row>
    <row r="1657" spans="1:14">
      <c r="A1657" s="11" t="s">
        <v>2117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7">
        <v>46175</v>
      </c>
    </row>
    <row r="1658" spans="1:14">
      <c r="A1658" s="11" t="s">
        <v>2118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7"/>
    </row>
    <row r="1659" spans="1:14">
      <c r="A1659" s="11" t="s">
        <v>2119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7"/>
    </row>
    <row r="1660" spans="1:14">
      <c r="A1660" s="11" t="s">
        <v>2120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7"/>
    </row>
    <row r="1661" spans="1:14">
      <c r="A1661" s="11" t="s">
        <v>2121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7"/>
    </row>
    <row r="1662" spans="1:14">
      <c r="A1662" s="11" t="s">
        <v>2122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7"/>
    </row>
    <row r="1663" spans="1:14">
      <c r="A1663" s="11" t="s">
        <v>2123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7"/>
    </row>
    <row r="1664" spans="1:14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" t="str">
        <f t="shared" si="25"/>
        <v>17IA15.95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7"/>
    </row>
    <row r="1665" spans="1:14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" t="str">
        <f t="shared" si="25"/>
        <v>17IA15.95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7"/>
    </row>
    <row r="1666" spans="1:14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" t="str">
        <f t="shared" si="25"/>
        <v>17IA15.95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7"/>
    </row>
    <row r="1667" spans="1:14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" t="str">
        <f t="shared" ref="J1667:J1730" si="26">MID(G1667,3,9)</f>
        <v>17IA15.95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7"/>
    </row>
    <row r="1668" spans="1:14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" t="str">
        <f t="shared" si="26"/>
        <v>17IA15.95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7"/>
    </row>
    <row r="1669" spans="1:14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" t="str">
        <f t="shared" si="26"/>
        <v>17IA15.95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7"/>
    </row>
    <row r="1670" spans="1:14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" t="str">
        <f t="shared" si="26"/>
        <v>17IA15.95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7"/>
    </row>
    <row r="1671" spans="1:14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" t="str">
        <f t="shared" si="26"/>
        <v>17IA15.95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7"/>
    </row>
    <row r="1672" spans="1:14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" t="str">
        <f t="shared" si="26"/>
        <v>17IA15.95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7"/>
    </row>
    <row r="1673" spans="1:14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" t="str">
        <f t="shared" si="26"/>
        <v>17IA15.95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7"/>
    </row>
    <row r="1674" spans="1:14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" t="str">
        <f t="shared" si="26"/>
        <v>17IA15.95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7"/>
    </row>
    <row r="1675" spans="1:14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" t="str">
        <f t="shared" si="26"/>
        <v>17IA15.95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7"/>
    </row>
    <row r="1676" spans="1:14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" t="str">
        <f t="shared" si="26"/>
        <v>17IA15.95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7"/>
    </row>
    <row r="1677" spans="1:14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" t="str">
        <f t="shared" si="26"/>
        <v>17IA15.95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7"/>
    </row>
    <row r="1678" spans="1:14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" t="str">
        <f t="shared" si="26"/>
        <v>17IA15.95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7"/>
    </row>
    <row r="1679" spans="1:14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" t="str">
        <f t="shared" si="26"/>
        <v>17IA15.95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7"/>
    </row>
    <row r="1680" spans="1:14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" t="str">
        <f t="shared" si="26"/>
        <v>17IA15.95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7"/>
    </row>
    <row r="1681" spans="1:14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" t="str">
        <f t="shared" si="26"/>
        <v>17IA15.95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7"/>
    </row>
    <row r="1682" spans="1:14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" t="str">
        <f t="shared" si="26"/>
        <v>17IA15.95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7"/>
    </row>
    <row r="1683" spans="1:14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" t="str">
        <f t="shared" si="26"/>
        <v>17IA15.95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7"/>
    </row>
    <row r="1684" spans="1:14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" t="str">
        <f t="shared" si="26"/>
        <v>17IA15.95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7"/>
    </row>
    <row r="1685" spans="1:14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" t="str">
        <f t="shared" si="26"/>
        <v>17IA15.95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7"/>
    </row>
    <row r="1686" spans="1:14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" t="str">
        <f t="shared" si="26"/>
        <v>17IA15.95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7"/>
    </row>
    <row r="1687" spans="1:14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" t="str">
        <f t="shared" si="26"/>
        <v>17IA15.95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7"/>
    </row>
    <row r="1688" spans="1:14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" t="str">
        <f t="shared" si="26"/>
        <v>17IA15.95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7"/>
    </row>
    <row r="1689" spans="1:14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" t="str">
        <f t="shared" si="26"/>
        <v>17IA15.95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7"/>
    </row>
    <row r="1690" spans="1:14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" t="str">
        <f t="shared" si="26"/>
        <v>17IA15.95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7"/>
    </row>
    <row r="1691" spans="1:14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" t="str">
        <f t="shared" si="26"/>
        <v>17IA15.95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7"/>
    </row>
    <row r="1692" spans="1:14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" t="str">
        <f t="shared" si="26"/>
        <v>17IA15.95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7"/>
    </row>
    <row r="1693" spans="1:14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" t="str">
        <f t="shared" si="26"/>
        <v>17IA15.95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7"/>
    </row>
    <row r="1694" spans="1:14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" t="str">
        <f t="shared" si="26"/>
        <v>17IA15.95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7"/>
    </row>
    <row r="1695" spans="1:14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" t="str">
        <f t="shared" si="26"/>
        <v>17IA15.95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7"/>
    </row>
    <row r="1696" spans="1:14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" t="str">
        <f t="shared" si="26"/>
        <v>17IA15.95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7"/>
    </row>
    <row r="1697" spans="1:14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" t="str">
        <f t="shared" si="26"/>
        <v>17IA15.95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7"/>
    </row>
    <row r="1698" spans="1:14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" t="str">
        <f t="shared" si="26"/>
        <v>17IA15.95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7">
        <v>46196</v>
      </c>
    </row>
    <row r="1699" spans="1:14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" t="str">
        <f t="shared" si="26"/>
        <v>17IA15.95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7"/>
    </row>
    <row r="1700" spans="1:14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" t="str">
        <f t="shared" si="26"/>
        <v>17IA15.95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7"/>
    </row>
    <row r="1701" spans="1:14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" t="str">
        <f t="shared" si="26"/>
        <v>17IA15.95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7"/>
    </row>
    <row r="1702" spans="1:14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" t="str">
        <f t="shared" si="26"/>
        <v>17IA15.95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7"/>
    </row>
    <row r="1703" spans="1:14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" t="str">
        <f t="shared" si="26"/>
        <v>17IA15.95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7"/>
    </row>
    <row r="1704" spans="1:14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" t="str">
        <f t="shared" si="26"/>
        <v>17IA15.95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7"/>
    </row>
    <row r="1705" spans="1:14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" t="str">
        <f t="shared" si="26"/>
        <v>17IA15.95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7"/>
    </row>
    <row r="1706" spans="1:14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7"/>
    </row>
    <row r="1707" spans="1:14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7"/>
    </row>
    <row r="1708" spans="1:14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7"/>
    </row>
    <row r="1709" spans="1:14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7"/>
    </row>
    <row r="1710" spans="1:14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7"/>
    </row>
    <row r="1711" spans="1:14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7"/>
    </row>
    <row r="1712" spans="1:14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7"/>
    </row>
    <row r="1713" spans="1:14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7"/>
    </row>
    <row r="1714" spans="1:14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7"/>
    </row>
    <row r="1715" spans="1:14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7"/>
    </row>
    <row r="1716" spans="1:14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7"/>
    </row>
    <row r="1717" spans="1:14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7"/>
    </row>
    <row r="1718" spans="1:14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7"/>
    </row>
    <row r="1719" spans="1:14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7"/>
    </row>
    <row r="1720" spans="1:14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7"/>
    </row>
    <row r="1721" spans="1:14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7"/>
    </row>
    <row r="1722" spans="1:14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7"/>
    </row>
    <row r="1723" spans="1:14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7"/>
    </row>
    <row r="1724" spans="1:14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7"/>
    </row>
    <row r="1725" spans="1:14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7"/>
    </row>
    <row r="1726" spans="1:14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7"/>
    </row>
    <row r="1727" spans="1:14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7"/>
    </row>
    <row r="1728" spans="1:14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7"/>
    </row>
    <row r="1729" spans="1:14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7"/>
    </row>
    <row r="1730" spans="1:14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7"/>
    </row>
    <row r="1731" spans="1:14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7"/>
    </row>
    <row r="1732" spans="1:14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7"/>
    </row>
    <row r="1733" spans="1:14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7"/>
    </row>
    <row r="1734" spans="1:14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7"/>
    </row>
    <row r="1735" spans="1:14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7"/>
    </row>
    <row r="1736" spans="1:14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7"/>
    </row>
    <row r="1737" spans="1:14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7"/>
    </row>
    <row r="1738" spans="1:14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7"/>
    </row>
    <row r="1739" spans="1:14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7"/>
    </row>
    <row r="1740" spans="1:14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7"/>
    </row>
    <row r="1741" spans="1:14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7"/>
    </row>
    <row r="1742" spans="1:14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7"/>
    </row>
    <row r="1743" spans="1:14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7"/>
    </row>
    <row r="1744" spans="1:14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7"/>
    </row>
    <row r="1745" spans="1:14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7"/>
    </row>
    <row r="1746" spans="1:14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7"/>
    </row>
    <row r="1747" spans="1:14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7"/>
    </row>
    <row r="1748" spans="1:14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7"/>
    </row>
    <row r="1749" spans="1:14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7"/>
    </row>
    <row r="1750" spans="1:14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7"/>
    </row>
    <row r="1751" spans="1:14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7"/>
    </row>
    <row r="1752" spans="1:14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7"/>
    </row>
    <row r="1753" spans="1:14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7"/>
    </row>
    <row r="1754" spans="1:14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7"/>
    </row>
    <row r="1755" spans="1:14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7"/>
    </row>
    <row r="1756" spans="1:14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7"/>
    </row>
    <row r="1757" spans="1:14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7"/>
    </row>
    <row r="1758" spans="1:14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7"/>
    </row>
    <row r="1759" spans="1:14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7"/>
    </row>
    <row r="1760" spans="1:14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7"/>
    </row>
    <row r="1761" spans="1:14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7"/>
    </row>
    <row r="1762" spans="1:14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7"/>
    </row>
    <row r="1763" spans="1:14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7"/>
    </row>
    <row r="1764" spans="1:14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7"/>
    </row>
    <row r="1765" spans="1:14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7"/>
    </row>
    <row r="1766" spans="1:14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7"/>
    </row>
    <row r="1767" spans="1:14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7"/>
    </row>
    <row r="1768" spans="1:14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7"/>
    </row>
    <row r="1769" spans="1:14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7"/>
    </row>
    <row r="1770" spans="1:14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7"/>
    </row>
    <row r="1771" spans="1:14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7"/>
    </row>
    <row r="1772" spans="1:14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7"/>
    </row>
    <row r="1773" spans="1:14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7"/>
    </row>
    <row r="1774" spans="1:14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7"/>
    </row>
    <row r="1775" spans="1:14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7"/>
    </row>
    <row r="1776" spans="1:14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7"/>
    </row>
    <row r="1777" spans="1:14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7"/>
    </row>
    <row r="1778" spans="1:14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7"/>
    </row>
    <row r="1779" spans="1:14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7"/>
    </row>
    <row r="1780" spans="1:14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7">
        <v>46196</v>
      </c>
    </row>
    <row r="1781" spans="1:14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7">
        <v>46189</v>
      </c>
    </row>
    <row r="1782" spans="1:14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7"/>
    </row>
    <row r="1783" spans="1:14">
      <c r="A1783" s="11" t="s">
        <v>384</v>
      </c>
      <c r="B1783" s="11" t="s">
        <v>155</v>
      </c>
      <c r="C1783" s="11" t="s">
        <v>156</v>
      </c>
      <c r="D1783" s="11">
        <v>1</v>
      </c>
      <c r="E1783" s="11" t="s">
        <v>151</v>
      </c>
      <c r="F1783" s="20">
        <v>46269.321446759262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7"/>
    </row>
    <row r="1784" spans="1:14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7"/>
    </row>
    <row r="1785" spans="1:14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7"/>
    </row>
    <row r="1786" spans="1:14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7"/>
    </row>
    <row r="1787" spans="1:14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7"/>
    </row>
    <row r="1788" spans="1:14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7"/>
    </row>
    <row r="1789" spans="1:14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7"/>
    </row>
    <row r="1790" spans="1:14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7">
        <v>46196</v>
      </c>
    </row>
    <row r="1791" spans="1:14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7">
        <v>46196</v>
      </c>
    </row>
    <row r="1792" spans="1:14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7">
        <v>46196</v>
      </c>
    </row>
    <row r="1793" spans="1:14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7"/>
    </row>
    <row r="1794" spans="1:14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7"/>
    </row>
    <row r="1795" spans="1:14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7"/>
    </row>
    <row r="1796" spans="1:14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7"/>
    </row>
    <row r="1797" spans="1:14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7"/>
    </row>
    <row r="1798" spans="1:14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7"/>
    </row>
    <row r="1799" spans="1:14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7"/>
    </row>
    <row r="1800" spans="1:14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7"/>
    </row>
    <row r="1801" spans="1:14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7"/>
    </row>
    <row r="1802" spans="1:14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7"/>
    </row>
    <row r="1803" spans="1:14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7"/>
    </row>
    <row r="1804" spans="1:14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" t="str">
        <f t="shared" si="28"/>
        <v>17IA15.96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7"/>
    </row>
    <row r="1805" spans="1:14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" t="str">
        <f t="shared" si="28"/>
        <v>17IA15.96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7">
        <v>46196</v>
      </c>
    </row>
    <row r="1806" spans="1:14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" t="str">
        <f t="shared" si="28"/>
        <v>17IA15.96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7"/>
    </row>
    <row r="1807" spans="1:14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" t="str">
        <f t="shared" si="28"/>
        <v>17IA15.96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7"/>
    </row>
    <row r="1808" spans="1:14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" t="str">
        <f t="shared" si="28"/>
        <v>17IA15.96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7"/>
    </row>
    <row r="1809" spans="1:14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" t="str">
        <f t="shared" si="28"/>
        <v>17IA15.96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7"/>
    </row>
    <row r="1810" spans="1:14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" t="str">
        <f t="shared" si="28"/>
        <v>17IA15.96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7"/>
    </row>
    <row r="1811" spans="1:14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" t="str">
        <f t="shared" si="28"/>
        <v>17IA15.96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7"/>
    </row>
    <row r="1812" spans="1:14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" t="str">
        <f t="shared" si="28"/>
        <v>17IA15.96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7"/>
    </row>
    <row r="1813" spans="1:14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" t="str">
        <f t="shared" si="28"/>
        <v>17IA15.96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7"/>
    </row>
    <row r="1814" spans="1:14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" t="str">
        <f t="shared" si="28"/>
        <v>17IA15.96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7"/>
    </row>
    <row r="1815" spans="1:14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" t="str">
        <f t="shared" si="28"/>
        <v>17IA15.96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7"/>
    </row>
    <row r="1816" spans="1:14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" t="str">
        <f t="shared" si="28"/>
        <v>17IA15.96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7"/>
    </row>
    <row r="1817" spans="1:14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" t="str">
        <f t="shared" si="28"/>
        <v>17IA15.96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7"/>
    </row>
    <row r="1818" spans="1:14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" t="str">
        <f t="shared" si="28"/>
        <v>17IA15.96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7"/>
    </row>
    <row r="1819" spans="1:14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" t="str">
        <f t="shared" si="28"/>
        <v>17IA15.96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7"/>
    </row>
    <row r="1820" spans="1:14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" t="str">
        <f t="shared" si="28"/>
        <v>17IA15.96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7"/>
    </row>
    <row r="1821" spans="1:14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" t="str">
        <f t="shared" si="28"/>
        <v>17IA15.96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7"/>
    </row>
    <row r="1822" spans="1:14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" t="str">
        <f t="shared" si="28"/>
        <v>17IA15.96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7"/>
    </row>
    <row r="1823" spans="1:14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" t="str">
        <f t="shared" si="28"/>
        <v>17IA15.96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7"/>
    </row>
    <row r="1824" spans="1:14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" t="str">
        <f t="shared" si="28"/>
        <v>17IA15.96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7"/>
    </row>
    <row r="1825" spans="1:14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" t="str">
        <f t="shared" si="28"/>
        <v>17IA15.96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7"/>
    </row>
    <row r="1826" spans="1:14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" t="str">
        <f t="shared" si="28"/>
        <v>17IA15.96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7"/>
    </row>
    <row r="1827" spans="1:14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" t="str">
        <f t="shared" si="28"/>
        <v>17IA15.96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7"/>
    </row>
    <row r="1828" spans="1:14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" t="str">
        <f t="shared" si="28"/>
        <v>17IA15.96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7"/>
    </row>
    <row r="1829" spans="1:14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" t="str">
        <f t="shared" si="28"/>
        <v>17IA15.96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7"/>
    </row>
    <row r="1830" spans="1:14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" t="str">
        <f t="shared" si="28"/>
        <v>17IA15.96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7"/>
    </row>
    <row r="1831" spans="1:14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" t="str">
        <f t="shared" si="28"/>
        <v>17IA15.96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7"/>
    </row>
    <row r="1832" spans="1:14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" t="str">
        <f t="shared" si="28"/>
        <v>17IA15.96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7"/>
    </row>
    <row r="1833" spans="1:14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" t="str">
        <f t="shared" si="28"/>
        <v>17IA15.96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7"/>
    </row>
    <row r="1834" spans="1:14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" t="str">
        <f t="shared" si="28"/>
        <v>17IA15.96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7"/>
    </row>
    <row r="1835" spans="1:14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" t="str">
        <f t="shared" si="28"/>
        <v>17IA15.96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7"/>
    </row>
    <row r="1836" spans="1:14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" t="str">
        <f t="shared" si="28"/>
        <v>17IA15.96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7"/>
    </row>
    <row r="1837" spans="1:14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" t="str">
        <f t="shared" si="28"/>
        <v>17IA15.96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7"/>
    </row>
    <row r="1838" spans="1:14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" t="str">
        <f t="shared" si="28"/>
        <v>17IA15.96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7"/>
    </row>
    <row r="1839" spans="1:14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" t="str">
        <f t="shared" si="28"/>
        <v>17IA15.96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7"/>
    </row>
    <row r="1840" spans="1:14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" t="str">
        <f t="shared" si="28"/>
        <v>17IA15.96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7"/>
    </row>
    <row r="1841" spans="1:14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" t="str">
        <f t="shared" si="28"/>
        <v>17IA15.96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7"/>
    </row>
    <row r="1842" spans="1:14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" t="str">
        <f t="shared" si="28"/>
        <v>17IA15.96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7"/>
    </row>
    <row r="1843" spans="1:14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" t="str">
        <f t="shared" si="28"/>
        <v>17IA15.96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7"/>
    </row>
    <row r="1844" spans="1:14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" t="str">
        <f t="shared" si="28"/>
        <v>17IA15.96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7"/>
    </row>
    <row r="1845" spans="1:14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" t="str">
        <f t="shared" si="28"/>
        <v>17IA15.96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7"/>
    </row>
    <row r="1846" spans="1:14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7"/>
    </row>
    <row r="1847" spans="1:14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7"/>
    </row>
    <row r="1848" spans="1:14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7"/>
    </row>
    <row r="1849" spans="1:14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7"/>
    </row>
    <row r="1850" spans="1:14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7"/>
    </row>
    <row r="1851" spans="1:14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7"/>
    </row>
    <row r="1852" spans="1:14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7"/>
    </row>
    <row r="1853" spans="1:14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7"/>
    </row>
    <row r="1854" spans="1:14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7"/>
    </row>
    <row r="1855" spans="1:14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7"/>
    </row>
    <row r="1856" spans="1:14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7"/>
    </row>
    <row r="1857" spans="1:14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7"/>
    </row>
    <row r="1858" spans="1:14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7"/>
    </row>
    <row r="1859" spans="1:14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7"/>
    </row>
    <row r="1860" spans="1:14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7"/>
    </row>
    <row r="1861" spans="1:14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7"/>
    </row>
    <row r="1862" spans="1:14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7"/>
    </row>
    <row r="1863" spans="1:14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7"/>
    </row>
    <row r="1864" spans="1:14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7"/>
    </row>
    <row r="1865" spans="1:14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7"/>
    </row>
    <row r="1866" spans="1:14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7"/>
    </row>
    <row r="1867" spans="1:14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7"/>
    </row>
    <row r="1868" spans="1:14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7"/>
    </row>
    <row r="1869" spans="1:14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7"/>
    </row>
    <row r="1870" spans="1:14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7"/>
    </row>
    <row r="1871" spans="1:14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7"/>
    </row>
    <row r="1872" spans="1:14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7"/>
    </row>
    <row r="1873" spans="1:14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7"/>
    </row>
    <row r="1874" spans="1:14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7"/>
    </row>
    <row r="1875" spans="1:14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7">
        <v>46196</v>
      </c>
    </row>
    <row r="1876" spans="1:14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7"/>
    </row>
    <row r="1877" spans="1:14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7"/>
    </row>
    <row r="1878" spans="1:14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7"/>
    </row>
    <row r="1879" spans="1:14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7"/>
    </row>
    <row r="1880" spans="1:14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7"/>
    </row>
    <row r="1881" spans="1:14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7"/>
    </row>
    <row r="1882" spans="1:14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7"/>
    </row>
    <row r="1883" spans="1:14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7"/>
    </row>
    <row r="1884" spans="1:14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7"/>
    </row>
    <row r="1885" spans="1:14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7"/>
    </row>
    <row r="1886" spans="1:14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7"/>
    </row>
    <row r="1887" spans="1:14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7"/>
    </row>
    <row r="1888" spans="1:14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7"/>
    </row>
    <row r="1889" spans="1:14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7"/>
    </row>
    <row r="1890" spans="1:14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7"/>
    </row>
    <row r="1891" spans="1:14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7"/>
    </row>
    <row r="1892" spans="1:14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7"/>
    </row>
    <row r="1893" spans="1:14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7"/>
    </row>
    <row r="1894" spans="1:14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7"/>
    </row>
    <row r="1895" spans="1:14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7"/>
    </row>
    <row r="1896" spans="1:14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7">
        <v>46196</v>
      </c>
    </row>
    <row r="1897" spans="1:14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7"/>
    </row>
    <row r="1898" spans="1:14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7"/>
    </row>
    <row r="1899" spans="1:14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7"/>
    </row>
    <row r="1900" spans="1:14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7"/>
    </row>
    <row r="1901" spans="1:14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7"/>
    </row>
    <row r="1902" spans="1:14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7"/>
    </row>
    <row r="1903" spans="1:14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7"/>
    </row>
    <row r="1904" spans="1:14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7"/>
    </row>
    <row r="1905" spans="1:14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7"/>
    </row>
    <row r="1906" spans="1:14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7">
        <v>46196</v>
      </c>
    </row>
    <row r="1907" spans="1:14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7"/>
    </row>
    <row r="1908" spans="1:14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7"/>
    </row>
    <row r="1909" spans="1:14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7"/>
    </row>
    <row r="1910" spans="1:14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7"/>
    </row>
    <row r="1911" spans="1:14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7"/>
    </row>
    <row r="1912" spans="1:14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7"/>
    </row>
    <row r="1913" spans="1:14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7"/>
    </row>
    <row r="1914" spans="1:14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7"/>
    </row>
    <row r="1915" spans="1:14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7"/>
    </row>
    <row r="1916" spans="1:14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7"/>
    </row>
    <row r="1917" spans="1:14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7"/>
    </row>
    <row r="1918" spans="1:14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7"/>
    </row>
    <row r="1919" spans="1:14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7"/>
    </row>
    <row r="1920" spans="1:14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7"/>
    </row>
    <row r="1921" spans="1:14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7"/>
    </row>
    <row r="1922" spans="1:14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7"/>
    </row>
    <row r="1923" spans="1:14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7"/>
    </row>
    <row r="1924" spans="1:14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7"/>
    </row>
    <row r="1925" spans="1:14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7"/>
    </row>
    <row r="1926" spans="1:14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7"/>
    </row>
    <row r="1927" spans="1:14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7"/>
    </row>
    <row r="1928" spans="1:14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7"/>
    </row>
    <row r="1929" spans="1:14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7"/>
    </row>
    <row r="1930" spans="1:14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7"/>
    </row>
    <row r="1931" spans="1:14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7"/>
    </row>
    <row r="1932" spans="1:14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7"/>
    </row>
    <row r="1933" spans="1:14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7"/>
    </row>
    <row r="1934" spans="1:14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7"/>
    </row>
    <row r="1935" spans="1:14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7"/>
    </row>
    <row r="1936" spans="1:14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7">
        <v>46196</v>
      </c>
    </row>
    <row r="1937" spans="1:14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7">
        <v>46196</v>
      </c>
    </row>
    <row r="1938" spans="1:14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7"/>
    </row>
    <row r="1939" spans="1:14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7"/>
    </row>
    <row r="1940" spans="1:14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7"/>
    </row>
    <row r="1941" spans="1:14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7">
        <v>46196</v>
      </c>
    </row>
    <row r="1942" spans="1:14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7"/>
    </row>
    <row r="1943" spans="1:14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7"/>
    </row>
    <row r="1944" spans="1:14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" t="str">
        <f t="shared" si="30"/>
        <v>17IA23.00</v>
      </c>
      <c r="K1944" s="1" t="str">
        <f>VLOOKUP(J1944,WO!B:E,4,0)</f>
        <v>AXFIA</v>
      </c>
      <c r="L1944" s="1" t="str">
        <f>VLOOKUP(J1944,WO!B:F,5,0)</f>
        <v xml:space="preserve">  TRX/PSU/BB Assembly</v>
      </c>
      <c r="M1944" s="11"/>
      <c r="N1944" s="7"/>
    </row>
    <row r="1945" spans="1:14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" t="str">
        <f t="shared" si="30"/>
        <v>17IA23.00</v>
      </c>
      <c r="K1945" s="1" t="str">
        <f>VLOOKUP(J1945,WO!B:E,4,0)</f>
        <v>AXFIA</v>
      </c>
      <c r="L1945" s="1" t="str">
        <f>VLOOKUP(J1945,WO!B:F,5,0)</f>
        <v xml:space="preserve">  TRX/PSU/BB Assembly</v>
      </c>
      <c r="M1945" s="11"/>
      <c r="N1945" s="7">
        <v>46058</v>
      </c>
    </row>
    <row r="1946" spans="1:14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" t="str">
        <f t="shared" si="30"/>
        <v>17IA23.00</v>
      </c>
      <c r="K1946" s="1" t="str">
        <f>VLOOKUP(J1946,WO!B:E,4,0)</f>
        <v>AXFIA</v>
      </c>
      <c r="L1946" s="1" t="str">
        <f>VLOOKUP(J1946,WO!B:F,5,0)</f>
        <v xml:space="preserve">  TRX/PSU/BB Assembly</v>
      </c>
      <c r="M1946" s="11"/>
      <c r="N1946" s="7">
        <v>46064</v>
      </c>
    </row>
    <row r="1947" spans="1:14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" t="str">
        <f t="shared" si="30"/>
        <v>17IA23.00</v>
      </c>
      <c r="K1947" s="1" t="str">
        <f>VLOOKUP(J1947,WO!B:E,4,0)</f>
        <v>AXFIA</v>
      </c>
      <c r="L1947" s="1" t="str">
        <f>VLOOKUP(J1947,WO!B:F,5,0)</f>
        <v xml:space="preserve">  TRX/PSU/BB Assembly</v>
      </c>
      <c r="M1947" s="11"/>
      <c r="N1947" s="7">
        <v>46100</v>
      </c>
    </row>
    <row r="1948" spans="1:14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" t="str">
        <f t="shared" si="30"/>
        <v>17IA23.00</v>
      </c>
      <c r="K1948" s="1" t="str">
        <f>VLOOKUP(J1948,WO!B:E,4,0)</f>
        <v>AXFIA</v>
      </c>
      <c r="L1948" s="1" t="str">
        <f>VLOOKUP(J1948,WO!B:F,5,0)</f>
        <v xml:space="preserve">  TRX/PSU/BB Assembly</v>
      </c>
      <c r="M1948" s="11"/>
      <c r="N1948" s="7">
        <v>46092</v>
      </c>
    </row>
    <row r="1949" spans="1:14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" t="str">
        <f t="shared" si="30"/>
        <v>17IA23.00</v>
      </c>
      <c r="K1949" s="1" t="str">
        <f>VLOOKUP(J1949,WO!B:E,4,0)</f>
        <v>AXFIA</v>
      </c>
      <c r="L1949" s="1" t="str">
        <f>VLOOKUP(J1949,WO!B:F,5,0)</f>
        <v xml:space="preserve">  TRX/PSU/BB Assembly</v>
      </c>
      <c r="M1949" s="11"/>
      <c r="N1949" s="7"/>
    </row>
    <row r="1950" spans="1:14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" t="str">
        <f t="shared" si="30"/>
        <v>17IA23.00</v>
      </c>
      <c r="K1950" s="1" t="str">
        <f>VLOOKUP(J1950,WO!B:E,4,0)</f>
        <v>AXFIA</v>
      </c>
      <c r="L1950" s="1" t="str">
        <f>VLOOKUP(J1950,WO!B:F,5,0)</f>
        <v xml:space="preserve">  TRX/PSU/BB Assembly</v>
      </c>
      <c r="M1950" s="11"/>
      <c r="N1950" s="7"/>
    </row>
    <row r="1951" spans="1:14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" t="str">
        <f t="shared" si="30"/>
        <v>17IA23.00</v>
      </c>
      <c r="K1951" s="1" t="str">
        <f>VLOOKUP(J1951,WO!B:E,4,0)</f>
        <v>AXFIA</v>
      </c>
      <c r="L1951" s="1" t="str">
        <f>VLOOKUP(J1951,WO!B:F,5,0)</f>
        <v xml:space="preserve">  TRX/PSU/BB Assembly</v>
      </c>
      <c r="M1951" s="11"/>
      <c r="N1951" s="7"/>
    </row>
    <row r="1952" spans="1:14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" t="str">
        <f t="shared" si="30"/>
        <v>17IA23.00</v>
      </c>
      <c r="K1952" s="1" t="str">
        <f>VLOOKUP(J1952,WO!B:E,4,0)</f>
        <v>AXFIA</v>
      </c>
      <c r="L1952" s="1" t="str">
        <f>VLOOKUP(J1952,WO!B:F,5,0)</f>
        <v xml:space="preserve">  TRX/PSU/BB Assembly</v>
      </c>
      <c r="M1952" s="11"/>
      <c r="N1952" s="7"/>
    </row>
    <row r="1953" spans="1:14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" t="str">
        <f t="shared" si="30"/>
        <v>17IA23.00</v>
      </c>
      <c r="K1953" s="1" t="str">
        <f>VLOOKUP(J1953,WO!B:E,4,0)</f>
        <v>AXFIA</v>
      </c>
      <c r="L1953" s="1" t="str">
        <f>VLOOKUP(J1953,WO!B:F,5,0)</f>
        <v xml:space="preserve">  TRX/PSU/BB Assembly</v>
      </c>
      <c r="M1953" s="11"/>
      <c r="N1953" s="7"/>
    </row>
    <row r="1954" spans="1:14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" t="str">
        <f t="shared" si="30"/>
        <v>17IA23.00</v>
      </c>
      <c r="K1954" s="1" t="str">
        <f>VLOOKUP(J1954,WO!B:E,4,0)</f>
        <v>AXFIA</v>
      </c>
      <c r="L1954" s="1" t="str">
        <f>VLOOKUP(J1954,WO!B:F,5,0)</f>
        <v xml:space="preserve">  TRX/PSU/BB Assembly</v>
      </c>
      <c r="M1954" s="11"/>
      <c r="N1954" s="7"/>
    </row>
    <row r="1955" spans="1:14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" t="str">
        <f t="shared" si="30"/>
        <v>17IA23.00</v>
      </c>
      <c r="K1955" s="1" t="str">
        <f>VLOOKUP(J1955,WO!B:E,4,0)</f>
        <v>AXFIA</v>
      </c>
      <c r="L1955" s="1" t="str">
        <f>VLOOKUP(J1955,WO!B:F,5,0)</f>
        <v xml:space="preserve">  TRX/PSU/BB Assembly</v>
      </c>
      <c r="M1955" s="11"/>
      <c r="N1955" s="7"/>
    </row>
    <row r="1956" spans="1:14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" t="str">
        <f t="shared" si="30"/>
        <v>17IA23.00</v>
      </c>
      <c r="K1956" s="1" t="str">
        <f>VLOOKUP(J1956,WO!B:E,4,0)</f>
        <v>AXFIA</v>
      </c>
      <c r="L1956" s="1" t="str">
        <f>VLOOKUP(J1956,WO!B:F,5,0)</f>
        <v xml:space="preserve">  TRX/PSU/BB Assembly</v>
      </c>
      <c r="M1956" s="11"/>
      <c r="N1956" s="7"/>
    </row>
    <row r="1957" spans="1:14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" t="str">
        <f t="shared" si="30"/>
        <v>17IA23.00</v>
      </c>
      <c r="K1957" s="1" t="str">
        <f>VLOOKUP(J1957,WO!B:E,4,0)</f>
        <v>AXFIA</v>
      </c>
      <c r="L1957" s="1" t="str">
        <f>VLOOKUP(J1957,WO!B:F,5,0)</f>
        <v xml:space="preserve">  TRX/PSU/BB Assembly</v>
      </c>
      <c r="M1957" s="11"/>
      <c r="N1957" s="7"/>
    </row>
    <row r="1958" spans="1:14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" t="str">
        <f t="shared" si="30"/>
        <v>17IA23.00</v>
      </c>
      <c r="K1958" s="1" t="str">
        <f>VLOOKUP(J1958,WO!B:E,4,0)</f>
        <v>AXFIA</v>
      </c>
      <c r="L1958" s="1" t="str">
        <f>VLOOKUP(J1958,WO!B:F,5,0)</f>
        <v xml:space="preserve">  TRX/PSU/BB Assembly</v>
      </c>
      <c r="M1958" s="11"/>
      <c r="N1958" s="7"/>
    </row>
    <row r="1959" spans="1:14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" t="str">
        <f t="shared" si="30"/>
        <v>17IA23.00</v>
      </c>
      <c r="K1959" s="1" t="str">
        <f>VLOOKUP(J1959,WO!B:E,4,0)</f>
        <v>AXFIA</v>
      </c>
      <c r="L1959" s="1" t="str">
        <f>VLOOKUP(J1959,WO!B:F,5,0)</f>
        <v xml:space="preserve">  TRX/PSU/BB Assembly</v>
      </c>
      <c r="M1959" s="11"/>
      <c r="N1959" s="7"/>
    </row>
    <row r="1960" spans="1:14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" t="str">
        <f t="shared" si="30"/>
        <v>17IA23.00</v>
      </c>
      <c r="K1960" s="1" t="str">
        <f>VLOOKUP(J1960,WO!B:E,4,0)</f>
        <v>AXFIA</v>
      </c>
      <c r="L1960" s="1" t="str">
        <f>VLOOKUP(J1960,WO!B:F,5,0)</f>
        <v xml:space="preserve">  TRX/PSU/BB Assembly</v>
      </c>
      <c r="M1960" s="11"/>
      <c r="N1960" s="7"/>
    </row>
    <row r="1961" spans="1:14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" t="str">
        <f t="shared" si="30"/>
        <v>17IA23.00</v>
      </c>
      <c r="K1961" s="1" t="str">
        <f>VLOOKUP(J1961,WO!B:E,4,0)</f>
        <v>AXFIA</v>
      </c>
      <c r="L1961" s="1" t="str">
        <f>VLOOKUP(J1961,WO!B:F,5,0)</f>
        <v xml:space="preserve">  TRX/PSU/BB Assembly</v>
      </c>
      <c r="M1961" s="11"/>
      <c r="N1961" s="7"/>
    </row>
    <row r="1962" spans="1:14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" t="str">
        <f t="shared" si="30"/>
        <v>17IA23.00</v>
      </c>
      <c r="K1962" s="1" t="str">
        <f>VLOOKUP(J1962,WO!B:E,4,0)</f>
        <v>AXFIA</v>
      </c>
      <c r="L1962" s="1" t="str">
        <f>VLOOKUP(J1962,WO!B:F,5,0)</f>
        <v xml:space="preserve">  TRX/PSU/BB Assembly</v>
      </c>
      <c r="M1962" s="11"/>
      <c r="N1962" s="7"/>
    </row>
    <row r="1963" spans="1:14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" t="str">
        <f t="shared" si="30"/>
        <v>17IA23.00</v>
      </c>
      <c r="K1963" s="1" t="str">
        <f>VLOOKUP(J1963,WO!B:E,4,0)</f>
        <v>AXFIA</v>
      </c>
      <c r="L1963" s="1" t="str">
        <f>VLOOKUP(J1963,WO!B:F,5,0)</f>
        <v xml:space="preserve">  TRX/PSU/BB Assembly</v>
      </c>
      <c r="M1963" s="11"/>
      <c r="N1963" s="7"/>
    </row>
    <row r="1964" spans="1:14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" t="str">
        <f t="shared" si="30"/>
        <v>17IA23.00</v>
      </c>
      <c r="K1964" s="1" t="str">
        <f>VLOOKUP(J1964,WO!B:E,4,0)</f>
        <v>AXFIA</v>
      </c>
      <c r="L1964" s="1" t="str">
        <f>VLOOKUP(J1964,WO!B:F,5,0)</f>
        <v xml:space="preserve">  TRX/PSU/BB Assembly</v>
      </c>
      <c r="M1964" s="11"/>
      <c r="N1964" s="7"/>
    </row>
    <row r="1965" spans="1:14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" t="str">
        <f t="shared" si="30"/>
        <v>17IA23.00</v>
      </c>
      <c r="K1965" s="1" t="str">
        <f>VLOOKUP(J1965,WO!B:E,4,0)</f>
        <v>AXFIA</v>
      </c>
      <c r="L1965" s="1" t="str">
        <f>VLOOKUP(J1965,WO!B:F,5,0)</f>
        <v xml:space="preserve">  TRX/PSU/BB Assembly</v>
      </c>
      <c r="M1965" s="11"/>
      <c r="N1965" s="7"/>
    </row>
    <row r="1966" spans="1:14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" t="str">
        <f t="shared" si="30"/>
        <v>17IA23.00</v>
      </c>
      <c r="K1966" s="1" t="str">
        <f>VLOOKUP(J1966,WO!B:E,4,0)</f>
        <v>AXFIA</v>
      </c>
      <c r="L1966" s="1" t="str">
        <f>VLOOKUP(J1966,WO!B:F,5,0)</f>
        <v xml:space="preserve">  TRX/PSU/BB Assembly</v>
      </c>
      <c r="M1966" s="11"/>
      <c r="N1966" s="7"/>
    </row>
    <row r="1967" spans="1:14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" t="str">
        <f t="shared" si="30"/>
        <v>17IA23.00</v>
      </c>
      <c r="K1967" s="1" t="str">
        <f>VLOOKUP(J1967,WO!B:E,4,0)</f>
        <v>AXFIA</v>
      </c>
      <c r="L1967" s="1" t="str">
        <f>VLOOKUP(J1967,WO!B:F,5,0)</f>
        <v xml:space="preserve">  TRX/PSU/BB Assembly</v>
      </c>
      <c r="M1967" s="11"/>
      <c r="N1967" s="7"/>
    </row>
    <row r="1968" spans="1:14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" t="str">
        <f t="shared" si="30"/>
        <v>17IA23.00</v>
      </c>
      <c r="K1968" s="1" t="str">
        <f>VLOOKUP(J1968,WO!B:E,4,0)</f>
        <v>AXFIA</v>
      </c>
      <c r="L1968" s="1" t="str">
        <f>VLOOKUP(J1968,WO!B:F,5,0)</f>
        <v xml:space="preserve">  TRX/PSU/BB Assembly</v>
      </c>
      <c r="M1968" s="11"/>
      <c r="N1968" s="7">
        <v>46064</v>
      </c>
    </row>
    <row r="1969" spans="1:14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" t="str">
        <f t="shared" si="30"/>
        <v>17IA24.00</v>
      </c>
      <c r="K1969" s="1" t="str">
        <f>VLOOKUP(J1969,WO!B:E,4,0)</f>
        <v>AXFIA</v>
      </c>
      <c r="L1969" s="1" t="str">
        <f>VLOOKUP(J1969,WO!B:F,5,0)</f>
        <v xml:space="preserve">  TRX/PSU/BB Assembly</v>
      </c>
      <c r="M1969" s="11"/>
      <c r="N1969" s="7">
        <v>46134</v>
      </c>
    </row>
    <row r="1970" spans="1:14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" t="str">
        <f t="shared" si="30"/>
        <v>17IA24.00</v>
      </c>
      <c r="K1970" s="1" t="str">
        <f>VLOOKUP(J1970,WO!B:E,4,0)</f>
        <v>AXFIA</v>
      </c>
      <c r="L1970" s="1" t="str">
        <f>VLOOKUP(J1970,WO!B:F,5,0)</f>
        <v xml:space="preserve">  TRX/PSU/BB Assembly</v>
      </c>
      <c r="M1970" s="11"/>
      <c r="N1970" s="7"/>
    </row>
    <row r="1971" spans="1:14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" t="str">
        <f t="shared" si="30"/>
        <v>17IA24.00</v>
      </c>
      <c r="K1971" s="1" t="str">
        <f>VLOOKUP(J1971,WO!B:E,4,0)</f>
        <v>AXFIA</v>
      </c>
      <c r="L1971" s="1" t="str">
        <f>VLOOKUP(J1971,WO!B:F,5,0)</f>
        <v xml:space="preserve">  TRX/PSU/BB Assembly</v>
      </c>
      <c r="M1971" s="11"/>
      <c r="N1971" s="7"/>
    </row>
    <row r="1972" spans="1:14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" t="str">
        <f t="shared" si="30"/>
        <v>17IA24.00</v>
      </c>
      <c r="K1972" s="1" t="str">
        <f>VLOOKUP(J1972,WO!B:E,4,0)</f>
        <v>AXFIA</v>
      </c>
      <c r="L1972" s="1" t="str">
        <f>VLOOKUP(J1972,WO!B:F,5,0)</f>
        <v xml:space="preserve">  TRX/PSU/BB Assembly</v>
      </c>
      <c r="M1972" s="11"/>
      <c r="N1972" s="7"/>
    </row>
    <row r="1973" spans="1:14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" t="str">
        <f t="shared" si="30"/>
        <v>17IA24.00</v>
      </c>
      <c r="K1973" s="1" t="str">
        <f>VLOOKUP(J1973,WO!B:E,4,0)</f>
        <v>AXFIA</v>
      </c>
      <c r="L1973" s="1" t="str">
        <f>VLOOKUP(J1973,WO!B:F,5,0)</f>
        <v xml:space="preserve">  TRX/PSU/BB Assembly</v>
      </c>
      <c r="M1973" s="11"/>
      <c r="N1973" s="7">
        <v>46134</v>
      </c>
    </row>
    <row r="1974" spans="1:14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" t="str">
        <f t="shared" si="30"/>
        <v>17IA24.00</v>
      </c>
      <c r="K1974" s="1" t="str">
        <f>VLOOKUP(J1974,WO!B:E,4,0)</f>
        <v>AXFIA</v>
      </c>
      <c r="L1974" s="1" t="str">
        <f>VLOOKUP(J1974,WO!B:F,5,0)</f>
        <v xml:space="preserve">  TRX/PSU/BB Assembly</v>
      </c>
      <c r="M1974" s="11"/>
      <c r="N1974" s="7"/>
    </row>
    <row r="1975" spans="1:14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" t="str">
        <f t="shared" si="30"/>
        <v>17IA24.00</v>
      </c>
      <c r="K1975" s="1" t="str">
        <f>VLOOKUP(J1975,WO!B:E,4,0)</f>
        <v>AXFIA</v>
      </c>
      <c r="L1975" s="1" t="str">
        <f>VLOOKUP(J1975,WO!B:F,5,0)</f>
        <v xml:space="preserve">  TRX/PSU/BB Assembly</v>
      </c>
      <c r="M1975" s="11"/>
      <c r="N1975" s="7"/>
    </row>
    <row r="1976" spans="1:14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" t="str">
        <f t="shared" si="30"/>
        <v>17IA24.00</v>
      </c>
      <c r="K1976" s="1" t="str">
        <f>VLOOKUP(J1976,WO!B:E,4,0)</f>
        <v>AXFIA</v>
      </c>
      <c r="L1976" s="1" t="str">
        <f>VLOOKUP(J1976,WO!B:F,5,0)</f>
        <v xml:space="preserve">  TRX/PSU/BB Assembly</v>
      </c>
      <c r="M1976" s="11"/>
      <c r="N1976" s="7">
        <v>46134</v>
      </c>
    </row>
    <row r="1977" spans="1:14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" t="str">
        <f t="shared" si="30"/>
        <v>17IA24.00</v>
      </c>
      <c r="K1977" s="1" t="str">
        <f>VLOOKUP(J1977,WO!B:E,4,0)</f>
        <v>AXFIA</v>
      </c>
      <c r="L1977" s="1" t="str">
        <f>VLOOKUP(J1977,WO!B:F,5,0)</f>
        <v xml:space="preserve">  TRX/PSU/BB Assembly</v>
      </c>
      <c r="M1977" s="11"/>
      <c r="N1977" s="7"/>
    </row>
    <row r="1978" spans="1:14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" t="str">
        <f t="shared" si="30"/>
        <v>17IA24.00</v>
      </c>
      <c r="K1978" s="1" t="str">
        <f>VLOOKUP(J1978,WO!B:E,4,0)</f>
        <v>AXFIA</v>
      </c>
      <c r="L1978" s="1" t="str">
        <f>VLOOKUP(J1978,WO!B:F,5,0)</f>
        <v xml:space="preserve">  TRX/PSU/BB Assembly</v>
      </c>
      <c r="M1978" s="11"/>
      <c r="N1978" s="7"/>
    </row>
    <row r="1979" spans="1:14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" t="str">
        <f t="shared" si="30"/>
        <v>17IA24.00</v>
      </c>
      <c r="K1979" s="1" t="str">
        <f>VLOOKUP(J1979,WO!B:E,4,0)</f>
        <v>AXFIA</v>
      </c>
      <c r="L1979" s="1" t="str">
        <f>VLOOKUP(J1979,WO!B:F,5,0)</f>
        <v xml:space="preserve">  TRX/PSU/BB Assembly</v>
      </c>
      <c r="M1979" s="11"/>
      <c r="N1979" s="7"/>
    </row>
    <row r="1980" spans="1:14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" t="str">
        <f t="shared" si="30"/>
        <v>17IA24.00</v>
      </c>
      <c r="K1980" s="1" t="str">
        <f>VLOOKUP(J1980,WO!B:E,4,0)</f>
        <v>AXFIA</v>
      </c>
      <c r="L1980" s="1" t="str">
        <f>VLOOKUP(J1980,WO!B:F,5,0)</f>
        <v xml:space="preserve">  TRX/PSU/BB Assembly</v>
      </c>
      <c r="M1980" s="11"/>
      <c r="N1980" s="7">
        <v>46170</v>
      </c>
    </row>
    <row r="1981" spans="1:14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" t="str">
        <f t="shared" si="30"/>
        <v>17IA24.00</v>
      </c>
      <c r="K1981" s="1" t="str">
        <f>VLOOKUP(J1981,WO!B:E,4,0)</f>
        <v>AXFIA</v>
      </c>
      <c r="L1981" s="1" t="str">
        <f>VLOOKUP(J1981,WO!B:F,5,0)</f>
        <v xml:space="preserve">  TRX/PSU/BB Assembly</v>
      </c>
      <c r="M1981" s="11"/>
      <c r="N1981" s="7">
        <v>46108</v>
      </c>
    </row>
    <row r="1982" spans="1:14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" t="str">
        <f t="shared" si="30"/>
        <v>17IA24.00</v>
      </c>
      <c r="K1982" s="1" t="str">
        <f>VLOOKUP(J1982,WO!B:E,4,0)</f>
        <v>AXFIA</v>
      </c>
      <c r="L1982" s="1" t="str">
        <f>VLOOKUP(J1982,WO!B:F,5,0)</f>
        <v xml:space="preserve">  TRX/PSU/BB Assembly</v>
      </c>
      <c r="M1982" s="13" t="s">
        <v>3814</v>
      </c>
      <c r="N1982" s="7">
        <v>46134</v>
      </c>
    </row>
    <row r="1983" spans="1:14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" t="str">
        <f t="shared" si="30"/>
        <v>17IA24.00</v>
      </c>
      <c r="K1983" s="1" t="str">
        <f>VLOOKUP(J1983,WO!B:E,4,0)</f>
        <v>AXFIA</v>
      </c>
      <c r="L1983" s="1" t="str">
        <f>VLOOKUP(J1983,WO!B:F,5,0)</f>
        <v xml:space="preserve">  TRX/PSU/BB Assembly</v>
      </c>
      <c r="M1983" s="11"/>
      <c r="N1983" s="7"/>
    </row>
    <row r="1984" spans="1:14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" t="str">
        <f t="shared" si="30"/>
        <v>17IA24.00</v>
      </c>
      <c r="K1984" s="1" t="str">
        <f>VLOOKUP(J1984,WO!B:E,4,0)</f>
        <v>AXFIA</v>
      </c>
      <c r="L1984" s="1" t="str">
        <f>VLOOKUP(J1984,WO!B:F,5,0)</f>
        <v xml:space="preserve">  TRX/PSU/BB Assembly</v>
      </c>
      <c r="M1984" s="11"/>
      <c r="N1984" s="7">
        <v>46139</v>
      </c>
    </row>
    <row r="1985" spans="1:14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" t="str">
        <f t="shared" si="30"/>
        <v>17IA24.00</v>
      </c>
      <c r="K1985" s="1" t="str">
        <f>VLOOKUP(J1985,WO!B:E,4,0)</f>
        <v>AXFIA</v>
      </c>
      <c r="L1985" s="1" t="str">
        <f>VLOOKUP(J1985,WO!B:F,5,0)</f>
        <v xml:space="preserve">  TRX/PSU/BB Assembly</v>
      </c>
      <c r="M1985" s="11"/>
      <c r="N1985" s="7"/>
    </row>
    <row r="1986" spans="1:14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" t="str">
        <f t="shared" si="30"/>
        <v>17IA24.00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7"/>
    </row>
    <row r="1987" spans="1:14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" t="str">
        <f t="shared" ref="J1987:J2050" si="31">MID(G1987,3,9)</f>
        <v>17IA24.00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7">
        <v>46163</v>
      </c>
    </row>
    <row r="1988" spans="1:14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" t="str">
        <f t="shared" si="31"/>
        <v>17IA24.00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7">
        <v>46134</v>
      </c>
    </row>
    <row r="1989" spans="1:14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" t="str">
        <f t="shared" si="31"/>
        <v>17IA24.00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7">
        <v>46134</v>
      </c>
    </row>
    <row r="1990" spans="1:14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" t="str">
        <f t="shared" si="31"/>
        <v>17IA24.00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7">
        <v>46163</v>
      </c>
    </row>
    <row r="1991" spans="1:14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" t="str">
        <f t="shared" si="31"/>
        <v>17IA24.00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7">
        <v>46134</v>
      </c>
    </row>
    <row r="1992" spans="1:14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" t="str">
        <f t="shared" si="31"/>
        <v>17IA24.00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7"/>
    </row>
    <row r="1993" spans="1:14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" t="str">
        <f t="shared" si="31"/>
        <v>17IA24.00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7"/>
    </row>
    <row r="1994" spans="1:14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" t="str">
        <f t="shared" si="31"/>
        <v>17IA24.00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7">
        <v>46163</v>
      </c>
    </row>
    <row r="1995" spans="1:14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" t="str">
        <f t="shared" si="31"/>
        <v>17IA24.00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7"/>
    </row>
    <row r="1996" spans="1:14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" t="str">
        <f t="shared" si="31"/>
        <v>17IA24.00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7"/>
    </row>
    <row r="1997" spans="1:14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" t="str">
        <f t="shared" si="31"/>
        <v>17IA24.00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7">
        <v>46163</v>
      </c>
    </row>
    <row r="1998" spans="1:14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" t="str">
        <f t="shared" si="31"/>
        <v>17IA24.10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7"/>
    </row>
    <row r="1999" spans="1:14">
      <c r="A1999" s="11" t="s">
        <v>162</v>
      </c>
      <c r="B1999" s="11" t="s">
        <v>3827</v>
      </c>
      <c r="C1999" s="11" t="s">
        <v>3828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" t="str">
        <f t="shared" si="31"/>
        <v>17IA24.10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7"/>
    </row>
    <row r="2000" spans="1:14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" t="str">
        <f t="shared" si="31"/>
        <v>17IA24.10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7"/>
    </row>
    <row r="2001" spans="1:14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" t="str">
        <f t="shared" si="31"/>
        <v>17IA24.10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7"/>
    </row>
    <row r="2002" spans="1:14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" t="str">
        <f t="shared" si="31"/>
        <v>17IA24.10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7"/>
    </row>
    <row r="2003" spans="1:14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" t="str">
        <f t="shared" si="31"/>
        <v>17IA24.10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7"/>
    </row>
    <row r="2004" spans="1:14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" t="str">
        <f t="shared" si="31"/>
        <v>17IA24.10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7"/>
    </row>
    <row r="2005" spans="1:14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" t="str">
        <f t="shared" si="31"/>
        <v>17IA24.10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7"/>
    </row>
    <row r="2006" spans="1:14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" t="str">
        <f t="shared" si="31"/>
        <v>17IA24.10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7"/>
    </row>
    <row r="2007" spans="1:14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" t="str">
        <f t="shared" si="31"/>
        <v>17IA24.10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7"/>
    </row>
    <row r="2008" spans="1:14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" t="str">
        <f t="shared" si="31"/>
        <v>17IA24.10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7"/>
    </row>
    <row r="2009" spans="1:14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" t="str">
        <f t="shared" si="31"/>
        <v>17IA24.10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7"/>
    </row>
    <row r="2010" spans="1:14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" t="str">
        <f t="shared" si="31"/>
        <v>17IA24.10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7"/>
    </row>
    <row r="2011" spans="1:14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" t="str">
        <f t="shared" si="31"/>
        <v>17IA24.10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7"/>
    </row>
    <row r="2012" spans="1:14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" t="str">
        <f t="shared" si="31"/>
        <v>17IA24.10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7"/>
    </row>
    <row r="2013" spans="1:14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" t="str">
        <f t="shared" si="31"/>
        <v>17IA24.10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7"/>
    </row>
    <row r="2014" spans="1:14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" t="str">
        <f t="shared" si="31"/>
        <v>17IA24.10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7"/>
    </row>
    <row r="2015" spans="1:14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" t="str">
        <f t="shared" si="31"/>
        <v>17IA24.10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7"/>
    </row>
    <row r="2016" spans="1:14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" t="str">
        <f t="shared" si="31"/>
        <v>17IA24.10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7"/>
    </row>
    <row r="2017" spans="1:14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" t="str">
        <f t="shared" si="31"/>
        <v>17IA24.10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7"/>
    </row>
    <row r="2018" spans="1:14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" t="str">
        <f t="shared" si="31"/>
        <v>17IA24.10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7"/>
    </row>
    <row r="2019" spans="1:14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" t="str">
        <f t="shared" si="31"/>
        <v>17IA24.10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7"/>
    </row>
    <row r="2020" spans="1:14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" t="str">
        <f t="shared" si="31"/>
        <v>17IA24.10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7"/>
    </row>
    <row r="2021" spans="1:14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" t="str">
        <f t="shared" si="31"/>
        <v>17IA24.10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7"/>
    </row>
    <row r="2022" spans="1:14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" t="str">
        <f t="shared" si="31"/>
        <v>17IA24.10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7"/>
    </row>
    <row r="2023" spans="1:14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" t="str">
        <f t="shared" si="31"/>
        <v>17IA24.10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7"/>
    </row>
    <row r="2024" spans="1:14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" t="str">
        <f t="shared" si="31"/>
        <v>17IA24.10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7"/>
    </row>
    <row r="2025" spans="1:14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" t="str">
        <f t="shared" si="31"/>
        <v>17IA24.10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7"/>
    </row>
    <row r="2026" spans="1:14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" t="str">
        <f t="shared" si="31"/>
        <v>17IA24.10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7"/>
    </row>
    <row r="2027" spans="1:14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" t="str">
        <f t="shared" si="31"/>
        <v>17IA24.10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7"/>
    </row>
    <row r="2028" spans="1:14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" t="str">
        <f t="shared" si="31"/>
        <v>17IA24.10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7"/>
    </row>
    <row r="2029" spans="1:14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" t="str">
        <f t="shared" si="31"/>
        <v>17IA24.10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7"/>
    </row>
    <row r="2030" spans="1:14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" t="str">
        <f t="shared" si="31"/>
        <v>17IA24.10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7"/>
    </row>
    <row r="2031" spans="1:14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" t="str">
        <f t="shared" si="31"/>
        <v>17IA24.10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7"/>
    </row>
    <row r="2032" spans="1:14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" t="str">
        <f t="shared" si="31"/>
        <v>17IA24.10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7"/>
    </row>
    <row r="2033" spans="1:14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" t="str">
        <f t="shared" si="31"/>
        <v>17IA24.10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7"/>
    </row>
    <row r="2034" spans="1:14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" t="str">
        <f t="shared" si="31"/>
        <v>17IA24.10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7"/>
    </row>
    <row r="2035" spans="1:14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" t="str">
        <f t="shared" si="31"/>
        <v>17IA24.10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7"/>
    </row>
    <row r="2036" spans="1:14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" t="str">
        <f t="shared" si="31"/>
        <v>17IA24.10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7"/>
    </row>
    <row r="2037" spans="1:14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" t="str">
        <f t="shared" si="31"/>
        <v>17IA24.10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7"/>
    </row>
    <row r="2038" spans="1:14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" t="str">
        <f t="shared" si="31"/>
        <v>17IA24.10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7"/>
    </row>
    <row r="2039" spans="1:14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" t="str">
        <f t="shared" si="31"/>
        <v>17IA24.20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7">
        <v>46241</v>
      </c>
    </row>
    <row r="2040" spans="1:14">
      <c r="A2040" s="11" t="s">
        <v>1177</v>
      </c>
      <c r="B2040" s="11" t="s">
        <v>155</v>
      </c>
      <c r="C2040" s="11" t="s">
        <v>156</v>
      </c>
      <c r="D2040" s="11">
        <v>1</v>
      </c>
      <c r="E2040" s="11" t="s">
        <v>151</v>
      </c>
      <c r="F2040" s="20">
        <v>46273.576886574076</v>
      </c>
      <c r="G2040" s="11" t="s">
        <v>1171</v>
      </c>
      <c r="H2040" s="11" t="s">
        <v>1176</v>
      </c>
      <c r="I2040" s="1">
        <f>VLOOKUP(G2040,WO!A:J,10,0)</f>
        <v>34</v>
      </c>
      <c r="J2040" s="1" t="str">
        <f t="shared" si="31"/>
        <v>17IA24.20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7"/>
    </row>
    <row r="2041" spans="1:14">
      <c r="A2041" s="11" t="s">
        <v>1178</v>
      </c>
      <c r="B2041" s="11" t="s">
        <v>155</v>
      </c>
      <c r="C2041" s="11" t="s">
        <v>156</v>
      </c>
      <c r="D2041" s="11">
        <v>1</v>
      </c>
      <c r="E2041" s="11" t="s">
        <v>151</v>
      </c>
      <c r="F2041" s="20">
        <v>46273.577708333331</v>
      </c>
      <c r="G2041" s="11" t="s">
        <v>1171</v>
      </c>
      <c r="H2041" s="11" t="s">
        <v>1176</v>
      </c>
      <c r="I2041" s="1">
        <f>VLOOKUP(G2041,WO!A:J,10,0)</f>
        <v>34</v>
      </c>
      <c r="J2041" s="1" t="str">
        <f t="shared" si="31"/>
        <v>17IA24.20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7"/>
    </row>
    <row r="2042" spans="1:14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J2042" s="1" t="str">
        <f t="shared" si="31"/>
        <v>17IA24.20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7">
        <v>46241</v>
      </c>
    </row>
    <row r="2043" spans="1:14">
      <c r="A2043" s="11" t="s">
        <v>1180</v>
      </c>
      <c r="B2043" s="11" t="s">
        <v>155</v>
      </c>
      <c r="C2043" s="11" t="s">
        <v>156</v>
      </c>
      <c r="D2043" s="11">
        <v>1</v>
      </c>
      <c r="E2043" s="11" t="s">
        <v>151</v>
      </c>
      <c r="F2043" s="20">
        <v>46273.578287037039</v>
      </c>
      <c r="G2043" s="11" t="s">
        <v>1171</v>
      </c>
      <c r="H2043" s="11" t="s">
        <v>1176</v>
      </c>
      <c r="I2043" s="1">
        <f>VLOOKUP(G2043,WO!A:J,10,0)</f>
        <v>34</v>
      </c>
      <c r="J2043" s="1" t="str">
        <f t="shared" si="31"/>
        <v>17IA24.20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7"/>
    </row>
    <row r="2044" spans="1:14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J2044" s="1" t="str">
        <f t="shared" si="31"/>
        <v>17IA24.20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7"/>
    </row>
    <row r="2045" spans="1:14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J2045" s="1" t="str">
        <f t="shared" si="31"/>
        <v>17IA24.20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7">
        <v>46224</v>
      </c>
    </row>
    <row r="2046" spans="1:14">
      <c r="A2046" s="11" t="s">
        <v>1183</v>
      </c>
      <c r="B2046" s="11" t="s">
        <v>155</v>
      </c>
      <c r="C2046" s="11" t="s">
        <v>156</v>
      </c>
      <c r="D2046" s="11">
        <v>1</v>
      </c>
      <c r="E2046" s="11" t="s">
        <v>151</v>
      </c>
      <c r="F2046" s="20">
        <v>46273.579722222225</v>
      </c>
      <c r="G2046" s="11" t="s">
        <v>1171</v>
      </c>
      <c r="H2046" s="11" t="s">
        <v>1176</v>
      </c>
      <c r="I2046" s="1">
        <f>VLOOKUP(G2046,WO!A:J,10,0)</f>
        <v>34</v>
      </c>
      <c r="J2046" s="1" t="str">
        <f t="shared" si="31"/>
        <v>17IA24.20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7"/>
    </row>
    <row r="2047" spans="1:14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J2047" s="1" t="str">
        <f t="shared" si="31"/>
        <v>17IA24.20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7">
        <v>46226</v>
      </c>
    </row>
    <row r="2048" spans="1:14">
      <c r="A2048" s="11" t="s">
        <v>1185</v>
      </c>
      <c r="B2048" s="11" t="s">
        <v>155</v>
      </c>
      <c r="C2048" s="11" t="s">
        <v>156</v>
      </c>
      <c r="D2048" s="11">
        <v>1</v>
      </c>
      <c r="E2048" s="11" t="s">
        <v>151</v>
      </c>
      <c r="F2048" s="20">
        <v>46273.580405092594</v>
      </c>
      <c r="G2048" s="11" t="s">
        <v>1171</v>
      </c>
      <c r="H2048" s="11" t="s">
        <v>1176</v>
      </c>
      <c r="I2048" s="1">
        <f>VLOOKUP(G2048,WO!A:J,10,0)</f>
        <v>34</v>
      </c>
      <c r="J2048" s="1" t="str">
        <f t="shared" si="31"/>
        <v>17IA24.20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7"/>
    </row>
    <row r="2049" spans="1:14">
      <c r="A2049" s="11" t="s">
        <v>1186</v>
      </c>
      <c r="B2049" s="11" t="s">
        <v>155</v>
      </c>
      <c r="C2049" s="11" t="s">
        <v>156</v>
      </c>
      <c r="D2049" s="11">
        <v>1</v>
      </c>
      <c r="E2049" s="11" t="s">
        <v>151</v>
      </c>
      <c r="F2049" s="20">
        <v>46273.581018518518</v>
      </c>
      <c r="G2049" s="11" t="s">
        <v>1171</v>
      </c>
      <c r="H2049" s="11" t="s">
        <v>1176</v>
      </c>
      <c r="I2049" s="1">
        <f>VLOOKUP(G2049,WO!A:J,10,0)</f>
        <v>34</v>
      </c>
      <c r="J2049" s="1" t="str">
        <f t="shared" si="31"/>
        <v>17IA24.20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7"/>
    </row>
    <row r="2050" spans="1:14">
      <c r="A2050" s="11" t="s">
        <v>1187</v>
      </c>
      <c r="B2050" s="11" t="s">
        <v>155</v>
      </c>
      <c r="C2050" s="11" t="s">
        <v>156</v>
      </c>
      <c r="D2050" s="11">
        <v>1</v>
      </c>
      <c r="E2050" s="11" t="s">
        <v>151</v>
      </c>
      <c r="F2050" s="20">
        <v>46274.476053240738</v>
      </c>
      <c r="G2050" s="11" t="s">
        <v>1171</v>
      </c>
      <c r="H2050" s="11" t="s">
        <v>1176</v>
      </c>
      <c r="I2050" s="1">
        <f>VLOOKUP(G2050,WO!A:J,10,0)</f>
        <v>34</v>
      </c>
      <c r="J2050" s="1" t="str">
        <f t="shared" si="31"/>
        <v>17IA24.20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7"/>
    </row>
    <row r="2051" spans="1:14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J2051" s="1" t="str">
        <f t="shared" ref="J2051:J2114" si="32">MID(G2051,3,9)</f>
        <v>17IA24.20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7">
        <v>46226</v>
      </c>
    </row>
    <row r="2052" spans="1:14">
      <c r="A2052" s="11" t="s">
        <v>1189</v>
      </c>
      <c r="B2052" s="11" t="s">
        <v>155</v>
      </c>
      <c r="C2052" s="11" t="s">
        <v>156</v>
      </c>
      <c r="D2052" s="11">
        <v>1</v>
      </c>
      <c r="E2052" s="11" t="s">
        <v>151</v>
      </c>
      <c r="F2052" s="20">
        <v>46273.581805555557</v>
      </c>
      <c r="G2052" s="11" t="s">
        <v>1171</v>
      </c>
      <c r="H2052" s="11" t="s">
        <v>1176</v>
      </c>
      <c r="I2052" s="1">
        <f>VLOOKUP(G2052,WO!A:J,10,0)</f>
        <v>34</v>
      </c>
      <c r="J2052" s="1" t="str">
        <f t="shared" si="32"/>
        <v>17IA24.20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7"/>
    </row>
    <row r="2053" spans="1:14">
      <c r="A2053" s="11" t="s">
        <v>1190</v>
      </c>
      <c r="B2053" s="11" t="s">
        <v>155</v>
      </c>
      <c r="C2053" s="11" t="s">
        <v>156</v>
      </c>
      <c r="D2053" s="11">
        <v>1</v>
      </c>
      <c r="E2053" s="11" t="s">
        <v>151</v>
      </c>
      <c r="F2053" s="20">
        <v>46273.582731481481</v>
      </c>
      <c r="G2053" s="11" t="s">
        <v>1171</v>
      </c>
      <c r="H2053" s="11" t="s">
        <v>1176</v>
      </c>
      <c r="I2053" s="1">
        <f>VLOOKUP(G2053,WO!A:J,10,0)</f>
        <v>34</v>
      </c>
      <c r="J2053" s="1" t="str">
        <f t="shared" si="32"/>
        <v>17IA24.20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7"/>
    </row>
    <row r="2054" spans="1:14">
      <c r="A2054" s="11" t="s">
        <v>1191</v>
      </c>
      <c r="B2054" s="11" t="s">
        <v>155</v>
      </c>
      <c r="C2054" s="11" t="s">
        <v>156</v>
      </c>
      <c r="D2054" s="11">
        <v>1</v>
      </c>
      <c r="E2054" s="11" t="s">
        <v>151</v>
      </c>
      <c r="F2054" s="20">
        <v>46273.586006944446</v>
      </c>
      <c r="G2054" s="11" t="s">
        <v>1171</v>
      </c>
      <c r="H2054" s="11" t="s">
        <v>1176</v>
      </c>
      <c r="I2054" s="1">
        <f>VLOOKUP(G2054,WO!A:J,10,0)</f>
        <v>34</v>
      </c>
      <c r="J2054" s="1" t="str">
        <f t="shared" si="32"/>
        <v>17IA24.20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7"/>
    </row>
    <row r="2055" spans="1:14">
      <c r="A2055" s="11" t="s">
        <v>1192</v>
      </c>
      <c r="B2055" s="11" t="s">
        <v>155</v>
      </c>
      <c r="C2055" s="11" t="s">
        <v>156</v>
      </c>
      <c r="D2055" s="11">
        <v>1</v>
      </c>
      <c r="E2055" s="11" t="s">
        <v>151</v>
      </c>
      <c r="F2055" s="20">
        <v>46274.362523148149</v>
      </c>
      <c r="G2055" s="11" t="s">
        <v>1171</v>
      </c>
      <c r="H2055" s="11" t="s">
        <v>1176</v>
      </c>
      <c r="I2055" s="1">
        <f>VLOOKUP(G2055,WO!A:J,10,0)</f>
        <v>34</v>
      </c>
      <c r="J2055" s="1" t="str">
        <f t="shared" si="32"/>
        <v>17IA24.20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7"/>
    </row>
    <row r="2056" spans="1:14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J2056" s="1" t="str">
        <f t="shared" si="32"/>
        <v>17IA24.20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7">
        <v>46241</v>
      </c>
    </row>
    <row r="2057" spans="1:14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J2057" s="1" t="str">
        <f t="shared" si="32"/>
        <v>17IA24.20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7"/>
    </row>
    <row r="2058" spans="1:14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J2058" s="1" t="str">
        <f t="shared" si="32"/>
        <v>17IA24.20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7"/>
    </row>
    <row r="2059" spans="1:14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J2059" s="1" t="str">
        <f t="shared" si="32"/>
        <v>17IA24.20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7">
        <v>46241</v>
      </c>
    </row>
    <row r="2060" spans="1:14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J2060" s="1" t="str">
        <f t="shared" si="32"/>
        <v>17IA24.20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7">
        <v>46241</v>
      </c>
    </row>
    <row r="2061" spans="1:14">
      <c r="A2061" s="11" t="s">
        <v>1198</v>
      </c>
      <c r="B2061" s="11" t="s">
        <v>155</v>
      </c>
      <c r="C2061" s="11" t="s">
        <v>156</v>
      </c>
      <c r="D2061" s="11">
        <v>1</v>
      </c>
      <c r="E2061" s="11" t="s">
        <v>151</v>
      </c>
      <c r="F2061" s="20">
        <v>46273.576041666667</v>
      </c>
      <c r="G2061" s="11" t="s">
        <v>1171</v>
      </c>
      <c r="H2061" s="11" t="s">
        <v>1176</v>
      </c>
      <c r="I2061" s="1">
        <f>VLOOKUP(G2061,WO!A:J,10,0)</f>
        <v>34</v>
      </c>
      <c r="J2061" s="1" t="str">
        <f t="shared" si="32"/>
        <v>17IA24.20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7"/>
    </row>
    <row r="2062" spans="1:14">
      <c r="A2062" s="11" t="s">
        <v>1199</v>
      </c>
      <c r="B2062" s="11" t="s">
        <v>155</v>
      </c>
      <c r="C2062" s="11" t="s">
        <v>156</v>
      </c>
      <c r="D2062" s="11">
        <v>1</v>
      </c>
      <c r="E2062" s="11" t="s">
        <v>151</v>
      </c>
      <c r="F2062" s="20">
        <v>46274.489374999997</v>
      </c>
      <c r="G2062" s="11" t="s">
        <v>1171</v>
      </c>
      <c r="H2062" s="11" t="s">
        <v>1176</v>
      </c>
      <c r="I2062" s="1">
        <f>VLOOKUP(G2062,WO!A:J,10,0)</f>
        <v>34</v>
      </c>
      <c r="J2062" s="1" t="str">
        <f t="shared" si="32"/>
        <v>17IA24.20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7"/>
    </row>
    <row r="2063" spans="1:14">
      <c r="A2063" s="11" t="s">
        <v>1200</v>
      </c>
      <c r="B2063" s="11" t="s">
        <v>155</v>
      </c>
      <c r="C2063" s="11" t="s">
        <v>156</v>
      </c>
      <c r="D2063" s="11">
        <v>1</v>
      </c>
      <c r="E2063" s="11" t="s">
        <v>151</v>
      </c>
      <c r="F2063" s="20">
        <v>46273.58666666667</v>
      </c>
      <c r="G2063" s="11" t="s">
        <v>1171</v>
      </c>
      <c r="H2063" s="11" t="s">
        <v>1176</v>
      </c>
      <c r="I2063" s="1">
        <f>VLOOKUP(G2063,WO!A:J,10,0)</f>
        <v>34</v>
      </c>
      <c r="J2063" s="1" t="str">
        <f t="shared" si="32"/>
        <v>17IA24.20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7"/>
    </row>
    <row r="2064" spans="1:14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J2064" s="1" t="str">
        <f t="shared" si="32"/>
        <v>17IA24.20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7">
        <v>46241</v>
      </c>
    </row>
    <row r="2065" spans="1:14">
      <c r="A2065" s="11" t="s">
        <v>1202</v>
      </c>
      <c r="B2065" s="11" t="s">
        <v>155</v>
      </c>
      <c r="C2065" s="11" t="s">
        <v>156</v>
      </c>
      <c r="D2065" s="11">
        <v>1</v>
      </c>
      <c r="E2065" s="11" t="s">
        <v>151</v>
      </c>
      <c r="F2065" s="20">
        <v>46273.587210648147</v>
      </c>
      <c r="G2065" s="11" t="s">
        <v>1171</v>
      </c>
      <c r="H2065" s="11" t="s">
        <v>1176</v>
      </c>
      <c r="I2065" s="1">
        <f>VLOOKUP(G2065,WO!A:J,10,0)</f>
        <v>34</v>
      </c>
      <c r="J2065" s="1" t="str">
        <f t="shared" si="32"/>
        <v>17IA24.20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7"/>
    </row>
    <row r="2066" spans="1:14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J2066" s="1" t="str">
        <f t="shared" si="32"/>
        <v>17IA24.20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7">
        <v>46241</v>
      </c>
    </row>
    <row r="2067" spans="1:14">
      <c r="A2067" s="11" t="s">
        <v>1204</v>
      </c>
      <c r="B2067" s="11" t="s">
        <v>155</v>
      </c>
      <c r="C2067" s="11" t="s">
        <v>156</v>
      </c>
      <c r="D2067" s="11">
        <v>1</v>
      </c>
      <c r="E2067" s="11" t="s">
        <v>151</v>
      </c>
      <c r="F2067" s="20">
        <v>46273.55914351852</v>
      </c>
      <c r="G2067" s="11" t="s">
        <v>1171</v>
      </c>
      <c r="H2067" s="11" t="s">
        <v>1176</v>
      </c>
      <c r="I2067" s="1">
        <f>VLOOKUP(G2067,WO!A:J,10,0)</f>
        <v>34</v>
      </c>
      <c r="J2067" s="1" t="str">
        <f t="shared" si="32"/>
        <v>17IA24.20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7"/>
    </row>
    <row r="2068" spans="1:14">
      <c r="A2068" s="11" t="s">
        <v>3451</v>
      </c>
      <c r="B2068" s="11" t="s">
        <v>3435</v>
      </c>
      <c r="C2068" s="11" t="s">
        <v>3436</v>
      </c>
      <c r="D2068" s="11">
        <v>1</v>
      </c>
      <c r="E2068" s="11" t="s">
        <v>13</v>
      </c>
      <c r="F2068" s="20">
        <v>46248.376886574071</v>
      </c>
      <c r="G2068" s="11" t="s">
        <v>3142</v>
      </c>
      <c r="H2068" s="11" t="s">
        <v>1176</v>
      </c>
      <c r="I2068" s="1">
        <f>VLOOKUP(G2068,WO!A:J,10,0)</f>
        <v>52</v>
      </c>
      <c r="J2068" s="1" t="str">
        <f t="shared" si="32"/>
        <v>17IA24.30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7"/>
    </row>
    <row r="2069" spans="1:14">
      <c r="A2069" s="11" t="s">
        <v>3452</v>
      </c>
      <c r="B2069" s="11" t="s">
        <v>3503</v>
      </c>
      <c r="C2069" s="11" t="s">
        <v>3504</v>
      </c>
      <c r="D2069" s="11">
        <v>1</v>
      </c>
      <c r="E2069" s="11" t="s">
        <v>13</v>
      </c>
      <c r="F2069" s="20">
        <v>46249.442071759258</v>
      </c>
      <c r="G2069" s="11" t="s">
        <v>3142</v>
      </c>
      <c r="H2069" s="11" t="s">
        <v>1176</v>
      </c>
      <c r="I2069" s="1">
        <f>VLOOKUP(G2069,WO!A:J,10,0)</f>
        <v>52</v>
      </c>
      <c r="J2069" s="1" t="str">
        <f t="shared" si="32"/>
        <v>17IA24.30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7"/>
    </row>
    <row r="2070" spans="1:14">
      <c r="A2070" s="11" t="s">
        <v>3453</v>
      </c>
      <c r="B2070" s="11" t="s">
        <v>3435</v>
      </c>
      <c r="C2070" s="11" t="s">
        <v>3436</v>
      </c>
      <c r="D2070" s="11">
        <v>1</v>
      </c>
      <c r="E2070" s="11" t="s">
        <v>13</v>
      </c>
      <c r="F2070" s="20">
        <v>46261.225590277776</v>
      </c>
      <c r="G2070" s="11" t="s">
        <v>3142</v>
      </c>
      <c r="H2070" s="11" t="s">
        <v>1176</v>
      </c>
      <c r="I2070" s="1">
        <f>VLOOKUP(G2070,WO!A:J,10,0)</f>
        <v>52</v>
      </c>
      <c r="J2070" s="1" t="str">
        <f t="shared" si="32"/>
        <v>17IA24.30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7"/>
    </row>
    <row r="2071" spans="1:14">
      <c r="A2071" s="11" t="s">
        <v>3454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3142</v>
      </c>
      <c r="H2071" s="11" t="s">
        <v>1176</v>
      </c>
      <c r="I2071" s="1">
        <f>VLOOKUP(G2071,WO!A:J,10,0)</f>
        <v>52</v>
      </c>
      <c r="J2071" s="1" t="str">
        <f t="shared" si="32"/>
        <v>17IA24.30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7"/>
    </row>
    <row r="2072" spans="1:14">
      <c r="A2072" s="11" t="s">
        <v>3455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3142</v>
      </c>
      <c r="H2072" s="11" t="s">
        <v>1176</v>
      </c>
      <c r="I2072" s="1">
        <f>VLOOKUP(G2072,WO!A:J,10,0)</f>
        <v>52</v>
      </c>
      <c r="J2072" s="1" t="str">
        <f t="shared" si="32"/>
        <v>17IA24.30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7"/>
    </row>
    <row r="2073" spans="1:14">
      <c r="A2073" s="11" t="s">
        <v>3456</v>
      </c>
      <c r="B2073" s="11" t="s">
        <v>3435</v>
      </c>
      <c r="C2073" s="11" t="s">
        <v>3436</v>
      </c>
      <c r="D2073" s="11">
        <v>1</v>
      </c>
      <c r="E2073" s="11" t="s">
        <v>13</v>
      </c>
      <c r="F2073" s="20">
        <v>46261.251018518517</v>
      </c>
      <c r="G2073" s="11" t="s">
        <v>3142</v>
      </c>
      <c r="H2073" s="11" t="s">
        <v>1176</v>
      </c>
      <c r="I2073" s="1">
        <f>VLOOKUP(G2073,WO!A:J,10,0)</f>
        <v>52</v>
      </c>
      <c r="J2073" s="1" t="str">
        <f t="shared" si="32"/>
        <v>17IA24.30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7"/>
    </row>
    <row r="2074" spans="1:14">
      <c r="A2074" s="11" t="s">
        <v>3457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3142</v>
      </c>
      <c r="H2074" s="11" t="s">
        <v>1176</v>
      </c>
      <c r="I2074" s="1">
        <f>VLOOKUP(G2074,WO!A:J,10,0)</f>
        <v>52</v>
      </c>
      <c r="J2074" s="1" t="str">
        <f t="shared" si="32"/>
        <v>17IA24.30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7"/>
    </row>
    <row r="2075" spans="1:14">
      <c r="A2075" s="11" t="s">
        <v>3458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3142</v>
      </c>
      <c r="H2075" s="11" t="s">
        <v>1176</v>
      </c>
      <c r="I2075" s="1">
        <f>VLOOKUP(G2075,WO!A:J,10,0)</f>
        <v>52</v>
      </c>
      <c r="J2075" s="1" t="str">
        <f t="shared" si="32"/>
        <v>17IA24.30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7"/>
    </row>
    <row r="2076" spans="1:14">
      <c r="A2076" s="11" t="s">
        <v>3459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3142</v>
      </c>
      <c r="H2076" s="11" t="s">
        <v>1176</v>
      </c>
      <c r="I2076" s="1">
        <f>VLOOKUP(G2076,WO!A:J,10,0)</f>
        <v>52</v>
      </c>
      <c r="J2076" s="1" t="str">
        <f t="shared" si="32"/>
        <v>17IA24.30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7"/>
    </row>
    <row r="2077" spans="1:14">
      <c r="A2077" s="11" t="s">
        <v>3460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3142</v>
      </c>
      <c r="H2077" s="11" t="s">
        <v>1176</v>
      </c>
      <c r="I2077" s="1">
        <f>VLOOKUP(G2077,WO!A:J,10,0)</f>
        <v>52</v>
      </c>
      <c r="J2077" s="1" t="str">
        <f t="shared" si="32"/>
        <v>17IA24.30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7"/>
    </row>
    <row r="2078" spans="1:14">
      <c r="A2078" s="11" t="s">
        <v>3461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3142</v>
      </c>
      <c r="H2078" s="11" t="s">
        <v>1176</v>
      </c>
      <c r="I2078" s="1">
        <f>VLOOKUP(G2078,WO!A:J,10,0)</f>
        <v>52</v>
      </c>
      <c r="J2078" s="1" t="str">
        <f t="shared" si="32"/>
        <v>17IA24.30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7"/>
    </row>
    <row r="2079" spans="1:14">
      <c r="A2079" s="11" t="s">
        <v>3462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3142</v>
      </c>
      <c r="H2079" s="11" t="s">
        <v>1176</v>
      </c>
      <c r="I2079" s="1">
        <f>VLOOKUP(G2079,WO!A:J,10,0)</f>
        <v>52</v>
      </c>
      <c r="J2079" s="1" t="str">
        <f t="shared" si="32"/>
        <v>17IA24.30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7"/>
    </row>
    <row r="2080" spans="1:14">
      <c r="A2080" s="11" t="s">
        <v>3463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3142</v>
      </c>
      <c r="H2080" s="11" t="s">
        <v>1176</v>
      </c>
      <c r="I2080" s="1">
        <f>VLOOKUP(G2080,WO!A:J,10,0)</f>
        <v>52</v>
      </c>
      <c r="J2080" s="1" t="str">
        <f t="shared" si="32"/>
        <v>17IA24.30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7"/>
    </row>
    <row r="2081" spans="1:14">
      <c r="A2081" s="11" t="s">
        <v>3464</v>
      </c>
      <c r="B2081" s="11" t="s">
        <v>3503</v>
      </c>
      <c r="C2081" s="11" t="s">
        <v>3504</v>
      </c>
      <c r="D2081" s="11">
        <v>1</v>
      </c>
      <c r="E2081" s="11" t="s">
        <v>13</v>
      </c>
      <c r="F2081" s="20">
        <v>46270.49181712963</v>
      </c>
      <c r="G2081" s="11" t="s">
        <v>3142</v>
      </c>
      <c r="H2081" s="11" t="s">
        <v>1176</v>
      </c>
      <c r="I2081" s="1">
        <f>VLOOKUP(G2081,WO!A:J,10,0)</f>
        <v>52</v>
      </c>
      <c r="J2081" s="1" t="str">
        <f t="shared" si="32"/>
        <v>17IA24.30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7"/>
    </row>
    <row r="2082" spans="1:14">
      <c r="A2082" s="11" t="s">
        <v>3465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3142</v>
      </c>
      <c r="H2082" s="11" t="s">
        <v>1176</v>
      </c>
      <c r="I2082" s="1">
        <f>VLOOKUP(G2082,WO!A:J,10,0)</f>
        <v>52</v>
      </c>
      <c r="J2082" s="1" t="str">
        <f t="shared" si="32"/>
        <v>17IA24.30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7"/>
    </row>
    <row r="2083" spans="1:14">
      <c r="A2083" s="11" t="s">
        <v>3466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3142</v>
      </c>
      <c r="H2083" s="11" t="s">
        <v>1176</v>
      </c>
      <c r="I2083" s="1">
        <f>VLOOKUP(G2083,WO!A:J,10,0)</f>
        <v>52</v>
      </c>
      <c r="J2083" s="1" t="str">
        <f t="shared" si="32"/>
        <v>17IA24.30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7"/>
    </row>
    <row r="2084" spans="1:14">
      <c r="A2084" s="11" t="s">
        <v>3467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3142</v>
      </c>
      <c r="H2084" s="11" t="s">
        <v>1176</v>
      </c>
      <c r="I2084" s="1">
        <f>VLOOKUP(G2084,WO!A:J,10,0)</f>
        <v>52</v>
      </c>
      <c r="J2084" s="1" t="str">
        <f t="shared" si="32"/>
        <v>17IA24.30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7"/>
    </row>
    <row r="2085" spans="1:14">
      <c r="A2085" s="11" t="s">
        <v>3468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3142</v>
      </c>
      <c r="H2085" s="11" t="s">
        <v>1176</v>
      </c>
      <c r="I2085" s="1">
        <f>VLOOKUP(G2085,WO!A:J,10,0)</f>
        <v>52</v>
      </c>
      <c r="J2085" s="1" t="str">
        <f t="shared" si="32"/>
        <v>17IA24.30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7"/>
    </row>
    <row r="2086" spans="1:14">
      <c r="A2086" s="11" t="s">
        <v>3469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3142</v>
      </c>
      <c r="H2086" s="11" t="s">
        <v>1176</v>
      </c>
      <c r="I2086" s="1">
        <f>VLOOKUP(G2086,WO!A:J,10,0)</f>
        <v>52</v>
      </c>
      <c r="J2086" s="1" t="str">
        <f t="shared" si="32"/>
        <v>17IA24.30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7"/>
    </row>
    <row r="2087" spans="1:14">
      <c r="A2087" s="11" t="s">
        <v>3470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3142</v>
      </c>
      <c r="H2087" s="11" t="s">
        <v>1176</v>
      </c>
      <c r="I2087" s="1">
        <f>VLOOKUP(G2087,WO!A:J,10,0)</f>
        <v>52</v>
      </c>
      <c r="J2087" s="1" t="str">
        <f t="shared" si="32"/>
        <v>17IA24.30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7"/>
    </row>
    <row r="2088" spans="1:14">
      <c r="A2088" s="11" t="s">
        <v>3471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3142</v>
      </c>
      <c r="H2088" s="11" t="s">
        <v>1176</v>
      </c>
      <c r="I2088" s="1">
        <f>VLOOKUP(G2088,WO!A:J,10,0)</f>
        <v>52</v>
      </c>
      <c r="J2088" s="1" t="str">
        <f t="shared" si="32"/>
        <v>17IA24.30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7"/>
    </row>
    <row r="2089" spans="1:14">
      <c r="A2089" s="11" t="s">
        <v>3472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3142</v>
      </c>
      <c r="H2089" s="11" t="s">
        <v>1176</v>
      </c>
      <c r="I2089" s="1">
        <f>VLOOKUP(G2089,WO!A:J,10,0)</f>
        <v>52</v>
      </c>
      <c r="J2089" s="1" t="str">
        <f t="shared" si="32"/>
        <v>17IA24.30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7"/>
    </row>
    <row r="2090" spans="1:14">
      <c r="A2090" s="11" t="s">
        <v>3473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3142</v>
      </c>
      <c r="H2090" s="11" t="s">
        <v>1176</v>
      </c>
      <c r="I2090" s="1">
        <f>VLOOKUP(G2090,WO!A:J,10,0)</f>
        <v>52</v>
      </c>
      <c r="J2090" s="1" t="str">
        <f t="shared" si="32"/>
        <v>17IA24.30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7"/>
    </row>
    <row r="2091" spans="1:14">
      <c r="A2091" s="11" t="s">
        <v>3474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3142</v>
      </c>
      <c r="H2091" s="11" t="s">
        <v>1176</v>
      </c>
      <c r="I2091" s="1">
        <f>VLOOKUP(G2091,WO!A:J,10,0)</f>
        <v>52</v>
      </c>
      <c r="J2091" s="1" t="str">
        <f t="shared" si="32"/>
        <v>17IA24.30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7"/>
    </row>
    <row r="2092" spans="1:14">
      <c r="A2092" s="11" t="s">
        <v>3475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3142</v>
      </c>
      <c r="H2092" s="11" t="s">
        <v>1176</v>
      </c>
      <c r="I2092" s="1">
        <f>VLOOKUP(G2092,WO!A:J,10,0)</f>
        <v>52</v>
      </c>
      <c r="J2092" s="1" t="str">
        <f t="shared" si="32"/>
        <v>17IA24.30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7"/>
    </row>
    <row r="2093" spans="1:14">
      <c r="A2093" s="11" t="s">
        <v>3476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3142</v>
      </c>
      <c r="H2093" s="11" t="s">
        <v>1176</v>
      </c>
      <c r="I2093" s="1">
        <f>VLOOKUP(G2093,WO!A:J,10,0)</f>
        <v>52</v>
      </c>
      <c r="J2093" s="1" t="str">
        <f t="shared" si="32"/>
        <v>17IA24.30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7"/>
    </row>
    <row r="2094" spans="1:14">
      <c r="A2094" s="11" t="s">
        <v>3477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3142</v>
      </c>
      <c r="H2094" s="11" t="s">
        <v>1176</v>
      </c>
      <c r="I2094" s="1">
        <f>VLOOKUP(G2094,WO!A:J,10,0)</f>
        <v>52</v>
      </c>
      <c r="J2094" s="1" t="str">
        <f t="shared" si="32"/>
        <v>17IA24.30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7"/>
    </row>
    <row r="2095" spans="1:14">
      <c r="A2095" s="11" t="s">
        <v>3478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3142</v>
      </c>
      <c r="H2095" s="11" t="s">
        <v>1176</v>
      </c>
      <c r="I2095" s="1">
        <f>VLOOKUP(G2095,WO!A:J,10,0)</f>
        <v>52</v>
      </c>
      <c r="J2095" s="1" t="str">
        <f t="shared" si="32"/>
        <v>17IA24.30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7"/>
    </row>
    <row r="2096" spans="1:14">
      <c r="A2096" s="11" t="s">
        <v>3479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3142</v>
      </c>
      <c r="H2096" s="11" t="s">
        <v>1176</v>
      </c>
      <c r="I2096" s="1">
        <f>VLOOKUP(G2096,WO!A:J,10,0)</f>
        <v>52</v>
      </c>
      <c r="J2096" s="1" t="str">
        <f t="shared" si="32"/>
        <v>17IA24.30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7"/>
    </row>
    <row r="2097" spans="1:14">
      <c r="A2097" s="11" t="s">
        <v>3480</v>
      </c>
      <c r="B2097" s="11" t="s">
        <v>956</v>
      </c>
      <c r="C2097" s="11" t="s">
        <v>957</v>
      </c>
      <c r="D2097" s="11">
        <v>1</v>
      </c>
      <c r="E2097" s="11" t="s">
        <v>13</v>
      </c>
      <c r="F2097" s="20">
        <v>46266.657094907408</v>
      </c>
      <c r="G2097" s="11" t="s">
        <v>3142</v>
      </c>
      <c r="H2097" s="11" t="s">
        <v>1176</v>
      </c>
      <c r="I2097" s="1">
        <f>VLOOKUP(G2097,WO!A:J,10,0)</f>
        <v>52</v>
      </c>
      <c r="J2097" s="1" t="str">
        <f t="shared" si="32"/>
        <v>17IA24.30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7"/>
    </row>
    <row r="2098" spans="1:14">
      <c r="A2098" s="11" t="s">
        <v>3481</v>
      </c>
      <c r="B2098" s="11" t="s">
        <v>3508</v>
      </c>
      <c r="C2098" s="11" t="s">
        <v>3509</v>
      </c>
      <c r="D2098" s="11">
        <v>1</v>
      </c>
      <c r="E2098" s="11" t="s">
        <v>151</v>
      </c>
      <c r="F2098" s="20">
        <v>46254.637754629628</v>
      </c>
      <c r="G2098" s="11" t="s">
        <v>3142</v>
      </c>
      <c r="H2098" s="11" t="s">
        <v>1176</v>
      </c>
      <c r="I2098" s="1">
        <f>VLOOKUP(G2098,WO!A:J,10,0)</f>
        <v>52</v>
      </c>
      <c r="J2098" s="1" t="str">
        <f t="shared" si="32"/>
        <v>17IA24.30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7"/>
    </row>
    <row r="2099" spans="1:14">
      <c r="A2099" s="11" t="s">
        <v>3482</v>
      </c>
      <c r="B2099" s="11" t="s">
        <v>3503</v>
      </c>
      <c r="C2099" s="11" t="s">
        <v>3504</v>
      </c>
      <c r="D2099" s="11">
        <v>1</v>
      </c>
      <c r="E2099" s="11" t="s">
        <v>13</v>
      </c>
      <c r="F2099" s="20">
        <v>46261.419062499997</v>
      </c>
      <c r="G2099" s="11" t="s">
        <v>3142</v>
      </c>
      <c r="H2099" s="11" t="s">
        <v>1176</v>
      </c>
      <c r="I2099" s="1">
        <f>VLOOKUP(G2099,WO!A:J,10,0)</f>
        <v>52</v>
      </c>
      <c r="J2099" s="1" t="str">
        <f t="shared" si="32"/>
        <v>17IA24.30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7"/>
    </row>
    <row r="2100" spans="1:14">
      <c r="A2100" s="11" t="s">
        <v>3483</v>
      </c>
      <c r="B2100" s="11" t="s">
        <v>3435</v>
      </c>
      <c r="C2100" s="11" t="s">
        <v>3436</v>
      </c>
      <c r="D2100" s="11">
        <v>1</v>
      </c>
      <c r="E2100" s="11" t="s">
        <v>13</v>
      </c>
      <c r="F2100" s="20">
        <v>46261.207638888889</v>
      </c>
      <c r="G2100" s="11" t="s">
        <v>3142</v>
      </c>
      <c r="H2100" s="11" t="s">
        <v>1176</v>
      </c>
      <c r="I2100" s="1">
        <f>VLOOKUP(G2100,WO!A:J,10,0)</f>
        <v>52</v>
      </c>
      <c r="J2100" s="1" t="str">
        <f t="shared" si="32"/>
        <v>17IA24.30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7"/>
    </row>
    <row r="2101" spans="1:14">
      <c r="A2101" s="11" t="s">
        <v>3484</v>
      </c>
      <c r="B2101" s="11" t="s">
        <v>3503</v>
      </c>
      <c r="C2101" s="11" t="s">
        <v>3504</v>
      </c>
      <c r="D2101" s="11">
        <v>1</v>
      </c>
      <c r="E2101" s="11" t="s">
        <v>13</v>
      </c>
      <c r="F2101" s="20">
        <v>46261.459560185183</v>
      </c>
      <c r="G2101" s="11" t="s">
        <v>3142</v>
      </c>
      <c r="H2101" s="11" t="s">
        <v>1176</v>
      </c>
      <c r="I2101" s="1">
        <f>VLOOKUP(G2101,WO!A:J,10,0)</f>
        <v>52</v>
      </c>
      <c r="J2101" s="1" t="str">
        <f t="shared" si="32"/>
        <v>17IA24.30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7"/>
    </row>
    <row r="2102" spans="1:14">
      <c r="A2102" s="11" t="s">
        <v>3485</v>
      </c>
      <c r="B2102" s="11" t="s">
        <v>3503</v>
      </c>
      <c r="C2102" s="11" t="s">
        <v>3504</v>
      </c>
      <c r="D2102" s="11">
        <v>1</v>
      </c>
      <c r="E2102" s="11" t="s">
        <v>13</v>
      </c>
      <c r="F2102" s="20">
        <v>46267.259016203701</v>
      </c>
      <c r="G2102" s="11" t="s">
        <v>3142</v>
      </c>
      <c r="H2102" s="11" t="s">
        <v>1176</v>
      </c>
      <c r="I2102" s="1">
        <f>VLOOKUP(G2102,WO!A:J,10,0)</f>
        <v>52</v>
      </c>
      <c r="J2102" s="1" t="str">
        <f t="shared" si="32"/>
        <v>17IA24.30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7"/>
    </row>
    <row r="2103" spans="1:14">
      <c r="A2103" s="11" t="s">
        <v>3486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3142</v>
      </c>
      <c r="H2103" s="11" t="s">
        <v>1176</v>
      </c>
      <c r="I2103" s="1">
        <f>VLOOKUP(G2103,WO!A:J,10,0)</f>
        <v>52</v>
      </c>
      <c r="J2103" s="1" t="str">
        <f t="shared" si="32"/>
        <v>17IA24.30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7"/>
    </row>
    <row r="2104" spans="1:14">
      <c r="A2104" s="11" t="s">
        <v>3487</v>
      </c>
      <c r="B2104" s="11" t="s">
        <v>3503</v>
      </c>
      <c r="C2104" s="11" t="s">
        <v>3504</v>
      </c>
      <c r="D2104" s="11">
        <v>1</v>
      </c>
      <c r="E2104" s="11" t="s">
        <v>13</v>
      </c>
      <c r="F2104" s="20">
        <v>46258.579664351855</v>
      </c>
      <c r="G2104" s="11" t="s">
        <v>3142</v>
      </c>
      <c r="H2104" s="11" t="s">
        <v>1176</v>
      </c>
      <c r="I2104" s="1">
        <f>VLOOKUP(G2104,WO!A:J,10,0)</f>
        <v>52</v>
      </c>
      <c r="J2104" s="1" t="str">
        <f t="shared" si="32"/>
        <v>17IA24.30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7"/>
    </row>
    <row r="2105" spans="1:14">
      <c r="A2105" s="11" t="s">
        <v>3488</v>
      </c>
      <c r="B2105" s="11" t="s">
        <v>3503</v>
      </c>
      <c r="C2105" s="11" t="s">
        <v>3504</v>
      </c>
      <c r="D2105" s="11">
        <v>1</v>
      </c>
      <c r="E2105" s="11" t="s">
        <v>13</v>
      </c>
      <c r="F2105" s="20">
        <v>46261.435416666667</v>
      </c>
      <c r="G2105" s="11" t="s">
        <v>3142</v>
      </c>
      <c r="H2105" s="11" t="s">
        <v>1176</v>
      </c>
      <c r="I2105" s="1">
        <f>VLOOKUP(G2105,WO!A:J,10,0)</f>
        <v>52</v>
      </c>
      <c r="J2105" s="1" t="str">
        <f t="shared" si="32"/>
        <v>17IA24.30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7"/>
    </row>
    <row r="2106" spans="1:14">
      <c r="A2106" s="11" t="s">
        <v>3489</v>
      </c>
      <c r="B2106" s="11" t="s">
        <v>3503</v>
      </c>
      <c r="C2106" s="11" t="s">
        <v>3504</v>
      </c>
      <c r="D2106" s="11">
        <v>1</v>
      </c>
      <c r="E2106" s="11" t="s">
        <v>13</v>
      </c>
      <c r="F2106" s="20">
        <v>46261.415243055555</v>
      </c>
      <c r="G2106" s="11" t="s">
        <v>3142</v>
      </c>
      <c r="H2106" s="11" t="s">
        <v>1176</v>
      </c>
      <c r="I2106" s="1">
        <f>VLOOKUP(G2106,WO!A:J,10,0)</f>
        <v>52</v>
      </c>
      <c r="J2106" s="1" t="str">
        <f t="shared" si="32"/>
        <v>17IA24.30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7"/>
    </row>
    <row r="2107" spans="1:14">
      <c r="A2107" s="11" t="s">
        <v>3490</v>
      </c>
      <c r="B2107" s="11" t="s">
        <v>956</v>
      </c>
      <c r="C2107" s="11" t="s">
        <v>957</v>
      </c>
      <c r="D2107" s="11">
        <v>1</v>
      </c>
      <c r="E2107" s="11" t="s">
        <v>13</v>
      </c>
      <c r="F2107" s="20">
        <v>46266.583287037036</v>
      </c>
      <c r="G2107" s="11" t="s">
        <v>3142</v>
      </c>
      <c r="H2107" s="11" t="s">
        <v>1176</v>
      </c>
      <c r="I2107" s="1">
        <f>VLOOKUP(G2107,WO!A:J,10,0)</f>
        <v>52</v>
      </c>
      <c r="J2107" s="1" t="str">
        <f t="shared" si="32"/>
        <v>17IA24.30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7"/>
    </row>
    <row r="2108" spans="1:14">
      <c r="A2108" s="11" t="s">
        <v>3491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3142</v>
      </c>
      <c r="H2108" s="11" t="s">
        <v>1176</v>
      </c>
      <c r="I2108" s="1">
        <f>VLOOKUP(G2108,WO!A:J,10,0)</f>
        <v>52</v>
      </c>
      <c r="J2108" s="1" t="str">
        <f t="shared" si="32"/>
        <v>17IA24.30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7"/>
    </row>
    <row r="2109" spans="1:14">
      <c r="A2109" s="11" t="s">
        <v>3492</v>
      </c>
      <c r="B2109" s="11" t="s">
        <v>3503</v>
      </c>
      <c r="C2109" s="11" t="s">
        <v>3504</v>
      </c>
      <c r="D2109" s="11">
        <v>1</v>
      </c>
      <c r="E2109" s="11" t="s">
        <v>13</v>
      </c>
      <c r="F2109" s="20">
        <v>46270.508692129632</v>
      </c>
      <c r="G2109" s="11" t="s">
        <v>3142</v>
      </c>
      <c r="H2109" s="11" t="s">
        <v>1176</v>
      </c>
      <c r="I2109" s="1">
        <f>VLOOKUP(G2109,WO!A:J,10,0)</f>
        <v>52</v>
      </c>
      <c r="J2109" s="1" t="str">
        <f t="shared" si="32"/>
        <v>17IA24.30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7"/>
    </row>
    <row r="2110" spans="1:14">
      <c r="A2110" s="11" t="s">
        <v>3493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46261.681689814817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7"/>
    </row>
    <row r="2111" spans="1:14">
      <c r="A2111" s="11" t="s">
        <v>3494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46270.557083333333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7"/>
    </row>
    <row r="2112" spans="1:14">
      <c r="A2112" s="11" t="s">
        <v>3495</v>
      </c>
      <c r="B2112" s="11" t="s">
        <v>3503</v>
      </c>
      <c r="C2112" s="11" t="s">
        <v>3504</v>
      </c>
      <c r="D2112" s="11">
        <v>1</v>
      </c>
      <c r="E2112" s="11" t="s">
        <v>13</v>
      </c>
      <c r="F2112" s="20">
        <v>46258.593333333331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7"/>
    </row>
    <row r="2113" spans="1:14">
      <c r="A2113" s="11" t="s">
        <v>3496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7"/>
    </row>
    <row r="2114" spans="1:14">
      <c r="A2114" s="11" t="s">
        <v>3497</v>
      </c>
      <c r="B2114" s="11" t="s">
        <v>3503</v>
      </c>
      <c r="C2114" s="11" t="s">
        <v>3504</v>
      </c>
      <c r="D2114" s="11">
        <v>1</v>
      </c>
      <c r="E2114" s="11" t="s">
        <v>13</v>
      </c>
      <c r="F2114" s="20">
        <v>46261.676249999997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7"/>
    </row>
    <row r="2115" spans="1:14">
      <c r="A2115" s="11" t="s">
        <v>3498</v>
      </c>
      <c r="B2115" s="11" t="s">
        <v>3503</v>
      </c>
      <c r="C2115" s="11" t="s">
        <v>3504</v>
      </c>
      <c r="D2115" s="11">
        <v>1</v>
      </c>
      <c r="E2115" s="11" t="s">
        <v>13</v>
      </c>
      <c r="F2115" s="20">
        <v>46266.562893518516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7"/>
    </row>
    <row r="2116" spans="1:14">
      <c r="A2116" s="11" t="s">
        <v>3499</v>
      </c>
      <c r="B2116" s="11" t="s">
        <v>3503</v>
      </c>
      <c r="C2116" s="11" t="s">
        <v>3504</v>
      </c>
      <c r="D2116" s="11">
        <v>1</v>
      </c>
      <c r="E2116" s="11" t="s">
        <v>13</v>
      </c>
      <c r="F2116" s="20">
        <v>46266.65452546296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7"/>
    </row>
    <row r="2117" spans="1:14">
      <c r="A2117" s="11" t="s">
        <v>3500</v>
      </c>
      <c r="B2117" s="11" t="s">
        <v>3503</v>
      </c>
      <c r="C2117" s="11" t="s">
        <v>3504</v>
      </c>
      <c r="D2117" s="11">
        <v>1</v>
      </c>
      <c r="E2117" s="11" t="s">
        <v>13</v>
      </c>
      <c r="F2117" s="20">
        <v>46261.660312499997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7"/>
    </row>
    <row r="2118" spans="1:14">
      <c r="A2118" s="11" t="s">
        <v>3501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46274.414675925924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7"/>
    </row>
    <row r="2119" spans="1:14">
      <c r="A2119" s="11" t="s">
        <v>3502</v>
      </c>
      <c r="B2119" s="11" t="s">
        <v>3435</v>
      </c>
      <c r="C2119" s="11" t="s">
        <v>3436</v>
      </c>
      <c r="D2119" s="11">
        <v>1</v>
      </c>
      <c r="E2119" s="11" t="s">
        <v>13</v>
      </c>
      <c r="F2119" s="20">
        <v>46261.686354166668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7"/>
    </row>
    <row r="2120" spans="1:14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J2120" s="1" t="str">
        <f t="shared" si="33"/>
        <v>17IA25.30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7"/>
    </row>
    <row r="2121" spans="1:14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J2121" s="1" t="str">
        <f t="shared" si="33"/>
        <v>17IA25.30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7"/>
    </row>
    <row r="2122" spans="1:14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J2122" s="1" t="str">
        <f t="shared" si="33"/>
        <v>17IA25.30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7"/>
    </row>
    <row r="2123" spans="1:14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J2123" s="1" t="str">
        <f t="shared" si="33"/>
        <v>17IA25.30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7"/>
    </row>
    <row r="2124" spans="1:14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J2124" s="1" t="str">
        <f t="shared" si="33"/>
        <v>17IA25.30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7"/>
    </row>
    <row r="2125" spans="1:14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J2125" s="1" t="str">
        <f t="shared" si="33"/>
        <v>17IA25.30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7"/>
    </row>
    <row r="2126" spans="1:14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J2126" s="1" t="str">
        <f t="shared" si="33"/>
        <v>17IA25.30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7"/>
    </row>
    <row r="2127" spans="1:14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J2127" s="1" t="str">
        <f t="shared" si="33"/>
        <v>17IA25.30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7"/>
    </row>
    <row r="2128" spans="1:14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J2128" s="1" t="str">
        <f t="shared" si="33"/>
        <v>17IA25.30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7"/>
    </row>
    <row r="2129" spans="1:14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J2129" s="1" t="str">
        <f t="shared" si="33"/>
        <v>17IA25.30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7"/>
    </row>
    <row r="2130" spans="1:14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J2130" s="1" t="str">
        <f t="shared" si="33"/>
        <v>17IA25.30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7"/>
    </row>
    <row r="2131" spans="1:14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J2131" s="1" t="str">
        <f t="shared" si="33"/>
        <v>17IA25.30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7"/>
    </row>
    <row r="2132" spans="1:14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J2132" s="1" t="str">
        <f t="shared" si="33"/>
        <v>17IA25.30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7"/>
    </row>
    <row r="2133" spans="1:14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J2133" s="1" t="str">
        <f t="shared" si="33"/>
        <v>17IA25.30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7"/>
    </row>
    <row r="2134" spans="1:14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J2134" s="1" t="str">
        <f t="shared" si="33"/>
        <v>17IA25.30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7"/>
    </row>
    <row r="2135" spans="1:14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J2135" s="1" t="str">
        <f t="shared" si="33"/>
        <v>17IA25.30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7"/>
    </row>
    <row r="2136" spans="1:14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J2136" s="1" t="str">
        <f t="shared" si="33"/>
        <v>17IA25.30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7"/>
    </row>
    <row r="2137" spans="1:14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J2137" s="1" t="str">
        <f t="shared" si="33"/>
        <v>17IA25.30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7"/>
    </row>
    <row r="2138" spans="1:14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J2138" s="1" t="str">
        <f t="shared" si="33"/>
        <v>17IA25.30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7"/>
    </row>
    <row r="2139" spans="1:14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J2139" s="1" t="str">
        <f t="shared" si="33"/>
        <v>17IA25.30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7"/>
    </row>
    <row r="2140" spans="1:14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J2140" s="1" t="str">
        <f t="shared" si="33"/>
        <v>17IA25.30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7"/>
    </row>
    <row r="2141" spans="1:14">
      <c r="A2141" s="11" t="s">
        <v>1080</v>
      </c>
      <c r="B2141" s="11" t="s">
        <v>6</v>
      </c>
      <c r="C2141" s="11" t="s">
        <v>6</v>
      </c>
      <c r="D2141" s="11">
        <v>1</v>
      </c>
      <c r="E2141" s="11" t="s">
        <v>7</v>
      </c>
      <c r="F2141" s="20">
        <v>46266.288912037038</v>
      </c>
      <c r="G2141" s="11" t="s">
        <v>245</v>
      </c>
      <c r="H2141" s="11" t="s">
        <v>150</v>
      </c>
      <c r="I2141" s="1">
        <f>VLOOKUP(G2141,WO!A:J,10,0)</f>
        <v>20</v>
      </c>
      <c r="J2141" s="1" t="str">
        <f t="shared" si="33"/>
        <v>17IA25.30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7"/>
    </row>
    <row r="2142" spans="1:14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J2142" s="1" t="str">
        <f t="shared" si="33"/>
        <v>17IA25.30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7"/>
    </row>
    <row r="2143" spans="1:14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J2143" s="1" t="str">
        <f t="shared" si="33"/>
        <v>17IA25.30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7"/>
    </row>
    <row r="2144" spans="1:14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J2144" s="1" t="str">
        <f t="shared" si="33"/>
        <v>17IA25.30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7"/>
    </row>
    <row r="2145" spans="1:14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J2145" s="1" t="str">
        <f t="shared" si="33"/>
        <v>17IA25.30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7"/>
    </row>
    <row r="2146" spans="1:14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J2146" s="1" t="str">
        <f t="shared" si="33"/>
        <v>17IA25.30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7"/>
    </row>
    <row r="2147" spans="1:14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J2147" s="1" t="str">
        <f t="shared" si="33"/>
        <v>17IA25.30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7"/>
    </row>
    <row r="2148" spans="1:14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J2148" s="1" t="str">
        <f t="shared" si="33"/>
        <v>17IA25.30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7"/>
    </row>
    <row r="2149" spans="1:14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J2149" s="1" t="str">
        <f t="shared" si="33"/>
        <v>17IA25.30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7"/>
    </row>
    <row r="2150" spans="1:14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J2150" s="1" t="str">
        <f t="shared" si="33"/>
        <v>17IA25.30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7"/>
    </row>
    <row r="2151" spans="1:14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J2151" s="1" t="str">
        <f t="shared" si="33"/>
        <v>17IA25.30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7"/>
    </row>
    <row r="2152" spans="1:14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J2152" s="1" t="str">
        <f t="shared" si="33"/>
        <v>17IA25.30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7"/>
    </row>
    <row r="2153" spans="1:14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J2153" s="1" t="str">
        <f t="shared" si="33"/>
        <v>17IA25.30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7"/>
    </row>
    <row r="2154" spans="1:14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J2154" s="1" t="str">
        <f t="shared" si="33"/>
        <v>17IA25.30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7"/>
    </row>
    <row r="2155" spans="1:14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J2155" s="1" t="str">
        <f t="shared" si="33"/>
        <v>17IA25.30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7"/>
    </row>
    <row r="2156" spans="1:14">
      <c r="A2156" s="11" t="s">
        <v>1095</v>
      </c>
      <c r="B2156" s="11" t="s">
        <v>152</v>
      </c>
      <c r="C2156" s="11" t="s">
        <v>153</v>
      </c>
      <c r="D2156" s="11">
        <v>1</v>
      </c>
      <c r="E2156" s="11" t="s">
        <v>13</v>
      </c>
      <c r="F2156" s="20">
        <v>46266.571562500001</v>
      </c>
      <c r="G2156" s="11" t="s">
        <v>245</v>
      </c>
      <c r="H2156" s="11" t="s">
        <v>150</v>
      </c>
      <c r="I2156" s="1">
        <f>VLOOKUP(G2156,WO!A:J,10,0)</f>
        <v>20</v>
      </c>
      <c r="J2156" s="1" t="str">
        <f t="shared" si="33"/>
        <v>17IA25.30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7"/>
    </row>
    <row r="2157" spans="1:14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J2157" s="1" t="str">
        <f t="shared" si="33"/>
        <v>17IA25.30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7"/>
    </row>
    <row r="2158" spans="1:14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J2158" s="1" t="str">
        <f t="shared" si="33"/>
        <v>17IA25.30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7"/>
    </row>
    <row r="2159" spans="1:14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J2159" s="1" t="str">
        <f t="shared" si="33"/>
        <v>17IA25.30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7"/>
    </row>
    <row r="2160" spans="1:14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J2160" s="1" t="str">
        <f t="shared" si="33"/>
        <v>17IA25.30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7"/>
    </row>
    <row r="2161" spans="1:14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J2161" s="1" t="str">
        <f t="shared" si="33"/>
        <v>17IA25.30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7"/>
    </row>
    <row r="2162" spans="1:14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7"/>
    </row>
    <row r="2163" spans="1:14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7"/>
    </row>
    <row r="2164" spans="1:14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7"/>
    </row>
    <row r="2165" spans="1:14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7"/>
    </row>
    <row r="2166" spans="1:14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7"/>
    </row>
    <row r="2167" spans="1:14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J2167" s="1" t="str">
        <f t="shared" si="33"/>
        <v>17IA43.00</v>
      </c>
      <c r="K2167" s="1" t="str">
        <f>VLOOKUP(J2167,WO!B:E,4,0)</f>
        <v>AXFIA</v>
      </c>
      <c r="L2167" s="1" t="str">
        <f>VLOOKUP(J2167,WO!B:F,5,0)</f>
        <v>RRH</v>
      </c>
      <c r="N2167" s="7">
        <v>46065</v>
      </c>
    </row>
    <row r="2168" spans="1:14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J2168" s="1" t="str">
        <f t="shared" si="33"/>
        <v>17IA43.00</v>
      </c>
      <c r="K2168" s="1" t="str">
        <f>VLOOKUP(J2168,WO!B:E,4,0)</f>
        <v>AXFIA</v>
      </c>
      <c r="L2168" s="1" t="str">
        <f>VLOOKUP(J2168,WO!B:F,5,0)</f>
        <v>RRH</v>
      </c>
      <c r="N2168" s="7">
        <v>46077</v>
      </c>
    </row>
    <row r="2169" spans="1:14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J2169" s="1" t="str">
        <f t="shared" si="33"/>
        <v>17IA43.00</v>
      </c>
      <c r="K2169" s="1" t="str">
        <f>VLOOKUP(J2169,WO!B:E,4,0)</f>
        <v>AXFIA</v>
      </c>
      <c r="L2169" s="1" t="str">
        <f>VLOOKUP(J2169,WO!B:F,5,0)</f>
        <v>RRH</v>
      </c>
      <c r="N2169" s="7">
        <v>46066</v>
      </c>
    </row>
    <row r="2170" spans="1:14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J2170" s="1" t="str">
        <f t="shared" si="33"/>
        <v>17IA43.00</v>
      </c>
      <c r="K2170" s="1" t="str">
        <f>VLOOKUP(J2170,WO!B:E,4,0)</f>
        <v>AXFIA</v>
      </c>
      <c r="L2170" s="1" t="str">
        <f>VLOOKUP(J2170,WO!B:F,5,0)</f>
        <v>RRH</v>
      </c>
      <c r="N2170" s="7">
        <v>46066</v>
      </c>
    </row>
    <row r="2171" spans="1:14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J2171" s="1" t="str">
        <f t="shared" si="33"/>
        <v>17IA43.00</v>
      </c>
      <c r="K2171" s="1" t="str">
        <f>VLOOKUP(J2171,WO!B:E,4,0)</f>
        <v>AXFIA</v>
      </c>
      <c r="L2171" s="1" t="str">
        <f>VLOOKUP(J2171,WO!B:F,5,0)</f>
        <v>RRH</v>
      </c>
      <c r="N2171" s="7">
        <v>46066</v>
      </c>
    </row>
    <row r="2172" spans="1:14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J2172" s="1" t="str">
        <f t="shared" si="33"/>
        <v>17IA43.00</v>
      </c>
      <c r="K2172" s="1" t="str">
        <f>VLOOKUP(J2172,WO!B:E,4,0)</f>
        <v>AXFIA</v>
      </c>
      <c r="L2172" s="1" t="str">
        <f>VLOOKUP(J2172,WO!B:F,5,0)</f>
        <v>RRH</v>
      </c>
      <c r="N2172" s="7">
        <v>46104</v>
      </c>
    </row>
    <row r="2173" spans="1:14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J2173" s="1" t="str">
        <f t="shared" si="33"/>
        <v>17IA43.00</v>
      </c>
      <c r="K2173" s="1" t="str">
        <f>VLOOKUP(J2173,WO!B:E,4,0)</f>
        <v>AXFIA</v>
      </c>
      <c r="L2173" s="1" t="str">
        <f>VLOOKUP(J2173,WO!B:F,5,0)</f>
        <v>RRH</v>
      </c>
      <c r="N2173" s="7">
        <v>46085</v>
      </c>
    </row>
    <row r="2174" spans="1:14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J2174" s="1" t="str">
        <f t="shared" si="33"/>
        <v>17IA43.00</v>
      </c>
      <c r="K2174" s="1" t="str">
        <f>VLOOKUP(J2174,WO!B:E,4,0)</f>
        <v>AXFIA</v>
      </c>
      <c r="L2174" s="1" t="str">
        <f>VLOOKUP(J2174,WO!B:F,5,0)</f>
        <v>RRH</v>
      </c>
      <c r="N2174" s="7">
        <v>46080</v>
      </c>
    </row>
    <row r="2175" spans="1:14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J2175" s="1" t="str">
        <f t="shared" si="33"/>
        <v>17IA43.00</v>
      </c>
      <c r="K2175" s="1" t="str">
        <f>VLOOKUP(J2175,WO!B:E,4,0)</f>
        <v>AXFIA</v>
      </c>
      <c r="L2175" s="1" t="str">
        <f>VLOOKUP(J2175,WO!B:F,5,0)</f>
        <v>RRH</v>
      </c>
      <c r="N2175" s="7">
        <v>46101</v>
      </c>
    </row>
    <row r="2176" spans="1:14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J2176" s="1" t="str">
        <f t="shared" si="33"/>
        <v>17IA43.00</v>
      </c>
      <c r="K2176" s="1" t="str">
        <f>VLOOKUP(J2176,WO!B:E,4,0)</f>
        <v>AXFIA</v>
      </c>
      <c r="L2176" s="1" t="str">
        <f>VLOOKUP(J2176,WO!B:F,5,0)</f>
        <v>RRH</v>
      </c>
      <c r="N2176" s="7">
        <v>46080</v>
      </c>
    </row>
    <row r="2177" spans="1:14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J2177" s="1" t="str">
        <f t="shared" si="33"/>
        <v>17IA43.00</v>
      </c>
      <c r="K2177" s="1" t="str">
        <f>VLOOKUP(J2177,WO!B:E,4,0)</f>
        <v>AXFIA</v>
      </c>
      <c r="L2177" s="1" t="str">
        <f>VLOOKUP(J2177,WO!B:F,5,0)</f>
        <v>RRH</v>
      </c>
      <c r="N2177" s="7">
        <v>46085</v>
      </c>
    </row>
    <row r="2178" spans="1:14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J2178" s="1" t="str">
        <f t="shared" si="33"/>
        <v>17IA43.00</v>
      </c>
      <c r="K2178" s="1" t="str">
        <f>VLOOKUP(J2178,WO!B:E,4,0)</f>
        <v>AXFIA</v>
      </c>
      <c r="L2178" s="1" t="str">
        <f>VLOOKUP(J2178,WO!B:F,5,0)</f>
        <v>RRH</v>
      </c>
      <c r="N2178" s="7">
        <v>46086</v>
      </c>
    </row>
    <row r="2179" spans="1:14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J2179" s="1" t="str">
        <f t="shared" ref="J2179:J2242" si="34">MID(G2179,3,9)</f>
        <v>17IA43.00</v>
      </c>
      <c r="K2179" s="1" t="str">
        <f>VLOOKUP(J2179,WO!B:E,4,0)</f>
        <v>AXFIA</v>
      </c>
      <c r="L2179" s="1" t="str">
        <f>VLOOKUP(J2179,WO!B:F,5,0)</f>
        <v>RRH</v>
      </c>
      <c r="N2179" s="7">
        <v>46080</v>
      </c>
    </row>
    <row r="2180" spans="1:14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J2180" s="1" t="str">
        <f t="shared" si="34"/>
        <v>17IA43.00</v>
      </c>
      <c r="K2180" s="1" t="str">
        <f>VLOOKUP(J2180,WO!B:E,4,0)</f>
        <v>AXFIA</v>
      </c>
      <c r="L2180" s="1" t="str">
        <f>VLOOKUP(J2180,WO!B:F,5,0)</f>
        <v>RRH</v>
      </c>
      <c r="N2180" s="7">
        <v>46119</v>
      </c>
    </row>
    <row r="2181" spans="1:14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J2181" s="1" t="str">
        <f t="shared" si="34"/>
        <v>17IA43.00</v>
      </c>
      <c r="K2181" s="1" t="str">
        <f>VLOOKUP(J2181,WO!B:E,4,0)</f>
        <v>AXFIA</v>
      </c>
      <c r="L2181" s="1" t="str">
        <f>VLOOKUP(J2181,WO!B:F,5,0)</f>
        <v>RRH</v>
      </c>
      <c r="N2181" s="7">
        <v>46097</v>
      </c>
    </row>
    <row r="2182" spans="1:14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J2182" s="1" t="str">
        <f t="shared" si="34"/>
        <v>17IA43.00</v>
      </c>
      <c r="K2182" s="1" t="str">
        <f>VLOOKUP(J2182,WO!B:E,4,0)</f>
        <v>AXFIA</v>
      </c>
      <c r="L2182" s="1" t="str">
        <f>VLOOKUP(J2182,WO!B:F,5,0)</f>
        <v>RRH</v>
      </c>
      <c r="N2182" s="7">
        <v>46104</v>
      </c>
    </row>
    <row r="2183" spans="1:14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J2183" s="1" t="str">
        <f t="shared" si="34"/>
        <v>17IA43.00</v>
      </c>
      <c r="K2183" s="1" t="str">
        <f>VLOOKUP(J2183,WO!B:E,4,0)</f>
        <v>AXFIA</v>
      </c>
      <c r="L2183" s="1" t="str">
        <f>VLOOKUP(J2183,WO!B:F,5,0)</f>
        <v>RRH</v>
      </c>
      <c r="N2183" s="7">
        <v>46093</v>
      </c>
    </row>
    <row r="2184" spans="1:14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J2184" s="1" t="str">
        <f t="shared" si="34"/>
        <v>17IA43.00</v>
      </c>
      <c r="K2184" s="1" t="str">
        <f>VLOOKUP(J2184,WO!B:E,4,0)</f>
        <v>AXFIA</v>
      </c>
      <c r="L2184" s="1" t="str">
        <f>VLOOKUP(J2184,WO!B:F,5,0)</f>
        <v>RRH</v>
      </c>
      <c r="N2184" s="7">
        <v>46119</v>
      </c>
    </row>
    <row r="2185" spans="1:14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J2185" s="1" t="str">
        <f t="shared" si="34"/>
        <v>17IA43.00</v>
      </c>
      <c r="K2185" s="1" t="str">
        <f>VLOOKUP(J2185,WO!B:E,4,0)</f>
        <v>AXFIA</v>
      </c>
      <c r="L2185" s="1" t="str">
        <f>VLOOKUP(J2185,WO!B:F,5,0)</f>
        <v>RRH</v>
      </c>
      <c r="N2185" s="7">
        <v>46119</v>
      </c>
    </row>
    <row r="2186" spans="1:14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J2186" s="1" t="str">
        <f t="shared" si="34"/>
        <v>17IA43.00</v>
      </c>
      <c r="K2186" s="1" t="str">
        <f>VLOOKUP(J2186,WO!B:E,4,0)</f>
        <v>AXFIA</v>
      </c>
      <c r="L2186" s="1" t="str">
        <f>VLOOKUP(J2186,WO!B:F,5,0)</f>
        <v>RRH</v>
      </c>
      <c r="N2186" s="7">
        <v>46119</v>
      </c>
    </row>
    <row r="2187" spans="1:14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J2187" s="1" t="str">
        <f t="shared" si="34"/>
        <v>17IA44.00</v>
      </c>
      <c r="K2187" s="1" t="str">
        <f>VLOOKUP(J2187,WO!B:E,4,0)</f>
        <v>AXFIA</v>
      </c>
      <c r="L2187" s="1" t="str">
        <f>VLOOKUP(J2187,WO!B:F,5,0)</f>
        <v>RRH</v>
      </c>
      <c r="N2187" s="7">
        <v>46164</v>
      </c>
    </row>
    <row r="2188" spans="1:14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J2188" s="1" t="str">
        <f t="shared" si="34"/>
        <v>17IA44.00</v>
      </c>
      <c r="K2188" s="1" t="str">
        <f>VLOOKUP(J2188,WO!B:E,4,0)</f>
        <v>AXFIA</v>
      </c>
      <c r="L2188" s="1" t="str">
        <f>VLOOKUP(J2188,WO!B:F,5,0)</f>
        <v>RRH</v>
      </c>
      <c r="N2188" s="7">
        <v>46155</v>
      </c>
    </row>
    <row r="2189" spans="1:14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J2189" s="1" t="str">
        <f t="shared" si="34"/>
        <v>17IA44.00</v>
      </c>
      <c r="K2189" s="1" t="str">
        <f>VLOOKUP(J2189,WO!B:E,4,0)</f>
        <v>AXFIA</v>
      </c>
      <c r="L2189" s="1" t="str">
        <f>VLOOKUP(J2189,WO!B:F,5,0)</f>
        <v>RRH</v>
      </c>
      <c r="N2189" s="7">
        <v>46155</v>
      </c>
    </row>
    <row r="2190" spans="1:14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J2190" s="1" t="str">
        <f t="shared" si="34"/>
        <v>17IA44.00</v>
      </c>
      <c r="K2190" s="1" t="str">
        <f>VLOOKUP(J2190,WO!B:E,4,0)</f>
        <v>AXFIA</v>
      </c>
      <c r="L2190" s="1" t="str">
        <f>VLOOKUP(J2190,WO!B:F,5,0)</f>
        <v>RRH</v>
      </c>
      <c r="N2190" s="7">
        <v>46161</v>
      </c>
    </row>
    <row r="2191" spans="1:14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J2191" s="1" t="str">
        <f t="shared" si="34"/>
        <v>17IA44.00</v>
      </c>
      <c r="K2191" s="1" t="str">
        <f>VLOOKUP(J2191,WO!B:E,4,0)</f>
        <v>AXFIA</v>
      </c>
      <c r="L2191" s="1" t="str">
        <f>VLOOKUP(J2191,WO!B:F,5,0)</f>
        <v>RRH</v>
      </c>
      <c r="N2191" s="7">
        <v>46150</v>
      </c>
    </row>
    <row r="2192" spans="1:14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J2192" s="1" t="str">
        <f t="shared" si="34"/>
        <v>17IA44.00</v>
      </c>
      <c r="K2192" s="1" t="str">
        <f>VLOOKUP(J2192,WO!B:E,4,0)</f>
        <v>AXFIA</v>
      </c>
      <c r="L2192" s="1" t="str">
        <f>VLOOKUP(J2192,WO!B:F,5,0)</f>
        <v>RRH</v>
      </c>
      <c r="N2192" s="7">
        <v>46150</v>
      </c>
    </row>
    <row r="2193" spans="1:14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J2193" s="1" t="str">
        <f t="shared" si="34"/>
        <v>17IA44.00</v>
      </c>
      <c r="K2193" s="1" t="str">
        <f>VLOOKUP(J2193,WO!B:E,4,0)</f>
        <v>AXFIA</v>
      </c>
      <c r="L2193" s="1" t="str">
        <f>VLOOKUP(J2193,WO!B:F,5,0)</f>
        <v>RRH</v>
      </c>
      <c r="N2193" s="7">
        <v>46150</v>
      </c>
    </row>
    <row r="2194" spans="1:14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J2194" s="1" t="str">
        <f t="shared" si="34"/>
        <v>17IA44.00</v>
      </c>
      <c r="K2194" s="1" t="str">
        <f>VLOOKUP(J2194,WO!B:E,4,0)</f>
        <v>AXFIA</v>
      </c>
      <c r="L2194" s="1" t="str">
        <f>VLOOKUP(J2194,WO!B:F,5,0)</f>
        <v>RRH</v>
      </c>
      <c r="N2194" s="7">
        <v>46150</v>
      </c>
    </row>
    <row r="2195" spans="1:14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J2195" s="1" t="str">
        <f t="shared" si="34"/>
        <v>17IA44.00</v>
      </c>
      <c r="K2195" s="1" t="str">
        <f>VLOOKUP(J2195,WO!B:E,4,0)</f>
        <v>AXFIA</v>
      </c>
      <c r="L2195" s="1" t="str">
        <f>VLOOKUP(J2195,WO!B:F,5,0)</f>
        <v>RRH</v>
      </c>
      <c r="N2195" s="7">
        <v>46162</v>
      </c>
    </row>
    <row r="2196" spans="1:14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J2196" s="1" t="str">
        <f t="shared" si="34"/>
        <v>17IA44.00</v>
      </c>
      <c r="K2196" s="1" t="str">
        <f>VLOOKUP(J2196,WO!B:E,4,0)</f>
        <v>AXFIA</v>
      </c>
      <c r="L2196" s="1" t="str">
        <f>VLOOKUP(J2196,WO!B:F,5,0)</f>
        <v>RRH</v>
      </c>
      <c r="N2196" s="7">
        <v>46156</v>
      </c>
    </row>
    <row r="2197" spans="1:14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J2197" s="1" t="str">
        <f t="shared" si="34"/>
        <v>17IA44.00</v>
      </c>
      <c r="K2197" s="1" t="str">
        <f>VLOOKUP(J2197,WO!B:E,4,0)</f>
        <v>AXFIA</v>
      </c>
      <c r="L2197" s="1" t="str">
        <f>VLOOKUP(J2197,WO!B:F,5,0)</f>
        <v>RRH</v>
      </c>
      <c r="N2197" s="7">
        <v>46155</v>
      </c>
    </row>
    <row r="2198" spans="1:14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J2198" s="1" t="str">
        <f t="shared" si="34"/>
        <v>17IA44.00</v>
      </c>
      <c r="K2198" s="1" t="str">
        <f>VLOOKUP(J2198,WO!B:E,4,0)</f>
        <v>AXFIA</v>
      </c>
      <c r="L2198" s="1" t="str">
        <f>VLOOKUP(J2198,WO!B:F,5,0)</f>
        <v>RRH</v>
      </c>
      <c r="N2198" s="7">
        <v>46156</v>
      </c>
    </row>
    <row r="2199" spans="1:14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J2199" s="1" t="str">
        <f t="shared" si="34"/>
        <v>17IA44.00</v>
      </c>
      <c r="K2199" s="1" t="str">
        <f>VLOOKUP(J2199,WO!B:E,4,0)</f>
        <v>AXFIA</v>
      </c>
      <c r="L2199" s="1" t="str">
        <f>VLOOKUP(J2199,WO!B:F,5,0)</f>
        <v>RRH</v>
      </c>
      <c r="N2199" s="7">
        <v>46155</v>
      </c>
    </row>
    <row r="2200" spans="1:14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J2200" s="1" t="str">
        <f t="shared" si="34"/>
        <v>17IA44.00</v>
      </c>
      <c r="K2200" s="1" t="str">
        <f>VLOOKUP(J2200,WO!B:E,4,0)</f>
        <v>AXFIA</v>
      </c>
      <c r="L2200" s="1" t="str">
        <f>VLOOKUP(J2200,WO!B:F,5,0)</f>
        <v>RRH</v>
      </c>
      <c r="N2200" s="7">
        <v>46155</v>
      </c>
    </row>
    <row r="2201" spans="1:14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J2201" s="1" t="str">
        <f t="shared" si="34"/>
        <v>17IA44.00</v>
      </c>
      <c r="K2201" s="1" t="str">
        <f>VLOOKUP(J2201,WO!B:E,4,0)</f>
        <v>AXFIA</v>
      </c>
      <c r="L2201" s="1" t="str">
        <f>VLOOKUP(J2201,WO!B:F,5,0)</f>
        <v>RRH</v>
      </c>
      <c r="N2201" s="7">
        <v>46164</v>
      </c>
    </row>
    <row r="2202" spans="1:14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J2202" s="1" t="str">
        <f t="shared" si="34"/>
        <v>17IA44.10</v>
      </c>
      <c r="K2202" s="1" t="str">
        <f>VLOOKUP(J2202,WO!B:E,4,0)</f>
        <v>AXFIA</v>
      </c>
      <c r="L2202" s="1" t="str">
        <f>VLOOKUP(J2202,WO!B:F,5,0)</f>
        <v xml:space="preserve">  RRH Unit</v>
      </c>
      <c r="N2202" s="7">
        <v>46185</v>
      </c>
    </row>
    <row r="2203" spans="1:14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J2203" s="1" t="str">
        <f t="shared" si="34"/>
        <v>17IA44.10</v>
      </c>
      <c r="K2203" s="1" t="str">
        <f>VLOOKUP(J2203,WO!B:E,4,0)</f>
        <v>AXFIA</v>
      </c>
      <c r="L2203" s="1" t="str">
        <f>VLOOKUP(J2203,WO!B:F,5,0)</f>
        <v xml:space="preserve">  RRH Unit</v>
      </c>
      <c r="N2203" s="7">
        <v>46185</v>
      </c>
    </row>
    <row r="2204" spans="1:14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J2204" s="1" t="str">
        <f t="shared" si="34"/>
        <v>17IA44.10</v>
      </c>
      <c r="K2204" s="1" t="str">
        <f>VLOOKUP(J2204,WO!B:E,4,0)</f>
        <v>AXFIA</v>
      </c>
      <c r="L2204" s="1" t="str">
        <f>VLOOKUP(J2204,WO!B:F,5,0)</f>
        <v xml:space="preserve">  RRH Unit</v>
      </c>
      <c r="N2204" s="7">
        <v>46185</v>
      </c>
    </row>
    <row r="2205" spans="1:14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J2205" s="1" t="str">
        <f t="shared" si="34"/>
        <v>17IA44.10</v>
      </c>
      <c r="K2205" s="1" t="str">
        <f>VLOOKUP(J2205,WO!B:E,4,0)</f>
        <v>AXFIA</v>
      </c>
      <c r="L2205" s="1" t="str">
        <f>VLOOKUP(J2205,WO!B:F,5,0)</f>
        <v xml:space="preserve">  RRH Unit</v>
      </c>
      <c r="N2205" s="7">
        <v>46185</v>
      </c>
    </row>
    <row r="2206" spans="1:14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J2206" s="1" t="str">
        <f t="shared" si="34"/>
        <v>17IA44.10</v>
      </c>
      <c r="K2206" s="1" t="str">
        <f>VLOOKUP(J2206,WO!B:E,4,0)</f>
        <v>AXFIA</v>
      </c>
      <c r="L2206" s="1" t="str">
        <f>VLOOKUP(J2206,WO!B:F,5,0)</f>
        <v xml:space="preserve">  RRH Unit</v>
      </c>
      <c r="N2206" s="7">
        <v>46185</v>
      </c>
    </row>
    <row r="2207" spans="1:14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J2207" s="1" t="str">
        <f t="shared" si="34"/>
        <v>17IA44.10</v>
      </c>
      <c r="K2207" s="1" t="str">
        <f>VLOOKUP(J2207,WO!B:E,4,0)</f>
        <v>AXFIA</v>
      </c>
      <c r="L2207" s="1" t="str">
        <f>VLOOKUP(J2207,WO!B:F,5,0)</f>
        <v xml:space="preserve">  RRH Unit</v>
      </c>
      <c r="N2207" s="7">
        <v>46192</v>
      </c>
    </row>
    <row r="2208" spans="1:14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J2208" s="1" t="str">
        <f t="shared" si="34"/>
        <v>17IA44.10</v>
      </c>
      <c r="K2208" s="1" t="str">
        <f>VLOOKUP(J2208,WO!B:E,4,0)</f>
        <v>AXFIA</v>
      </c>
      <c r="L2208" s="1" t="str">
        <f>VLOOKUP(J2208,WO!B:F,5,0)</f>
        <v xml:space="preserve">  RRH Unit</v>
      </c>
      <c r="N2208" s="7">
        <v>46196</v>
      </c>
    </row>
    <row r="2209" spans="1:14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J2209" s="1" t="str">
        <f t="shared" si="34"/>
        <v>17IA44.10</v>
      </c>
      <c r="K2209" s="1" t="str">
        <f>VLOOKUP(J2209,WO!B:E,4,0)</f>
        <v>AXFIA</v>
      </c>
      <c r="L2209" s="1" t="str">
        <f>VLOOKUP(J2209,WO!B:F,5,0)</f>
        <v xml:space="preserve">  RRH Unit</v>
      </c>
      <c r="N2209" s="7">
        <v>46192</v>
      </c>
    </row>
    <row r="2210" spans="1:14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J2210" s="1" t="str">
        <f t="shared" si="34"/>
        <v>17IA44.10</v>
      </c>
      <c r="K2210" s="1" t="str">
        <f>VLOOKUP(J2210,WO!B:E,4,0)</f>
        <v>AXFIA</v>
      </c>
      <c r="L2210" s="1" t="str">
        <f>VLOOKUP(J2210,WO!B:F,5,0)</f>
        <v xml:space="preserve">  RRH Unit</v>
      </c>
      <c r="N2210" s="7">
        <v>46185</v>
      </c>
    </row>
    <row r="2211" spans="1:14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J2211" s="1" t="str">
        <f t="shared" si="34"/>
        <v>17IA44.10</v>
      </c>
      <c r="K2211" s="1" t="str">
        <f>VLOOKUP(J2211,WO!B:E,4,0)</f>
        <v>AXFIA</v>
      </c>
      <c r="L2211" s="1" t="str">
        <f>VLOOKUP(J2211,WO!B:F,5,0)</f>
        <v xml:space="preserve">  RRH Unit</v>
      </c>
      <c r="N2211" s="7">
        <v>46196</v>
      </c>
    </row>
    <row r="2212" spans="1:14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J2212" s="1" t="str">
        <f t="shared" si="34"/>
        <v>17IA44.10</v>
      </c>
      <c r="K2212" s="1" t="str">
        <f>VLOOKUP(J2212,WO!B:E,4,0)</f>
        <v>AXFIA</v>
      </c>
      <c r="L2212" s="1" t="str">
        <f>VLOOKUP(J2212,WO!B:F,5,0)</f>
        <v xml:space="preserve">  RRH Unit</v>
      </c>
      <c r="N2212" s="7">
        <v>46188</v>
      </c>
    </row>
    <row r="2213" spans="1:14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J2213" s="1" t="str">
        <f t="shared" si="34"/>
        <v>17IA44.10</v>
      </c>
      <c r="K2213" s="1" t="str">
        <f>VLOOKUP(J2213,WO!B:E,4,0)</f>
        <v>AXFIA</v>
      </c>
      <c r="L2213" s="1" t="str">
        <f>VLOOKUP(J2213,WO!B:F,5,0)</f>
        <v xml:space="preserve">  RRH Unit</v>
      </c>
      <c r="N2213" s="7">
        <v>46191</v>
      </c>
    </row>
    <row r="2214" spans="1:14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J2214" s="1" t="str">
        <f t="shared" si="34"/>
        <v>17IA44.10</v>
      </c>
      <c r="K2214" s="1" t="str">
        <f>VLOOKUP(J2214,WO!B:E,4,0)</f>
        <v>AXFIA</v>
      </c>
      <c r="L2214" s="1" t="str">
        <f>VLOOKUP(J2214,WO!B:F,5,0)</f>
        <v xml:space="preserve">  RRH Unit</v>
      </c>
      <c r="N2214" s="7">
        <v>46197</v>
      </c>
    </row>
    <row r="2215" spans="1:14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J2215" s="1" t="str">
        <f t="shared" si="34"/>
        <v>17IA44.10</v>
      </c>
      <c r="K2215" s="1" t="str">
        <f>VLOOKUP(J2215,WO!B:E,4,0)</f>
        <v>AXFIA</v>
      </c>
      <c r="L2215" s="1" t="str">
        <f>VLOOKUP(J2215,WO!B:F,5,0)</f>
        <v xml:space="preserve">  RRH Unit</v>
      </c>
      <c r="N2215" s="7">
        <v>46197</v>
      </c>
    </row>
    <row r="2216" spans="1:14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J2216" s="1" t="str">
        <f t="shared" si="34"/>
        <v>17IA44.10</v>
      </c>
      <c r="K2216" s="1" t="str">
        <f>VLOOKUP(J2216,WO!B:E,4,0)</f>
        <v>AXFIA</v>
      </c>
      <c r="L2216" s="1" t="str">
        <f>VLOOKUP(J2216,WO!B:F,5,0)</f>
        <v xml:space="preserve">  RRH Unit</v>
      </c>
      <c r="N2216" s="7">
        <v>46204</v>
      </c>
    </row>
    <row r="2217" spans="1:14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J2217" s="1" t="str">
        <f t="shared" si="34"/>
        <v>17IA44.10</v>
      </c>
      <c r="K2217" s="1" t="str">
        <f>VLOOKUP(J2217,WO!B:E,4,0)</f>
        <v>AXFIA</v>
      </c>
      <c r="L2217" s="1" t="str">
        <f>VLOOKUP(J2217,WO!B:F,5,0)</f>
        <v xml:space="preserve">  RRH Unit</v>
      </c>
      <c r="N2217" s="7">
        <v>46192</v>
      </c>
    </row>
    <row r="2218" spans="1:14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J2218" s="1" t="str">
        <f t="shared" si="34"/>
        <v>17IA44.10</v>
      </c>
      <c r="K2218" s="1" t="str">
        <f>VLOOKUP(J2218,WO!B:E,4,0)</f>
        <v>AXFIA</v>
      </c>
      <c r="L2218" s="1" t="str">
        <f>VLOOKUP(J2218,WO!B:F,5,0)</f>
        <v xml:space="preserve">  RRH Unit</v>
      </c>
      <c r="N2218" s="7"/>
    </row>
    <row r="2219" spans="1:14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J2219" s="1" t="str">
        <f t="shared" si="34"/>
        <v>17IA44.10</v>
      </c>
      <c r="K2219" s="1" t="str">
        <f>VLOOKUP(J2219,WO!B:E,4,0)</f>
        <v>AXFIA</v>
      </c>
      <c r="L2219" s="1" t="str">
        <f>VLOOKUP(J2219,WO!B:F,5,0)</f>
        <v xml:space="preserve">  RRH Unit</v>
      </c>
      <c r="N2219" s="7">
        <v>46196</v>
      </c>
    </row>
    <row r="2220" spans="1:14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J2220" s="1" t="str">
        <f t="shared" si="34"/>
        <v>17IA44.10</v>
      </c>
      <c r="K2220" s="1" t="str">
        <f>VLOOKUP(J2220,WO!B:E,4,0)</f>
        <v>AXFIA</v>
      </c>
      <c r="L2220" s="1" t="str">
        <f>VLOOKUP(J2220,WO!B:F,5,0)</f>
        <v xml:space="preserve">  RRH Unit</v>
      </c>
      <c r="N2220" s="7">
        <v>46199</v>
      </c>
    </row>
    <row r="2221" spans="1:14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J2221" s="1" t="str">
        <f t="shared" si="34"/>
        <v>17IA44.10</v>
      </c>
      <c r="K2221" s="1" t="str">
        <f>VLOOKUP(J2221,WO!B:E,4,0)</f>
        <v>AXFIA</v>
      </c>
      <c r="L2221" s="1" t="str">
        <f>VLOOKUP(J2221,WO!B:F,5,0)</f>
        <v xml:space="preserve">  RRH Unit</v>
      </c>
      <c r="N2221" s="7">
        <v>46199</v>
      </c>
    </row>
    <row r="2222" spans="1:14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J2222" s="1" t="str">
        <f t="shared" si="34"/>
        <v>17IA44.10</v>
      </c>
      <c r="K2222" s="1" t="str">
        <f>VLOOKUP(J2222,WO!B:E,4,0)</f>
        <v>AXFIA</v>
      </c>
      <c r="L2222" s="1" t="str">
        <f>VLOOKUP(J2222,WO!B:F,5,0)</f>
        <v xml:space="preserve">  RRH Unit</v>
      </c>
      <c r="N2222" s="7">
        <v>46198</v>
      </c>
    </row>
    <row r="2223" spans="1:14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J2223" s="1" t="str">
        <f t="shared" si="34"/>
        <v>17IA44.10</v>
      </c>
      <c r="K2223" s="1" t="str">
        <f>VLOOKUP(J2223,WO!B:E,4,0)</f>
        <v>AXFIA</v>
      </c>
      <c r="L2223" s="1" t="str">
        <f>VLOOKUP(J2223,WO!B:F,5,0)</f>
        <v xml:space="preserve">  RRH Unit</v>
      </c>
      <c r="N2223" s="7">
        <v>46202</v>
      </c>
    </row>
    <row r="2224" spans="1:14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" t="str">
        <f t="shared" si="34"/>
        <v>17IA44.10</v>
      </c>
      <c r="K2224" s="1" t="str">
        <f>VLOOKUP(J2224,WO!B:E,4,0)</f>
        <v>AXFIA</v>
      </c>
      <c r="L2224" s="1" t="str">
        <f>VLOOKUP(J2224,WO!B:F,5,0)</f>
        <v xml:space="preserve">  RRH Unit</v>
      </c>
      <c r="M2224" s="11"/>
      <c r="N2224" s="7">
        <v>46238</v>
      </c>
    </row>
    <row r="2225" spans="1:14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J2225" s="1" t="str">
        <f t="shared" si="34"/>
        <v>17IA44.10</v>
      </c>
      <c r="K2225" s="1" t="str">
        <f>VLOOKUP(J2225,WO!B:E,4,0)</f>
        <v>AXFIA</v>
      </c>
      <c r="L2225" s="1" t="str">
        <f>VLOOKUP(J2225,WO!B:F,5,0)</f>
        <v xml:space="preserve">  RRH Unit</v>
      </c>
      <c r="N2225" s="7">
        <v>46203</v>
      </c>
    </row>
    <row r="2226" spans="1:14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J2226" s="1" t="str">
        <f t="shared" si="34"/>
        <v>17IA44.10</v>
      </c>
      <c r="K2226" s="1" t="str">
        <f>VLOOKUP(J2226,WO!B:E,4,0)</f>
        <v>AXFIA</v>
      </c>
      <c r="L2226" s="1" t="str">
        <f>VLOOKUP(J2226,WO!B:F,5,0)</f>
        <v xml:space="preserve">  RRH Unit</v>
      </c>
      <c r="N2226" s="7">
        <v>46203</v>
      </c>
    </row>
    <row r="2227" spans="1:14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J2227" s="1" t="str">
        <f t="shared" si="34"/>
        <v>17IA44.10</v>
      </c>
      <c r="K2227" s="1" t="str">
        <f>VLOOKUP(J2227,WO!B:E,4,0)</f>
        <v>AXFIA</v>
      </c>
      <c r="L2227" s="1" t="str">
        <f>VLOOKUP(J2227,WO!B:F,5,0)</f>
        <v xml:space="preserve">  RRH Unit</v>
      </c>
      <c r="N2227" s="7">
        <v>46202</v>
      </c>
    </row>
    <row r="2228" spans="1:14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J2228" s="1" t="str">
        <f t="shared" si="34"/>
        <v>17IA44.10</v>
      </c>
      <c r="K2228" s="1" t="str">
        <f>VLOOKUP(J2228,WO!B:E,4,0)</f>
        <v>AXFIA</v>
      </c>
      <c r="L2228" s="1" t="str">
        <f>VLOOKUP(J2228,WO!B:F,5,0)</f>
        <v xml:space="preserve">  RRH Unit</v>
      </c>
      <c r="N2228" s="7">
        <v>46203</v>
      </c>
    </row>
    <row r="2229" spans="1:14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J2229" s="1" t="str">
        <f t="shared" si="34"/>
        <v>17IA44.10</v>
      </c>
      <c r="K2229" s="1" t="str">
        <f>VLOOKUP(J2229,WO!B:E,4,0)</f>
        <v>AXFIA</v>
      </c>
      <c r="L2229" s="1" t="str">
        <f>VLOOKUP(J2229,WO!B:F,5,0)</f>
        <v xml:space="preserve">  RRH Unit</v>
      </c>
      <c r="N2229" s="7">
        <v>46255</v>
      </c>
    </row>
    <row r="2230" spans="1:14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J2230" s="1" t="str">
        <f t="shared" si="34"/>
        <v>17IA44.10</v>
      </c>
      <c r="K2230" s="1" t="str">
        <f>VLOOKUP(J2230,WO!B:E,4,0)</f>
        <v>AXFIA</v>
      </c>
      <c r="L2230" s="1" t="str">
        <f>VLOOKUP(J2230,WO!B:F,5,0)</f>
        <v xml:space="preserve">  RRH Unit</v>
      </c>
      <c r="N2230" s="7">
        <v>46216</v>
      </c>
    </row>
    <row r="2231" spans="1:14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J2231" s="1" t="str">
        <f t="shared" si="34"/>
        <v>17IA44.10</v>
      </c>
      <c r="K2231" s="1" t="str">
        <f>VLOOKUP(J2231,WO!B:E,4,0)</f>
        <v>AXFIA</v>
      </c>
      <c r="L2231" s="1" t="str">
        <f>VLOOKUP(J2231,WO!B:F,5,0)</f>
        <v xml:space="preserve">  RRH Unit</v>
      </c>
      <c r="N2231" s="7">
        <v>46213</v>
      </c>
    </row>
    <row r="2232" spans="1:14">
      <c r="A2232" s="11" t="s">
        <v>3743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2154</v>
      </c>
      <c r="H2232" s="11" t="s">
        <v>3744</v>
      </c>
      <c r="I2232" s="1">
        <f>VLOOKUP(G2232,WO!A:J,10,0)</f>
        <v>45</v>
      </c>
      <c r="J2232" s="1" t="str">
        <f t="shared" si="34"/>
        <v>17IA44.20</v>
      </c>
      <c r="K2232" s="1" t="str">
        <f>VLOOKUP(J2232,WO!B:E,4,0)</f>
        <v>AXFIA</v>
      </c>
      <c r="L2232" s="1" t="str">
        <f>VLOOKUP(J2232,WO!B:F,5,0)</f>
        <v xml:space="preserve">  RRH Unit</v>
      </c>
      <c r="N2232" s="7">
        <v>46261</v>
      </c>
    </row>
    <row r="2233" spans="1:14">
      <c r="A2233" s="11" t="s">
        <v>3745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2154</v>
      </c>
      <c r="H2233" s="11" t="s">
        <v>3744</v>
      </c>
      <c r="I2233" s="1">
        <f>VLOOKUP(G2233,WO!A:J,10,0)</f>
        <v>45</v>
      </c>
      <c r="J2233" s="1" t="str">
        <f t="shared" si="34"/>
        <v>17IA44.20</v>
      </c>
      <c r="K2233" s="1" t="str">
        <f>VLOOKUP(J2233,WO!B:E,4,0)</f>
        <v>AXFIA</v>
      </c>
      <c r="L2233" s="1" t="str">
        <f>VLOOKUP(J2233,WO!B:F,5,0)</f>
        <v xml:space="preserve">  RRH Unit</v>
      </c>
      <c r="N2233" s="7"/>
    </row>
    <row r="2234" spans="1:14">
      <c r="A2234" s="11" t="s">
        <v>3746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2154</v>
      </c>
      <c r="H2234" s="11" t="s">
        <v>3744</v>
      </c>
      <c r="I2234" s="1">
        <f>VLOOKUP(G2234,WO!A:J,10,0)</f>
        <v>45</v>
      </c>
      <c r="J2234" s="1" t="str">
        <f t="shared" si="34"/>
        <v>17IA44.20</v>
      </c>
      <c r="K2234" s="1" t="str">
        <f>VLOOKUP(J2234,WO!B:E,4,0)</f>
        <v>AXFIA</v>
      </c>
      <c r="L2234" s="1" t="str">
        <f>VLOOKUP(J2234,WO!B:F,5,0)</f>
        <v xml:space="preserve">  RRH Unit</v>
      </c>
      <c r="N2234" s="7"/>
    </row>
    <row r="2235" spans="1:14">
      <c r="A2235" s="11" t="s">
        <v>3747</v>
      </c>
      <c r="B2235" s="11" t="s">
        <v>2152</v>
      </c>
      <c r="C2235" s="11" t="s">
        <v>2153</v>
      </c>
      <c r="D2235" s="11">
        <v>1</v>
      </c>
      <c r="E2235" s="11" t="s">
        <v>76</v>
      </c>
      <c r="F2235" s="20">
        <v>46274.518043981479</v>
      </c>
      <c r="G2235" s="11" t="s">
        <v>2154</v>
      </c>
      <c r="H2235" s="11" t="s">
        <v>3744</v>
      </c>
      <c r="I2235" s="1">
        <f>VLOOKUP(G2235,WO!A:J,10,0)</f>
        <v>45</v>
      </c>
      <c r="J2235" s="1" t="str">
        <f t="shared" si="34"/>
        <v>17IA44.20</v>
      </c>
      <c r="K2235" s="1" t="str">
        <f>VLOOKUP(J2235,WO!B:E,4,0)</f>
        <v>AXFIA</v>
      </c>
      <c r="L2235" s="1" t="str">
        <f>VLOOKUP(J2235,WO!B:F,5,0)</f>
        <v xml:space="preserve">  RRH Unit</v>
      </c>
      <c r="N2235" s="7"/>
    </row>
    <row r="2236" spans="1:14">
      <c r="A2236" s="11" t="s">
        <v>3748</v>
      </c>
      <c r="B2236" s="11" t="s">
        <v>2152</v>
      </c>
      <c r="C2236" s="11" t="s">
        <v>2153</v>
      </c>
      <c r="D2236" s="11">
        <v>1</v>
      </c>
      <c r="E2236" s="11" t="s">
        <v>76</v>
      </c>
      <c r="F2236" s="20">
        <v>46274.58353009259</v>
      </c>
      <c r="G2236" s="11" t="s">
        <v>2154</v>
      </c>
      <c r="H2236" s="11" t="s">
        <v>3744</v>
      </c>
      <c r="I2236" s="1">
        <f>VLOOKUP(G2236,WO!A:J,10,0)</f>
        <v>45</v>
      </c>
      <c r="J2236" s="1" t="str">
        <f t="shared" si="34"/>
        <v>17IA44.20</v>
      </c>
      <c r="K2236" s="1" t="str">
        <f>VLOOKUP(J2236,WO!B:E,4,0)</f>
        <v>AXFIA</v>
      </c>
      <c r="L2236" s="1" t="str">
        <f>VLOOKUP(J2236,WO!B:F,5,0)</f>
        <v xml:space="preserve">  RRH Unit</v>
      </c>
      <c r="N2236" s="7"/>
    </row>
    <row r="2237" spans="1:14">
      <c r="A2237" s="11" t="s">
        <v>3749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2154</v>
      </c>
      <c r="H2237" s="11" t="s">
        <v>3744</v>
      </c>
      <c r="I2237" s="1">
        <f>VLOOKUP(G2237,WO!A:J,10,0)</f>
        <v>45</v>
      </c>
      <c r="J2237" s="1" t="str">
        <f t="shared" si="34"/>
        <v>17IA44.20</v>
      </c>
      <c r="K2237" s="1" t="str">
        <f>VLOOKUP(J2237,WO!B:E,4,0)</f>
        <v>AXFIA</v>
      </c>
      <c r="L2237" s="1" t="str">
        <f>VLOOKUP(J2237,WO!B:F,5,0)</f>
        <v xml:space="preserve">  RRH Unit</v>
      </c>
      <c r="N2237" s="7"/>
    </row>
    <row r="2238" spans="1:14">
      <c r="A2238" s="11" t="s">
        <v>3750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2154</v>
      </c>
      <c r="H2238" s="11" t="s">
        <v>3744</v>
      </c>
      <c r="I2238" s="1">
        <f>VLOOKUP(G2238,WO!A:J,10,0)</f>
        <v>45</v>
      </c>
      <c r="J2238" s="1" t="str">
        <f t="shared" si="34"/>
        <v>17IA44.20</v>
      </c>
      <c r="K2238" s="1" t="str">
        <f>VLOOKUP(J2238,WO!B:E,4,0)</f>
        <v>AXFIA</v>
      </c>
      <c r="L2238" s="1" t="str">
        <f>VLOOKUP(J2238,WO!B:F,5,0)</f>
        <v xml:space="preserve">  RRH Unit</v>
      </c>
      <c r="N2238" s="7"/>
    </row>
    <row r="2239" spans="1:14">
      <c r="A2239" s="11" t="s">
        <v>3751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2154</v>
      </c>
      <c r="H2239" s="11" t="s">
        <v>3744</v>
      </c>
      <c r="I2239" s="1">
        <f>VLOOKUP(G2239,WO!A:J,10,0)</f>
        <v>45</v>
      </c>
      <c r="J2239" s="1" t="str">
        <f t="shared" si="34"/>
        <v>17IA44.20</v>
      </c>
      <c r="K2239" s="1" t="str">
        <f>VLOOKUP(J2239,WO!B:E,4,0)</f>
        <v>AXFIA</v>
      </c>
      <c r="L2239" s="1" t="str">
        <f>VLOOKUP(J2239,WO!B:F,5,0)</f>
        <v xml:space="preserve">  RRH Unit</v>
      </c>
      <c r="N2239" s="7"/>
    </row>
    <row r="2240" spans="1:14">
      <c r="A2240" s="11" t="s">
        <v>3752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2154</v>
      </c>
      <c r="H2240" s="11" t="s">
        <v>3744</v>
      </c>
      <c r="I2240" s="1">
        <f>VLOOKUP(G2240,WO!A:J,10,0)</f>
        <v>45</v>
      </c>
      <c r="J2240" s="1" t="str">
        <f t="shared" si="34"/>
        <v>17IA44.20</v>
      </c>
      <c r="K2240" s="1" t="str">
        <f>VLOOKUP(J2240,WO!B:E,4,0)</f>
        <v>AXFIA</v>
      </c>
      <c r="L2240" s="1" t="str">
        <f>VLOOKUP(J2240,WO!B:F,5,0)</f>
        <v xml:space="preserve">  RRH Unit</v>
      </c>
      <c r="N2240" s="7"/>
    </row>
    <row r="2241" spans="1:14">
      <c r="A2241" s="11" t="s">
        <v>3753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2154</v>
      </c>
      <c r="H2241" s="11" t="s">
        <v>3744</v>
      </c>
      <c r="I2241" s="1">
        <f>VLOOKUP(G2241,WO!A:J,10,0)</f>
        <v>45</v>
      </c>
      <c r="J2241" s="1" t="str">
        <f t="shared" si="34"/>
        <v>17IA44.20</v>
      </c>
      <c r="K2241" s="1" t="str">
        <f>VLOOKUP(J2241,WO!B:E,4,0)</f>
        <v>AXFIA</v>
      </c>
      <c r="L2241" s="1" t="str">
        <f>VLOOKUP(J2241,WO!B:F,5,0)</f>
        <v xml:space="preserve">  RRH Unit</v>
      </c>
      <c r="N2241" s="7"/>
    </row>
    <row r="2242" spans="1:14">
      <c r="A2242" s="11" t="s">
        <v>3754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2154</v>
      </c>
      <c r="H2242" s="11" t="s">
        <v>3744</v>
      </c>
      <c r="I2242" s="1">
        <f>VLOOKUP(G2242,WO!A:J,10,0)</f>
        <v>45</v>
      </c>
      <c r="J2242" s="1" t="str">
        <f t="shared" si="34"/>
        <v>17IA44.20</v>
      </c>
      <c r="K2242" s="1" t="str">
        <f>VLOOKUP(J2242,WO!B:E,4,0)</f>
        <v>AXFIA</v>
      </c>
      <c r="L2242" s="1" t="str">
        <f>VLOOKUP(J2242,WO!B:F,5,0)</f>
        <v xml:space="preserve">  RRH Unit</v>
      </c>
      <c r="N2242" s="7"/>
    </row>
    <row r="2243" spans="1:14">
      <c r="A2243" s="11" t="s">
        <v>3755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2154</v>
      </c>
      <c r="H2243" s="11" t="s">
        <v>3744</v>
      </c>
      <c r="I2243" s="1">
        <f>VLOOKUP(G2243,WO!A:J,10,0)</f>
        <v>45</v>
      </c>
      <c r="J2243" s="1" t="str">
        <f t="shared" ref="J2243:J2306" si="35">MID(G2243,3,9)</f>
        <v>17IA44.20</v>
      </c>
      <c r="K2243" s="1" t="str">
        <f>VLOOKUP(J2243,WO!B:E,4,0)</f>
        <v>AXFIA</v>
      </c>
      <c r="L2243" s="1" t="str">
        <f>VLOOKUP(J2243,WO!B:F,5,0)</f>
        <v xml:space="preserve">  RRH Unit</v>
      </c>
      <c r="N2243" s="7"/>
    </row>
    <row r="2244" spans="1:14">
      <c r="A2244" s="11" t="s">
        <v>3756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2154</v>
      </c>
      <c r="H2244" s="11" t="s">
        <v>3744</v>
      </c>
      <c r="I2244" s="1">
        <f>VLOOKUP(G2244,WO!A:J,10,0)</f>
        <v>45</v>
      </c>
      <c r="J2244" s="1" t="str">
        <f t="shared" si="35"/>
        <v>17IA44.20</v>
      </c>
      <c r="K2244" s="1" t="str">
        <f>VLOOKUP(J2244,WO!B:E,4,0)</f>
        <v>AXFIA</v>
      </c>
      <c r="L2244" s="1" t="str">
        <f>VLOOKUP(J2244,WO!B:F,5,0)</f>
        <v xml:space="preserve">  RRH Unit</v>
      </c>
      <c r="N2244" s="7"/>
    </row>
    <row r="2245" spans="1:14">
      <c r="A2245" s="11" t="s">
        <v>3757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2154</v>
      </c>
      <c r="H2245" s="11" t="s">
        <v>3744</v>
      </c>
      <c r="I2245" s="1">
        <f>VLOOKUP(G2245,WO!A:J,10,0)</f>
        <v>45</v>
      </c>
      <c r="J2245" s="1" t="str">
        <f t="shared" si="35"/>
        <v>17IA44.20</v>
      </c>
      <c r="K2245" s="1" t="str">
        <f>VLOOKUP(J2245,WO!B:E,4,0)</f>
        <v>AXFIA</v>
      </c>
      <c r="L2245" s="1" t="str">
        <f>VLOOKUP(J2245,WO!B:F,5,0)</f>
        <v xml:space="preserve">  RRH Unit</v>
      </c>
      <c r="N2245" s="7"/>
    </row>
    <row r="2246" spans="1:14">
      <c r="A2246" s="11" t="s">
        <v>3758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2154</v>
      </c>
      <c r="H2246" s="11" t="s">
        <v>3744</v>
      </c>
      <c r="I2246" s="1">
        <f>VLOOKUP(G2246,WO!A:J,10,0)</f>
        <v>45</v>
      </c>
      <c r="J2246" s="1" t="str">
        <f t="shared" si="35"/>
        <v>17IA44.20</v>
      </c>
      <c r="K2246" s="1" t="str">
        <f>VLOOKUP(J2246,WO!B:E,4,0)</f>
        <v>AXFIA</v>
      </c>
      <c r="L2246" s="1" t="str">
        <f>VLOOKUP(J2246,WO!B:F,5,0)</f>
        <v xml:space="preserve">  RRH Unit</v>
      </c>
      <c r="N2246" s="7"/>
    </row>
    <row r="2247" spans="1:14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J2247" s="1" t="str">
        <f t="shared" si="35"/>
        <v>17IA45.30</v>
      </c>
      <c r="K2247" s="1" t="str">
        <f>VLOOKUP(J2247,WO!B:E,4,0)</f>
        <v>AXFIA</v>
      </c>
      <c r="L2247" s="1" t="str">
        <f>VLOOKUP(J2247,WO!B:F,5,0)</f>
        <v xml:space="preserve">  RRH Unit</v>
      </c>
      <c r="N2247" s="7">
        <v>46216</v>
      </c>
    </row>
    <row r="2248" spans="1:14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J2248" s="1" t="str">
        <f t="shared" si="35"/>
        <v>17IA45.30</v>
      </c>
      <c r="K2248" s="1" t="str">
        <f>VLOOKUP(J2248,WO!B:E,4,0)</f>
        <v>AXFIA</v>
      </c>
      <c r="L2248" s="1" t="str">
        <f>VLOOKUP(J2248,WO!B:F,5,0)</f>
        <v xml:space="preserve">  RRH Unit</v>
      </c>
      <c r="N2248" s="7">
        <v>46216</v>
      </c>
    </row>
    <row r="2249" spans="1:14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J2249" s="1" t="str">
        <f t="shared" si="35"/>
        <v>17IA45.30</v>
      </c>
      <c r="K2249" s="1" t="str">
        <f>VLOOKUP(J2249,WO!B:E,4,0)</f>
        <v>AXFIA</v>
      </c>
      <c r="L2249" s="1" t="str">
        <f>VLOOKUP(J2249,WO!B:F,5,0)</f>
        <v xml:space="preserve">  RRH Unit</v>
      </c>
      <c r="N2249" s="7">
        <v>46226</v>
      </c>
    </row>
    <row r="2250" spans="1:14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J2250" s="1" t="str">
        <f t="shared" si="35"/>
        <v>17IA45.30</v>
      </c>
      <c r="K2250" s="1" t="str">
        <f>VLOOKUP(J2250,WO!B:E,4,0)</f>
        <v>AXFIA</v>
      </c>
      <c r="L2250" s="1" t="str">
        <f>VLOOKUP(J2250,WO!B:F,5,0)</f>
        <v xml:space="preserve">  RRH Unit</v>
      </c>
      <c r="N2250" s="7">
        <v>46220</v>
      </c>
    </row>
    <row r="2251" spans="1:14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J2251" s="1" t="str">
        <f t="shared" si="35"/>
        <v>17IA45.30</v>
      </c>
      <c r="K2251" s="1" t="str">
        <f>VLOOKUP(J2251,WO!B:E,4,0)</f>
        <v>AXFIA</v>
      </c>
      <c r="L2251" s="1" t="str">
        <f>VLOOKUP(J2251,WO!B:F,5,0)</f>
        <v xml:space="preserve">  RRH Unit</v>
      </c>
      <c r="N2251" s="7">
        <v>46220</v>
      </c>
    </row>
    <row r="2252" spans="1:14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J2252" s="1" t="str">
        <f t="shared" si="35"/>
        <v>17IA45.30</v>
      </c>
      <c r="K2252" s="1" t="str">
        <f>VLOOKUP(J2252,WO!B:E,4,0)</f>
        <v>AXFIA</v>
      </c>
      <c r="L2252" s="1" t="str">
        <f>VLOOKUP(J2252,WO!B:F,5,0)</f>
        <v xml:space="preserve">  RRH Unit</v>
      </c>
      <c r="N2252" s="7">
        <v>46220</v>
      </c>
    </row>
    <row r="2253" spans="1:14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J2253" s="1" t="str">
        <f t="shared" si="35"/>
        <v>17IA45.30</v>
      </c>
      <c r="K2253" s="1" t="str">
        <f>VLOOKUP(J2253,WO!B:E,4,0)</f>
        <v>AXFIA</v>
      </c>
      <c r="L2253" s="1" t="str">
        <f>VLOOKUP(J2253,WO!B:F,5,0)</f>
        <v xml:space="preserve">  RRH Unit</v>
      </c>
      <c r="N2253" s="7">
        <v>46253</v>
      </c>
    </row>
    <row r="2254" spans="1:14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J2254" s="1" t="str">
        <f t="shared" si="35"/>
        <v>17IA45.30</v>
      </c>
      <c r="K2254" s="1" t="str">
        <f>VLOOKUP(J2254,WO!B:E,4,0)</f>
        <v>AXFIA</v>
      </c>
      <c r="L2254" s="1" t="str">
        <f>VLOOKUP(J2254,WO!B:F,5,0)</f>
        <v xml:space="preserve">  RRH Unit</v>
      </c>
      <c r="N2254" s="7">
        <v>46224</v>
      </c>
    </row>
    <row r="2255" spans="1:14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J2255" s="1" t="str">
        <f t="shared" si="35"/>
        <v>17IA45.30</v>
      </c>
      <c r="K2255" s="1" t="str">
        <f>VLOOKUP(J2255,WO!B:E,4,0)</f>
        <v>AXFIA</v>
      </c>
      <c r="L2255" s="1" t="str">
        <f>VLOOKUP(J2255,WO!B:F,5,0)</f>
        <v xml:space="preserve">  RRH Unit</v>
      </c>
      <c r="N2255" s="7">
        <v>46224</v>
      </c>
    </row>
    <row r="2256" spans="1:14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J2256" s="1" t="str">
        <f t="shared" si="35"/>
        <v>17IA45.30</v>
      </c>
      <c r="K2256" s="1" t="str">
        <f>VLOOKUP(J2256,WO!B:E,4,0)</f>
        <v>AXFIA</v>
      </c>
      <c r="L2256" s="1" t="str">
        <f>VLOOKUP(J2256,WO!B:F,5,0)</f>
        <v xml:space="preserve">  RRH Unit</v>
      </c>
      <c r="N2256" s="7">
        <v>46224</v>
      </c>
    </row>
    <row r="2257" spans="1:14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J2257" s="1" t="str">
        <f t="shared" si="35"/>
        <v>17IA45.30</v>
      </c>
      <c r="K2257" s="1" t="str">
        <f>VLOOKUP(J2257,WO!B:E,4,0)</f>
        <v>AXFIA</v>
      </c>
      <c r="L2257" s="1" t="str">
        <f>VLOOKUP(J2257,WO!B:F,5,0)</f>
        <v xml:space="preserve">  RRH Unit</v>
      </c>
      <c r="N2257" s="7">
        <v>46220</v>
      </c>
    </row>
    <row r="2258" spans="1:14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J2258" s="1" t="str">
        <f t="shared" si="35"/>
        <v>17IA45.30</v>
      </c>
      <c r="K2258" s="1" t="str">
        <f>VLOOKUP(J2258,WO!B:E,4,0)</f>
        <v>AXFIA</v>
      </c>
      <c r="L2258" s="1" t="str">
        <f>VLOOKUP(J2258,WO!B:F,5,0)</f>
        <v xml:space="preserve">  RRH Unit</v>
      </c>
      <c r="N2258" s="7">
        <v>46255</v>
      </c>
    </row>
    <row r="2259" spans="1:14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J2259" s="1" t="str">
        <f t="shared" si="35"/>
        <v>17IA45.30</v>
      </c>
      <c r="K2259" s="1" t="str">
        <f>VLOOKUP(J2259,WO!B:E,4,0)</f>
        <v>AXFIA</v>
      </c>
      <c r="L2259" s="1" t="str">
        <f>VLOOKUP(J2259,WO!B:F,5,0)</f>
        <v xml:space="preserve">  RRH Unit</v>
      </c>
      <c r="N2259" s="7">
        <v>46255</v>
      </c>
    </row>
    <row r="2260" spans="1:14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J2260" s="1" t="str">
        <f t="shared" si="35"/>
        <v>17IA45.30</v>
      </c>
      <c r="K2260" s="1" t="str">
        <f>VLOOKUP(J2260,WO!B:E,4,0)</f>
        <v>AXFIA</v>
      </c>
      <c r="L2260" s="1" t="str">
        <f>VLOOKUP(J2260,WO!B:F,5,0)</f>
        <v xml:space="preserve">  RRH Unit</v>
      </c>
      <c r="N2260" s="7">
        <v>46220</v>
      </c>
    </row>
    <row r="2261" spans="1:14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J2261" s="1" t="str">
        <f t="shared" si="35"/>
        <v>17IA45.30</v>
      </c>
      <c r="K2261" s="1" t="str">
        <f>VLOOKUP(J2261,WO!B:E,4,0)</f>
        <v>AXFIA</v>
      </c>
      <c r="L2261" s="1" t="str">
        <f>VLOOKUP(J2261,WO!B:F,5,0)</f>
        <v xml:space="preserve">  RRH Unit</v>
      </c>
      <c r="N2261" s="7">
        <v>46223</v>
      </c>
    </row>
    <row r="2262" spans="1:14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J2262" s="1" t="str">
        <f t="shared" si="35"/>
        <v>17IA45.30</v>
      </c>
      <c r="K2262" s="1" t="str">
        <f>VLOOKUP(J2262,WO!B:E,4,0)</f>
        <v>AXFIA</v>
      </c>
      <c r="L2262" s="1" t="str">
        <f>VLOOKUP(J2262,WO!B:F,5,0)</f>
        <v xml:space="preserve">  RRH Unit</v>
      </c>
      <c r="N2262" s="7">
        <v>46245</v>
      </c>
    </row>
    <row r="2263" spans="1:14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J2263" s="1" t="str">
        <f t="shared" si="35"/>
        <v>17IA45.30</v>
      </c>
      <c r="K2263" s="1" t="str">
        <f>VLOOKUP(J2263,WO!B:E,4,0)</f>
        <v>AXFIA</v>
      </c>
      <c r="L2263" s="1" t="str">
        <f>VLOOKUP(J2263,WO!B:F,5,0)</f>
        <v xml:space="preserve">  RRH Unit</v>
      </c>
      <c r="N2263" s="7">
        <v>46227</v>
      </c>
    </row>
    <row r="2264" spans="1:14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J2264" s="1" t="str">
        <f t="shared" si="35"/>
        <v>17IA45.30</v>
      </c>
      <c r="K2264" s="1" t="str">
        <f>VLOOKUP(J2264,WO!B:E,4,0)</f>
        <v>AXFIA</v>
      </c>
      <c r="L2264" s="1" t="str">
        <f>VLOOKUP(J2264,WO!B:F,5,0)</f>
        <v xml:space="preserve">  RRH Unit</v>
      </c>
      <c r="N2264" s="7">
        <v>46225</v>
      </c>
    </row>
    <row r="2265" spans="1:14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J2265" s="1" t="str">
        <f t="shared" si="35"/>
        <v>17IA45.30</v>
      </c>
      <c r="K2265" s="1" t="str">
        <f>VLOOKUP(J2265,WO!B:E,4,0)</f>
        <v>AXFIA</v>
      </c>
      <c r="L2265" s="1" t="str">
        <f>VLOOKUP(J2265,WO!B:F,5,0)</f>
        <v xml:space="preserve">  RRH Unit</v>
      </c>
      <c r="N2265" s="7">
        <v>46226</v>
      </c>
    </row>
    <row r="2266" spans="1:14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J2266" s="1" t="str">
        <f t="shared" si="35"/>
        <v>17IA45.30</v>
      </c>
      <c r="K2266" s="1" t="str">
        <f>VLOOKUP(J2266,WO!B:E,4,0)</f>
        <v>AXFIA</v>
      </c>
      <c r="L2266" s="1" t="str">
        <f>VLOOKUP(J2266,WO!B:F,5,0)</f>
        <v xml:space="preserve">  RRH Unit</v>
      </c>
      <c r="N2266" s="7">
        <v>46245</v>
      </c>
    </row>
    <row r="2267" spans="1:14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J2267" s="1" t="str">
        <f t="shared" si="35"/>
        <v>17IA45.30</v>
      </c>
      <c r="K2267" s="1" t="str">
        <f>VLOOKUP(J2267,WO!B:E,4,0)</f>
        <v>AXFIA</v>
      </c>
      <c r="L2267" s="1" t="str">
        <f>VLOOKUP(J2267,WO!B:F,5,0)</f>
        <v xml:space="preserve">  RRH Unit</v>
      </c>
      <c r="N2267" s="7">
        <v>46255</v>
      </c>
    </row>
    <row r="2268" spans="1:14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J2268" s="1" t="str">
        <f t="shared" si="35"/>
        <v>17IA45.30</v>
      </c>
      <c r="K2268" s="1" t="str">
        <f>VLOOKUP(J2268,WO!B:E,4,0)</f>
        <v>AXFIA</v>
      </c>
      <c r="L2268" s="1" t="str">
        <f>VLOOKUP(J2268,WO!B:F,5,0)</f>
        <v xml:space="preserve">  RRH Unit</v>
      </c>
      <c r="N2268" s="7">
        <v>46255</v>
      </c>
    </row>
    <row r="2269" spans="1:14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J2269" s="1" t="str">
        <f t="shared" si="35"/>
        <v>17IA45.30</v>
      </c>
      <c r="K2269" s="1" t="str">
        <f>VLOOKUP(J2269,WO!B:E,4,0)</f>
        <v>AXFIA</v>
      </c>
      <c r="L2269" s="1" t="str">
        <f>VLOOKUP(J2269,WO!B:F,5,0)</f>
        <v xml:space="preserve">  RRH Unit</v>
      </c>
      <c r="N2269" s="7">
        <v>46224</v>
      </c>
    </row>
    <row r="2270" spans="1:14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" t="str">
        <f t="shared" si="35"/>
        <v>17IA45.30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7">
        <v>46230</v>
      </c>
    </row>
    <row r="2271" spans="1:14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J2271" s="1" t="str">
        <f t="shared" si="35"/>
        <v>17IA45.30</v>
      </c>
      <c r="K2271" s="1" t="str">
        <f>VLOOKUP(J2271,WO!B:E,4,0)</f>
        <v>AXFIA</v>
      </c>
      <c r="L2271" s="1" t="str">
        <f>VLOOKUP(J2271,WO!B:F,5,0)</f>
        <v xml:space="preserve">  RRH Unit</v>
      </c>
      <c r="N2271" s="7">
        <v>46227</v>
      </c>
    </row>
    <row r="2272" spans="1:14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J2272" s="1" t="str">
        <f t="shared" si="35"/>
        <v>17IA45.30</v>
      </c>
      <c r="K2272" s="1" t="str">
        <f>VLOOKUP(J2272,WO!B:E,4,0)</f>
        <v>AXFIA</v>
      </c>
      <c r="L2272" s="1" t="str">
        <f>VLOOKUP(J2272,WO!B:F,5,0)</f>
        <v xml:space="preserve">  RRH Unit</v>
      </c>
      <c r="N2272" s="7">
        <v>46224</v>
      </c>
    </row>
    <row r="2273" spans="1:14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J2273" s="1" t="str">
        <f t="shared" si="35"/>
        <v>17IA45.30</v>
      </c>
      <c r="K2273" s="1" t="str">
        <f>VLOOKUP(J2273,WO!B:E,4,0)</f>
        <v>AXFIA</v>
      </c>
      <c r="L2273" s="1" t="str">
        <f>VLOOKUP(J2273,WO!B:F,5,0)</f>
        <v xml:space="preserve">  RRH Unit</v>
      </c>
      <c r="N2273" s="7">
        <v>46226</v>
      </c>
    </row>
    <row r="2274" spans="1:14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J2274" s="1" t="str">
        <f t="shared" si="35"/>
        <v>17IA45.30</v>
      </c>
      <c r="K2274" s="1" t="str">
        <f>VLOOKUP(J2274,WO!B:E,4,0)</f>
        <v>AXFIA</v>
      </c>
      <c r="L2274" s="1" t="str">
        <f>VLOOKUP(J2274,WO!B:F,5,0)</f>
        <v xml:space="preserve">  RRH Unit</v>
      </c>
      <c r="N2274" s="7">
        <v>46245</v>
      </c>
    </row>
    <row r="2275" spans="1:14">
      <c r="A2275" s="11" t="s">
        <v>1252</v>
      </c>
      <c r="B2275" s="11" t="s">
        <v>17</v>
      </c>
      <c r="C2275" s="11" t="s">
        <v>18</v>
      </c>
      <c r="D2275" s="11">
        <v>1</v>
      </c>
      <c r="E2275" s="11" t="s">
        <v>19</v>
      </c>
      <c r="F2275" s="20">
        <v>46268.270185185182</v>
      </c>
      <c r="G2275" s="11" t="s">
        <v>264</v>
      </c>
      <c r="H2275" s="11" t="s">
        <v>243</v>
      </c>
      <c r="I2275" s="1">
        <f>VLOOKUP(G2275,WO!A:J,10,0)</f>
        <v>23</v>
      </c>
      <c r="J2275" s="1" t="str">
        <f t="shared" si="35"/>
        <v>17IA45.30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3951</v>
      </c>
      <c r="N2275" s="7">
        <v>46269</v>
      </c>
    </row>
    <row r="2276" spans="1:14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J2276" s="1" t="str">
        <f t="shared" si="35"/>
        <v>17IA45.30</v>
      </c>
      <c r="K2276" s="1" t="str">
        <f>VLOOKUP(J2276,WO!B:E,4,0)</f>
        <v>AXFIA</v>
      </c>
      <c r="L2276" s="1" t="str">
        <f>VLOOKUP(J2276,WO!B:F,5,0)</f>
        <v xml:space="preserve">  RRH Unit</v>
      </c>
      <c r="N2276" s="7">
        <v>46254</v>
      </c>
    </row>
    <row r="2277" spans="1:14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J2277" s="1" t="str">
        <f t="shared" si="35"/>
        <v>17IA45.30</v>
      </c>
      <c r="K2277" s="1" t="str">
        <f>VLOOKUP(J2277,WO!B:E,4,0)</f>
        <v>AXFIA</v>
      </c>
      <c r="L2277" s="1" t="str">
        <f>VLOOKUP(J2277,WO!B:F,5,0)</f>
        <v xml:space="preserve">  RRH Unit</v>
      </c>
      <c r="N2277" s="7">
        <v>46253</v>
      </c>
    </row>
    <row r="2278" spans="1:14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J2278" s="1" t="str">
        <f t="shared" si="35"/>
        <v>17IA45.30</v>
      </c>
      <c r="K2278" s="1" t="str">
        <f>VLOOKUP(J2278,WO!B:E,4,0)</f>
        <v>AXFIA</v>
      </c>
      <c r="L2278" s="1" t="str">
        <f>VLOOKUP(J2278,WO!B:F,5,0)</f>
        <v xml:space="preserve">  RRH Unit</v>
      </c>
      <c r="N2278" s="7">
        <v>46226</v>
      </c>
    </row>
    <row r="2279" spans="1:14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" t="str">
        <f t="shared" si="35"/>
        <v>17IA45.30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7">
        <v>46230</v>
      </c>
    </row>
    <row r="2280" spans="1:14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" t="str">
        <f t="shared" si="35"/>
        <v>17IA45.30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7">
        <v>46260</v>
      </c>
    </row>
    <row r="2281" spans="1:14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J2281" s="1" t="str">
        <f t="shared" si="35"/>
        <v>17IA45.30</v>
      </c>
      <c r="K2281" s="1" t="str">
        <f>VLOOKUP(J2281,WO!B:E,4,0)</f>
        <v>AXFIA</v>
      </c>
      <c r="L2281" s="1" t="str">
        <f>VLOOKUP(J2281,WO!B:F,5,0)</f>
        <v xml:space="preserve">  RRH Unit</v>
      </c>
      <c r="N2281" s="7">
        <v>46227</v>
      </c>
    </row>
    <row r="2282" spans="1:14">
      <c r="A2282" s="11" t="s">
        <v>1259</v>
      </c>
      <c r="B2282" s="11" t="s">
        <v>2152</v>
      </c>
      <c r="C2282" s="11" t="s">
        <v>2153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J2282" s="1" t="str">
        <f t="shared" si="35"/>
        <v>17IA45.30</v>
      </c>
      <c r="K2282" s="1" t="str">
        <f>VLOOKUP(J2282,WO!B:E,4,0)</f>
        <v>AXFIA</v>
      </c>
      <c r="L2282" s="1" t="str">
        <f>VLOOKUP(J2282,WO!B:F,5,0)</f>
        <v xml:space="preserve">  RRH Unit</v>
      </c>
      <c r="N2282" s="7"/>
    </row>
    <row r="2283" spans="1:14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J2283" s="1" t="str">
        <f t="shared" si="35"/>
        <v>17IA45.30</v>
      </c>
      <c r="K2283" s="1" t="str">
        <f>VLOOKUP(J2283,WO!B:E,4,0)</f>
        <v>AXFIA</v>
      </c>
      <c r="L2283" s="1" t="str">
        <f>VLOOKUP(J2283,WO!B:F,5,0)</f>
        <v xml:space="preserve">  RRH Unit</v>
      </c>
      <c r="N2283" s="7">
        <v>46251</v>
      </c>
    </row>
    <row r="2284" spans="1:14">
      <c r="A2284" s="11" t="s">
        <v>1261</v>
      </c>
      <c r="B2284" s="11" t="s">
        <v>2152</v>
      </c>
      <c r="C2284" s="11" t="s">
        <v>2153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J2284" s="1" t="str">
        <f t="shared" si="35"/>
        <v>17IA45.30</v>
      </c>
      <c r="K2284" s="1" t="str">
        <f>VLOOKUP(J2284,WO!B:E,4,0)</f>
        <v>AXFIA</v>
      </c>
      <c r="L2284" s="1" t="str">
        <f>VLOOKUP(J2284,WO!B:F,5,0)</f>
        <v xml:space="preserve">  RRH Unit</v>
      </c>
      <c r="N2284" s="7"/>
    </row>
    <row r="2285" spans="1:14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J2285" s="1" t="str">
        <f t="shared" si="35"/>
        <v>17IA45.30</v>
      </c>
      <c r="K2285" s="1" t="str">
        <f>VLOOKUP(J2285,WO!B:E,4,0)</f>
        <v>AXFIA</v>
      </c>
      <c r="L2285" s="1" t="str">
        <f>VLOOKUP(J2285,WO!B:F,5,0)</f>
        <v xml:space="preserve">  RRH Unit</v>
      </c>
      <c r="N2285" s="7">
        <v>46226</v>
      </c>
    </row>
    <row r="2286" spans="1:14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J2286" s="1" t="str">
        <f t="shared" si="35"/>
        <v>17IA45.30</v>
      </c>
      <c r="K2286" s="1" t="str">
        <f>VLOOKUP(J2286,WO!B:E,4,0)</f>
        <v>AXFIA</v>
      </c>
      <c r="L2286" s="1" t="str">
        <f>VLOOKUP(J2286,WO!B:F,5,0)</f>
        <v xml:space="preserve">  RRH Unit</v>
      </c>
      <c r="N2286" s="7"/>
    </row>
    <row r="2287" spans="1:14">
      <c r="A2287" s="11" t="s">
        <v>1264</v>
      </c>
      <c r="B2287" s="11" t="s">
        <v>2152</v>
      </c>
      <c r="C2287" s="11" t="s">
        <v>2153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J2287" s="1" t="str">
        <f t="shared" si="35"/>
        <v>17IA45.30</v>
      </c>
      <c r="K2287" s="1" t="str">
        <f>VLOOKUP(J2287,WO!B:E,4,0)</f>
        <v>AXFIA</v>
      </c>
      <c r="L2287" s="1" t="str">
        <f>VLOOKUP(J2287,WO!B:F,5,0)</f>
        <v xml:space="preserve">  RRH Unit</v>
      </c>
      <c r="N2287" s="7"/>
    </row>
    <row r="2288" spans="1:14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J2288" s="1" t="str">
        <f t="shared" si="35"/>
        <v>17IA45.30</v>
      </c>
      <c r="K2288" s="1" t="str">
        <f>VLOOKUP(J2288,WO!B:E,4,0)</f>
        <v>AXFIA</v>
      </c>
      <c r="L2288" s="1" t="str">
        <f>VLOOKUP(J2288,WO!B:F,5,0)</f>
        <v xml:space="preserve">  RRH Unit</v>
      </c>
      <c r="N2288" s="7">
        <v>46262</v>
      </c>
    </row>
    <row r="2289" spans="1:14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7">
        <v>46251</v>
      </c>
    </row>
    <row r="2290" spans="1:14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7">
        <v>46253</v>
      </c>
    </row>
    <row r="2291" spans="1:14">
      <c r="A2291" s="11" t="s">
        <v>1268</v>
      </c>
      <c r="B2291" s="11" t="s">
        <v>2152</v>
      </c>
      <c r="C2291" s="11" t="s">
        <v>2153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7"/>
    </row>
    <row r="2292" spans="1:14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7">
        <v>46253</v>
      </c>
    </row>
    <row r="2293" spans="1:14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7">
        <v>46266</v>
      </c>
    </row>
    <row r="2294" spans="1:14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" t="str">
        <f t="shared" si="35"/>
        <v>17IA45.40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7">
        <v>46170</v>
      </c>
    </row>
    <row r="2295" spans="1:14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J2295" s="1" t="str">
        <f t="shared" si="35"/>
        <v>17IA45.40</v>
      </c>
      <c r="K2295" s="1" t="str">
        <f>VLOOKUP(J2295,WO!B:E,4,0)</f>
        <v>AXFIA</v>
      </c>
      <c r="L2295" s="1" t="str">
        <f>VLOOKUP(J2295,WO!B:F,5,0)</f>
        <v xml:space="preserve">  RRH Unit</v>
      </c>
      <c r="N2295" s="7">
        <v>46177</v>
      </c>
    </row>
    <row r="2296" spans="1:14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J2296" s="1" t="str">
        <f t="shared" si="35"/>
        <v>17IA45.40</v>
      </c>
      <c r="K2296" s="1" t="str">
        <f>VLOOKUP(J2296,WO!B:E,4,0)</f>
        <v>AXFIA</v>
      </c>
      <c r="L2296" s="1" t="str">
        <f>VLOOKUP(J2296,WO!B:F,5,0)</f>
        <v xml:space="preserve">  RRH Unit</v>
      </c>
      <c r="N2296" s="7">
        <v>46170</v>
      </c>
    </row>
    <row r="2297" spans="1:14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" t="str">
        <f t="shared" si="35"/>
        <v>17IA45.40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7">
        <v>46170</v>
      </c>
    </row>
    <row r="2298" spans="1:14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J2298" s="1" t="str">
        <f t="shared" si="35"/>
        <v>17IA45.40</v>
      </c>
      <c r="K2298" s="1" t="str">
        <f>VLOOKUP(J2298,WO!B:E,4,0)</f>
        <v>AXFIA</v>
      </c>
      <c r="L2298" s="1" t="str">
        <f>VLOOKUP(J2298,WO!B:F,5,0)</f>
        <v xml:space="preserve">  RRH Unit</v>
      </c>
      <c r="N2298" s="7">
        <v>46177</v>
      </c>
    </row>
    <row r="2299" spans="1:14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J2299" s="1" t="str">
        <f t="shared" si="35"/>
        <v>17IA45.40</v>
      </c>
      <c r="K2299" s="1" t="str">
        <f>VLOOKUP(J2299,WO!B:E,4,0)</f>
        <v>AXFIA</v>
      </c>
      <c r="L2299" s="1" t="str">
        <f>VLOOKUP(J2299,WO!B:F,5,0)</f>
        <v xml:space="preserve">  RRH Unit</v>
      </c>
      <c r="N2299" s="7">
        <v>46171</v>
      </c>
    </row>
    <row r="2300" spans="1:14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J2300" s="1" t="str">
        <f t="shared" si="35"/>
        <v>17IA45.40</v>
      </c>
      <c r="K2300" s="1" t="str">
        <f>VLOOKUP(J2300,WO!B:E,4,0)</f>
        <v>AXFIA</v>
      </c>
      <c r="L2300" s="1" t="str">
        <f>VLOOKUP(J2300,WO!B:F,5,0)</f>
        <v xml:space="preserve">  RRH Unit</v>
      </c>
      <c r="N2300" s="7">
        <v>46171</v>
      </c>
    </row>
    <row r="2301" spans="1:14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J2301" s="1" t="str">
        <f t="shared" si="35"/>
        <v>17IA45.40</v>
      </c>
      <c r="K2301" s="1" t="str">
        <f>VLOOKUP(J2301,WO!B:E,4,0)</f>
        <v>AXFIA</v>
      </c>
      <c r="L2301" s="1" t="str">
        <f>VLOOKUP(J2301,WO!B:F,5,0)</f>
        <v xml:space="preserve">  RRH Unit</v>
      </c>
      <c r="N2301" s="7">
        <v>46170</v>
      </c>
    </row>
    <row r="2302" spans="1:14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J2302" s="1" t="str">
        <f t="shared" si="35"/>
        <v>17IA45.40</v>
      </c>
      <c r="K2302" s="1" t="str">
        <f>VLOOKUP(J2302,WO!B:E,4,0)</f>
        <v>AXFIA</v>
      </c>
      <c r="L2302" s="1" t="str">
        <f>VLOOKUP(J2302,WO!B:F,5,0)</f>
        <v xml:space="preserve">  RRH Unit</v>
      </c>
      <c r="N2302" s="7">
        <v>46171</v>
      </c>
    </row>
    <row r="2303" spans="1:14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J2303" s="1" t="str">
        <f t="shared" si="35"/>
        <v>17IA45.40</v>
      </c>
      <c r="K2303" s="1" t="str">
        <f>VLOOKUP(J2303,WO!B:E,4,0)</f>
        <v>AXFIA</v>
      </c>
      <c r="L2303" s="1" t="str">
        <f>VLOOKUP(J2303,WO!B:F,5,0)</f>
        <v xml:space="preserve">  RRH Unit</v>
      </c>
      <c r="N2303" s="7">
        <v>46171</v>
      </c>
    </row>
    <row r="2304" spans="1:14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J2304" s="1" t="str">
        <f t="shared" si="35"/>
        <v>17IA45.40</v>
      </c>
      <c r="K2304" s="1" t="str">
        <f>VLOOKUP(J2304,WO!B:E,4,0)</f>
        <v>AXFIA</v>
      </c>
      <c r="L2304" s="1" t="str">
        <f>VLOOKUP(J2304,WO!B:F,5,0)</f>
        <v xml:space="preserve">  RRH Unit</v>
      </c>
      <c r="N2304" s="7">
        <v>46191</v>
      </c>
    </row>
    <row r="2305" spans="1:14">
      <c r="A2305" s="11" t="s">
        <v>2206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2200</v>
      </c>
      <c r="H2305" s="11" t="s">
        <v>2199</v>
      </c>
      <c r="I2305" s="1">
        <f>VLOOKUP(G2305,WO!A:J,10,0)</f>
        <v>47</v>
      </c>
      <c r="J2305" s="1" t="str">
        <f t="shared" si="35"/>
        <v>18OA12.00</v>
      </c>
      <c r="K2305" s="1" t="str">
        <f>VLOOKUP(J2305,WO!B:E,4,0)</f>
        <v>AXOA</v>
      </c>
      <c r="L2305" s="1" t="str">
        <f>VLOOKUP(J2305,WO!B:F,5,0)</f>
        <v xml:space="preserve">  PA Assembly</v>
      </c>
      <c r="N2305" s="7"/>
    </row>
    <row r="2306" spans="1:14">
      <c r="A2306" s="11" t="s">
        <v>2207</v>
      </c>
      <c r="B2306" s="11" t="s">
        <v>954</v>
      </c>
      <c r="C2306" s="11" t="s">
        <v>955</v>
      </c>
      <c r="D2306" s="11">
        <v>1</v>
      </c>
      <c r="E2306" s="11" t="s">
        <v>13</v>
      </c>
      <c r="F2306" s="20">
        <v>46268.519606481481</v>
      </c>
      <c r="G2306" s="11" t="s">
        <v>2200</v>
      </c>
      <c r="H2306" s="11" t="s">
        <v>2199</v>
      </c>
      <c r="I2306" s="1">
        <f>VLOOKUP(G2306,WO!A:J,10,0)</f>
        <v>47</v>
      </c>
      <c r="J2306" s="1" t="str">
        <f t="shared" si="35"/>
        <v>18OA12.00</v>
      </c>
      <c r="K2306" s="1" t="str">
        <f>VLOOKUP(J2306,WO!B:E,4,0)</f>
        <v>AXOA</v>
      </c>
      <c r="L2306" s="1" t="str">
        <f>VLOOKUP(J2306,WO!B:F,5,0)</f>
        <v xml:space="preserve">  PA Assembly</v>
      </c>
      <c r="N2306" s="7"/>
    </row>
    <row r="2307" spans="1:14">
      <c r="A2307" s="11" t="s">
        <v>2208</v>
      </c>
      <c r="B2307" s="11" t="s">
        <v>954</v>
      </c>
      <c r="C2307" s="11" t="s">
        <v>955</v>
      </c>
      <c r="D2307" s="11">
        <v>1</v>
      </c>
      <c r="E2307" s="11" t="s">
        <v>13</v>
      </c>
      <c r="F2307" s="20">
        <v>46268.601284722223</v>
      </c>
      <c r="G2307" s="11" t="s">
        <v>2200</v>
      </c>
      <c r="H2307" s="11" t="s">
        <v>2199</v>
      </c>
      <c r="I2307" s="1">
        <f>VLOOKUP(G2307,WO!A:J,10,0)</f>
        <v>47</v>
      </c>
      <c r="J2307" s="1" t="str">
        <f t="shared" ref="J2307:J2370" si="36">MID(G2307,3,9)</f>
        <v>18OA12.00</v>
      </c>
      <c r="K2307" s="1" t="str">
        <f>VLOOKUP(J2307,WO!B:E,4,0)</f>
        <v>AXOA</v>
      </c>
      <c r="L2307" s="1" t="str">
        <f>VLOOKUP(J2307,WO!B:F,5,0)</f>
        <v xml:space="preserve">  PA Assembly</v>
      </c>
      <c r="N2307" s="7"/>
    </row>
    <row r="2308" spans="1:14">
      <c r="A2308" s="11" t="s">
        <v>2209</v>
      </c>
      <c r="B2308" s="11" t="s">
        <v>954</v>
      </c>
      <c r="C2308" s="11" t="s">
        <v>955</v>
      </c>
      <c r="D2308" s="11">
        <v>1</v>
      </c>
      <c r="E2308" s="11" t="s">
        <v>13</v>
      </c>
      <c r="F2308" s="20">
        <v>46269.427222222221</v>
      </c>
      <c r="G2308" s="11" t="s">
        <v>2200</v>
      </c>
      <c r="H2308" s="11" t="s">
        <v>2199</v>
      </c>
      <c r="I2308" s="1">
        <f>VLOOKUP(G2308,WO!A:J,10,0)</f>
        <v>47</v>
      </c>
      <c r="J2308" s="1" t="str">
        <f t="shared" si="36"/>
        <v>18OA12.00</v>
      </c>
      <c r="K2308" s="1" t="str">
        <f>VLOOKUP(J2308,WO!B:E,4,0)</f>
        <v>AXOA</v>
      </c>
      <c r="L2308" s="1" t="str">
        <f>VLOOKUP(J2308,WO!B:F,5,0)</f>
        <v xml:space="preserve">  PA Assembly</v>
      </c>
      <c r="N2308" s="7"/>
    </row>
    <row r="2309" spans="1:14">
      <c r="A2309" s="11" t="s">
        <v>2210</v>
      </c>
      <c r="B2309" s="11" t="s">
        <v>954</v>
      </c>
      <c r="C2309" s="11" t="s">
        <v>955</v>
      </c>
      <c r="D2309" s="11">
        <v>1</v>
      </c>
      <c r="E2309" s="11" t="s">
        <v>13</v>
      </c>
      <c r="F2309" s="20">
        <v>46268.640972222223</v>
      </c>
      <c r="G2309" s="11" t="s">
        <v>2200</v>
      </c>
      <c r="H2309" s="11" t="s">
        <v>2199</v>
      </c>
      <c r="I2309" s="1">
        <f>VLOOKUP(G2309,WO!A:J,10,0)</f>
        <v>47</v>
      </c>
      <c r="J2309" s="1" t="str">
        <f t="shared" si="36"/>
        <v>18OA12.00</v>
      </c>
      <c r="K2309" s="1" t="str">
        <f>VLOOKUP(J2309,WO!B:E,4,0)</f>
        <v>AXOA</v>
      </c>
      <c r="L2309" s="1" t="str">
        <f>VLOOKUP(J2309,WO!B:F,5,0)</f>
        <v xml:space="preserve">  PA Assembly</v>
      </c>
      <c r="N2309" s="7"/>
    </row>
    <row r="2310" spans="1:14">
      <c r="A2310" s="11" t="s">
        <v>2211</v>
      </c>
      <c r="B2310" s="11" t="s">
        <v>954</v>
      </c>
      <c r="C2310" s="11" t="s">
        <v>955</v>
      </c>
      <c r="D2310" s="11">
        <v>1</v>
      </c>
      <c r="E2310" s="11" t="s">
        <v>13</v>
      </c>
      <c r="F2310" s="20">
        <v>46269.20144675926</v>
      </c>
      <c r="G2310" s="11" t="s">
        <v>2200</v>
      </c>
      <c r="H2310" s="11" t="s">
        <v>2199</v>
      </c>
      <c r="I2310" s="1">
        <f>VLOOKUP(G2310,WO!A:J,10,0)</f>
        <v>47</v>
      </c>
      <c r="J2310" s="1" t="str">
        <f t="shared" si="36"/>
        <v>18OA12.00</v>
      </c>
      <c r="K2310" s="1" t="str">
        <f>VLOOKUP(J2310,WO!B:E,4,0)</f>
        <v>AXOA</v>
      </c>
      <c r="L2310" s="1" t="str">
        <f>VLOOKUP(J2310,WO!B:F,5,0)</f>
        <v xml:space="preserve">  PA Assembly</v>
      </c>
      <c r="N2310" s="7"/>
    </row>
    <row r="2311" spans="1:14">
      <c r="A2311" s="11" t="s">
        <v>2212</v>
      </c>
      <c r="B2311" s="11" t="s">
        <v>954</v>
      </c>
      <c r="C2311" s="11" t="s">
        <v>955</v>
      </c>
      <c r="D2311" s="11">
        <v>1</v>
      </c>
      <c r="E2311" s="11" t="s">
        <v>13</v>
      </c>
      <c r="F2311" s="20">
        <v>46268.498055555552</v>
      </c>
      <c r="G2311" s="11" t="s">
        <v>2200</v>
      </c>
      <c r="H2311" s="11" t="s">
        <v>2199</v>
      </c>
      <c r="I2311" s="1">
        <f>VLOOKUP(G2311,WO!A:J,10,0)</f>
        <v>47</v>
      </c>
      <c r="J2311" s="1" t="str">
        <f t="shared" si="36"/>
        <v>18OA12.00</v>
      </c>
      <c r="K2311" s="1" t="str">
        <f>VLOOKUP(J2311,WO!B:E,4,0)</f>
        <v>AXOA</v>
      </c>
      <c r="L2311" s="1" t="str">
        <f>VLOOKUP(J2311,WO!B:F,5,0)</f>
        <v xml:space="preserve">  PA Assembly</v>
      </c>
      <c r="N2311" s="7"/>
    </row>
    <row r="2312" spans="1:14">
      <c r="A2312" s="11" t="s">
        <v>2213</v>
      </c>
      <c r="B2312" s="11" t="s">
        <v>954</v>
      </c>
      <c r="C2312" s="11" t="s">
        <v>955</v>
      </c>
      <c r="D2312" s="11">
        <v>1</v>
      </c>
      <c r="E2312" s="11" t="s">
        <v>13</v>
      </c>
      <c r="F2312" s="20">
        <v>46268.630439814813</v>
      </c>
      <c r="G2312" s="11" t="s">
        <v>2200</v>
      </c>
      <c r="H2312" s="11" t="s">
        <v>2199</v>
      </c>
      <c r="I2312" s="1">
        <f>VLOOKUP(G2312,WO!A:J,10,0)</f>
        <v>47</v>
      </c>
      <c r="J2312" s="1" t="str">
        <f t="shared" si="36"/>
        <v>18OA12.00</v>
      </c>
      <c r="K2312" s="1" t="str">
        <f>VLOOKUP(J2312,WO!B:E,4,0)</f>
        <v>AXOA</v>
      </c>
      <c r="L2312" s="1" t="str">
        <f>VLOOKUP(J2312,WO!B:F,5,0)</f>
        <v xml:space="preserve">  PA Assembly</v>
      </c>
      <c r="N2312" s="7"/>
    </row>
    <row r="2313" spans="1:14">
      <c r="A2313" s="11" t="s">
        <v>2214</v>
      </c>
      <c r="B2313" s="11" t="s">
        <v>954</v>
      </c>
      <c r="C2313" s="11" t="s">
        <v>955</v>
      </c>
      <c r="D2313" s="11">
        <v>1</v>
      </c>
      <c r="E2313" s="11" t="s">
        <v>13</v>
      </c>
      <c r="F2313" s="20">
        <v>46268.486296296294</v>
      </c>
      <c r="G2313" s="11" t="s">
        <v>2200</v>
      </c>
      <c r="H2313" s="11" t="s">
        <v>2199</v>
      </c>
      <c r="I2313" s="1">
        <f>VLOOKUP(G2313,WO!A:J,10,0)</f>
        <v>47</v>
      </c>
      <c r="J2313" s="1" t="str">
        <f t="shared" si="36"/>
        <v>18OA12.00</v>
      </c>
      <c r="K2313" s="1" t="str">
        <f>VLOOKUP(J2313,WO!B:E,4,0)</f>
        <v>AXOA</v>
      </c>
      <c r="L2313" s="1" t="str">
        <f>VLOOKUP(J2313,WO!B:F,5,0)</f>
        <v xml:space="preserve">  PA Assembly</v>
      </c>
      <c r="N2313" s="7"/>
    </row>
    <row r="2314" spans="1:14">
      <c r="A2314" s="11" t="s">
        <v>2215</v>
      </c>
      <c r="B2314" s="11" t="s">
        <v>954</v>
      </c>
      <c r="C2314" s="11" t="s">
        <v>955</v>
      </c>
      <c r="D2314" s="11">
        <v>1</v>
      </c>
      <c r="E2314" s="11" t="s">
        <v>13</v>
      </c>
      <c r="F2314" s="20">
        <v>46268.507870370369</v>
      </c>
      <c r="G2314" s="11" t="s">
        <v>2200</v>
      </c>
      <c r="H2314" s="11" t="s">
        <v>2199</v>
      </c>
      <c r="I2314" s="1">
        <f>VLOOKUP(G2314,WO!A:J,10,0)</f>
        <v>47</v>
      </c>
      <c r="J2314" s="1" t="str">
        <f t="shared" si="36"/>
        <v>18OA12.00</v>
      </c>
      <c r="K2314" s="1" t="str">
        <f>VLOOKUP(J2314,WO!B:E,4,0)</f>
        <v>AXOA</v>
      </c>
      <c r="L2314" s="1" t="str">
        <f>VLOOKUP(J2314,WO!B:F,5,0)</f>
        <v xml:space="preserve">  PA Assembly</v>
      </c>
      <c r="N2314" s="7"/>
    </row>
    <row r="2315" spans="1:14">
      <c r="A2315" s="11" t="s">
        <v>2216</v>
      </c>
      <c r="B2315" s="11" t="s">
        <v>954</v>
      </c>
      <c r="C2315" s="11" t="s">
        <v>955</v>
      </c>
      <c r="D2315" s="11">
        <v>1</v>
      </c>
      <c r="E2315" s="11" t="s">
        <v>13</v>
      </c>
      <c r="F2315" s="20">
        <v>46268.624490740738</v>
      </c>
      <c r="G2315" s="11" t="s">
        <v>2200</v>
      </c>
      <c r="H2315" s="11" t="s">
        <v>2199</v>
      </c>
      <c r="I2315" s="1">
        <f>VLOOKUP(G2315,WO!A:J,10,0)</f>
        <v>47</v>
      </c>
      <c r="J2315" s="1" t="str">
        <f t="shared" si="36"/>
        <v>18OA12.00</v>
      </c>
      <c r="K2315" s="1" t="str">
        <f>VLOOKUP(J2315,WO!B:E,4,0)</f>
        <v>AXOA</v>
      </c>
      <c r="L2315" s="1" t="str">
        <f>VLOOKUP(J2315,WO!B:F,5,0)</f>
        <v xml:space="preserve">  PA Assembly</v>
      </c>
      <c r="N2315" s="7"/>
    </row>
    <row r="2316" spans="1:14">
      <c r="A2316" s="11" t="s">
        <v>2217</v>
      </c>
      <c r="B2316" s="11" t="s">
        <v>954</v>
      </c>
      <c r="C2316" s="11" t="s">
        <v>955</v>
      </c>
      <c r="D2316" s="11">
        <v>1</v>
      </c>
      <c r="E2316" s="11" t="s">
        <v>13</v>
      </c>
      <c r="F2316" s="20">
        <v>46269.205127314817</v>
      </c>
      <c r="G2316" s="11" t="s">
        <v>2200</v>
      </c>
      <c r="H2316" s="11" t="s">
        <v>2199</v>
      </c>
      <c r="I2316" s="1">
        <f>VLOOKUP(G2316,WO!A:J,10,0)</f>
        <v>47</v>
      </c>
      <c r="J2316" s="1" t="str">
        <f t="shared" si="36"/>
        <v>18OA12.00</v>
      </c>
      <c r="K2316" s="1" t="str">
        <f>VLOOKUP(J2316,WO!B:E,4,0)</f>
        <v>AXOA</v>
      </c>
      <c r="L2316" s="1" t="str">
        <f>VLOOKUP(J2316,WO!B:F,5,0)</f>
        <v xml:space="preserve">  PA Assembly</v>
      </c>
      <c r="N2316" s="7"/>
    </row>
    <row r="2317" spans="1:14">
      <c r="A2317" s="11" t="s">
        <v>2218</v>
      </c>
      <c r="B2317" s="11" t="s">
        <v>954</v>
      </c>
      <c r="C2317" s="11" t="s">
        <v>955</v>
      </c>
      <c r="D2317" s="11">
        <v>1</v>
      </c>
      <c r="E2317" s="11" t="s">
        <v>13</v>
      </c>
      <c r="F2317" s="20">
        <v>46268.597581018519</v>
      </c>
      <c r="G2317" s="11" t="s">
        <v>2200</v>
      </c>
      <c r="H2317" s="11" t="s">
        <v>2199</v>
      </c>
      <c r="I2317" s="1">
        <f>VLOOKUP(G2317,WO!A:J,10,0)</f>
        <v>47</v>
      </c>
      <c r="J2317" s="1" t="str">
        <f t="shared" si="36"/>
        <v>18OA12.00</v>
      </c>
      <c r="K2317" s="1" t="str">
        <f>VLOOKUP(J2317,WO!B:E,4,0)</f>
        <v>AXOA</v>
      </c>
      <c r="L2317" s="1" t="str">
        <f>VLOOKUP(J2317,WO!B:F,5,0)</f>
        <v xml:space="preserve">  PA Assembly</v>
      </c>
      <c r="N2317" s="7"/>
    </row>
    <row r="2318" spans="1:14">
      <c r="A2318" s="11" t="s">
        <v>2219</v>
      </c>
      <c r="B2318" s="11" t="s">
        <v>954</v>
      </c>
      <c r="C2318" s="11" t="s">
        <v>955</v>
      </c>
      <c r="D2318" s="11">
        <v>1</v>
      </c>
      <c r="E2318" s="11" t="s">
        <v>13</v>
      </c>
      <c r="F2318" s="20">
        <v>46268.479432870372</v>
      </c>
      <c r="G2318" s="11" t="s">
        <v>2200</v>
      </c>
      <c r="H2318" s="11" t="s">
        <v>2199</v>
      </c>
      <c r="I2318" s="1">
        <f>VLOOKUP(G2318,WO!A:J,10,0)</f>
        <v>47</v>
      </c>
      <c r="J2318" s="1" t="str">
        <f t="shared" si="36"/>
        <v>18OA12.00</v>
      </c>
      <c r="K2318" s="1" t="str">
        <f>VLOOKUP(J2318,WO!B:E,4,0)</f>
        <v>AXOA</v>
      </c>
      <c r="L2318" s="1" t="str">
        <f>VLOOKUP(J2318,WO!B:F,5,0)</f>
        <v xml:space="preserve">  PA Assembly</v>
      </c>
      <c r="N2318" s="7"/>
    </row>
    <row r="2319" spans="1:14">
      <c r="A2319" s="11" t="s">
        <v>3782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3781</v>
      </c>
      <c r="H2319" s="11" t="s">
        <v>2191</v>
      </c>
      <c r="I2319" s="1">
        <f>VLOOKUP(G2319,WO!A:J,10,0)</f>
        <v>37</v>
      </c>
      <c r="J2319" s="1" t="str">
        <f t="shared" si="36"/>
        <v>18OA21.00</v>
      </c>
      <c r="K2319" s="1" t="str">
        <f>VLOOKUP(J2319,WO!B:E,4,0)</f>
        <v>AXOA</v>
      </c>
      <c r="L2319" s="1" t="str">
        <f>VLOOKUP(J2319,WO!B:F,5,0)</f>
        <v xml:space="preserve">  TRX/PSU/BB Assembly</v>
      </c>
      <c r="N2319" s="7"/>
    </row>
    <row r="2320" spans="1:14">
      <c r="A2320" s="11" t="s">
        <v>3783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3781</v>
      </c>
      <c r="H2320" s="11" t="s">
        <v>2191</v>
      </c>
      <c r="I2320" s="1">
        <f>VLOOKUP(G2320,WO!A:J,10,0)</f>
        <v>37</v>
      </c>
      <c r="J2320" s="1" t="str">
        <f t="shared" si="36"/>
        <v>18OA21.00</v>
      </c>
      <c r="K2320" s="1" t="str">
        <f>VLOOKUP(J2320,WO!B:E,4,0)</f>
        <v>AXOA</v>
      </c>
      <c r="L2320" s="1" t="str">
        <f>VLOOKUP(J2320,WO!B:F,5,0)</f>
        <v xml:space="preserve">  TRX/PSU/BB Assembly</v>
      </c>
      <c r="N2320" s="7"/>
    </row>
    <row r="2321" spans="1:14">
      <c r="A2321" s="11" t="s">
        <v>3784</v>
      </c>
      <c r="B2321" s="11" t="s">
        <v>956</v>
      </c>
      <c r="C2321" s="11" t="s">
        <v>957</v>
      </c>
      <c r="D2321" s="11">
        <v>1</v>
      </c>
      <c r="E2321" s="11" t="s">
        <v>13</v>
      </c>
      <c r="F2321" s="20">
        <v>46267.471932870372</v>
      </c>
      <c r="G2321" s="11" t="s">
        <v>3781</v>
      </c>
      <c r="H2321" s="11" t="s">
        <v>2191</v>
      </c>
      <c r="I2321" s="1">
        <f>VLOOKUP(G2321,WO!A:J,10,0)</f>
        <v>37</v>
      </c>
      <c r="J2321" s="1" t="str">
        <f t="shared" si="36"/>
        <v>18OA21.00</v>
      </c>
      <c r="K2321" s="1" t="str">
        <f>VLOOKUP(J2321,WO!B:E,4,0)</f>
        <v>AXOA</v>
      </c>
      <c r="L2321" s="1" t="str">
        <f>VLOOKUP(J2321,WO!B:F,5,0)</f>
        <v xml:space="preserve">  TRX/PSU/BB Assembly</v>
      </c>
      <c r="N2321" s="7"/>
    </row>
    <row r="2322" spans="1:14">
      <c r="A2322" s="11" t="s">
        <v>3785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3781</v>
      </c>
      <c r="H2322" s="11" t="s">
        <v>2191</v>
      </c>
      <c r="I2322" s="1">
        <f>VLOOKUP(G2322,WO!A:J,10,0)</f>
        <v>37</v>
      </c>
      <c r="J2322" s="1" t="str">
        <f t="shared" si="36"/>
        <v>18OA21.00</v>
      </c>
      <c r="K2322" s="1" t="str">
        <f>VLOOKUP(J2322,WO!B:E,4,0)</f>
        <v>AXOA</v>
      </c>
      <c r="L2322" s="1" t="str">
        <f>VLOOKUP(J2322,WO!B:F,5,0)</f>
        <v xml:space="preserve">  TRX/PSU/BB Assembly</v>
      </c>
      <c r="N2322" s="7"/>
    </row>
    <row r="2323" spans="1:14">
      <c r="A2323" s="11" t="s">
        <v>3786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3781</v>
      </c>
      <c r="H2323" s="11" t="s">
        <v>2191</v>
      </c>
      <c r="I2323" s="1">
        <f>VLOOKUP(G2323,WO!A:J,10,0)</f>
        <v>37</v>
      </c>
      <c r="J2323" s="1" t="str">
        <f t="shared" si="36"/>
        <v>18OA21.00</v>
      </c>
      <c r="K2323" s="1" t="str">
        <f>VLOOKUP(J2323,WO!B:E,4,0)</f>
        <v>AXOA</v>
      </c>
      <c r="L2323" s="1" t="str">
        <f>VLOOKUP(J2323,WO!B:F,5,0)</f>
        <v xml:space="preserve">  TRX/PSU/BB Assembly</v>
      </c>
      <c r="N2323" s="7"/>
    </row>
    <row r="2324" spans="1:14">
      <c r="A2324" s="11" t="s">
        <v>3787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3781</v>
      </c>
      <c r="H2324" s="11" t="s">
        <v>2191</v>
      </c>
      <c r="I2324" s="1">
        <f>VLOOKUP(G2324,WO!A:J,10,0)</f>
        <v>37</v>
      </c>
      <c r="J2324" s="1" t="str">
        <f t="shared" si="36"/>
        <v>18OA21.00</v>
      </c>
      <c r="K2324" s="1" t="str">
        <f>VLOOKUP(J2324,WO!B:E,4,0)</f>
        <v>AXOA</v>
      </c>
      <c r="L2324" s="1" t="str">
        <f>VLOOKUP(J2324,WO!B:F,5,0)</f>
        <v xml:space="preserve">  TRX/PSU/BB Assembly</v>
      </c>
      <c r="N2324" s="7"/>
    </row>
    <row r="2325" spans="1:14">
      <c r="A2325" s="11" t="s">
        <v>3788</v>
      </c>
      <c r="B2325" s="11" t="s">
        <v>3435</v>
      </c>
      <c r="C2325" s="11" t="s">
        <v>3436</v>
      </c>
      <c r="D2325" s="11">
        <v>1</v>
      </c>
      <c r="E2325" s="11" t="s">
        <v>13</v>
      </c>
      <c r="F2325" s="20">
        <v>46262.443414351852</v>
      </c>
      <c r="G2325" s="11" t="s">
        <v>3781</v>
      </c>
      <c r="H2325" s="11" t="s">
        <v>2191</v>
      </c>
      <c r="I2325" s="1">
        <f>VLOOKUP(G2325,WO!A:J,10,0)</f>
        <v>37</v>
      </c>
      <c r="J2325" s="1" t="str">
        <f t="shared" si="36"/>
        <v>18OA21.00</v>
      </c>
      <c r="K2325" s="1" t="str">
        <f>VLOOKUP(J2325,WO!B:E,4,0)</f>
        <v>AXOA</v>
      </c>
      <c r="L2325" s="1" t="str">
        <f>VLOOKUP(J2325,WO!B:F,5,0)</f>
        <v xml:space="preserve">  TRX/PSU/BB Assembly</v>
      </c>
      <c r="N2325" s="7"/>
    </row>
    <row r="2326" spans="1:14">
      <c r="A2326" s="11" t="s">
        <v>3789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3781</v>
      </c>
      <c r="H2326" s="11" t="s">
        <v>2191</v>
      </c>
      <c r="I2326" s="1">
        <f>VLOOKUP(G2326,WO!A:J,10,0)</f>
        <v>37</v>
      </c>
      <c r="J2326" s="1" t="str">
        <f t="shared" si="36"/>
        <v>18OA21.00</v>
      </c>
      <c r="K2326" s="1" t="str">
        <f>VLOOKUP(J2326,WO!B:E,4,0)</f>
        <v>AXOA</v>
      </c>
      <c r="L2326" s="1" t="str">
        <f>VLOOKUP(J2326,WO!B:F,5,0)</f>
        <v xml:space="preserve">  TRX/PSU/BB Assembly</v>
      </c>
      <c r="N2326" s="7"/>
    </row>
    <row r="2327" spans="1:14">
      <c r="A2327" s="11" t="s">
        <v>3790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3781</v>
      </c>
      <c r="H2327" s="11" t="s">
        <v>2191</v>
      </c>
      <c r="I2327" s="1">
        <f>VLOOKUP(G2327,WO!A:J,10,0)</f>
        <v>37</v>
      </c>
      <c r="J2327" s="1" t="str">
        <f t="shared" si="36"/>
        <v>18OA21.00</v>
      </c>
      <c r="K2327" s="1" t="str">
        <f>VLOOKUP(J2327,WO!B:E,4,0)</f>
        <v>AXOA</v>
      </c>
      <c r="L2327" s="1" t="str">
        <f>VLOOKUP(J2327,WO!B:F,5,0)</f>
        <v xml:space="preserve">  TRX/PSU/BB Assembly</v>
      </c>
      <c r="N2327" s="7"/>
    </row>
    <row r="2328" spans="1:14">
      <c r="A2328" s="11" t="s">
        <v>3791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3781</v>
      </c>
      <c r="H2328" s="11" t="s">
        <v>2191</v>
      </c>
      <c r="I2328" s="1">
        <f>VLOOKUP(G2328,WO!A:J,10,0)</f>
        <v>37</v>
      </c>
      <c r="J2328" s="1" t="str">
        <f t="shared" si="36"/>
        <v>18OA21.00</v>
      </c>
      <c r="K2328" s="1" t="str">
        <f>VLOOKUP(J2328,WO!B:E,4,0)</f>
        <v>AXOA</v>
      </c>
      <c r="L2328" s="1" t="str">
        <f>VLOOKUP(J2328,WO!B:F,5,0)</f>
        <v xml:space="preserve">  TRX/PSU/BB Assembly</v>
      </c>
      <c r="N2328" s="7"/>
    </row>
    <row r="2329" spans="1:14">
      <c r="A2329" s="11" t="s">
        <v>3792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3781</v>
      </c>
      <c r="H2329" s="11" t="s">
        <v>2191</v>
      </c>
      <c r="I2329" s="1">
        <f>VLOOKUP(G2329,WO!A:J,10,0)</f>
        <v>37</v>
      </c>
      <c r="J2329" s="1" t="str">
        <f t="shared" si="36"/>
        <v>18OA21.00</v>
      </c>
      <c r="K2329" s="1" t="str">
        <f>VLOOKUP(J2329,WO!B:E,4,0)</f>
        <v>AXOA</v>
      </c>
      <c r="L2329" s="1" t="str">
        <f>VLOOKUP(J2329,WO!B:F,5,0)</f>
        <v xml:space="preserve">  TRX/PSU/BB Assembly</v>
      </c>
      <c r="N2329" s="7"/>
    </row>
    <row r="2330" spans="1:14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J2330" s="1" t="str">
        <f t="shared" si="36"/>
        <v>19BA11.00</v>
      </c>
      <c r="K2330" s="1" t="str">
        <f>VLOOKUP(J2330,WO!B:E,4,0)</f>
        <v>AXOLA</v>
      </c>
      <c r="L2330" s="1" t="str">
        <f>VLOOKUP(J2330,WO!B:F,5,0)</f>
        <v xml:space="preserve">  PA Assembly</v>
      </c>
      <c r="N2330" s="7">
        <v>46157</v>
      </c>
    </row>
    <row r="2331" spans="1:14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J2331" s="1" t="str">
        <f t="shared" si="36"/>
        <v>19BA11.00</v>
      </c>
      <c r="K2331" s="1" t="str">
        <f>VLOOKUP(J2331,WO!B:E,4,0)</f>
        <v>AXOLA</v>
      </c>
      <c r="L2331" s="1" t="str">
        <f>VLOOKUP(J2331,WO!B:F,5,0)</f>
        <v xml:space="preserve">  PA Assembly</v>
      </c>
      <c r="N2331" s="7"/>
    </row>
    <row r="2332" spans="1:14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J2332" s="1" t="str">
        <f t="shared" si="36"/>
        <v>19BA11.00</v>
      </c>
      <c r="K2332" s="1" t="str">
        <f>VLOOKUP(J2332,WO!B:E,4,0)</f>
        <v>AXOLA</v>
      </c>
      <c r="L2332" s="1" t="str">
        <f>VLOOKUP(J2332,WO!B:F,5,0)</f>
        <v xml:space="preserve">  PA Assembly</v>
      </c>
      <c r="N2332" s="7"/>
    </row>
    <row r="2333" spans="1:14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J2333" s="1" t="str">
        <f t="shared" si="36"/>
        <v>19BA11.00</v>
      </c>
      <c r="K2333" s="1" t="str">
        <f>VLOOKUP(J2333,WO!B:E,4,0)</f>
        <v>AXOLA</v>
      </c>
      <c r="L2333" s="1" t="str">
        <f>VLOOKUP(J2333,WO!B:F,5,0)</f>
        <v xml:space="preserve">  PA Assembly</v>
      </c>
      <c r="N2333" s="7">
        <v>46157</v>
      </c>
    </row>
    <row r="2334" spans="1:14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J2334" s="1" t="str">
        <f t="shared" si="36"/>
        <v>19BA11.00</v>
      </c>
      <c r="K2334" s="1" t="str">
        <f>VLOOKUP(J2334,WO!B:E,4,0)</f>
        <v>AXOLA</v>
      </c>
      <c r="L2334" s="1" t="str">
        <f>VLOOKUP(J2334,WO!B:F,5,0)</f>
        <v xml:space="preserve">  PA Assembly</v>
      </c>
      <c r="N2334" s="7">
        <v>46157</v>
      </c>
    </row>
    <row r="2335" spans="1:14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J2335" s="1" t="str">
        <f t="shared" si="36"/>
        <v>19BA11.00</v>
      </c>
      <c r="K2335" s="1" t="str">
        <f>VLOOKUP(J2335,WO!B:E,4,0)</f>
        <v>AXOLA</v>
      </c>
      <c r="L2335" s="1" t="str">
        <f>VLOOKUP(J2335,WO!B:F,5,0)</f>
        <v xml:space="preserve">  PA Assembly</v>
      </c>
      <c r="N2335" s="7">
        <v>46157</v>
      </c>
    </row>
    <row r="2336" spans="1:14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J2336" s="1" t="str">
        <f t="shared" si="36"/>
        <v>19BA11.00</v>
      </c>
      <c r="K2336" s="1" t="str">
        <f>VLOOKUP(J2336,WO!B:E,4,0)</f>
        <v>AXOLA</v>
      </c>
      <c r="L2336" s="1" t="str">
        <f>VLOOKUP(J2336,WO!B:F,5,0)</f>
        <v xml:space="preserve">  PA Assembly</v>
      </c>
      <c r="N2336" s="7">
        <v>46157</v>
      </c>
    </row>
    <row r="2337" spans="1:14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J2337" s="1" t="str">
        <f t="shared" si="36"/>
        <v>19BA11.00</v>
      </c>
      <c r="K2337" s="1" t="str">
        <f>VLOOKUP(J2337,WO!B:E,4,0)</f>
        <v>AXOLA</v>
      </c>
      <c r="L2337" s="1" t="str">
        <f>VLOOKUP(J2337,WO!B:F,5,0)</f>
        <v xml:space="preserve">  PA Assembly</v>
      </c>
      <c r="N2337" s="7">
        <v>46174</v>
      </c>
    </row>
    <row r="2338" spans="1:14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J2338" s="1" t="str">
        <f t="shared" si="36"/>
        <v>19BA11.00</v>
      </c>
      <c r="K2338" s="1" t="str">
        <f>VLOOKUP(J2338,WO!B:E,4,0)</f>
        <v>AXOLA</v>
      </c>
      <c r="L2338" s="1" t="str">
        <f>VLOOKUP(J2338,WO!B:F,5,0)</f>
        <v xml:space="preserve">  PA Assembly</v>
      </c>
      <c r="N2338" s="7">
        <v>46157</v>
      </c>
    </row>
    <row r="2339" spans="1:14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J2339" s="1" t="str">
        <f t="shared" si="36"/>
        <v>19BA11.00</v>
      </c>
      <c r="K2339" s="1" t="str">
        <f>VLOOKUP(J2339,WO!B:E,4,0)</f>
        <v>AXOLA</v>
      </c>
      <c r="L2339" s="1" t="str">
        <f>VLOOKUP(J2339,WO!B:F,5,0)</f>
        <v xml:space="preserve">  PA Assembly</v>
      </c>
      <c r="N2339" s="7">
        <v>46174</v>
      </c>
    </row>
    <row r="2340" spans="1:14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J2340" s="1" t="str">
        <f t="shared" si="36"/>
        <v>19BA11.00</v>
      </c>
      <c r="K2340" s="1" t="str">
        <f>VLOOKUP(J2340,WO!B:E,4,0)</f>
        <v>AXOLA</v>
      </c>
      <c r="L2340" s="1" t="str">
        <f>VLOOKUP(J2340,WO!B:F,5,0)</f>
        <v xml:space="preserve">  PA Assembly</v>
      </c>
      <c r="N2340" s="7">
        <v>46174</v>
      </c>
    </row>
    <row r="2341" spans="1:14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J2341" s="1" t="str">
        <f t="shared" si="36"/>
        <v>19BA11.00</v>
      </c>
      <c r="K2341" s="1" t="str">
        <f>VLOOKUP(J2341,WO!B:E,4,0)</f>
        <v>AXOLA</v>
      </c>
      <c r="L2341" s="1" t="str">
        <f>VLOOKUP(J2341,WO!B:F,5,0)</f>
        <v xml:space="preserve">  PA Assembly</v>
      </c>
      <c r="N2341" s="7">
        <v>46174</v>
      </c>
    </row>
    <row r="2342" spans="1:14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J2342" s="1" t="str">
        <f t="shared" si="36"/>
        <v>19BA11.00</v>
      </c>
      <c r="K2342" s="1" t="str">
        <f>VLOOKUP(J2342,WO!B:E,4,0)</f>
        <v>AXOLA</v>
      </c>
      <c r="L2342" s="1" t="str">
        <f>VLOOKUP(J2342,WO!B:F,5,0)</f>
        <v xml:space="preserve">  PA Assembly</v>
      </c>
      <c r="N2342" s="7">
        <v>46174</v>
      </c>
    </row>
    <row r="2343" spans="1:14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J2343" s="1" t="str">
        <f t="shared" si="36"/>
        <v>19BA11.00</v>
      </c>
      <c r="K2343" s="1" t="str">
        <f>VLOOKUP(J2343,WO!B:E,4,0)</f>
        <v>AXOLA</v>
      </c>
      <c r="L2343" s="1" t="str">
        <f>VLOOKUP(J2343,WO!B:F,5,0)</f>
        <v xml:space="preserve">  PA Assembly</v>
      </c>
      <c r="N2343" s="7">
        <v>46174</v>
      </c>
    </row>
    <row r="2344" spans="1:14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J2344" s="1" t="str">
        <f t="shared" si="36"/>
        <v>19BA11.10</v>
      </c>
      <c r="K2344" s="1" t="str">
        <f>VLOOKUP(J2344,WO!B:E,4,0)</f>
        <v>AXOLA</v>
      </c>
      <c r="L2344" s="1" t="str">
        <f>VLOOKUP(J2344,WO!B:F,5,0)</f>
        <v xml:space="preserve">  PA Assembly</v>
      </c>
      <c r="N2344" s="7"/>
    </row>
    <row r="2345" spans="1:14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J2345" s="1" t="str">
        <f t="shared" si="36"/>
        <v>19BA11.10</v>
      </c>
      <c r="K2345" s="1" t="str">
        <f>VLOOKUP(J2345,WO!B:E,4,0)</f>
        <v>AXOLA</v>
      </c>
      <c r="L2345" s="1" t="str">
        <f>VLOOKUP(J2345,WO!B:F,5,0)</f>
        <v xml:space="preserve">  PA Assembly</v>
      </c>
      <c r="N2345" s="7">
        <v>46157</v>
      </c>
    </row>
    <row r="2346" spans="1:14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J2346" s="1" t="str">
        <f t="shared" si="36"/>
        <v>19BA11.10</v>
      </c>
      <c r="K2346" s="1" t="str">
        <f>VLOOKUP(J2346,WO!B:E,4,0)</f>
        <v>AXOLA</v>
      </c>
      <c r="L2346" s="1" t="str">
        <f>VLOOKUP(J2346,WO!B:F,5,0)</f>
        <v xml:space="preserve">  PA Assembly</v>
      </c>
      <c r="N2346" s="7">
        <v>46157</v>
      </c>
    </row>
    <row r="2347" spans="1:14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J2347" s="1" t="str">
        <f t="shared" si="36"/>
        <v>19BA11.10</v>
      </c>
      <c r="K2347" s="1" t="str">
        <f>VLOOKUP(J2347,WO!B:E,4,0)</f>
        <v>AXOLA</v>
      </c>
      <c r="L2347" s="1" t="str">
        <f>VLOOKUP(J2347,WO!B:F,5,0)</f>
        <v xml:space="preserve">  PA Assembly</v>
      </c>
      <c r="N2347" s="7">
        <v>46157</v>
      </c>
    </row>
    <row r="2348" spans="1:14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J2348" s="1" t="str">
        <f t="shared" si="36"/>
        <v>19BA11.10</v>
      </c>
      <c r="K2348" s="1" t="str">
        <f>VLOOKUP(J2348,WO!B:E,4,0)</f>
        <v>AXOLA</v>
      </c>
      <c r="L2348" s="1" t="str">
        <f>VLOOKUP(J2348,WO!B:F,5,0)</f>
        <v xml:space="preserve">  PA Assembly</v>
      </c>
      <c r="N2348" s="7">
        <v>46157</v>
      </c>
    </row>
    <row r="2349" spans="1:14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J2349" s="1" t="str">
        <f t="shared" si="36"/>
        <v>19BA11.10</v>
      </c>
      <c r="K2349" s="1" t="str">
        <f>VLOOKUP(J2349,WO!B:E,4,0)</f>
        <v>AXOLA</v>
      </c>
      <c r="L2349" s="1" t="str">
        <f>VLOOKUP(J2349,WO!B:F,5,0)</f>
        <v xml:space="preserve">  PA Assembly</v>
      </c>
      <c r="N2349" s="7">
        <v>46174</v>
      </c>
    </row>
    <row r="2350" spans="1:14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J2350" s="1" t="str">
        <f t="shared" si="36"/>
        <v>19BA11.10</v>
      </c>
      <c r="K2350" s="1" t="str">
        <f>VLOOKUP(J2350,WO!B:E,4,0)</f>
        <v>AXOLA</v>
      </c>
      <c r="L2350" s="1" t="str">
        <f>VLOOKUP(J2350,WO!B:F,5,0)</f>
        <v xml:space="preserve">  PA Assembly</v>
      </c>
      <c r="N2350" s="7">
        <v>46157</v>
      </c>
    </row>
    <row r="2351" spans="1:14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J2351" s="1" t="str">
        <f t="shared" si="36"/>
        <v>19BA11.10</v>
      </c>
      <c r="K2351" s="1" t="str">
        <f>VLOOKUP(J2351,WO!B:E,4,0)</f>
        <v>AXOLA</v>
      </c>
      <c r="L2351" s="1" t="str">
        <f>VLOOKUP(J2351,WO!B:F,5,0)</f>
        <v xml:space="preserve">  PA Assembly</v>
      </c>
      <c r="N2351" s="7">
        <v>46174</v>
      </c>
    </row>
    <row r="2352" spans="1:14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J2352" s="1" t="str">
        <f t="shared" si="36"/>
        <v>19BA11.10</v>
      </c>
      <c r="K2352" s="1" t="str">
        <f>VLOOKUP(J2352,WO!B:E,4,0)</f>
        <v>AXOLA</v>
      </c>
      <c r="L2352" s="1" t="str">
        <f>VLOOKUP(J2352,WO!B:F,5,0)</f>
        <v xml:space="preserve">  PA Assembly</v>
      </c>
      <c r="N2352" s="7">
        <v>46174</v>
      </c>
    </row>
    <row r="2353" spans="1:14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J2353" s="1" t="str">
        <f t="shared" si="36"/>
        <v>19BA11.10</v>
      </c>
      <c r="K2353" s="1" t="str">
        <f>VLOOKUP(J2353,WO!B:E,4,0)</f>
        <v>AXOLA</v>
      </c>
      <c r="L2353" s="1" t="str">
        <f>VLOOKUP(J2353,WO!B:F,5,0)</f>
        <v xml:space="preserve">  PA Assembly</v>
      </c>
      <c r="N2353" s="7">
        <v>46174</v>
      </c>
    </row>
    <row r="2354" spans="1:14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J2354" s="1" t="str">
        <f t="shared" si="36"/>
        <v>19BA11.10</v>
      </c>
      <c r="K2354" s="1" t="str">
        <f>VLOOKUP(J2354,WO!B:E,4,0)</f>
        <v>AXOLA</v>
      </c>
      <c r="L2354" s="1" t="str">
        <f>VLOOKUP(J2354,WO!B:F,5,0)</f>
        <v xml:space="preserve">  PA Assembly</v>
      </c>
      <c r="N2354" s="7">
        <v>46174</v>
      </c>
    </row>
    <row r="2355" spans="1:14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J2355" s="1" t="str">
        <f t="shared" si="36"/>
        <v>19BA11.10</v>
      </c>
      <c r="K2355" s="1" t="str">
        <f>VLOOKUP(J2355,WO!B:E,4,0)</f>
        <v>AXOLA</v>
      </c>
      <c r="L2355" s="1" t="str">
        <f>VLOOKUP(J2355,WO!B:F,5,0)</f>
        <v xml:space="preserve">  PA Assembly</v>
      </c>
      <c r="N2355" s="7">
        <v>46174</v>
      </c>
    </row>
    <row r="2356" spans="1:14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J2356" s="1" t="str">
        <f t="shared" si="36"/>
        <v>19BA11.10</v>
      </c>
      <c r="K2356" s="1" t="str">
        <f>VLOOKUP(J2356,WO!B:E,4,0)</f>
        <v>AXOLA</v>
      </c>
      <c r="L2356" s="1" t="str">
        <f>VLOOKUP(J2356,WO!B:F,5,0)</f>
        <v xml:space="preserve">  PA Assembly</v>
      </c>
      <c r="N2356" s="7">
        <v>46174</v>
      </c>
    </row>
    <row r="2357" spans="1:14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J2357" s="1" t="str">
        <f t="shared" si="36"/>
        <v>19BA11.10</v>
      </c>
      <c r="K2357" s="1" t="str">
        <f>VLOOKUP(J2357,WO!B:E,4,0)</f>
        <v>AXOLA</v>
      </c>
      <c r="L2357" s="1" t="str">
        <f>VLOOKUP(J2357,WO!B:F,5,0)</f>
        <v xml:space="preserve">  PA Assembly</v>
      </c>
      <c r="N2357" s="7">
        <v>46157</v>
      </c>
    </row>
    <row r="2358" spans="1:14">
      <c r="A2358" s="11" t="s">
        <v>2228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2194</v>
      </c>
      <c r="H2358" s="11" t="s">
        <v>203</v>
      </c>
      <c r="I2358" s="1">
        <f>VLOOKUP(G2358,WO!A:J,10,0)</f>
        <v>42</v>
      </c>
      <c r="J2358" s="1" t="str">
        <f t="shared" si="36"/>
        <v>19BA13.00</v>
      </c>
      <c r="K2358" s="1" t="str">
        <f>VLOOKUP(J2358,WO!B:E,4,0)</f>
        <v>AXOLBA</v>
      </c>
      <c r="L2358" s="1" t="str">
        <f>VLOOKUP(J2358,WO!B:F,5,0)</f>
        <v xml:space="preserve">  PA Assembly</v>
      </c>
      <c r="N2358" s="7"/>
    </row>
    <row r="2359" spans="1:14">
      <c r="A2359" s="11" t="s">
        <v>2229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2194</v>
      </c>
      <c r="H2359" s="11" t="s">
        <v>203</v>
      </c>
      <c r="I2359" s="1">
        <f>VLOOKUP(G2359,WO!A:J,10,0)</f>
        <v>42</v>
      </c>
      <c r="J2359" s="1" t="str">
        <f t="shared" si="36"/>
        <v>19BA13.00</v>
      </c>
      <c r="K2359" s="1" t="str">
        <f>VLOOKUP(J2359,WO!B:E,4,0)</f>
        <v>AXOLBA</v>
      </c>
      <c r="L2359" s="1" t="str">
        <f>VLOOKUP(J2359,WO!B:F,5,0)</f>
        <v xml:space="preserve">  PA Assembly</v>
      </c>
      <c r="N2359" s="7"/>
    </row>
    <row r="2360" spans="1:14">
      <c r="A2360" s="11" t="s">
        <v>2230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2194</v>
      </c>
      <c r="H2360" s="11" t="s">
        <v>203</v>
      </c>
      <c r="I2360" s="1">
        <f>VLOOKUP(G2360,WO!A:J,10,0)</f>
        <v>42</v>
      </c>
      <c r="J2360" s="1" t="str">
        <f t="shared" si="36"/>
        <v>19BA13.00</v>
      </c>
      <c r="K2360" s="1" t="str">
        <f>VLOOKUP(J2360,WO!B:E,4,0)</f>
        <v>AXOLBA</v>
      </c>
      <c r="L2360" s="1" t="str">
        <f>VLOOKUP(J2360,WO!B:F,5,0)</f>
        <v xml:space="preserve">  PA Assembly</v>
      </c>
      <c r="N2360" s="7"/>
    </row>
    <row r="2361" spans="1:14">
      <c r="A2361" s="11" t="s">
        <v>2231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2194</v>
      </c>
      <c r="H2361" s="11" t="s">
        <v>203</v>
      </c>
      <c r="I2361" s="1">
        <f>VLOOKUP(G2361,WO!A:J,10,0)</f>
        <v>42</v>
      </c>
      <c r="J2361" s="1" t="str">
        <f t="shared" si="36"/>
        <v>19BA13.00</v>
      </c>
      <c r="K2361" s="1" t="str">
        <f>VLOOKUP(J2361,WO!B:E,4,0)</f>
        <v>AXOLBA</v>
      </c>
      <c r="L2361" s="1" t="str">
        <f>VLOOKUP(J2361,WO!B:F,5,0)</f>
        <v xml:space="preserve">  PA Assembly</v>
      </c>
      <c r="N2361" s="7"/>
    </row>
    <row r="2362" spans="1:14">
      <c r="A2362" s="11" t="s">
        <v>2232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46269.368692129632</v>
      </c>
      <c r="G2362" s="11" t="s">
        <v>2194</v>
      </c>
      <c r="H2362" s="11" t="s">
        <v>203</v>
      </c>
      <c r="I2362" s="1">
        <f>VLOOKUP(G2362,WO!A:J,10,0)</f>
        <v>42</v>
      </c>
      <c r="J2362" s="1" t="str">
        <f t="shared" si="36"/>
        <v>19BA13.00</v>
      </c>
      <c r="K2362" s="1" t="str">
        <f>VLOOKUP(J2362,WO!B:E,4,0)</f>
        <v>AXOLBA</v>
      </c>
      <c r="L2362" s="1" t="str">
        <f>VLOOKUP(J2362,WO!B:F,5,0)</f>
        <v xml:space="preserve">  PA Assembly</v>
      </c>
      <c r="N2362" s="7"/>
    </row>
    <row r="2363" spans="1:14">
      <c r="A2363" s="11" t="s">
        <v>2233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2194</v>
      </c>
      <c r="H2363" s="11" t="s">
        <v>203</v>
      </c>
      <c r="I2363" s="1">
        <f>VLOOKUP(G2363,WO!A:J,10,0)</f>
        <v>42</v>
      </c>
      <c r="J2363" s="1" t="str">
        <f t="shared" si="36"/>
        <v>19BA13.00</v>
      </c>
      <c r="K2363" s="1" t="str">
        <f>VLOOKUP(J2363,WO!B:E,4,0)</f>
        <v>AXOLBA</v>
      </c>
      <c r="L2363" s="1" t="str">
        <f>VLOOKUP(J2363,WO!B:F,5,0)</f>
        <v xml:space="preserve">  PA Assembly</v>
      </c>
      <c r="N2363" s="7"/>
    </row>
    <row r="2364" spans="1:14">
      <c r="A2364" s="11" t="s">
        <v>2234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2194</v>
      </c>
      <c r="H2364" s="11" t="s">
        <v>203</v>
      </c>
      <c r="I2364" s="1">
        <f>VLOOKUP(G2364,WO!A:J,10,0)</f>
        <v>42</v>
      </c>
      <c r="J2364" s="1" t="str">
        <f t="shared" si="36"/>
        <v>19BA13.00</v>
      </c>
      <c r="K2364" s="1" t="str">
        <f>VLOOKUP(J2364,WO!B:E,4,0)</f>
        <v>AXOLBA</v>
      </c>
      <c r="L2364" s="1" t="str">
        <f>VLOOKUP(J2364,WO!B:F,5,0)</f>
        <v xml:space="preserve">  PA Assembly</v>
      </c>
      <c r="N2364" s="7"/>
    </row>
    <row r="2365" spans="1:14">
      <c r="A2365" s="11" t="s">
        <v>2235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2194</v>
      </c>
      <c r="H2365" s="11" t="s">
        <v>203</v>
      </c>
      <c r="I2365" s="1">
        <f>VLOOKUP(G2365,WO!A:J,10,0)</f>
        <v>42</v>
      </c>
      <c r="J2365" s="1" t="str">
        <f t="shared" si="36"/>
        <v>19BA13.00</v>
      </c>
      <c r="K2365" s="1" t="str">
        <f>VLOOKUP(J2365,WO!B:E,4,0)</f>
        <v>AXOLBA</v>
      </c>
      <c r="L2365" s="1" t="str">
        <f>VLOOKUP(J2365,WO!B:F,5,0)</f>
        <v xml:space="preserve">  PA Assembly</v>
      </c>
      <c r="N2365" s="7"/>
    </row>
    <row r="2366" spans="1:14">
      <c r="A2366" s="11" t="s">
        <v>2236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2194</v>
      </c>
      <c r="H2366" s="11" t="s">
        <v>203</v>
      </c>
      <c r="I2366" s="1">
        <f>VLOOKUP(G2366,WO!A:J,10,0)</f>
        <v>42</v>
      </c>
      <c r="J2366" s="1" t="str">
        <f t="shared" si="36"/>
        <v>19BA13.00</v>
      </c>
      <c r="K2366" s="1" t="str">
        <f>VLOOKUP(J2366,WO!B:E,4,0)</f>
        <v>AXOLBA</v>
      </c>
      <c r="L2366" s="1" t="str">
        <f>VLOOKUP(J2366,WO!B:F,5,0)</f>
        <v xml:space="preserve">  PA Assembly</v>
      </c>
      <c r="N2366" s="7"/>
    </row>
    <row r="2367" spans="1:14">
      <c r="A2367" s="11" t="s">
        <v>2237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2194</v>
      </c>
      <c r="H2367" s="11" t="s">
        <v>203</v>
      </c>
      <c r="I2367" s="1">
        <f>VLOOKUP(G2367,WO!A:J,10,0)</f>
        <v>42</v>
      </c>
      <c r="J2367" s="1" t="str">
        <f t="shared" si="36"/>
        <v>19BA13.00</v>
      </c>
      <c r="K2367" s="1" t="str">
        <f>VLOOKUP(J2367,WO!B:E,4,0)</f>
        <v>AXOLBA</v>
      </c>
      <c r="L2367" s="1" t="str">
        <f>VLOOKUP(J2367,WO!B:F,5,0)</f>
        <v xml:space="preserve">  PA Assembly</v>
      </c>
      <c r="N2367" s="7"/>
    </row>
    <row r="2368" spans="1:14">
      <c r="A2368" s="11" t="s">
        <v>2238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2194</v>
      </c>
      <c r="H2368" s="11" t="s">
        <v>203</v>
      </c>
      <c r="I2368" s="1">
        <f>VLOOKUP(G2368,WO!A:J,10,0)</f>
        <v>42</v>
      </c>
      <c r="J2368" s="1" t="str">
        <f t="shared" si="36"/>
        <v>19BA13.00</v>
      </c>
      <c r="K2368" s="1" t="str">
        <f>VLOOKUP(J2368,WO!B:E,4,0)</f>
        <v>AXOLBA</v>
      </c>
      <c r="L2368" s="1" t="str">
        <f>VLOOKUP(J2368,WO!B:F,5,0)</f>
        <v xml:space="preserve">  PA Assembly</v>
      </c>
      <c r="N2368" s="7"/>
    </row>
    <row r="2369" spans="1:14">
      <c r="A2369" s="11" t="s">
        <v>2239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2194</v>
      </c>
      <c r="H2369" s="11" t="s">
        <v>203</v>
      </c>
      <c r="I2369" s="1">
        <f>VLOOKUP(G2369,WO!A:J,10,0)</f>
        <v>42</v>
      </c>
      <c r="J2369" s="1" t="str">
        <f t="shared" si="36"/>
        <v>19BA13.00</v>
      </c>
      <c r="K2369" s="1" t="str">
        <f>VLOOKUP(J2369,WO!B:E,4,0)</f>
        <v>AXOLBA</v>
      </c>
      <c r="L2369" s="1" t="str">
        <f>VLOOKUP(J2369,WO!B:F,5,0)</f>
        <v xml:space="preserve">  PA Assembly</v>
      </c>
      <c r="N2369" s="7"/>
    </row>
    <row r="2370" spans="1:14">
      <c r="A2370" s="11" t="s">
        <v>2240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2194</v>
      </c>
      <c r="H2370" s="11" t="s">
        <v>203</v>
      </c>
      <c r="I2370" s="1">
        <f>VLOOKUP(G2370,WO!A:J,10,0)</f>
        <v>42</v>
      </c>
      <c r="J2370" s="1" t="str">
        <f t="shared" si="36"/>
        <v>19BA13.00</v>
      </c>
      <c r="K2370" s="1" t="str">
        <f>VLOOKUP(J2370,WO!B:E,4,0)</f>
        <v>AXOLBA</v>
      </c>
      <c r="L2370" s="1" t="str">
        <f>VLOOKUP(J2370,WO!B:F,5,0)</f>
        <v xml:space="preserve">  PA Assembly</v>
      </c>
      <c r="N2370" s="7"/>
    </row>
    <row r="2371" spans="1:14">
      <c r="A2371" s="11" t="s">
        <v>2241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2194</v>
      </c>
      <c r="H2371" s="11" t="s">
        <v>203</v>
      </c>
      <c r="I2371" s="1">
        <f>VLOOKUP(G2371,WO!A:J,10,0)</f>
        <v>42</v>
      </c>
      <c r="J2371" s="1" t="str">
        <f t="shared" ref="J2371:J2434" si="37">MID(G2371,3,9)</f>
        <v>19BA13.00</v>
      </c>
      <c r="K2371" s="1" t="str">
        <f>VLOOKUP(J2371,WO!B:E,4,0)</f>
        <v>AXOLBA</v>
      </c>
      <c r="L2371" s="1" t="str">
        <f>VLOOKUP(J2371,WO!B:F,5,0)</f>
        <v xml:space="preserve">  PA Assembly</v>
      </c>
      <c r="N2371" s="7"/>
    </row>
    <row r="2372" spans="1:14">
      <c r="A2372" s="11" t="s">
        <v>2242</v>
      </c>
      <c r="B2372" s="11" t="s">
        <v>6</v>
      </c>
      <c r="C2372" s="11" t="s">
        <v>6</v>
      </c>
      <c r="D2372" s="11">
        <v>1</v>
      </c>
      <c r="E2372" s="11" t="s">
        <v>7</v>
      </c>
      <c r="F2372" s="20">
        <v>46265.891631944447</v>
      </c>
      <c r="G2372" s="11" t="s">
        <v>2194</v>
      </c>
      <c r="H2372" s="11" t="s">
        <v>203</v>
      </c>
      <c r="I2372" s="1">
        <f>VLOOKUP(G2372,WO!A:J,10,0)</f>
        <v>42</v>
      </c>
      <c r="J2372" s="1" t="str">
        <f t="shared" si="37"/>
        <v>19BA13.00</v>
      </c>
      <c r="K2372" s="1" t="str">
        <f>VLOOKUP(J2372,WO!B:E,4,0)</f>
        <v>AXOLBA</v>
      </c>
      <c r="L2372" s="1" t="str">
        <f>VLOOKUP(J2372,WO!B:F,5,0)</f>
        <v xml:space="preserve">  PA Assembly</v>
      </c>
      <c r="N2372" s="7"/>
    </row>
    <row r="2373" spans="1:14">
      <c r="A2373" s="11" t="s">
        <v>2243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2194</v>
      </c>
      <c r="H2373" s="11" t="s">
        <v>203</v>
      </c>
      <c r="I2373" s="1">
        <f>VLOOKUP(G2373,WO!A:J,10,0)</f>
        <v>42</v>
      </c>
      <c r="J2373" s="1" t="str">
        <f t="shared" si="37"/>
        <v>19BA13.00</v>
      </c>
      <c r="K2373" s="1" t="str">
        <f>VLOOKUP(J2373,WO!B:E,4,0)</f>
        <v>AXOLBA</v>
      </c>
      <c r="L2373" s="1" t="str">
        <f>VLOOKUP(J2373,WO!B:F,5,0)</f>
        <v xml:space="preserve">  PA Assembly</v>
      </c>
      <c r="N2373" s="7"/>
    </row>
    <row r="2374" spans="1:14">
      <c r="A2374" s="11" t="s">
        <v>2244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2194</v>
      </c>
      <c r="H2374" s="11" t="s">
        <v>203</v>
      </c>
      <c r="I2374" s="1">
        <f>VLOOKUP(G2374,WO!A:J,10,0)</f>
        <v>42</v>
      </c>
      <c r="J2374" s="1" t="str">
        <f t="shared" si="37"/>
        <v>19BA13.00</v>
      </c>
      <c r="K2374" s="1" t="str">
        <f>VLOOKUP(J2374,WO!B:E,4,0)</f>
        <v>AXOLBA</v>
      </c>
      <c r="L2374" s="1" t="str">
        <f>VLOOKUP(J2374,WO!B:F,5,0)</f>
        <v xml:space="preserve">  PA Assembly</v>
      </c>
      <c r="N2374" s="7"/>
    </row>
    <row r="2375" spans="1:14">
      <c r="A2375" s="11" t="s">
        <v>2245</v>
      </c>
      <c r="B2375" s="11" t="s">
        <v>6</v>
      </c>
      <c r="C2375" s="11" t="s">
        <v>6</v>
      </c>
      <c r="D2375" s="11">
        <v>1</v>
      </c>
      <c r="E2375" s="11" t="s">
        <v>7</v>
      </c>
      <c r="F2375" s="20">
        <v>46265.891631944447</v>
      </c>
      <c r="G2375" s="11" t="s">
        <v>2194</v>
      </c>
      <c r="H2375" s="11" t="s">
        <v>203</v>
      </c>
      <c r="I2375" s="1">
        <f>VLOOKUP(G2375,WO!A:J,10,0)</f>
        <v>42</v>
      </c>
      <c r="J2375" s="1" t="str">
        <f t="shared" si="37"/>
        <v>19BA13.00</v>
      </c>
      <c r="K2375" s="1" t="str">
        <f>VLOOKUP(J2375,WO!B:E,4,0)</f>
        <v>AXOLBA</v>
      </c>
      <c r="L2375" s="1" t="str">
        <f>VLOOKUP(J2375,WO!B:F,5,0)</f>
        <v xml:space="preserve">  PA Assembly</v>
      </c>
      <c r="N2375" s="7"/>
    </row>
    <row r="2376" spans="1:14">
      <c r="A2376" s="11" t="s">
        <v>2246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2194</v>
      </c>
      <c r="H2376" s="11" t="s">
        <v>203</v>
      </c>
      <c r="I2376" s="1">
        <f>VLOOKUP(G2376,WO!A:J,10,0)</f>
        <v>42</v>
      </c>
      <c r="J2376" s="1" t="str">
        <f t="shared" si="37"/>
        <v>19BA13.00</v>
      </c>
      <c r="K2376" s="1" t="str">
        <f>VLOOKUP(J2376,WO!B:E,4,0)</f>
        <v>AXOLBA</v>
      </c>
      <c r="L2376" s="1" t="str">
        <f>VLOOKUP(J2376,WO!B:F,5,0)</f>
        <v xml:space="preserve">  PA Assembly</v>
      </c>
      <c r="N2376" s="7"/>
    </row>
    <row r="2377" spans="1:14">
      <c r="A2377" s="11" t="s">
        <v>2247</v>
      </c>
      <c r="B2377" s="11" t="s">
        <v>6</v>
      </c>
      <c r="C2377" s="11" t="s">
        <v>6</v>
      </c>
      <c r="D2377" s="11">
        <v>1</v>
      </c>
      <c r="E2377" s="11" t="s">
        <v>7</v>
      </c>
      <c r="F2377" s="20">
        <v>46266.572534722225</v>
      </c>
      <c r="G2377" s="11" t="s">
        <v>2194</v>
      </c>
      <c r="H2377" s="11" t="s">
        <v>203</v>
      </c>
      <c r="I2377" s="1">
        <f>VLOOKUP(G2377,WO!A:J,10,0)</f>
        <v>42</v>
      </c>
      <c r="J2377" s="1" t="str">
        <f t="shared" si="37"/>
        <v>19BA13.00</v>
      </c>
      <c r="K2377" s="1" t="str">
        <f>VLOOKUP(J2377,WO!B:E,4,0)</f>
        <v>AXOLBA</v>
      </c>
      <c r="L2377" s="1" t="str">
        <f>VLOOKUP(J2377,WO!B:F,5,0)</f>
        <v xml:space="preserve">  PA Assembly</v>
      </c>
      <c r="N2377" s="7"/>
    </row>
    <row r="2378" spans="1:14">
      <c r="A2378" s="11" t="s">
        <v>2248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2194</v>
      </c>
      <c r="H2378" s="11" t="s">
        <v>203</v>
      </c>
      <c r="I2378" s="1">
        <f>VLOOKUP(G2378,WO!A:J,10,0)</f>
        <v>42</v>
      </c>
      <c r="J2378" s="1" t="str">
        <f t="shared" si="37"/>
        <v>19BA13.00</v>
      </c>
      <c r="K2378" s="1" t="str">
        <f>VLOOKUP(J2378,WO!B:E,4,0)</f>
        <v>AXOLBA</v>
      </c>
      <c r="L2378" s="1" t="str">
        <f>VLOOKUP(J2378,WO!B:F,5,0)</f>
        <v xml:space="preserve">  PA Assembly</v>
      </c>
      <c r="N2378" s="7"/>
    </row>
    <row r="2379" spans="1:14">
      <c r="A2379" s="11" t="s">
        <v>2249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2194</v>
      </c>
      <c r="H2379" s="11" t="s">
        <v>203</v>
      </c>
      <c r="I2379" s="1">
        <f>VLOOKUP(G2379,WO!A:J,10,0)</f>
        <v>42</v>
      </c>
      <c r="J2379" s="1" t="str">
        <f t="shared" si="37"/>
        <v>19BA13.00</v>
      </c>
      <c r="K2379" s="1" t="str">
        <f>VLOOKUP(J2379,WO!B:E,4,0)</f>
        <v>AXOLBA</v>
      </c>
      <c r="L2379" s="1" t="str">
        <f>VLOOKUP(J2379,WO!B:F,5,0)</f>
        <v xml:space="preserve">  PA Assembly</v>
      </c>
      <c r="N2379" s="7"/>
    </row>
    <row r="2380" spans="1:14">
      <c r="A2380" s="11" t="s">
        <v>2250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2194</v>
      </c>
      <c r="H2380" s="11" t="s">
        <v>203</v>
      </c>
      <c r="I2380" s="1">
        <f>VLOOKUP(G2380,WO!A:J,10,0)</f>
        <v>42</v>
      </c>
      <c r="J2380" s="1" t="str">
        <f t="shared" si="37"/>
        <v>19BA13.00</v>
      </c>
      <c r="K2380" s="1" t="str">
        <f>VLOOKUP(J2380,WO!B:E,4,0)</f>
        <v>AXOLBA</v>
      </c>
      <c r="L2380" s="1" t="str">
        <f>VLOOKUP(J2380,WO!B:F,5,0)</f>
        <v xml:space="preserve">  PA Assembly</v>
      </c>
      <c r="N2380" s="7"/>
    </row>
    <row r="2381" spans="1:14">
      <c r="A2381" s="11" t="s">
        <v>2251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2194</v>
      </c>
      <c r="H2381" s="11" t="s">
        <v>203</v>
      </c>
      <c r="I2381" s="1">
        <f>VLOOKUP(G2381,WO!A:J,10,0)</f>
        <v>42</v>
      </c>
      <c r="J2381" s="1" t="str">
        <f t="shared" si="37"/>
        <v>19BA13.00</v>
      </c>
      <c r="K2381" s="1" t="str">
        <f>VLOOKUP(J2381,WO!B:E,4,0)</f>
        <v>AXOLBA</v>
      </c>
      <c r="L2381" s="1" t="str">
        <f>VLOOKUP(J2381,WO!B:F,5,0)</f>
        <v xml:space="preserve">  PA Assembly</v>
      </c>
      <c r="N2381" s="7"/>
    </row>
    <row r="2382" spans="1:14">
      <c r="A2382" s="11" t="s">
        <v>2252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2194</v>
      </c>
      <c r="H2382" s="11" t="s">
        <v>203</v>
      </c>
      <c r="I2382" s="1">
        <f>VLOOKUP(G2382,WO!A:J,10,0)</f>
        <v>42</v>
      </c>
      <c r="J2382" s="1" t="str">
        <f t="shared" si="37"/>
        <v>19BA13.00</v>
      </c>
      <c r="K2382" s="1" t="str">
        <f>VLOOKUP(J2382,WO!B:E,4,0)</f>
        <v>AXOLBA</v>
      </c>
      <c r="L2382" s="1" t="str">
        <f>VLOOKUP(J2382,WO!B:F,5,0)</f>
        <v xml:space="preserve">  PA Assembly</v>
      </c>
      <c r="N2382" s="7"/>
    </row>
    <row r="2383" spans="1:14">
      <c r="A2383" s="11" t="s">
        <v>2253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2194</v>
      </c>
      <c r="H2383" s="11" t="s">
        <v>203</v>
      </c>
      <c r="I2383" s="1">
        <f>VLOOKUP(G2383,WO!A:J,10,0)</f>
        <v>42</v>
      </c>
      <c r="J2383" s="1" t="str">
        <f t="shared" si="37"/>
        <v>19BA13.00</v>
      </c>
      <c r="K2383" s="1" t="str">
        <f>VLOOKUP(J2383,WO!B:E,4,0)</f>
        <v>AXOLBA</v>
      </c>
      <c r="L2383" s="1" t="str">
        <f>VLOOKUP(J2383,WO!B:F,5,0)</f>
        <v xml:space="preserve">  PA Assembly</v>
      </c>
      <c r="N2383" s="7"/>
    </row>
    <row r="2384" spans="1:14">
      <c r="A2384" s="11" t="s">
        <v>2254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2194</v>
      </c>
      <c r="H2384" s="11" t="s">
        <v>203</v>
      </c>
      <c r="I2384" s="1">
        <f>VLOOKUP(G2384,WO!A:J,10,0)</f>
        <v>42</v>
      </c>
      <c r="J2384" s="1" t="str">
        <f t="shared" si="37"/>
        <v>19BA13.00</v>
      </c>
      <c r="K2384" s="1" t="str">
        <f>VLOOKUP(J2384,WO!B:E,4,0)</f>
        <v>AXOLBA</v>
      </c>
      <c r="L2384" s="1" t="str">
        <f>VLOOKUP(J2384,WO!B:F,5,0)</f>
        <v xml:space="preserve">  PA Assembly</v>
      </c>
      <c r="N2384" s="7"/>
    </row>
    <row r="2385" spans="1:14">
      <c r="A2385" s="11" t="s">
        <v>2255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2194</v>
      </c>
      <c r="H2385" s="11" t="s">
        <v>203</v>
      </c>
      <c r="I2385" s="1">
        <f>VLOOKUP(G2385,WO!A:J,10,0)</f>
        <v>42</v>
      </c>
      <c r="J2385" s="1" t="str">
        <f t="shared" si="37"/>
        <v>19BA13.00</v>
      </c>
      <c r="K2385" s="1" t="str">
        <f>VLOOKUP(J2385,WO!B:E,4,0)</f>
        <v>AXOLBA</v>
      </c>
      <c r="L2385" s="1" t="str">
        <f>VLOOKUP(J2385,WO!B:F,5,0)</f>
        <v xml:space="preserve">  PA Assembly</v>
      </c>
      <c r="N2385" s="7"/>
    </row>
    <row r="2386" spans="1:14">
      <c r="A2386" s="11" t="s">
        <v>2256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2194</v>
      </c>
      <c r="H2386" s="11" t="s">
        <v>203</v>
      </c>
      <c r="I2386" s="1">
        <f>VLOOKUP(G2386,WO!A:J,10,0)</f>
        <v>42</v>
      </c>
      <c r="J2386" s="1" t="str">
        <f t="shared" si="37"/>
        <v>19BA13.00</v>
      </c>
      <c r="K2386" s="1" t="str">
        <f>VLOOKUP(J2386,WO!B:E,4,0)</f>
        <v>AXOLBA</v>
      </c>
      <c r="L2386" s="1" t="str">
        <f>VLOOKUP(J2386,WO!B:F,5,0)</f>
        <v xml:space="preserve">  PA Assembly</v>
      </c>
      <c r="N2386" s="7"/>
    </row>
    <row r="2387" spans="1:14">
      <c r="A2387" s="11" t="s">
        <v>2257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2194</v>
      </c>
      <c r="H2387" s="11" t="s">
        <v>203</v>
      </c>
      <c r="I2387" s="1">
        <f>VLOOKUP(G2387,WO!A:J,10,0)</f>
        <v>42</v>
      </c>
      <c r="J2387" s="1" t="str">
        <f t="shared" si="37"/>
        <v>19BA13.00</v>
      </c>
      <c r="K2387" s="1" t="str">
        <f>VLOOKUP(J2387,WO!B:E,4,0)</f>
        <v>AXOLBA</v>
      </c>
      <c r="L2387" s="1" t="str">
        <f>VLOOKUP(J2387,WO!B:F,5,0)</f>
        <v xml:space="preserve">  PA Assembly</v>
      </c>
      <c r="N2387" s="7"/>
    </row>
    <row r="2388" spans="1:14">
      <c r="A2388" s="11" t="s">
        <v>2258</v>
      </c>
      <c r="B2388" s="11" t="s">
        <v>6</v>
      </c>
      <c r="C2388" s="11" t="s">
        <v>6</v>
      </c>
      <c r="D2388" s="11">
        <v>1</v>
      </c>
      <c r="E2388" s="11" t="s">
        <v>7</v>
      </c>
      <c r="F2388" s="20">
        <v>46267.407118055555</v>
      </c>
      <c r="G2388" s="11" t="s">
        <v>2194</v>
      </c>
      <c r="H2388" s="11" t="s">
        <v>203</v>
      </c>
      <c r="I2388" s="1">
        <f>VLOOKUP(G2388,WO!A:J,10,0)</f>
        <v>42</v>
      </c>
      <c r="J2388" s="1" t="str">
        <f t="shared" si="37"/>
        <v>19BA13.00</v>
      </c>
      <c r="K2388" s="1" t="str">
        <f>VLOOKUP(J2388,WO!B:E,4,0)</f>
        <v>AXOLBA</v>
      </c>
      <c r="L2388" s="1" t="str">
        <f>VLOOKUP(J2388,WO!B:F,5,0)</f>
        <v xml:space="preserve">  PA Assembly</v>
      </c>
      <c r="N2388" s="7"/>
    </row>
    <row r="2389" spans="1:14">
      <c r="A2389" s="11" t="s">
        <v>2259</v>
      </c>
      <c r="B2389" s="11" t="s">
        <v>8</v>
      </c>
      <c r="C2389" s="11" t="s">
        <v>9</v>
      </c>
      <c r="D2389" s="11">
        <v>1</v>
      </c>
      <c r="E2389" s="11" t="s">
        <v>10</v>
      </c>
      <c r="F2389" s="20">
        <v>46273.33697916667</v>
      </c>
      <c r="G2389" s="11" t="s">
        <v>2194</v>
      </c>
      <c r="H2389" s="11" t="s">
        <v>203</v>
      </c>
      <c r="I2389" s="1">
        <f>VLOOKUP(G2389,WO!A:J,10,0)</f>
        <v>42</v>
      </c>
      <c r="J2389" s="1" t="str">
        <f t="shared" si="37"/>
        <v>19BA13.00</v>
      </c>
      <c r="K2389" s="1" t="str">
        <f>VLOOKUP(J2389,WO!B:E,4,0)</f>
        <v>AXOLBA</v>
      </c>
      <c r="L2389" s="1" t="str">
        <f>VLOOKUP(J2389,WO!B:F,5,0)</f>
        <v xml:space="preserve">  PA Assembly</v>
      </c>
      <c r="N2389" s="7"/>
    </row>
    <row r="2390" spans="1:14">
      <c r="A2390" s="11" t="s">
        <v>2260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2194</v>
      </c>
      <c r="H2390" s="11" t="s">
        <v>203</v>
      </c>
      <c r="I2390" s="1">
        <f>VLOOKUP(G2390,WO!A:J,10,0)</f>
        <v>42</v>
      </c>
      <c r="J2390" s="1" t="str">
        <f t="shared" si="37"/>
        <v>19BA13.00</v>
      </c>
      <c r="K2390" s="1" t="str">
        <f>VLOOKUP(J2390,WO!B:E,4,0)</f>
        <v>AXOLBA</v>
      </c>
      <c r="L2390" s="1" t="str">
        <f>VLOOKUP(J2390,WO!B:F,5,0)</f>
        <v xml:space="preserve">  PA Assembly</v>
      </c>
      <c r="N2390" s="7"/>
    </row>
    <row r="2391" spans="1:14">
      <c r="A2391" s="11" t="s">
        <v>2261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2194</v>
      </c>
      <c r="H2391" s="11" t="s">
        <v>203</v>
      </c>
      <c r="I2391" s="1">
        <f>VLOOKUP(G2391,WO!A:J,10,0)</f>
        <v>42</v>
      </c>
      <c r="J2391" s="1" t="str">
        <f t="shared" si="37"/>
        <v>19BA13.00</v>
      </c>
      <c r="K2391" s="1" t="str">
        <f>VLOOKUP(J2391,WO!B:E,4,0)</f>
        <v>AXOLBA</v>
      </c>
      <c r="L2391" s="1" t="str">
        <f>VLOOKUP(J2391,WO!B:F,5,0)</f>
        <v xml:space="preserve">  PA Assembly</v>
      </c>
      <c r="N2391" s="7"/>
    </row>
    <row r="2392" spans="1:14">
      <c r="A2392" s="11" t="s">
        <v>2262</v>
      </c>
      <c r="B2392" s="11" t="s">
        <v>6</v>
      </c>
      <c r="C2392" s="11" t="s">
        <v>6</v>
      </c>
      <c r="D2392" s="11">
        <v>1</v>
      </c>
      <c r="E2392" s="11" t="s">
        <v>7</v>
      </c>
      <c r="F2392" s="20">
        <v>46266.353645833333</v>
      </c>
      <c r="G2392" s="11" t="s">
        <v>2194</v>
      </c>
      <c r="H2392" s="11" t="s">
        <v>203</v>
      </c>
      <c r="I2392" s="1">
        <f>VLOOKUP(G2392,WO!A:J,10,0)</f>
        <v>42</v>
      </c>
      <c r="J2392" s="1" t="str">
        <f t="shared" si="37"/>
        <v>19BA13.00</v>
      </c>
      <c r="K2392" s="1" t="str">
        <f>VLOOKUP(J2392,WO!B:E,4,0)</f>
        <v>AXOLBA</v>
      </c>
      <c r="L2392" s="1" t="str">
        <f>VLOOKUP(J2392,WO!B:F,5,0)</f>
        <v xml:space="preserve">  PA Assembly</v>
      </c>
      <c r="N2392" s="7"/>
    </row>
    <row r="2393" spans="1:14">
      <c r="A2393" s="11" t="s">
        <v>2263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2194</v>
      </c>
      <c r="H2393" s="11" t="s">
        <v>203</v>
      </c>
      <c r="I2393" s="1">
        <f>VLOOKUP(G2393,WO!A:J,10,0)</f>
        <v>42</v>
      </c>
      <c r="J2393" s="1" t="str">
        <f t="shared" si="37"/>
        <v>19BA13.00</v>
      </c>
      <c r="K2393" s="1" t="str">
        <f>VLOOKUP(J2393,WO!B:E,4,0)</f>
        <v>AXOLBA</v>
      </c>
      <c r="L2393" s="1" t="str">
        <f>VLOOKUP(J2393,WO!B:F,5,0)</f>
        <v xml:space="preserve">  PA Assembly</v>
      </c>
      <c r="N2393" s="7"/>
    </row>
    <row r="2394" spans="1:14">
      <c r="A2394" s="11" t="s">
        <v>2264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2194</v>
      </c>
      <c r="H2394" s="11" t="s">
        <v>203</v>
      </c>
      <c r="I2394" s="1">
        <f>VLOOKUP(G2394,WO!A:J,10,0)</f>
        <v>42</v>
      </c>
      <c r="J2394" s="1" t="str">
        <f t="shared" si="37"/>
        <v>19BA13.00</v>
      </c>
      <c r="K2394" s="1" t="str">
        <f>VLOOKUP(J2394,WO!B:E,4,0)</f>
        <v>AXOLBA</v>
      </c>
      <c r="L2394" s="1" t="str">
        <f>VLOOKUP(J2394,WO!B:F,5,0)</f>
        <v xml:space="preserve">  PA Assembly</v>
      </c>
      <c r="N2394" s="7"/>
    </row>
    <row r="2395" spans="1:14">
      <c r="A2395" s="11" t="s">
        <v>2265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2194</v>
      </c>
      <c r="H2395" s="11" t="s">
        <v>203</v>
      </c>
      <c r="I2395" s="1">
        <f>VLOOKUP(G2395,WO!A:J,10,0)</f>
        <v>42</v>
      </c>
      <c r="J2395" s="1" t="str">
        <f t="shared" si="37"/>
        <v>19BA13.00</v>
      </c>
      <c r="K2395" s="1" t="str">
        <f>VLOOKUP(J2395,WO!B:E,4,0)</f>
        <v>AXOLBA</v>
      </c>
      <c r="L2395" s="1" t="str">
        <f>VLOOKUP(J2395,WO!B:F,5,0)</f>
        <v xml:space="preserve">  PA Assembly</v>
      </c>
      <c r="N2395" s="7"/>
    </row>
    <row r="2396" spans="1:14">
      <c r="A2396" s="11" t="s">
        <v>2266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2194</v>
      </c>
      <c r="H2396" s="11" t="s">
        <v>203</v>
      </c>
      <c r="I2396" s="1">
        <f>VLOOKUP(G2396,WO!A:J,10,0)</f>
        <v>42</v>
      </c>
      <c r="J2396" s="1" t="str">
        <f t="shared" si="37"/>
        <v>19BA13.00</v>
      </c>
      <c r="K2396" s="1" t="str">
        <f>VLOOKUP(J2396,WO!B:E,4,0)</f>
        <v>AXOLBA</v>
      </c>
      <c r="L2396" s="1" t="str">
        <f>VLOOKUP(J2396,WO!B:F,5,0)</f>
        <v xml:space="preserve">  PA Assembly</v>
      </c>
      <c r="N2396" s="7"/>
    </row>
    <row r="2397" spans="1:14">
      <c r="A2397" s="11" t="s">
        <v>2267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2194</v>
      </c>
      <c r="H2397" s="11" t="s">
        <v>203</v>
      </c>
      <c r="I2397" s="1">
        <f>VLOOKUP(G2397,WO!A:J,10,0)</f>
        <v>42</v>
      </c>
      <c r="J2397" s="1" t="str">
        <f t="shared" si="37"/>
        <v>19BA13.00</v>
      </c>
      <c r="K2397" s="1" t="str">
        <f>VLOOKUP(J2397,WO!B:E,4,0)</f>
        <v>AXOLBA</v>
      </c>
      <c r="L2397" s="1" t="str">
        <f>VLOOKUP(J2397,WO!B:F,5,0)</f>
        <v xml:space="preserve">  PA Assembly</v>
      </c>
      <c r="N2397" s="7"/>
    </row>
    <row r="2398" spans="1:14">
      <c r="A2398" s="11" t="s">
        <v>2268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2194</v>
      </c>
      <c r="H2398" s="11" t="s">
        <v>203</v>
      </c>
      <c r="I2398" s="1">
        <f>VLOOKUP(G2398,WO!A:J,10,0)</f>
        <v>42</v>
      </c>
      <c r="J2398" s="1" t="str">
        <f t="shared" si="37"/>
        <v>19BA13.00</v>
      </c>
      <c r="K2398" s="1" t="str">
        <f>VLOOKUP(J2398,WO!B:E,4,0)</f>
        <v>AXOLBA</v>
      </c>
      <c r="L2398" s="1" t="str">
        <f>VLOOKUP(J2398,WO!B:F,5,0)</f>
        <v xml:space="preserve">  PA Assembly</v>
      </c>
      <c r="N2398" s="7"/>
    </row>
    <row r="2399" spans="1:14">
      <c r="A2399" s="11" t="s">
        <v>2269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2194</v>
      </c>
      <c r="H2399" s="11" t="s">
        <v>203</v>
      </c>
      <c r="I2399" s="1">
        <f>VLOOKUP(G2399,WO!A:J,10,0)</f>
        <v>42</v>
      </c>
      <c r="J2399" s="1" t="str">
        <f t="shared" si="37"/>
        <v>19BA13.00</v>
      </c>
      <c r="K2399" s="1" t="str">
        <f>VLOOKUP(J2399,WO!B:E,4,0)</f>
        <v>AXOLBA</v>
      </c>
      <c r="L2399" s="1" t="str">
        <f>VLOOKUP(J2399,WO!B:F,5,0)</f>
        <v xml:space="preserve">  PA Assembly</v>
      </c>
      <c r="N2399" s="7"/>
    </row>
    <row r="2400" spans="1:14">
      <c r="A2400" s="11" t="s">
        <v>2270</v>
      </c>
      <c r="B2400" s="11" t="s">
        <v>8</v>
      </c>
      <c r="C2400" s="11" t="s">
        <v>9</v>
      </c>
      <c r="D2400" s="11">
        <v>1</v>
      </c>
      <c r="E2400" s="11" t="s">
        <v>10</v>
      </c>
      <c r="F2400" s="20">
        <v>46273.392476851855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7"/>
    </row>
    <row r="2401" spans="1:14">
      <c r="A2401" s="11" t="s">
        <v>2271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7"/>
    </row>
    <row r="2402" spans="1:14">
      <c r="A2402" s="11" t="s">
        <v>2272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7"/>
    </row>
    <row r="2403" spans="1:14">
      <c r="A2403" s="11" t="s">
        <v>2273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7"/>
    </row>
    <row r="2404" spans="1:14">
      <c r="A2404" s="11" t="s">
        <v>2274</v>
      </c>
      <c r="B2404" s="11" t="s">
        <v>6</v>
      </c>
      <c r="C2404" s="11" t="s">
        <v>6</v>
      </c>
      <c r="D2404" s="11">
        <v>1</v>
      </c>
      <c r="E2404" s="11" t="s">
        <v>7</v>
      </c>
      <c r="F2404" s="20">
        <v>46265.648495370369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7"/>
    </row>
    <row r="2405" spans="1:14">
      <c r="A2405" s="11" t="s">
        <v>2275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7"/>
    </row>
    <row r="2406" spans="1:14">
      <c r="A2406" s="11" t="s">
        <v>2276</v>
      </c>
      <c r="B2406" s="11" t="s">
        <v>8</v>
      </c>
      <c r="C2406" s="11" t="s">
        <v>9</v>
      </c>
      <c r="D2406" s="11">
        <v>1</v>
      </c>
      <c r="E2406" s="11" t="s">
        <v>10</v>
      </c>
      <c r="F2406" s="20">
        <v>46268.367627314816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7"/>
    </row>
    <row r="2407" spans="1:14">
      <c r="A2407" s="11" t="s">
        <v>2277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7"/>
    </row>
    <row r="2408" spans="1:14">
      <c r="A2408" s="11" t="s">
        <v>2278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7"/>
    </row>
    <row r="2409" spans="1:14">
      <c r="A2409" s="11" t="s">
        <v>2279</v>
      </c>
      <c r="B2409" s="11" t="s">
        <v>8</v>
      </c>
      <c r="C2409" s="11" t="s">
        <v>9</v>
      </c>
      <c r="D2409" s="11">
        <v>1</v>
      </c>
      <c r="E2409" s="11" t="s">
        <v>10</v>
      </c>
      <c r="F2409" s="20">
        <v>46268.465844907405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7"/>
    </row>
    <row r="2410" spans="1:14">
      <c r="A2410" s="11" t="s">
        <v>2280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7"/>
    </row>
    <row r="2411" spans="1:14">
      <c r="A2411" s="11" t="s">
        <v>2281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7"/>
    </row>
    <row r="2412" spans="1:14">
      <c r="A2412" s="11" t="s">
        <v>2282</v>
      </c>
      <c r="B2412" s="11" t="s">
        <v>6</v>
      </c>
      <c r="C2412" s="11" t="s">
        <v>6</v>
      </c>
      <c r="D2412" s="11">
        <v>1</v>
      </c>
      <c r="E2412" s="11" t="s">
        <v>7</v>
      </c>
      <c r="F2412" s="20">
        <v>46266.354363425926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7"/>
    </row>
    <row r="2413" spans="1:14">
      <c r="A2413" s="11" t="s">
        <v>2283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7"/>
    </row>
    <row r="2414" spans="1:14">
      <c r="A2414" s="11" t="s">
        <v>2284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7"/>
    </row>
    <row r="2415" spans="1:14">
      <c r="A2415" s="11" t="s">
        <v>2285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7"/>
    </row>
    <row r="2416" spans="1:14">
      <c r="A2416" s="11" t="s">
        <v>2286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7"/>
    </row>
    <row r="2417" spans="1:14">
      <c r="A2417" s="11" t="s">
        <v>2287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7"/>
    </row>
    <row r="2418" spans="1:14">
      <c r="A2418" s="11" t="s">
        <v>2288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46268.379571759258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7"/>
    </row>
    <row r="2419" spans="1:14">
      <c r="A2419" s="11" t="s">
        <v>2289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7"/>
    </row>
    <row r="2420" spans="1:14">
      <c r="A2420" s="11" t="s">
        <v>2290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7"/>
    </row>
    <row r="2421" spans="1:14">
      <c r="A2421" s="11" t="s">
        <v>2291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7"/>
    </row>
    <row r="2422" spans="1:14">
      <c r="A2422" s="11" t="s">
        <v>2292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7"/>
    </row>
    <row r="2423" spans="1:14">
      <c r="A2423" s="11" t="s">
        <v>2293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7"/>
    </row>
    <row r="2424" spans="1:14">
      <c r="A2424" s="11" t="s">
        <v>2294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7"/>
    </row>
    <row r="2425" spans="1:14">
      <c r="A2425" s="11" t="s">
        <v>2295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7"/>
    </row>
    <row r="2426" spans="1:14">
      <c r="A2426" s="11" t="s">
        <v>2296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7"/>
    </row>
    <row r="2427" spans="1:14">
      <c r="A2427" s="11" t="s">
        <v>2297</v>
      </c>
      <c r="B2427" s="11" t="s">
        <v>6</v>
      </c>
      <c r="C2427" s="11" t="s">
        <v>6</v>
      </c>
      <c r="D2427" s="11">
        <v>1</v>
      </c>
      <c r="E2427" s="11" t="s">
        <v>7</v>
      </c>
      <c r="F2427" s="20">
        <v>46266.353831018518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7"/>
    </row>
    <row r="2428" spans="1:14">
      <c r="A2428" s="11" t="s">
        <v>2298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7"/>
    </row>
    <row r="2429" spans="1:14">
      <c r="A2429" s="11" t="s">
        <v>2299</v>
      </c>
      <c r="B2429" s="11" t="s">
        <v>6</v>
      </c>
      <c r="C2429" s="11" t="s">
        <v>6</v>
      </c>
      <c r="D2429" s="11">
        <v>1</v>
      </c>
      <c r="E2429" s="11" t="s">
        <v>7</v>
      </c>
      <c r="F2429" s="20">
        <v>46266.573391203703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7"/>
    </row>
    <row r="2430" spans="1:14">
      <c r="A2430" s="11" t="s">
        <v>2300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46267.408541666664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7"/>
    </row>
    <row r="2431" spans="1:14">
      <c r="A2431" s="11" t="s">
        <v>2301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7"/>
    </row>
    <row r="2432" spans="1:14">
      <c r="A2432" s="11" t="s">
        <v>2302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7"/>
    </row>
    <row r="2433" spans="1:14">
      <c r="A2433" s="11" t="s">
        <v>2303</v>
      </c>
      <c r="B2433" s="11" t="s">
        <v>6</v>
      </c>
      <c r="C2433" s="11" t="s">
        <v>6</v>
      </c>
      <c r="D2433" s="11">
        <v>1</v>
      </c>
      <c r="E2433" s="11" t="s">
        <v>7</v>
      </c>
      <c r="F2433" s="20">
        <v>46266.739768518521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7"/>
    </row>
    <row r="2434" spans="1:14">
      <c r="A2434" s="11" t="s">
        <v>2304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7"/>
    </row>
    <row r="2435" spans="1:14">
      <c r="A2435" s="11" t="s">
        <v>2305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46266.739849537036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7"/>
    </row>
    <row r="2436" spans="1:14">
      <c r="A2436" s="11" t="s">
        <v>2306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46265.648333333331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7"/>
    </row>
    <row r="2437" spans="1:14">
      <c r="A2437" s="11" t="s">
        <v>2307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7"/>
    </row>
    <row r="2438" spans="1:14">
      <c r="A2438" s="11" t="s">
        <v>2308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7"/>
    </row>
    <row r="2439" spans="1:14">
      <c r="A2439" s="11" t="s">
        <v>2309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7"/>
    </row>
    <row r="2440" spans="1:14">
      <c r="A2440" s="11" t="s">
        <v>2310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7"/>
    </row>
    <row r="2441" spans="1:14">
      <c r="A2441" s="11" t="s">
        <v>2311</v>
      </c>
      <c r="B2441" s="11" t="s">
        <v>6</v>
      </c>
      <c r="C2441" s="11" t="s">
        <v>6</v>
      </c>
      <c r="D2441" s="11">
        <v>1</v>
      </c>
      <c r="E2441" s="11" t="s">
        <v>7</v>
      </c>
      <c r="F2441" s="20">
        <v>46267.569884259261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7"/>
    </row>
    <row r="2442" spans="1:14">
      <c r="A2442" s="11" t="s">
        <v>2312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46267.571412037039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7"/>
    </row>
    <row r="2443" spans="1:14">
      <c r="A2443" s="11" t="s">
        <v>2313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7"/>
    </row>
    <row r="2444" spans="1:14">
      <c r="A2444" s="11" t="s">
        <v>2314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7"/>
    </row>
    <row r="2445" spans="1:14">
      <c r="A2445" s="11" t="s">
        <v>2315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7"/>
    </row>
    <row r="2446" spans="1:14">
      <c r="A2446" s="11" t="s">
        <v>2316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7"/>
    </row>
    <row r="2447" spans="1:14">
      <c r="A2447" s="11" t="s">
        <v>2317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7"/>
    </row>
    <row r="2448" spans="1:14">
      <c r="A2448" s="11" t="s">
        <v>2318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46265.889965277776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7"/>
    </row>
    <row r="2449" spans="1:14">
      <c r="A2449" s="11" t="s">
        <v>2319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7"/>
    </row>
    <row r="2450" spans="1:14">
      <c r="A2450" s="11" t="s">
        <v>2320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7"/>
    </row>
    <row r="2451" spans="1:14">
      <c r="A2451" s="11" t="s">
        <v>2321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7"/>
    </row>
    <row r="2452" spans="1:14">
      <c r="A2452" s="11" t="s">
        <v>2322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46267.57099537037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7"/>
    </row>
    <row r="2453" spans="1:14">
      <c r="A2453" s="11" t="s">
        <v>2323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7"/>
    </row>
    <row r="2454" spans="1:14">
      <c r="A2454" s="11" t="s">
        <v>2324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7"/>
    </row>
    <row r="2455" spans="1:14">
      <c r="A2455" s="11" t="s">
        <v>2325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7"/>
    </row>
    <row r="2456" spans="1:14">
      <c r="A2456" s="11" t="s">
        <v>2326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7"/>
    </row>
    <row r="2457" spans="1:14">
      <c r="A2457" s="11" t="s">
        <v>2327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7"/>
    </row>
    <row r="2458" spans="1:14">
      <c r="A2458" s="11" t="s">
        <v>2328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7"/>
    </row>
    <row r="2459" spans="1:14">
      <c r="A2459" s="11" t="s">
        <v>2329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7"/>
    </row>
    <row r="2460" spans="1:14">
      <c r="A2460" s="11" t="s">
        <v>2330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7"/>
    </row>
    <row r="2461" spans="1:14">
      <c r="A2461" s="11" t="s">
        <v>2331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7"/>
    </row>
    <row r="2462" spans="1:14">
      <c r="A2462" s="11" t="s">
        <v>2332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7"/>
    </row>
    <row r="2463" spans="1:14">
      <c r="A2463" s="11" t="s">
        <v>2333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7"/>
    </row>
    <row r="2464" spans="1:14">
      <c r="A2464" s="11" t="s">
        <v>2334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7"/>
    </row>
    <row r="2465" spans="1:14">
      <c r="A2465" s="11" t="s">
        <v>2335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7"/>
    </row>
    <row r="2466" spans="1:14">
      <c r="A2466" s="11" t="s">
        <v>2336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7"/>
    </row>
    <row r="2467" spans="1:14">
      <c r="A2467" s="11" t="s">
        <v>2337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7"/>
    </row>
    <row r="2468" spans="1:14">
      <c r="A2468" s="11" t="s">
        <v>2338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7"/>
    </row>
    <row r="2469" spans="1:14">
      <c r="A2469" s="11" t="s">
        <v>2339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7"/>
    </row>
    <row r="2470" spans="1:14">
      <c r="A2470" s="11" t="s">
        <v>2340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7"/>
    </row>
    <row r="2471" spans="1:14">
      <c r="A2471" s="11" t="s">
        <v>2341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7"/>
    </row>
    <row r="2472" spans="1:14">
      <c r="A2472" s="11" t="s">
        <v>2342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7"/>
    </row>
    <row r="2473" spans="1:14">
      <c r="A2473" s="11" t="s">
        <v>2343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7"/>
    </row>
    <row r="2474" spans="1:14">
      <c r="A2474" s="11" t="s">
        <v>2344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7"/>
    </row>
    <row r="2475" spans="1:14">
      <c r="A2475" s="11" t="s">
        <v>2345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7"/>
    </row>
    <row r="2476" spans="1:14">
      <c r="A2476" s="11" t="s">
        <v>2346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7"/>
    </row>
    <row r="2477" spans="1:14">
      <c r="A2477" s="11" t="s">
        <v>2347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7"/>
    </row>
    <row r="2478" spans="1:14">
      <c r="A2478" s="11" t="s">
        <v>2348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7"/>
    </row>
    <row r="2479" spans="1:14">
      <c r="A2479" s="11" t="s">
        <v>2349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7"/>
    </row>
    <row r="2480" spans="1:14">
      <c r="A2480" s="11" t="s">
        <v>2350</v>
      </c>
      <c r="B2480" s="11" t="s">
        <v>6</v>
      </c>
      <c r="C2480" s="11" t="s">
        <v>6</v>
      </c>
      <c r="D2480" s="11">
        <v>1</v>
      </c>
      <c r="E2480" s="11" t="s">
        <v>7</v>
      </c>
      <c r="F2480" s="20">
        <v>46266.573240740741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7"/>
    </row>
    <row r="2481" spans="1:14">
      <c r="A2481" s="11" t="s">
        <v>2351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7"/>
    </row>
    <row r="2482" spans="1:14">
      <c r="A2482" s="11" t="s">
        <v>2352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7"/>
    </row>
    <row r="2483" spans="1:14">
      <c r="A2483" s="11" t="s">
        <v>2353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7"/>
    </row>
    <row r="2484" spans="1:14">
      <c r="A2484" s="11" t="s">
        <v>2354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7"/>
    </row>
    <row r="2485" spans="1:14">
      <c r="A2485" s="11" t="s">
        <v>2355</v>
      </c>
      <c r="B2485" s="11" t="s">
        <v>6</v>
      </c>
      <c r="C2485" s="11" t="s">
        <v>6</v>
      </c>
      <c r="D2485" s="11">
        <v>1</v>
      </c>
      <c r="E2485" s="11" t="s">
        <v>7</v>
      </c>
      <c r="F2485" s="20">
        <v>46266.739652777775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7"/>
    </row>
    <row r="2486" spans="1:14">
      <c r="A2486" s="11" t="s">
        <v>2356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7"/>
    </row>
    <row r="2487" spans="1:14">
      <c r="A2487" s="11" t="s">
        <v>2357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7"/>
    </row>
    <row r="2488" spans="1:14">
      <c r="A2488" s="11" t="s">
        <v>2358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7"/>
    </row>
    <row r="2489" spans="1:14">
      <c r="A2489" s="11" t="s">
        <v>2359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7"/>
    </row>
    <row r="2490" spans="1:14">
      <c r="A2490" s="11" t="s">
        <v>2360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7"/>
    </row>
    <row r="2491" spans="1:14">
      <c r="A2491" s="11" t="s">
        <v>2361</v>
      </c>
      <c r="B2491" s="11" t="s">
        <v>8</v>
      </c>
      <c r="C2491" s="11" t="s">
        <v>9</v>
      </c>
      <c r="D2491" s="11">
        <v>1</v>
      </c>
      <c r="E2491" s="11" t="s">
        <v>10</v>
      </c>
      <c r="F2491" s="20">
        <v>46268.37263888889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7"/>
    </row>
    <row r="2492" spans="1:14">
      <c r="A2492" s="11" t="s">
        <v>2362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7"/>
    </row>
    <row r="2493" spans="1:14">
      <c r="A2493" s="11" t="s">
        <v>2363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7"/>
    </row>
    <row r="2494" spans="1:14">
      <c r="A2494" s="11" t="s">
        <v>2364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7"/>
    </row>
    <row r="2495" spans="1:14">
      <c r="A2495" s="11" t="s">
        <v>2365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7"/>
    </row>
    <row r="2496" spans="1:14">
      <c r="A2496" s="11" t="s">
        <v>2366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7"/>
    </row>
    <row r="2497" spans="1:14">
      <c r="A2497" s="11" t="s">
        <v>2367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7"/>
    </row>
    <row r="2498" spans="1:14">
      <c r="A2498" s="11" t="s">
        <v>2368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7"/>
    </row>
    <row r="2499" spans="1:14">
      <c r="A2499" s="11" t="s">
        <v>2369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7"/>
    </row>
    <row r="2500" spans="1:14">
      <c r="A2500" s="11" t="s">
        <v>2370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7"/>
    </row>
    <row r="2501" spans="1:14">
      <c r="A2501" s="11" t="s">
        <v>2371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7"/>
    </row>
    <row r="2502" spans="1:14">
      <c r="A2502" s="11" t="s">
        <v>2372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7"/>
    </row>
    <row r="2503" spans="1:14">
      <c r="A2503" s="11" t="s">
        <v>2373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7"/>
    </row>
    <row r="2504" spans="1:14">
      <c r="A2504" s="11" t="s">
        <v>2374</v>
      </c>
      <c r="B2504" s="11" t="s">
        <v>6</v>
      </c>
      <c r="C2504" s="11" t="s">
        <v>6</v>
      </c>
      <c r="D2504" s="11">
        <v>1</v>
      </c>
      <c r="E2504" s="11" t="s">
        <v>7</v>
      </c>
      <c r="F2504" s="20">
        <v>46266.440729166665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7"/>
    </row>
    <row r="2505" spans="1:14">
      <c r="A2505" s="11" t="s">
        <v>2375</v>
      </c>
      <c r="B2505" s="11" t="s">
        <v>6</v>
      </c>
      <c r="C2505" s="11" t="s">
        <v>6</v>
      </c>
      <c r="D2505" s="11">
        <v>1</v>
      </c>
      <c r="E2505" s="11" t="s">
        <v>7</v>
      </c>
      <c r="F2505" s="20">
        <v>46265.891747685186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7"/>
    </row>
    <row r="2506" spans="1:14">
      <c r="A2506" s="11" t="s">
        <v>2376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7"/>
    </row>
    <row r="2507" spans="1:14">
      <c r="A2507" s="11" t="s">
        <v>2377</v>
      </c>
      <c r="B2507" s="11" t="s">
        <v>6</v>
      </c>
      <c r="C2507" s="11" t="s">
        <v>6</v>
      </c>
      <c r="D2507" s="11">
        <v>1</v>
      </c>
      <c r="E2507" s="11" t="s">
        <v>7</v>
      </c>
      <c r="F2507" s="20">
        <v>46267.571180555555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7"/>
    </row>
    <row r="2508" spans="1:14">
      <c r="A2508" s="11" t="s">
        <v>2378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7"/>
    </row>
    <row r="2509" spans="1:14">
      <c r="A2509" s="11" t="s">
        <v>2379</v>
      </c>
      <c r="B2509" s="11" t="s">
        <v>2684</v>
      </c>
      <c r="C2509" s="11" t="s">
        <v>2685</v>
      </c>
      <c r="D2509" s="11">
        <v>1</v>
      </c>
      <c r="E2509" s="11" t="s">
        <v>151</v>
      </c>
      <c r="F2509" s="20">
        <v>46260.45952546296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7"/>
    </row>
    <row r="2510" spans="1:14">
      <c r="A2510" s="11" t="s">
        <v>2380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7"/>
    </row>
    <row r="2511" spans="1:14">
      <c r="A2511" s="11" t="s">
        <v>2381</v>
      </c>
      <c r="B2511" s="11" t="s">
        <v>6</v>
      </c>
      <c r="C2511" s="11" t="s">
        <v>6</v>
      </c>
      <c r="D2511" s="11">
        <v>1</v>
      </c>
      <c r="E2511" s="11" t="s">
        <v>7</v>
      </c>
      <c r="F2511" s="20">
        <v>46265.649270833332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7"/>
    </row>
    <row r="2512" spans="1:14">
      <c r="A2512" s="11" t="s">
        <v>2382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7"/>
    </row>
    <row r="2513" spans="1:14">
      <c r="A2513" s="11" t="s">
        <v>2383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7"/>
    </row>
    <row r="2514" spans="1:14">
      <c r="A2514" s="11" t="s">
        <v>2384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7"/>
    </row>
    <row r="2515" spans="1:14">
      <c r="A2515" s="11" t="s">
        <v>2385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7"/>
    </row>
    <row r="2516" spans="1:14">
      <c r="A2516" s="11" t="s">
        <v>2386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7"/>
    </row>
    <row r="2517" spans="1:14">
      <c r="A2517" s="11" t="s">
        <v>2387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7"/>
    </row>
    <row r="2518" spans="1:14">
      <c r="A2518" s="11" t="s">
        <v>2388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7"/>
    </row>
    <row r="2519" spans="1:14">
      <c r="A2519" s="11" t="s">
        <v>2389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7"/>
    </row>
    <row r="2520" spans="1:14">
      <c r="A2520" s="11" t="s">
        <v>2390</v>
      </c>
      <c r="B2520" s="11" t="s">
        <v>6</v>
      </c>
      <c r="C2520" s="11" t="s">
        <v>6</v>
      </c>
      <c r="D2520" s="11">
        <v>1</v>
      </c>
      <c r="E2520" s="11" t="s">
        <v>7</v>
      </c>
      <c r="F2520" s="20">
        <v>46267.570775462962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7"/>
    </row>
    <row r="2521" spans="1:14">
      <c r="A2521" s="11" t="s">
        <v>2391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7"/>
    </row>
    <row r="2522" spans="1:14">
      <c r="A2522" s="11" t="s">
        <v>2392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7"/>
    </row>
    <row r="2523" spans="1:14">
      <c r="A2523" s="11" t="s">
        <v>2393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7"/>
    </row>
    <row r="2524" spans="1:14">
      <c r="A2524" s="11" t="s">
        <v>2394</v>
      </c>
      <c r="B2524" s="11" t="s">
        <v>6</v>
      </c>
      <c r="C2524" s="11" t="s">
        <v>6</v>
      </c>
      <c r="D2524" s="11">
        <v>1</v>
      </c>
      <c r="E2524" s="11" t="s">
        <v>7</v>
      </c>
      <c r="F2524" s="20">
        <v>46266.441192129627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7"/>
    </row>
    <row r="2525" spans="1:14">
      <c r="A2525" s="11" t="s">
        <v>2395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7"/>
    </row>
    <row r="2526" spans="1:14">
      <c r="A2526" s="11" t="s">
        <v>2396</v>
      </c>
      <c r="B2526" s="11" t="s">
        <v>6</v>
      </c>
      <c r="C2526" s="11" t="s">
        <v>6</v>
      </c>
      <c r="D2526" s="11">
        <v>1</v>
      </c>
      <c r="E2526" s="11" t="s">
        <v>7</v>
      </c>
      <c r="F2526" s="20">
        <v>46267.57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7"/>
    </row>
    <row r="2527" spans="1:14">
      <c r="A2527" s="11" t="s">
        <v>2397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46266.443067129629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7"/>
    </row>
    <row r="2528" spans="1:14">
      <c r="A2528" s="11" t="s">
        <v>2398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46265.889872685184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7"/>
    </row>
    <row r="2529" spans="1:14">
      <c r="A2529" s="11" t="s">
        <v>2399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7"/>
    </row>
    <row r="2530" spans="1:14">
      <c r="A2530" s="11" t="s">
        <v>2400</v>
      </c>
      <c r="B2530" s="11" t="s">
        <v>6</v>
      </c>
      <c r="C2530" s="11" t="s">
        <v>6</v>
      </c>
      <c r="D2530" s="11">
        <v>1</v>
      </c>
      <c r="E2530" s="11" t="s">
        <v>7</v>
      </c>
      <c r="F2530" s="20">
        <v>46266.442812499998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7"/>
    </row>
    <row r="2531" spans="1:14">
      <c r="A2531" s="11" t="s">
        <v>2401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7"/>
    </row>
    <row r="2532" spans="1:14">
      <c r="A2532" s="11" t="s">
        <v>2402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7"/>
    </row>
    <row r="2533" spans="1:14">
      <c r="A2533" s="11" t="s">
        <v>2403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7"/>
    </row>
    <row r="2534" spans="1:14">
      <c r="A2534" s="11" t="s">
        <v>2404</v>
      </c>
      <c r="B2534" s="11" t="s">
        <v>6</v>
      </c>
      <c r="C2534" s="11" t="s">
        <v>6</v>
      </c>
      <c r="D2534" s="11">
        <v>1</v>
      </c>
      <c r="E2534" s="11" t="s">
        <v>7</v>
      </c>
      <c r="F2534" s="20">
        <v>46266.739618055559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7"/>
    </row>
    <row r="2535" spans="1:14">
      <c r="A2535" s="11" t="s">
        <v>2405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7"/>
    </row>
    <row r="2536" spans="1:14">
      <c r="A2536" s="11" t="s">
        <v>2406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46267.407546296294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7"/>
    </row>
    <row r="2537" spans="1:14">
      <c r="A2537" s="11" t="s">
        <v>2407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7"/>
    </row>
    <row r="2538" spans="1:14">
      <c r="A2538" s="11" t="s">
        <v>2408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7"/>
    </row>
    <row r="2539" spans="1:14">
      <c r="A2539" s="11" t="s">
        <v>2409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7"/>
    </row>
    <row r="2540" spans="1:14">
      <c r="A2540" s="11" t="s">
        <v>2410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7"/>
    </row>
    <row r="2541" spans="1:14">
      <c r="A2541" s="11" t="s">
        <v>2411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7"/>
    </row>
    <row r="2542" spans="1:14">
      <c r="A2542" s="11" t="s">
        <v>2412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7"/>
    </row>
    <row r="2543" spans="1:14">
      <c r="A2543" s="11" t="s">
        <v>2413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7"/>
    </row>
    <row r="2544" spans="1:14">
      <c r="A2544" s="11" t="s">
        <v>2414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7"/>
    </row>
    <row r="2545" spans="1:14">
      <c r="A2545" s="11" t="s">
        <v>2415</v>
      </c>
      <c r="B2545" s="11" t="s">
        <v>6</v>
      </c>
      <c r="C2545" s="11" t="s">
        <v>6</v>
      </c>
      <c r="D2545" s="11">
        <v>1</v>
      </c>
      <c r="E2545" s="11" t="s">
        <v>7</v>
      </c>
      <c r="F2545" s="20">
        <v>46267.569745370369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7"/>
    </row>
    <row r="2546" spans="1:14">
      <c r="A2546" s="11" t="s">
        <v>2416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46267.408877314818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7"/>
    </row>
    <row r="2547" spans="1:14">
      <c r="A2547" s="11" t="s">
        <v>2417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7"/>
    </row>
    <row r="2548" spans="1:14">
      <c r="A2548" s="11" t="s">
        <v>2418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7"/>
    </row>
    <row r="2549" spans="1:14">
      <c r="A2549" s="11" t="s">
        <v>2419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7"/>
    </row>
    <row r="2550" spans="1:14">
      <c r="A2550" s="11" t="s">
        <v>2420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7"/>
    </row>
    <row r="2551" spans="1:14">
      <c r="A2551" s="11" t="s">
        <v>2421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7"/>
    </row>
    <row r="2552" spans="1:14">
      <c r="A2552" s="11" t="s">
        <v>2422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7"/>
    </row>
    <row r="2553" spans="1:14">
      <c r="A2553" s="11" t="s">
        <v>2423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7"/>
    </row>
    <row r="2554" spans="1:14">
      <c r="A2554" s="11" t="s">
        <v>2424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7"/>
    </row>
    <row r="2555" spans="1:14">
      <c r="A2555" s="11" t="s">
        <v>2425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7"/>
    </row>
    <row r="2556" spans="1:14">
      <c r="A2556" s="11" t="s">
        <v>2426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7"/>
    </row>
    <row r="2557" spans="1:14">
      <c r="A2557" s="11" t="s">
        <v>2427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7"/>
    </row>
    <row r="2558" spans="1:14">
      <c r="A2558" s="11" t="s">
        <v>2428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7"/>
    </row>
    <row r="2559" spans="1:14">
      <c r="A2559" s="11" t="s">
        <v>2429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7"/>
    </row>
    <row r="2560" spans="1:14">
      <c r="A2560" s="11" t="s">
        <v>2430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7"/>
    </row>
    <row r="2561" spans="1:14">
      <c r="A2561" s="11" t="s">
        <v>2431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7"/>
    </row>
    <row r="2562" spans="1:14">
      <c r="A2562" s="11" t="s">
        <v>2432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7"/>
    </row>
    <row r="2563" spans="1:14">
      <c r="A2563" s="11" t="s">
        <v>2433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7"/>
    </row>
    <row r="2564" spans="1:14">
      <c r="A2564" s="11" t="s">
        <v>2434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7"/>
    </row>
    <row r="2565" spans="1:14">
      <c r="A2565" s="11" t="s">
        <v>2435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46265.890069444446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7"/>
    </row>
    <row r="2566" spans="1:14">
      <c r="A2566" s="11" t="s">
        <v>2436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46265.890104166669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7"/>
    </row>
    <row r="2567" spans="1:14">
      <c r="A2567" s="11" t="s">
        <v>2437</v>
      </c>
      <c r="B2567" s="11" t="s">
        <v>6</v>
      </c>
      <c r="C2567" s="11" t="s">
        <v>6</v>
      </c>
      <c r="D2567" s="11">
        <v>1</v>
      </c>
      <c r="E2567" s="11" t="s">
        <v>7</v>
      </c>
      <c r="F2567" s="20">
        <v>46265.895162037035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7"/>
    </row>
    <row r="2568" spans="1:14">
      <c r="A2568" s="11" t="s">
        <v>2438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7"/>
    </row>
    <row r="2569" spans="1:14">
      <c r="A2569" s="11" t="s">
        <v>2439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7"/>
    </row>
    <row r="2570" spans="1:14">
      <c r="A2570" s="11" t="s">
        <v>2440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7"/>
    </row>
    <row r="2571" spans="1:14">
      <c r="A2571" s="11" t="s">
        <v>2441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7"/>
    </row>
    <row r="2572" spans="1:14">
      <c r="A2572" s="11" t="s">
        <v>2442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46266.354548611111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7"/>
    </row>
    <row r="2573" spans="1:14">
      <c r="A2573" s="11" t="s">
        <v>2443</v>
      </c>
      <c r="B2573" s="11" t="s">
        <v>6</v>
      </c>
      <c r="C2573" s="11" t="s">
        <v>6</v>
      </c>
      <c r="D2573" s="11">
        <v>1</v>
      </c>
      <c r="E2573" s="11" t="s">
        <v>7</v>
      </c>
      <c r="F2573" s="20">
        <v>46267.570219907408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7"/>
    </row>
    <row r="2574" spans="1:14">
      <c r="A2574" s="11" t="s">
        <v>2444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7"/>
    </row>
    <row r="2575" spans="1:14">
      <c r="A2575" s="11" t="s">
        <v>2445</v>
      </c>
      <c r="B2575" s="11" t="s">
        <v>6</v>
      </c>
      <c r="C2575" s="11" t="s">
        <v>6</v>
      </c>
      <c r="D2575" s="11">
        <v>1</v>
      </c>
      <c r="E2575" s="11" t="s">
        <v>7</v>
      </c>
      <c r="F2575" s="20">
        <v>46266.572685185187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7"/>
    </row>
    <row r="2576" spans="1:14">
      <c r="A2576" s="11" t="s">
        <v>2446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7"/>
    </row>
    <row r="2577" spans="1:14">
      <c r="A2577" s="11" t="s">
        <v>2447</v>
      </c>
      <c r="B2577" s="11" t="s">
        <v>155</v>
      </c>
      <c r="C2577" s="11" t="s">
        <v>156</v>
      </c>
      <c r="D2577" s="11">
        <v>1</v>
      </c>
      <c r="E2577" s="11" t="s">
        <v>151</v>
      </c>
      <c r="F2577" s="20">
        <v>46267.284583333334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7"/>
    </row>
    <row r="2578" spans="1:14">
      <c r="A2578" s="11" t="s">
        <v>2448</v>
      </c>
      <c r="B2578" s="11" t="s">
        <v>956</v>
      </c>
      <c r="C2578" s="11" t="s">
        <v>957</v>
      </c>
      <c r="D2578" s="11">
        <v>1</v>
      </c>
      <c r="E2578" s="11" t="s">
        <v>13</v>
      </c>
      <c r="F2578" s="20">
        <v>46266.4375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7"/>
    </row>
    <row r="2579" spans="1:14">
      <c r="A2579" s="11" t="s">
        <v>2449</v>
      </c>
      <c r="B2579" s="11" t="s">
        <v>155</v>
      </c>
      <c r="C2579" s="11" t="s">
        <v>156</v>
      </c>
      <c r="D2579" s="11">
        <v>1</v>
      </c>
      <c r="E2579" s="11" t="s">
        <v>151</v>
      </c>
      <c r="F2579" s="20">
        <v>46267.281481481485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7"/>
    </row>
    <row r="2580" spans="1:14">
      <c r="A2580" s="11" t="s">
        <v>2450</v>
      </c>
      <c r="B2580" s="11" t="s">
        <v>155</v>
      </c>
      <c r="C2580" s="11" t="s">
        <v>156</v>
      </c>
      <c r="D2580" s="11">
        <v>1</v>
      </c>
      <c r="E2580" s="11" t="s">
        <v>151</v>
      </c>
      <c r="F2580" s="20">
        <v>46268.271157407406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7"/>
    </row>
    <row r="2581" spans="1:14">
      <c r="A2581" s="11" t="s">
        <v>2451</v>
      </c>
      <c r="B2581" s="11" t="s">
        <v>155</v>
      </c>
      <c r="C2581" s="11" t="s">
        <v>156</v>
      </c>
      <c r="D2581" s="11">
        <v>1</v>
      </c>
      <c r="E2581" s="11" t="s">
        <v>151</v>
      </c>
      <c r="F2581" s="20">
        <v>46273.379247685189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7"/>
    </row>
    <row r="2582" spans="1:14">
      <c r="A2582" s="11" t="s">
        <v>2452</v>
      </c>
      <c r="B2582" s="11" t="s">
        <v>155</v>
      </c>
      <c r="C2582" s="11" t="s">
        <v>156</v>
      </c>
      <c r="D2582" s="11">
        <v>1</v>
      </c>
      <c r="E2582" s="11" t="s">
        <v>151</v>
      </c>
      <c r="F2582" s="20">
        <v>46273.377604166664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7"/>
    </row>
    <row r="2583" spans="1:14">
      <c r="A2583" s="11" t="s">
        <v>2453</v>
      </c>
      <c r="B2583" s="11" t="s">
        <v>155</v>
      </c>
      <c r="C2583" s="11" t="s">
        <v>156</v>
      </c>
      <c r="D2583" s="11">
        <v>1</v>
      </c>
      <c r="E2583" s="11" t="s">
        <v>151</v>
      </c>
      <c r="F2583" s="20">
        <v>46273.378564814811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7"/>
    </row>
    <row r="2584" spans="1:14">
      <c r="A2584" s="11" t="s">
        <v>2454</v>
      </c>
      <c r="B2584" s="11" t="s">
        <v>155</v>
      </c>
      <c r="C2584" s="11" t="s">
        <v>156</v>
      </c>
      <c r="D2584" s="11">
        <v>1</v>
      </c>
      <c r="E2584" s="11" t="s">
        <v>151</v>
      </c>
      <c r="F2584" s="20">
        <v>46273.37976851852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7"/>
    </row>
    <row r="2585" spans="1:14">
      <c r="A2585" s="11" t="s">
        <v>2455</v>
      </c>
      <c r="B2585" s="11" t="s">
        <v>2226</v>
      </c>
      <c r="C2585" s="11" t="s">
        <v>2227</v>
      </c>
      <c r="D2585" s="11">
        <v>1</v>
      </c>
      <c r="E2585" s="11" t="s">
        <v>151</v>
      </c>
      <c r="F2585" s="20">
        <v>46274.640972222223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7"/>
    </row>
    <row r="2586" spans="1:14">
      <c r="A2586" s="11" t="s">
        <v>2456</v>
      </c>
      <c r="B2586" s="11" t="s">
        <v>2226</v>
      </c>
      <c r="C2586" s="11" t="s">
        <v>2227</v>
      </c>
      <c r="D2586" s="11">
        <v>1</v>
      </c>
      <c r="E2586" s="11" t="s">
        <v>151</v>
      </c>
      <c r="F2586" s="20">
        <v>46274.645671296297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7"/>
    </row>
    <row r="2587" spans="1:14">
      <c r="A2587" s="11" t="s">
        <v>2457</v>
      </c>
      <c r="B2587" s="11" t="s">
        <v>155</v>
      </c>
      <c r="C2587" s="11" t="s">
        <v>156</v>
      </c>
      <c r="D2587" s="11">
        <v>1</v>
      </c>
      <c r="E2587" s="11" t="s">
        <v>151</v>
      </c>
      <c r="F2587" s="20">
        <v>46267.287118055552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7"/>
    </row>
    <row r="2588" spans="1:14">
      <c r="A2588" s="11" t="s">
        <v>2458</v>
      </c>
      <c r="B2588" s="11" t="s">
        <v>155</v>
      </c>
      <c r="C2588" s="11" t="s">
        <v>156</v>
      </c>
      <c r="D2588" s="11">
        <v>1</v>
      </c>
      <c r="E2588" s="11" t="s">
        <v>151</v>
      </c>
      <c r="F2588" s="20">
        <v>46267.283078703702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7"/>
    </row>
    <row r="2589" spans="1:14">
      <c r="A2589" s="11" t="s">
        <v>2459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7"/>
    </row>
    <row r="2590" spans="1:14">
      <c r="A2590" s="11" t="s">
        <v>2460</v>
      </c>
      <c r="B2590" s="11" t="s">
        <v>8</v>
      </c>
      <c r="C2590" s="11" t="s">
        <v>9</v>
      </c>
      <c r="D2590" s="11">
        <v>1</v>
      </c>
      <c r="E2590" s="11" t="s">
        <v>10</v>
      </c>
      <c r="F2590" s="20">
        <v>46266.414131944446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7"/>
    </row>
    <row r="2591" spans="1:14">
      <c r="A2591" s="11" t="s">
        <v>2461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7"/>
    </row>
    <row r="2592" spans="1:14">
      <c r="A2592" s="11" t="s">
        <v>2462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7"/>
    </row>
    <row r="2593" spans="1:14">
      <c r="A2593" s="11" t="s">
        <v>2463</v>
      </c>
      <c r="B2593" s="11" t="s">
        <v>8</v>
      </c>
      <c r="C2593" s="11" t="s">
        <v>9</v>
      </c>
      <c r="D2593" s="11">
        <v>1</v>
      </c>
      <c r="E2593" s="11" t="s">
        <v>10</v>
      </c>
      <c r="F2593" s="20">
        <v>46273.379131944443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7"/>
    </row>
    <row r="2594" spans="1:14">
      <c r="A2594" s="11" t="s">
        <v>2464</v>
      </c>
      <c r="B2594" s="11" t="s">
        <v>2226</v>
      </c>
      <c r="C2594" s="11" t="s">
        <v>2227</v>
      </c>
      <c r="D2594" s="11">
        <v>1</v>
      </c>
      <c r="E2594" s="11" t="s">
        <v>151</v>
      </c>
      <c r="F2594" s="20">
        <v>46274.643090277779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7"/>
    </row>
    <row r="2595" spans="1:14">
      <c r="A2595" s="11" t="s">
        <v>2465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46265.729027777779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7"/>
    </row>
    <row r="2596" spans="1:14">
      <c r="A2596" s="11" t="s">
        <v>2466</v>
      </c>
      <c r="B2596" s="11" t="s">
        <v>8</v>
      </c>
      <c r="C2596" s="11" t="s">
        <v>9</v>
      </c>
      <c r="D2596" s="11">
        <v>1</v>
      </c>
      <c r="E2596" s="11" t="s">
        <v>10</v>
      </c>
      <c r="F2596" s="20">
        <v>46273.360879629632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7"/>
    </row>
    <row r="2597" spans="1:14">
      <c r="A2597" s="11" t="s">
        <v>2467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46265.725381944445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7"/>
    </row>
    <row r="2598" spans="1:14">
      <c r="A2598" s="11" t="s">
        <v>2468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7"/>
    </row>
    <row r="2599" spans="1:14">
      <c r="A2599" s="11" t="s">
        <v>2469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7"/>
    </row>
    <row r="2600" spans="1:14">
      <c r="A2600" s="11" t="s">
        <v>2470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7"/>
    </row>
    <row r="2601" spans="1:14">
      <c r="A2601" s="11" t="s">
        <v>2471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7"/>
    </row>
    <row r="2602" spans="1:14">
      <c r="A2602" s="11" t="s">
        <v>2472</v>
      </c>
      <c r="B2602" s="11" t="s">
        <v>2226</v>
      </c>
      <c r="C2602" s="11" t="s">
        <v>2227</v>
      </c>
      <c r="D2602" s="11">
        <v>1</v>
      </c>
      <c r="E2602" s="11" t="s">
        <v>151</v>
      </c>
      <c r="F2602" s="20">
        <v>46274.599027777775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7"/>
    </row>
    <row r="2603" spans="1:14">
      <c r="A2603" s="11" t="s">
        <v>2473</v>
      </c>
      <c r="B2603" s="11" t="s">
        <v>2226</v>
      </c>
      <c r="C2603" s="11" t="s">
        <v>2227</v>
      </c>
      <c r="D2603" s="11">
        <v>1</v>
      </c>
      <c r="E2603" s="11" t="s">
        <v>151</v>
      </c>
      <c r="F2603" s="20">
        <v>46274.596759259257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7"/>
    </row>
    <row r="2604" spans="1:14">
      <c r="A2604" s="11" t="s">
        <v>2474</v>
      </c>
      <c r="B2604" s="11" t="s">
        <v>2226</v>
      </c>
      <c r="C2604" s="11" t="s">
        <v>2227</v>
      </c>
      <c r="D2604" s="11">
        <v>1</v>
      </c>
      <c r="E2604" s="11" t="s">
        <v>151</v>
      </c>
      <c r="F2604" s="20">
        <v>46274.6249537037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7"/>
    </row>
    <row r="2605" spans="1:14">
      <c r="A2605" s="11" t="s">
        <v>2475</v>
      </c>
      <c r="B2605" s="11" t="s">
        <v>2226</v>
      </c>
      <c r="C2605" s="11" t="s">
        <v>2227</v>
      </c>
      <c r="D2605" s="11">
        <v>1</v>
      </c>
      <c r="E2605" s="11" t="s">
        <v>151</v>
      </c>
      <c r="F2605" s="20">
        <v>46274.622002314813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7"/>
    </row>
    <row r="2606" spans="1:14">
      <c r="A2606" s="11" t="s">
        <v>2476</v>
      </c>
      <c r="B2606" s="11" t="s">
        <v>954</v>
      </c>
      <c r="C2606" s="11" t="s">
        <v>955</v>
      </c>
      <c r="D2606" s="11">
        <v>1</v>
      </c>
      <c r="E2606" s="11" t="s">
        <v>13</v>
      </c>
      <c r="F2606" s="20">
        <v>46274.572962962964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7"/>
    </row>
    <row r="2607" spans="1:14">
      <c r="A2607" s="11" t="s">
        <v>2477</v>
      </c>
      <c r="B2607" s="11" t="s">
        <v>954</v>
      </c>
      <c r="C2607" s="11" t="s">
        <v>955</v>
      </c>
      <c r="D2607" s="11">
        <v>1</v>
      </c>
      <c r="E2607" s="11" t="s">
        <v>13</v>
      </c>
      <c r="F2607" s="20">
        <v>46274.58315972222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7"/>
    </row>
    <row r="2608" spans="1:14">
      <c r="A2608" s="11" t="s">
        <v>2478</v>
      </c>
      <c r="B2608" s="11" t="s">
        <v>2226</v>
      </c>
      <c r="C2608" s="11" t="s">
        <v>2227</v>
      </c>
      <c r="D2608" s="11">
        <v>1</v>
      </c>
      <c r="E2608" s="11" t="s">
        <v>151</v>
      </c>
      <c r="F2608" s="20">
        <v>46274.605081018519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7"/>
    </row>
    <row r="2609" spans="1:14">
      <c r="A2609" s="11" t="s">
        <v>2479</v>
      </c>
      <c r="B2609" s="11" t="s">
        <v>2226</v>
      </c>
      <c r="C2609" s="11" t="s">
        <v>2227</v>
      </c>
      <c r="D2609" s="11">
        <v>1</v>
      </c>
      <c r="E2609" s="11" t="s">
        <v>151</v>
      </c>
      <c r="F2609" s="20">
        <v>46274.608275462961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7"/>
    </row>
    <row r="2610" spans="1:14">
      <c r="A2610" s="11" t="s">
        <v>2480</v>
      </c>
      <c r="B2610" s="11" t="s">
        <v>2226</v>
      </c>
      <c r="C2610" s="11" t="s">
        <v>2227</v>
      </c>
      <c r="D2610" s="11">
        <v>1</v>
      </c>
      <c r="E2610" s="11" t="s">
        <v>151</v>
      </c>
      <c r="F2610" s="20">
        <v>46274.570729166669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7"/>
    </row>
    <row r="2611" spans="1:14">
      <c r="A2611" s="11" t="s">
        <v>2481</v>
      </c>
      <c r="B2611" s="11" t="s">
        <v>2226</v>
      </c>
      <c r="C2611" s="11" t="s">
        <v>2227</v>
      </c>
      <c r="D2611" s="11">
        <v>1</v>
      </c>
      <c r="E2611" s="11" t="s">
        <v>151</v>
      </c>
      <c r="F2611" s="20">
        <v>46274.606909722221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7"/>
    </row>
    <row r="2612" spans="1:14">
      <c r="A2612" s="11" t="s">
        <v>2482</v>
      </c>
      <c r="B2612" s="11" t="s">
        <v>954</v>
      </c>
      <c r="C2612" s="11" t="s">
        <v>955</v>
      </c>
      <c r="D2612" s="11">
        <v>1</v>
      </c>
      <c r="E2612" s="11" t="s">
        <v>13</v>
      </c>
      <c r="F2612" s="20">
        <v>46274.577905092592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7"/>
    </row>
    <row r="2613" spans="1:14">
      <c r="A2613" s="11" t="s">
        <v>2483</v>
      </c>
      <c r="B2613" s="11" t="s">
        <v>2226</v>
      </c>
      <c r="C2613" s="11" t="s">
        <v>2227</v>
      </c>
      <c r="D2613" s="11">
        <v>1</v>
      </c>
      <c r="E2613" s="11" t="s">
        <v>151</v>
      </c>
      <c r="F2613" s="20">
        <v>46274.617546296293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7"/>
    </row>
    <row r="2614" spans="1:14">
      <c r="A2614" s="11" t="s">
        <v>2484</v>
      </c>
      <c r="B2614" s="11" t="s">
        <v>2226</v>
      </c>
      <c r="C2614" s="11" t="s">
        <v>2227</v>
      </c>
      <c r="D2614" s="11">
        <v>1</v>
      </c>
      <c r="E2614" s="11" t="s">
        <v>151</v>
      </c>
      <c r="F2614" s="20">
        <v>46274.619004629632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7"/>
    </row>
    <row r="2615" spans="1:14">
      <c r="A2615" s="11" t="s">
        <v>2485</v>
      </c>
      <c r="B2615" s="11" t="s">
        <v>954</v>
      </c>
      <c r="C2615" s="11" t="s">
        <v>955</v>
      </c>
      <c r="D2615" s="11">
        <v>1</v>
      </c>
      <c r="E2615" s="11" t="s">
        <v>13</v>
      </c>
      <c r="F2615" s="20">
        <v>46274.575486111113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7"/>
    </row>
    <row r="2616" spans="1:14">
      <c r="A2616" s="11" t="s">
        <v>2486</v>
      </c>
      <c r="B2616" s="11" t="s">
        <v>954</v>
      </c>
      <c r="C2616" s="11" t="s">
        <v>955</v>
      </c>
      <c r="D2616" s="11">
        <v>1</v>
      </c>
      <c r="E2616" s="11" t="s">
        <v>13</v>
      </c>
      <c r="F2616" s="20">
        <v>46274.576585648145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7"/>
    </row>
    <row r="2617" spans="1:14">
      <c r="A2617" s="11" t="s">
        <v>2487</v>
      </c>
      <c r="B2617" s="11" t="s">
        <v>2226</v>
      </c>
      <c r="C2617" s="11" t="s">
        <v>2227</v>
      </c>
      <c r="D2617" s="11">
        <v>1</v>
      </c>
      <c r="E2617" s="11" t="s">
        <v>151</v>
      </c>
      <c r="F2617" s="20">
        <v>46274.647141203706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7"/>
    </row>
    <row r="2618" spans="1:14">
      <c r="A2618" s="11" t="s">
        <v>2488</v>
      </c>
      <c r="B2618" s="11" t="s">
        <v>2226</v>
      </c>
      <c r="C2618" s="11" t="s">
        <v>2227</v>
      </c>
      <c r="D2618" s="11">
        <v>1</v>
      </c>
      <c r="E2618" s="11" t="s">
        <v>151</v>
      </c>
      <c r="F2618" s="20">
        <v>46274.603101851855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7"/>
    </row>
    <row r="2619" spans="1:14">
      <c r="A2619" s="11" t="s">
        <v>2489</v>
      </c>
      <c r="B2619" s="11" t="s">
        <v>2226</v>
      </c>
      <c r="C2619" s="11" t="s">
        <v>2227</v>
      </c>
      <c r="D2619" s="11">
        <v>1</v>
      </c>
      <c r="E2619" s="11" t="s">
        <v>151</v>
      </c>
      <c r="F2619" s="20">
        <v>46274.613136574073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7"/>
    </row>
    <row r="2620" spans="1:14">
      <c r="A2620" s="11" t="s">
        <v>2490</v>
      </c>
      <c r="B2620" s="11" t="s">
        <v>2226</v>
      </c>
      <c r="C2620" s="11" t="s">
        <v>2227</v>
      </c>
      <c r="D2620" s="11">
        <v>1</v>
      </c>
      <c r="E2620" s="11" t="s">
        <v>151</v>
      </c>
      <c r="F2620" s="20">
        <v>46274.623171296298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7"/>
    </row>
    <row r="2621" spans="1:14">
      <c r="A2621" s="11" t="s">
        <v>2491</v>
      </c>
      <c r="B2621" s="11" t="s">
        <v>954</v>
      </c>
      <c r="C2621" s="11" t="s">
        <v>955</v>
      </c>
      <c r="D2621" s="11">
        <v>1</v>
      </c>
      <c r="E2621" s="11" t="s">
        <v>13</v>
      </c>
      <c r="F2621" s="20">
        <v>46274.589062500003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7"/>
    </row>
    <row r="2622" spans="1:14">
      <c r="A2622" s="11" t="s">
        <v>2492</v>
      </c>
      <c r="B2622" s="11" t="s">
        <v>2226</v>
      </c>
      <c r="C2622" s="11" t="s">
        <v>2227</v>
      </c>
      <c r="D2622" s="11">
        <v>1</v>
      </c>
      <c r="E2622" s="11" t="s">
        <v>151</v>
      </c>
      <c r="F2622" s="20">
        <v>46274.627083333333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7"/>
    </row>
    <row r="2623" spans="1:14">
      <c r="A2623" s="11" t="s">
        <v>2493</v>
      </c>
      <c r="B2623" s="11" t="s">
        <v>2226</v>
      </c>
      <c r="C2623" s="11" t="s">
        <v>2227</v>
      </c>
      <c r="D2623" s="11">
        <v>1</v>
      </c>
      <c r="E2623" s="11" t="s">
        <v>151</v>
      </c>
      <c r="F2623" s="20">
        <v>46274.615474537037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7"/>
    </row>
    <row r="2624" spans="1:14">
      <c r="A2624" s="11" t="s">
        <v>2494</v>
      </c>
      <c r="B2624" s="11" t="s">
        <v>954</v>
      </c>
      <c r="C2624" s="11" t="s">
        <v>955</v>
      </c>
      <c r="D2624" s="11">
        <v>1</v>
      </c>
      <c r="E2624" s="11" t="s">
        <v>13</v>
      </c>
      <c r="F2624" s="20">
        <v>46274.58792824074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7"/>
    </row>
    <row r="2625" spans="1:14">
      <c r="A2625" s="11" t="s">
        <v>2495</v>
      </c>
      <c r="B2625" s="11" t="s">
        <v>2226</v>
      </c>
      <c r="C2625" s="11" t="s">
        <v>2227</v>
      </c>
      <c r="D2625" s="11">
        <v>1</v>
      </c>
      <c r="E2625" s="11" t="s">
        <v>151</v>
      </c>
      <c r="F2625" s="20">
        <v>46274.601053240738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7"/>
    </row>
    <row r="2626" spans="1:14">
      <c r="A2626" s="11" t="s">
        <v>2496</v>
      </c>
      <c r="B2626" s="11" t="s">
        <v>2226</v>
      </c>
      <c r="C2626" s="11" t="s">
        <v>2227</v>
      </c>
      <c r="D2626" s="11">
        <v>1</v>
      </c>
      <c r="E2626" s="11" t="s">
        <v>151</v>
      </c>
      <c r="F2626" s="20">
        <v>46274.556087962963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7"/>
    </row>
    <row r="2627" spans="1:14">
      <c r="A2627" s="11" t="s">
        <v>2497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46274.558344907404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7"/>
    </row>
    <row r="2628" spans="1:14">
      <c r="A2628" s="11" t="s">
        <v>2498</v>
      </c>
      <c r="B2628" s="11" t="s">
        <v>954</v>
      </c>
      <c r="C2628" s="11" t="s">
        <v>955</v>
      </c>
      <c r="D2628" s="11">
        <v>1</v>
      </c>
      <c r="E2628" s="11" t="s">
        <v>13</v>
      </c>
      <c r="F2628" s="20">
        <v>46268.644618055558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7"/>
    </row>
    <row r="2629" spans="1:14">
      <c r="A2629" s="11" t="s">
        <v>2499</v>
      </c>
      <c r="B2629" s="11" t="s">
        <v>2226</v>
      </c>
      <c r="C2629" s="11" t="s">
        <v>2227</v>
      </c>
      <c r="D2629" s="11">
        <v>1</v>
      </c>
      <c r="E2629" s="11" t="s">
        <v>151</v>
      </c>
      <c r="F2629" s="20">
        <v>46274.560914351852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7"/>
    </row>
    <row r="2630" spans="1:14">
      <c r="A2630" s="11" t="s">
        <v>2500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7"/>
    </row>
    <row r="2631" spans="1:14">
      <c r="A2631" s="11" t="s">
        <v>2501</v>
      </c>
      <c r="B2631" s="11" t="s">
        <v>2226</v>
      </c>
      <c r="C2631" s="11" t="s">
        <v>2227</v>
      </c>
      <c r="D2631" s="11">
        <v>1</v>
      </c>
      <c r="E2631" s="11" t="s">
        <v>151</v>
      </c>
      <c r="F2631" s="20">
        <v>46274.552939814814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7"/>
    </row>
    <row r="2632" spans="1:14">
      <c r="A2632" s="11" t="s">
        <v>2502</v>
      </c>
      <c r="B2632" s="11" t="s">
        <v>2226</v>
      </c>
      <c r="C2632" s="11" t="s">
        <v>2227</v>
      </c>
      <c r="D2632" s="11">
        <v>1</v>
      </c>
      <c r="E2632" s="11" t="s">
        <v>151</v>
      </c>
      <c r="F2632" s="20">
        <v>46274.551539351851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7"/>
    </row>
    <row r="2633" spans="1:14">
      <c r="A2633" s="11" t="s">
        <v>2503</v>
      </c>
      <c r="B2633" s="11" t="s">
        <v>2226</v>
      </c>
      <c r="C2633" s="11" t="s">
        <v>2227</v>
      </c>
      <c r="D2633" s="11">
        <v>1</v>
      </c>
      <c r="E2633" s="11" t="s">
        <v>151</v>
      </c>
      <c r="F2633" s="20">
        <v>46274.550092592595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7"/>
    </row>
    <row r="2634" spans="1:14">
      <c r="A2634" s="11" t="s">
        <v>2504</v>
      </c>
      <c r="B2634" s="11" t="s">
        <v>954</v>
      </c>
      <c r="C2634" s="11" t="s">
        <v>955</v>
      </c>
      <c r="D2634" s="11">
        <v>1</v>
      </c>
      <c r="E2634" s="11" t="s">
        <v>13</v>
      </c>
      <c r="F2634" s="20">
        <v>46274.382453703707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7"/>
    </row>
    <row r="2635" spans="1:14">
      <c r="A2635" s="11" t="s">
        <v>2505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7"/>
    </row>
    <row r="2636" spans="1:14">
      <c r="A2636" s="11" t="s">
        <v>2506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46274.380972222221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7"/>
    </row>
    <row r="2637" spans="1:14">
      <c r="A2637" s="11" t="s">
        <v>2507</v>
      </c>
      <c r="B2637" s="11" t="s">
        <v>2226</v>
      </c>
      <c r="C2637" s="11" t="s">
        <v>2227</v>
      </c>
      <c r="D2637" s="11">
        <v>1</v>
      </c>
      <c r="E2637" s="11" t="s">
        <v>151</v>
      </c>
      <c r="F2637" s="20">
        <v>46274.548634259256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7"/>
    </row>
    <row r="2638" spans="1:14">
      <c r="A2638" s="11" t="s">
        <v>2508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7"/>
    </row>
    <row r="2639" spans="1:14">
      <c r="A2639" s="11" t="s">
        <v>2509</v>
      </c>
      <c r="B2639" s="11" t="s">
        <v>2226</v>
      </c>
      <c r="C2639" s="11" t="s">
        <v>2227</v>
      </c>
      <c r="D2639" s="11">
        <v>1</v>
      </c>
      <c r="E2639" s="11" t="s">
        <v>151</v>
      </c>
      <c r="F2639" s="20">
        <v>46274.649143518516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7"/>
    </row>
    <row r="2640" spans="1:14">
      <c r="A2640" s="11" t="s">
        <v>2510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7"/>
    </row>
    <row r="2641" spans="1:14">
      <c r="A2641" s="11" t="s">
        <v>2511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46265.732847222222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7"/>
    </row>
    <row r="2642" spans="1:14">
      <c r="A2642" s="11" t="s">
        <v>2512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7"/>
    </row>
    <row r="2643" spans="1:14">
      <c r="A2643" s="11" t="s">
        <v>2513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7"/>
    </row>
    <row r="2644" spans="1:14">
      <c r="A2644" s="11" t="s">
        <v>2514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7"/>
    </row>
    <row r="2645" spans="1:14">
      <c r="A2645" s="11" t="s">
        <v>2515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7"/>
    </row>
    <row r="2646" spans="1:14">
      <c r="A2646" s="11" t="s">
        <v>2516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46274.638124999998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7"/>
    </row>
    <row r="2647" spans="1:14">
      <c r="A2647" s="11" t="s">
        <v>2517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46272.548368055555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7"/>
    </row>
    <row r="2648" spans="1:14">
      <c r="A2648" s="11" t="s">
        <v>2518</v>
      </c>
      <c r="B2648" s="11" t="s">
        <v>2226</v>
      </c>
      <c r="C2648" s="11" t="s">
        <v>2227</v>
      </c>
      <c r="D2648" s="11">
        <v>1</v>
      </c>
      <c r="E2648" s="11" t="s">
        <v>151</v>
      </c>
      <c r="F2648" s="20">
        <v>46272.54859953704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7"/>
    </row>
    <row r="2649" spans="1:14">
      <c r="A2649" s="11" t="s">
        <v>2519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46272.543217592596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7"/>
    </row>
    <row r="2650" spans="1:14">
      <c r="A2650" s="11" t="s">
        <v>2520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46272.548831018517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7"/>
    </row>
    <row r="2651" spans="1:14">
      <c r="A2651" s="11" t="s">
        <v>2521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46272.549050925925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7"/>
    </row>
    <row r="2652" spans="1:14">
      <c r="A2652" s="11" t="s">
        <v>2522</v>
      </c>
      <c r="B2652" s="11" t="s">
        <v>954</v>
      </c>
      <c r="C2652" s="11" t="s">
        <v>955</v>
      </c>
      <c r="D2652" s="11">
        <v>1</v>
      </c>
      <c r="E2652" s="11" t="s">
        <v>13</v>
      </c>
      <c r="F2652" s="20">
        <v>46272.547500000001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7"/>
    </row>
    <row r="2653" spans="1:14">
      <c r="A2653" s="11" t="s">
        <v>2523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7"/>
    </row>
    <row r="2654" spans="1:14">
      <c r="A2654" s="11" t="s">
        <v>2524</v>
      </c>
      <c r="B2654" s="11" t="s">
        <v>8</v>
      </c>
      <c r="C2654" s="11" t="s">
        <v>9</v>
      </c>
      <c r="D2654" s="11">
        <v>1</v>
      </c>
      <c r="E2654" s="11" t="s">
        <v>10</v>
      </c>
      <c r="F2654" s="20">
        <v>46273.386087962965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7"/>
    </row>
    <row r="2655" spans="1:14">
      <c r="A2655" s="11" t="s">
        <v>2525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46272.563125000001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7"/>
    </row>
    <row r="2656" spans="1:14">
      <c r="A2656" s="11" t="s">
        <v>2526</v>
      </c>
      <c r="B2656" s="11" t="s">
        <v>8</v>
      </c>
      <c r="C2656" s="11" t="s">
        <v>9</v>
      </c>
      <c r="D2656" s="11">
        <v>1</v>
      </c>
      <c r="E2656" s="11" t="s">
        <v>10</v>
      </c>
      <c r="F2656" s="20">
        <v>46273.3827662037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7"/>
    </row>
    <row r="2657" spans="1:14">
      <c r="A2657" s="11" t="s">
        <v>2527</v>
      </c>
      <c r="B2657" s="11" t="s">
        <v>2226</v>
      </c>
      <c r="C2657" s="11" t="s">
        <v>2227</v>
      </c>
      <c r="D2657" s="11">
        <v>1</v>
      </c>
      <c r="E2657" s="11" t="s">
        <v>151</v>
      </c>
      <c r="F2657" s="20">
        <v>46272.565937500003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7"/>
    </row>
    <row r="2658" spans="1:14">
      <c r="A2658" s="11" t="s">
        <v>2528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46272.566180555557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7"/>
    </row>
    <row r="2659" spans="1:14">
      <c r="A2659" s="11" t="s">
        <v>2529</v>
      </c>
      <c r="B2659" s="11" t="s">
        <v>954</v>
      </c>
      <c r="C2659" s="11" t="s">
        <v>955</v>
      </c>
      <c r="D2659" s="11">
        <v>1</v>
      </c>
      <c r="E2659" s="11" t="s">
        <v>13</v>
      </c>
      <c r="F2659" s="20">
        <v>46272.567453703705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7"/>
    </row>
    <row r="2660" spans="1:14">
      <c r="A2660" s="11" t="s">
        <v>2530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46272.569131944445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7"/>
    </row>
    <row r="2661" spans="1:14">
      <c r="A2661" s="11" t="s">
        <v>2531</v>
      </c>
      <c r="B2661" s="11" t="s">
        <v>954</v>
      </c>
      <c r="C2661" s="11" t="s">
        <v>955</v>
      </c>
      <c r="D2661" s="11">
        <v>1</v>
      </c>
      <c r="E2661" s="11" t="s">
        <v>13</v>
      </c>
      <c r="F2661" s="20">
        <v>46272.570590277777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7"/>
    </row>
    <row r="2662" spans="1:14">
      <c r="A2662" s="11" t="s">
        <v>2532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46272.526562500003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7"/>
    </row>
    <row r="2663" spans="1:14">
      <c r="A2663" s="11" t="s">
        <v>2533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46272.490208333336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7"/>
    </row>
    <row r="2664" spans="1:14">
      <c r="A2664" s="11" t="s">
        <v>2534</v>
      </c>
      <c r="B2664" s="11" t="s">
        <v>954</v>
      </c>
      <c r="C2664" s="11" t="s">
        <v>955</v>
      </c>
      <c r="D2664" s="11">
        <v>1</v>
      </c>
      <c r="E2664" s="11" t="s">
        <v>13</v>
      </c>
      <c r="F2664" s="20">
        <v>46272.494409722225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7"/>
    </row>
    <row r="2665" spans="1:14">
      <c r="A2665" s="11" t="s">
        <v>2535</v>
      </c>
      <c r="B2665" s="11" t="s">
        <v>954</v>
      </c>
      <c r="C2665" s="11" t="s">
        <v>955</v>
      </c>
      <c r="D2665" s="11">
        <v>1</v>
      </c>
      <c r="E2665" s="11" t="s">
        <v>13</v>
      </c>
      <c r="F2665" s="20">
        <v>46272.498935185184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7"/>
    </row>
    <row r="2666" spans="1:14">
      <c r="A2666" s="11" t="s">
        <v>2536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46272.50136574074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7"/>
    </row>
    <row r="2667" spans="1:14">
      <c r="A2667" s="11" t="s">
        <v>2537</v>
      </c>
      <c r="B2667" s="11" t="s">
        <v>8</v>
      </c>
      <c r="C2667" s="11" t="s">
        <v>9</v>
      </c>
      <c r="D2667" s="11">
        <v>1</v>
      </c>
      <c r="E2667" s="11" t="s">
        <v>10</v>
      </c>
      <c r="F2667" s="20">
        <v>46266.400069444448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7"/>
    </row>
    <row r="2668" spans="1:14">
      <c r="A2668" s="11" t="s">
        <v>2538</v>
      </c>
      <c r="B2668" s="11" t="s">
        <v>8</v>
      </c>
      <c r="C2668" s="11" t="s">
        <v>9</v>
      </c>
      <c r="D2668" s="11">
        <v>1</v>
      </c>
      <c r="E2668" s="11" t="s">
        <v>10</v>
      </c>
      <c r="F2668" s="20">
        <v>46266.396006944444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7"/>
    </row>
    <row r="2669" spans="1:14">
      <c r="A2669" s="11" t="s">
        <v>2539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7"/>
    </row>
    <row r="2670" spans="1:14">
      <c r="A2670" s="11" t="s">
        <v>2540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46272.504004629627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7"/>
    </row>
    <row r="2671" spans="1:14">
      <c r="A2671" s="11" t="s">
        <v>2541</v>
      </c>
      <c r="B2671" s="11" t="s">
        <v>954</v>
      </c>
      <c r="C2671" s="11" t="s">
        <v>955</v>
      </c>
      <c r="D2671" s="11">
        <v>1</v>
      </c>
      <c r="E2671" s="11" t="s">
        <v>13</v>
      </c>
      <c r="F2671" s="20">
        <v>46272.511284722219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7"/>
    </row>
    <row r="2672" spans="1:14">
      <c r="A2672" s="11" t="s">
        <v>2542</v>
      </c>
      <c r="B2672" s="11" t="s">
        <v>954</v>
      </c>
      <c r="C2672" s="11" t="s">
        <v>955</v>
      </c>
      <c r="D2672" s="11">
        <v>1</v>
      </c>
      <c r="E2672" s="11" t="s">
        <v>13</v>
      </c>
      <c r="F2672" s="20">
        <v>46272.512824074074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7"/>
    </row>
    <row r="2673" spans="1:14">
      <c r="A2673" s="11" t="s">
        <v>2543</v>
      </c>
      <c r="B2673" s="11" t="s">
        <v>954</v>
      </c>
      <c r="C2673" s="11" t="s">
        <v>955</v>
      </c>
      <c r="D2673" s="11">
        <v>1</v>
      </c>
      <c r="E2673" s="11" t="s">
        <v>13</v>
      </c>
      <c r="F2673" s="20">
        <v>46272.514108796298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7"/>
    </row>
    <row r="2674" spans="1:14">
      <c r="A2674" s="11" t="s">
        <v>2544</v>
      </c>
      <c r="B2674" s="11" t="s">
        <v>954</v>
      </c>
      <c r="C2674" s="11" t="s">
        <v>955</v>
      </c>
      <c r="D2674" s="11">
        <v>1</v>
      </c>
      <c r="E2674" s="11" t="s">
        <v>13</v>
      </c>
      <c r="F2674" s="20">
        <v>46272.517256944448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7"/>
    </row>
    <row r="2675" spans="1:14">
      <c r="A2675" s="11" t="s">
        <v>2545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46272.526898148149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7"/>
    </row>
    <row r="2676" spans="1:14">
      <c r="A2676" s="11" t="s">
        <v>2546</v>
      </c>
      <c r="B2676" s="11" t="s">
        <v>2226</v>
      </c>
      <c r="C2676" s="11" t="s">
        <v>2227</v>
      </c>
      <c r="D2676" s="11">
        <v>1</v>
      </c>
      <c r="E2676" s="11" t="s">
        <v>151</v>
      </c>
      <c r="F2676" s="20">
        <v>46272.527291666665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7"/>
    </row>
    <row r="2677" spans="1:14">
      <c r="A2677" s="11" t="s">
        <v>2547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7"/>
    </row>
    <row r="2678" spans="1:14">
      <c r="A2678" s="11" t="s">
        <v>2548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7"/>
    </row>
    <row r="2679" spans="1:14">
      <c r="A2679" s="11" t="s">
        <v>2549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7"/>
    </row>
    <row r="2680" spans="1:14">
      <c r="A2680" s="11" t="s">
        <v>2550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7"/>
    </row>
    <row r="2681" spans="1:14">
      <c r="A2681" s="11" t="s">
        <v>2551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7"/>
    </row>
    <row r="2682" spans="1:14">
      <c r="A2682" s="11" t="s">
        <v>2552</v>
      </c>
      <c r="B2682" s="11" t="s">
        <v>2226</v>
      </c>
      <c r="C2682" s="11" t="s">
        <v>2227</v>
      </c>
      <c r="D2682" s="11">
        <v>1</v>
      </c>
      <c r="E2682" s="11" t="s">
        <v>151</v>
      </c>
      <c r="F2682" s="20">
        <v>46262.396435185183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7"/>
    </row>
    <row r="2683" spans="1:14">
      <c r="A2683" s="11" t="s">
        <v>2553</v>
      </c>
      <c r="B2683" s="11" t="s">
        <v>954</v>
      </c>
      <c r="C2683" s="11" t="s">
        <v>955</v>
      </c>
      <c r="D2683" s="11">
        <v>1</v>
      </c>
      <c r="E2683" s="11" t="s">
        <v>13</v>
      </c>
      <c r="F2683" s="20">
        <v>46268.647824074076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7"/>
    </row>
    <row r="2684" spans="1:14">
      <c r="A2684" s="11" t="s">
        <v>2554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7"/>
    </row>
    <row r="2685" spans="1:14">
      <c r="A2685" s="11" t="s">
        <v>2555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46266.410254629627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7"/>
    </row>
    <row r="2686" spans="1:14">
      <c r="A2686" s="11" t="s">
        <v>2556</v>
      </c>
      <c r="B2686" s="11" t="s">
        <v>8</v>
      </c>
      <c r="C2686" s="11" t="s">
        <v>9</v>
      </c>
      <c r="D2686" s="11">
        <v>1</v>
      </c>
      <c r="E2686" s="11" t="s">
        <v>10</v>
      </c>
      <c r="F2686" s="20">
        <v>46266.40357638889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7"/>
    </row>
    <row r="2687" spans="1:14">
      <c r="A2687" s="11" t="s">
        <v>2557</v>
      </c>
      <c r="B2687" s="11" t="s">
        <v>8</v>
      </c>
      <c r="C2687" s="11" t="s">
        <v>9</v>
      </c>
      <c r="D2687" s="11">
        <v>1</v>
      </c>
      <c r="E2687" s="11" t="s">
        <v>10</v>
      </c>
      <c r="F2687" s="20">
        <v>46266.38385416667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7"/>
    </row>
    <row r="2688" spans="1:14">
      <c r="A2688" s="11" t="s">
        <v>2558</v>
      </c>
      <c r="B2688" s="11" t="s">
        <v>6</v>
      </c>
      <c r="C2688" s="11" t="s">
        <v>6</v>
      </c>
      <c r="D2688" s="11">
        <v>1</v>
      </c>
      <c r="E2688" s="11" t="s">
        <v>7</v>
      </c>
      <c r="F2688" s="20">
        <v>46265.649444444447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7"/>
    </row>
    <row r="2689" spans="1:14">
      <c r="A2689" s="11" t="s">
        <v>2559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7"/>
    </row>
    <row r="2690" spans="1:14">
      <c r="A2690" s="11" t="s">
        <v>2560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7"/>
    </row>
    <row r="2691" spans="1:14">
      <c r="A2691" s="11" t="s">
        <v>2561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7"/>
    </row>
    <row r="2692" spans="1:14">
      <c r="A2692" s="11" t="s">
        <v>2562</v>
      </c>
      <c r="B2692" s="11" t="s">
        <v>8</v>
      </c>
      <c r="C2692" s="11" t="s">
        <v>9</v>
      </c>
      <c r="D2692" s="11">
        <v>1</v>
      </c>
      <c r="E2692" s="11" t="s">
        <v>10</v>
      </c>
      <c r="F2692" s="20">
        <v>46266.424826388888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7"/>
    </row>
    <row r="2693" spans="1:14">
      <c r="A2693" s="11" t="s">
        <v>2563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7"/>
    </row>
    <row r="2694" spans="1:14">
      <c r="A2694" s="11" t="s">
        <v>2564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7"/>
    </row>
    <row r="2695" spans="1:14">
      <c r="A2695" s="11" t="s">
        <v>2565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7"/>
    </row>
    <row r="2696" spans="1:14">
      <c r="A2696" s="11" t="s">
        <v>2566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7"/>
    </row>
    <row r="2697" spans="1:14">
      <c r="A2697" s="11" t="s">
        <v>2567</v>
      </c>
      <c r="B2697" s="11" t="s">
        <v>8</v>
      </c>
      <c r="C2697" s="11" t="s">
        <v>9</v>
      </c>
      <c r="D2697" s="11">
        <v>1</v>
      </c>
      <c r="E2697" s="11" t="s">
        <v>10</v>
      </c>
      <c r="F2697" s="20">
        <v>46266.430821759262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7"/>
    </row>
    <row r="2698" spans="1:14">
      <c r="A2698" s="11" t="s">
        <v>2568</v>
      </c>
      <c r="B2698" s="11" t="s">
        <v>8</v>
      </c>
      <c r="C2698" s="11" t="s">
        <v>9</v>
      </c>
      <c r="D2698" s="11">
        <v>1</v>
      </c>
      <c r="E2698" s="11" t="s">
        <v>10</v>
      </c>
      <c r="F2698" s="20">
        <v>46266.434756944444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7"/>
    </row>
    <row r="2699" spans="1:14">
      <c r="A2699" s="11" t="s">
        <v>2569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7"/>
    </row>
    <row r="2700" spans="1:14">
      <c r="A2700" s="11" t="s">
        <v>2570</v>
      </c>
      <c r="B2700" s="11" t="s">
        <v>2226</v>
      </c>
      <c r="C2700" s="11" t="s">
        <v>2227</v>
      </c>
      <c r="D2700" s="11">
        <v>1</v>
      </c>
      <c r="E2700" s="11" t="s">
        <v>151</v>
      </c>
      <c r="F2700" s="20">
        <v>46274.363032407404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7"/>
    </row>
    <row r="2701" spans="1:14">
      <c r="A2701" s="11" t="s">
        <v>2571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46265.61614583333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7"/>
    </row>
    <row r="2702" spans="1:14">
      <c r="A2702" s="11" t="s">
        <v>2572</v>
      </c>
      <c r="B2702" s="11" t="s">
        <v>954</v>
      </c>
      <c r="C2702" s="11" t="s">
        <v>955</v>
      </c>
      <c r="D2702" s="11">
        <v>1</v>
      </c>
      <c r="E2702" s="11" t="s">
        <v>13</v>
      </c>
      <c r="F2702" s="20">
        <v>46265.609363425923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7"/>
    </row>
    <row r="2703" spans="1:14">
      <c r="A2703" s="11" t="s">
        <v>2573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7"/>
    </row>
    <row r="2704" spans="1:14">
      <c r="A2704" s="11" t="s">
        <v>2574</v>
      </c>
      <c r="B2704" s="11" t="s">
        <v>8</v>
      </c>
      <c r="C2704" s="11" t="s">
        <v>9</v>
      </c>
      <c r="D2704" s="11">
        <v>1</v>
      </c>
      <c r="E2704" s="11" t="s">
        <v>10</v>
      </c>
      <c r="F2704" s="20">
        <v>46266.379386574074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7"/>
    </row>
    <row r="2705" spans="1:14">
      <c r="A2705" s="11" t="s">
        <v>2575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46266.386828703704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7"/>
    </row>
    <row r="2706" spans="1:14">
      <c r="A2706" s="11" t="s">
        <v>2576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46266.390775462962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7"/>
    </row>
    <row r="2707" spans="1:14">
      <c r="A2707" s="11" t="s">
        <v>2577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46266.418287037035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7"/>
    </row>
    <row r="2708" spans="1:14">
      <c r="A2708" s="11" t="s">
        <v>2578</v>
      </c>
      <c r="B2708" s="11" t="s">
        <v>2226</v>
      </c>
      <c r="C2708" s="11" t="s">
        <v>2227</v>
      </c>
      <c r="D2708" s="11">
        <v>1</v>
      </c>
      <c r="E2708" s="11" t="s">
        <v>151</v>
      </c>
      <c r="F2708" s="20">
        <v>46268.349745370368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7"/>
    </row>
    <row r="2709" spans="1:14">
      <c r="A2709" s="11" t="s">
        <v>2579</v>
      </c>
      <c r="B2709" s="11" t="s">
        <v>954</v>
      </c>
      <c r="C2709" s="11" t="s">
        <v>955</v>
      </c>
      <c r="D2709" s="11">
        <v>1</v>
      </c>
      <c r="E2709" s="11" t="s">
        <v>13</v>
      </c>
      <c r="F2709" s="20">
        <v>46265.617800925924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7"/>
    </row>
    <row r="2710" spans="1:14">
      <c r="A2710" s="11" t="s">
        <v>2580</v>
      </c>
      <c r="B2710" s="11" t="s">
        <v>954</v>
      </c>
      <c r="C2710" s="11" t="s">
        <v>955</v>
      </c>
      <c r="D2710" s="11">
        <v>1</v>
      </c>
      <c r="E2710" s="11" t="s">
        <v>13</v>
      </c>
      <c r="F2710" s="20">
        <v>46265.61409722222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7"/>
    </row>
    <row r="2711" spans="1:14">
      <c r="A2711" s="11" t="s">
        <v>2581</v>
      </c>
      <c r="B2711" s="11" t="s">
        <v>954</v>
      </c>
      <c r="C2711" s="11" t="s">
        <v>955</v>
      </c>
      <c r="D2711" s="11">
        <v>1</v>
      </c>
      <c r="E2711" s="11" t="s">
        <v>13</v>
      </c>
      <c r="F2711" s="20">
        <v>46265.623067129629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7"/>
    </row>
    <row r="2712" spans="1:14">
      <c r="A2712" s="11" t="s">
        <v>2582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7"/>
    </row>
    <row r="2713" spans="1:14">
      <c r="A2713" s="11" t="s">
        <v>2583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46265.611967592595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7"/>
    </row>
    <row r="2714" spans="1:14">
      <c r="A2714" s="11" t="s">
        <v>2584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7"/>
    </row>
    <row r="2715" spans="1:14">
      <c r="A2715" s="11" t="s">
        <v>2585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46265.621469907404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7"/>
    </row>
    <row r="2716" spans="1:14">
      <c r="A2716" s="11" t="s">
        <v>2586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7"/>
    </row>
    <row r="2717" spans="1:14">
      <c r="A2717" s="11" t="s">
        <v>2587</v>
      </c>
      <c r="B2717" s="11" t="s">
        <v>954</v>
      </c>
      <c r="C2717" s="11" t="s">
        <v>955</v>
      </c>
      <c r="D2717" s="11">
        <v>1</v>
      </c>
      <c r="E2717" s="11" t="s">
        <v>13</v>
      </c>
      <c r="F2717" s="20">
        <v>46265.62736111111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7"/>
    </row>
    <row r="2718" spans="1:14">
      <c r="A2718" s="11" t="s">
        <v>2588</v>
      </c>
      <c r="B2718" s="11" t="s">
        <v>954</v>
      </c>
      <c r="C2718" s="11" t="s">
        <v>955</v>
      </c>
      <c r="D2718" s="11">
        <v>1</v>
      </c>
      <c r="E2718" s="11" t="s">
        <v>13</v>
      </c>
      <c r="F2718" s="20">
        <v>46265.625474537039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7"/>
    </row>
    <row r="2719" spans="1:14">
      <c r="A2719" s="11" t="s">
        <v>2589</v>
      </c>
      <c r="B2719" s="11" t="s">
        <v>954</v>
      </c>
      <c r="C2719" s="11" t="s">
        <v>955</v>
      </c>
      <c r="D2719" s="11">
        <v>1</v>
      </c>
      <c r="E2719" s="11" t="s">
        <v>13</v>
      </c>
      <c r="F2719" s="20">
        <v>46265.630474537036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7"/>
    </row>
    <row r="2720" spans="1:14">
      <c r="A2720" s="11" t="s">
        <v>2590</v>
      </c>
      <c r="B2720" s="11" t="s">
        <v>954</v>
      </c>
      <c r="C2720" s="11" t="s">
        <v>955</v>
      </c>
      <c r="D2720" s="11">
        <v>1</v>
      </c>
      <c r="E2720" s="11" t="s">
        <v>13</v>
      </c>
      <c r="F2720" s="20">
        <v>46268.394675925927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7"/>
    </row>
    <row r="2721" spans="1:14">
      <c r="A2721" s="11" t="s">
        <v>2591</v>
      </c>
      <c r="B2721" s="11" t="s">
        <v>954</v>
      </c>
      <c r="C2721" s="11" t="s">
        <v>955</v>
      </c>
      <c r="D2721" s="11">
        <v>1</v>
      </c>
      <c r="E2721" s="11" t="s">
        <v>13</v>
      </c>
      <c r="F2721" s="20">
        <v>46268.367083333331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7"/>
    </row>
    <row r="2722" spans="1:14">
      <c r="A2722" s="11" t="s">
        <v>2592</v>
      </c>
      <c r="B2722" s="11" t="s">
        <v>954</v>
      </c>
      <c r="C2722" s="11" t="s">
        <v>955</v>
      </c>
      <c r="D2722" s="11">
        <v>1</v>
      </c>
      <c r="E2722" s="11" t="s">
        <v>13</v>
      </c>
      <c r="F2722" s="20">
        <v>46265.62877314815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7"/>
    </row>
    <row r="2723" spans="1:14">
      <c r="A2723" s="11" t="s">
        <v>2593</v>
      </c>
      <c r="B2723" s="11" t="s">
        <v>954</v>
      </c>
      <c r="C2723" s="11" t="s">
        <v>955</v>
      </c>
      <c r="D2723" s="11">
        <v>1</v>
      </c>
      <c r="E2723" s="11" t="s">
        <v>13</v>
      </c>
      <c r="F2723" s="20">
        <v>46268.400370370371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7"/>
    </row>
    <row r="2724" spans="1:14">
      <c r="A2724" s="11" t="s">
        <v>2594</v>
      </c>
      <c r="B2724" s="11" t="s">
        <v>954</v>
      </c>
      <c r="C2724" s="11" t="s">
        <v>955</v>
      </c>
      <c r="D2724" s="11">
        <v>1</v>
      </c>
      <c r="E2724" s="11" t="s">
        <v>13</v>
      </c>
      <c r="F2724" s="20">
        <v>46268.3987037037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7"/>
    </row>
    <row r="2725" spans="1:14">
      <c r="A2725" s="11" t="s">
        <v>2595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46268.396168981482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7"/>
    </row>
    <row r="2726" spans="1:14">
      <c r="A2726" s="11" t="s">
        <v>2596</v>
      </c>
      <c r="B2726" s="11" t="s">
        <v>954</v>
      </c>
      <c r="C2726" s="11" t="s">
        <v>955</v>
      </c>
      <c r="D2726" s="11">
        <v>1</v>
      </c>
      <c r="E2726" s="11" t="s">
        <v>13</v>
      </c>
      <c r="F2726" s="20">
        <v>46268.408206018517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7"/>
    </row>
    <row r="2727" spans="1:14">
      <c r="A2727" s="11" t="s">
        <v>2597</v>
      </c>
      <c r="B2727" s="11" t="s">
        <v>954</v>
      </c>
      <c r="C2727" s="11" t="s">
        <v>955</v>
      </c>
      <c r="D2727" s="11">
        <v>1</v>
      </c>
      <c r="E2727" s="11" t="s">
        <v>13</v>
      </c>
      <c r="F2727" s="20">
        <v>46268.356354166666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7"/>
    </row>
    <row r="2728" spans="1:14">
      <c r="A2728" s="11" t="s">
        <v>2598</v>
      </c>
      <c r="B2728" s="11" t="s">
        <v>954</v>
      </c>
      <c r="C2728" s="11" t="s">
        <v>955</v>
      </c>
      <c r="D2728" s="11">
        <v>1</v>
      </c>
      <c r="E2728" s="11" t="s">
        <v>13</v>
      </c>
      <c r="F2728" s="20">
        <v>46268.403425925928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7"/>
    </row>
    <row r="2729" spans="1:14">
      <c r="A2729" s="11" t="s">
        <v>2599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7"/>
    </row>
    <row r="2730" spans="1:14">
      <c r="A2730" s="11" t="s">
        <v>2600</v>
      </c>
      <c r="B2730" s="11" t="s">
        <v>954</v>
      </c>
      <c r="C2730" s="11" t="s">
        <v>955</v>
      </c>
      <c r="D2730" s="11">
        <v>1</v>
      </c>
      <c r="E2730" s="11" t="s">
        <v>13</v>
      </c>
      <c r="F2730" s="20">
        <v>46268.406597222223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7"/>
    </row>
    <row r="2731" spans="1:14">
      <c r="A2731" s="11" t="s">
        <v>2601</v>
      </c>
      <c r="B2731" s="11" t="s">
        <v>954</v>
      </c>
      <c r="C2731" s="11" t="s">
        <v>955</v>
      </c>
      <c r="D2731" s="11">
        <v>1</v>
      </c>
      <c r="E2731" s="11" t="s">
        <v>13</v>
      </c>
      <c r="F2731" s="20">
        <v>46268.414386574077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7"/>
    </row>
    <row r="2732" spans="1:14">
      <c r="A2732" s="11" t="s">
        <v>2602</v>
      </c>
      <c r="B2732" s="11" t="s">
        <v>954</v>
      </c>
      <c r="C2732" s="11" t="s">
        <v>955</v>
      </c>
      <c r="D2732" s="11">
        <v>1</v>
      </c>
      <c r="E2732" s="11" t="s">
        <v>13</v>
      </c>
      <c r="F2732" s="20">
        <v>46268.410266203704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7"/>
    </row>
    <row r="2733" spans="1:14">
      <c r="A2733" s="11" t="s">
        <v>2603</v>
      </c>
      <c r="B2733" s="11" t="s">
        <v>954</v>
      </c>
      <c r="C2733" s="11" t="s">
        <v>955</v>
      </c>
      <c r="D2733" s="11">
        <v>1</v>
      </c>
      <c r="E2733" s="11" t="s">
        <v>13</v>
      </c>
      <c r="F2733" s="20">
        <v>46268.338229166664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7"/>
    </row>
    <row r="2734" spans="1:14">
      <c r="A2734" s="11" t="s">
        <v>2604</v>
      </c>
      <c r="B2734" s="11" t="s">
        <v>954</v>
      </c>
      <c r="C2734" s="11" t="s">
        <v>955</v>
      </c>
      <c r="D2734" s="11">
        <v>1</v>
      </c>
      <c r="E2734" s="11" t="s">
        <v>13</v>
      </c>
      <c r="F2734" s="20">
        <v>46268.365162037036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7"/>
    </row>
    <row r="2735" spans="1:14">
      <c r="A2735" s="11" t="s">
        <v>2605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7"/>
    </row>
    <row r="2736" spans="1:14">
      <c r="A2736" s="11" t="s">
        <v>2606</v>
      </c>
      <c r="B2736" s="11" t="s">
        <v>954</v>
      </c>
      <c r="C2736" s="11" t="s">
        <v>955</v>
      </c>
      <c r="D2736" s="11">
        <v>1</v>
      </c>
      <c r="E2736" s="11" t="s">
        <v>13</v>
      </c>
      <c r="F2736" s="20">
        <v>46268.371898148151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7"/>
    </row>
    <row r="2737" spans="1:14">
      <c r="A2737" s="11" t="s">
        <v>2607</v>
      </c>
      <c r="B2737" s="11" t="s">
        <v>954</v>
      </c>
      <c r="C2737" s="11" t="s">
        <v>955</v>
      </c>
      <c r="D2737" s="11">
        <v>1</v>
      </c>
      <c r="E2737" s="11" t="s">
        <v>13</v>
      </c>
      <c r="F2737" s="20">
        <v>46268.373761574076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7"/>
    </row>
    <row r="2738" spans="1:14">
      <c r="A2738" s="11" t="s">
        <v>2608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7"/>
    </row>
    <row r="2739" spans="1:14">
      <c r="A2739" s="11" t="s">
        <v>2609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7"/>
    </row>
    <row r="2740" spans="1:14">
      <c r="A2740" s="11" t="s">
        <v>2610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7"/>
    </row>
    <row r="2741" spans="1:14">
      <c r="A2741" s="11" t="s">
        <v>2611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7"/>
    </row>
    <row r="2742" spans="1:14">
      <c r="A2742" s="11" t="s">
        <v>2612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7"/>
    </row>
    <row r="2743" spans="1:14">
      <c r="A2743" s="11" t="s">
        <v>2613</v>
      </c>
      <c r="B2743" s="11" t="s">
        <v>2226</v>
      </c>
      <c r="C2743" s="11" t="s">
        <v>2227</v>
      </c>
      <c r="D2743" s="11">
        <v>1</v>
      </c>
      <c r="E2743" s="11" t="s">
        <v>151</v>
      </c>
      <c r="F2743" s="20">
        <v>46269.487881944442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7"/>
    </row>
    <row r="2744" spans="1:14">
      <c r="A2744" s="11" t="s">
        <v>2614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46268.368483796294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7"/>
    </row>
    <row r="2745" spans="1:14">
      <c r="A2745" s="11" t="s">
        <v>2615</v>
      </c>
      <c r="B2745" s="11" t="s">
        <v>954</v>
      </c>
      <c r="C2745" s="11" t="s">
        <v>955</v>
      </c>
      <c r="D2745" s="11">
        <v>1</v>
      </c>
      <c r="E2745" s="11" t="s">
        <v>13</v>
      </c>
      <c r="F2745" s="20">
        <v>46268.358472222222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7"/>
    </row>
    <row r="2746" spans="1:14">
      <c r="A2746" s="11" t="s">
        <v>2616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7"/>
    </row>
    <row r="2747" spans="1:14">
      <c r="A2747" s="11" t="s">
        <v>2617</v>
      </c>
      <c r="B2747" s="11" t="s">
        <v>954</v>
      </c>
      <c r="C2747" s="11" t="s">
        <v>955</v>
      </c>
      <c r="D2747" s="11">
        <v>1</v>
      </c>
      <c r="E2747" s="11" t="s">
        <v>13</v>
      </c>
      <c r="F2747" s="20">
        <v>46269.471203703702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7"/>
    </row>
    <row r="2748" spans="1:14">
      <c r="A2748" s="11" t="s">
        <v>2618</v>
      </c>
      <c r="B2748" s="11" t="s">
        <v>954</v>
      </c>
      <c r="C2748" s="11" t="s">
        <v>955</v>
      </c>
      <c r="D2748" s="11">
        <v>1</v>
      </c>
      <c r="E2748" s="11" t="s">
        <v>13</v>
      </c>
      <c r="F2748" s="20">
        <v>46269.475671296299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7"/>
    </row>
    <row r="2749" spans="1:14">
      <c r="A2749" s="11" t="s">
        <v>2619</v>
      </c>
      <c r="B2749" s="11" t="s">
        <v>2226</v>
      </c>
      <c r="C2749" s="11" t="s">
        <v>2227</v>
      </c>
      <c r="D2749" s="11">
        <v>1</v>
      </c>
      <c r="E2749" s="11" t="s">
        <v>151</v>
      </c>
      <c r="F2749" s="20">
        <v>46269.489791666667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7"/>
    </row>
    <row r="2750" spans="1:14">
      <c r="A2750" s="11" t="s">
        <v>2620</v>
      </c>
      <c r="B2750" s="11" t="s">
        <v>954</v>
      </c>
      <c r="C2750" s="11" t="s">
        <v>955</v>
      </c>
      <c r="D2750" s="11">
        <v>1</v>
      </c>
      <c r="E2750" s="11" t="s">
        <v>13</v>
      </c>
      <c r="F2750" s="20">
        <v>46269.485729166663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7"/>
    </row>
    <row r="2751" spans="1:14">
      <c r="A2751" s="11" t="s">
        <v>2621</v>
      </c>
      <c r="B2751" s="11" t="s">
        <v>2226</v>
      </c>
      <c r="C2751" s="11" t="s">
        <v>2227</v>
      </c>
      <c r="D2751" s="11">
        <v>1</v>
      </c>
      <c r="E2751" s="11" t="s">
        <v>151</v>
      </c>
      <c r="F2751" s="20">
        <v>46269.495682870373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7"/>
    </row>
    <row r="2752" spans="1:14">
      <c r="A2752" s="11" t="s">
        <v>2622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46269.478946759256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7"/>
    </row>
    <row r="2753" spans="1:14">
      <c r="A2753" s="11" t="s">
        <v>2623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46268.416018518517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7"/>
    </row>
    <row r="2754" spans="1:14">
      <c r="A2754" s="11" t="s">
        <v>2624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7"/>
    </row>
    <row r="2755" spans="1:14">
      <c r="A2755" s="11" t="s">
        <v>2625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46269.483831018515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7"/>
    </row>
    <row r="2756" spans="1:14">
      <c r="A2756" s="11" t="s">
        <v>2626</v>
      </c>
      <c r="B2756" s="11" t="s">
        <v>954</v>
      </c>
      <c r="C2756" s="11" t="s">
        <v>955</v>
      </c>
      <c r="D2756" s="11">
        <v>1</v>
      </c>
      <c r="E2756" s="11" t="s">
        <v>13</v>
      </c>
      <c r="F2756" s="20">
        <v>46269.482048611113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7"/>
    </row>
    <row r="2757" spans="1:14">
      <c r="A2757" s="11" t="s">
        <v>2627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46269.464583333334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7"/>
    </row>
    <row r="2758" spans="1:14">
      <c r="A2758" s="11" t="s">
        <v>2628</v>
      </c>
      <c r="B2758" s="11" t="s">
        <v>954</v>
      </c>
      <c r="C2758" s="11" t="s">
        <v>955</v>
      </c>
      <c r="D2758" s="11">
        <v>1</v>
      </c>
      <c r="E2758" s="11" t="s">
        <v>13</v>
      </c>
      <c r="F2758" s="20">
        <v>46269.462789351855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7"/>
    </row>
    <row r="2759" spans="1:14">
      <c r="A2759" s="11" t="s">
        <v>2629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46269.469699074078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7"/>
    </row>
    <row r="2760" spans="1:14">
      <c r="A2760" s="11" t="s">
        <v>2630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46269.457083333335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7"/>
    </row>
    <row r="2761" spans="1:14">
      <c r="A2761" s="11" t="s">
        <v>2631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46269.459155092591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7"/>
    </row>
    <row r="2762" spans="1:14">
      <c r="A2762" s="11" t="s">
        <v>2632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46269.460821759261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7"/>
    </row>
    <row r="2763" spans="1:14">
      <c r="A2763" s="11" t="s">
        <v>2633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7"/>
    </row>
    <row r="2764" spans="1:14">
      <c r="A2764" s="11" t="s">
        <v>2634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46269.467210648145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7"/>
    </row>
    <row r="2765" spans="1:14">
      <c r="A2765" s="11" t="s">
        <v>2635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46268.418703703705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7"/>
    </row>
    <row r="2766" spans="1:14">
      <c r="A2766" s="11" t="s">
        <v>2636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7"/>
    </row>
    <row r="2767" spans="1:14">
      <c r="A2767" s="11" t="s">
        <v>2637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46265.6328587963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7"/>
    </row>
    <row r="2768" spans="1:14">
      <c r="A2768" s="11" t="s">
        <v>2638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7"/>
    </row>
    <row r="2769" spans="1:14">
      <c r="A2769" s="11" t="s">
        <v>2639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46268.417280092595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7"/>
    </row>
    <row r="2770" spans="1:14">
      <c r="A2770" s="11" t="s">
        <v>2640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46269.602800925924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7"/>
    </row>
    <row r="2771" spans="1:14">
      <c r="A2771" s="11" t="s">
        <v>2641</v>
      </c>
      <c r="B2771" s="11" t="s">
        <v>954</v>
      </c>
      <c r="C2771" s="11" t="s">
        <v>955</v>
      </c>
      <c r="D2771" s="11">
        <v>1</v>
      </c>
      <c r="E2771" s="11" t="s">
        <v>13</v>
      </c>
      <c r="F2771" s="20">
        <v>46274.355173611111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7"/>
    </row>
    <row r="2772" spans="1:14">
      <c r="A2772" s="11" t="s">
        <v>2642</v>
      </c>
      <c r="B2772" s="11" t="s">
        <v>2226</v>
      </c>
      <c r="C2772" s="11" t="s">
        <v>2227</v>
      </c>
      <c r="D2772" s="11">
        <v>1</v>
      </c>
      <c r="E2772" s="11" t="s">
        <v>151</v>
      </c>
      <c r="F2772" s="20">
        <v>46274.369074074071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7"/>
    </row>
    <row r="2773" spans="1:14">
      <c r="A2773" s="11" t="s">
        <v>2643</v>
      </c>
      <c r="B2773" s="11" t="s">
        <v>2226</v>
      </c>
      <c r="C2773" s="11" t="s">
        <v>2227</v>
      </c>
      <c r="D2773" s="11">
        <v>1</v>
      </c>
      <c r="E2773" s="11" t="s">
        <v>151</v>
      </c>
      <c r="F2773" s="20">
        <v>46274.367094907408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7"/>
    </row>
    <row r="2774" spans="1:14">
      <c r="A2774" s="11" t="s">
        <v>2644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46274.361168981479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7"/>
    </row>
    <row r="2775" spans="1:14">
      <c r="A2775" s="11" t="s">
        <v>2645</v>
      </c>
      <c r="B2775" s="11" t="s">
        <v>2226</v>
      </c>
      <c r="C2775" s="11" t="s">
        <v>2227</v>
      </c>
      <c r="D2775" s="11">
        <v>1</v>
      </c>
      <c r="E2775" s="11" t="s">
        <v>151</v>
      </c>
      <c r="F2775" s="20">
        <v>46274.365671296298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7"/>
    </row>
    <row r="2776" spans="1:14">
      <c r="A2776" s="11" t="s">
        <v>2646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46269.60050925926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7"/>
    </row>
    <row r="2777" spans="1:14">
      <c r="A2777" s="11" t="s">
        <v>2647</v>
      </c>
      <c r="B2777" s="11" t="s">
        <v>2226</v>
      </c>
      <c r="C2777" s="11" t="s">
        <v>2227</v>
      </c>
      <c r="D2777" s="11">
        <v>1</v>
      </c>
      <c r="E2777" s="11" t="s">
        <v>151</v>
      </c>
      <c r="F2777" s="20">
        <v>46274.370995370373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7"/>
    </row>
    <row r="2778" spans="1:14">
      <c r="A2778" s="11" t="s">
        <v>2648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46274.341932870368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7"/>
    </row>
    <row r="2779" spans="1:14">
      <c r="A2779" s="11" t="s">
        <v>2649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46274.343275462961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7"/>
    </row>
    <row r="2780" spans="1:14">
      <c r="A2780" s="11" t="s">
        <v>2650</v>
      </c>
      <c r="B2780" s="11" t="s">
        <v>954</v>
      </c>
      <c r="C2780" s="11" t="s">
        <v>955</v>
      </c>
      <c r="D2780" s="11">
        <v>1</v>
      </c>
      <c r="E2780" s="11" t="s">
        <v>13</v>
      </c>
      <c r="F2780" s="20">
        <v>46269.604467592595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7"/>
    </row>
    <row r="2781" spans="1:14">
      <c r="A2781" s="11" t="s">
        <v>2651</v>
      </c>
      <c r="B2781" s="11" t="s">
        <v>954</v>
      </c>
      <c r="C2781" s="11" t="s">
        <v>955</v>
      </c>
      <c r="D2781" s="11">
        <v>1</v>
      </c>
      <c r="E2781" s="11" t="s">
        <v>13</v>
      </c>
      <c r="F2781" s="20">
        <v>46269.606111111112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7"/>
    </row>
    <row r="2782" spans="1:14">
      <c r="A2782" s="11" t="s">
        <v>2652</v>
      </c>
      <c r="B2782" s="11" t="s">
        <v>954</v>
      </c>
      <c r="C2782" s="11" t="s">
        <v>955</v>
      </c>
      <c r="D2782" s="11">
        <v>1</v>
      </c>
      <c r="E2782" s="11" t="s">
        <v>13</v>
      </c>
      <c r="F2782" s="20">
        <v>46268.318136574075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7"/>
    </row>
    <row r="2783" spans="1:14">
      <c r="A2783" s="11" t="s">
        <v>2653</v>
      </c>
      <c r="B2783" s="11" t="s">
        <v>954</v>
      </c>
      <c r="C2783" s="11" t="s">
        <v>955</v>
      </c>
      <c r="D2783" s="11">
        <v>1</v>
      </c>
      <c r="E2783" s="11" t="s">
        <v>13</v>
      </c>
      <c r="F2783" s="20">
        <v>46274.356574074074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7"/>
    </row>
    <row r="2784" spans="1:14">
      <c r="A2784" s="11" t="s">
        <v>2654</v>
      </c>
      <c r="B2784" s="11" t="s">
        <v>954</v>
      </c>
      <c r="C2784" s="11" t="s">
        <v>955</v>
      </c>
      <c r="D2784" s="11">
        <v>1</v>
      </c>
      <c r="E2784" s="11" t="s">
        <v>13</v>
      </c>
      <c r="F2784" s="20">
        <v>46268.320405092592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7"/>
    </row>
    <row r="2785" spans="1:14">
      <c r="A2785" s="11" t="s">
        <v>2655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7"/>
    </row>
    <row r="2786" spans="1:14">
      <c r="A2786" s="11" t="s">
        <v>2656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46274.357615740744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7"/>
    </row>
    <row r="2787" spans="1:14">
      <c r="A2787" s="11" t="s">
        <v>2657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46268.316435185188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7"/>
    </row>
    <row r="2788" spans="1:14">
      <c r="A2788" s="11" t="s">
        <v>2658</v>
      </c>
      <c r="B2788" s="11" t="s">
        <v>2226</v>
      </c>
      <c r="C2788" s="11" t="s">
        <v>2227</v>
      </c>
      <c r="D2788" s="11">
        <v>1</v>
      </c>
      <c r="E2788" s="11" t="s">
        <v>151</v>
      </c>
      <c r="F2788" s="20">
        <v>46268.345752314817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7"/>
    </row>
    <row r="2789" spans="1:14">
      <c r="A2789" s="11" t="s">
        <v>2659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46266.220717592594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7"/>
    </row>
    <row r="2790" spans="1:14">
      <c r="A2790" s="11" t="s">
        <v>2660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46269.61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7"/>
    </row>
    <row r="2791" spans="1:14">
      <c r="A2791" s="11" t="s">
        <v>2661</v>
      </c>
      <c r="B2791" s="11" t="s">
        <v>954</v>
      </c>
      <c r="C2791" s="11" t="s">
        <v>955</v>
      </c>
      <c r="D2791" s="11">
        <v>1</v>
      </c>
      <c r="E2791" s="11" t="s">
        <v>13</v>
      </c>
      <c r="F2791" s="20">
        <v>46269.624212962961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7"/>
    </row>
    <row r="2792" spans="1:14">
      <c r="A2792" s="11" t="s">
        <v>2662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46274.340289351851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7"/>
    </row>
    <row r="2793" spans="1:14">
      <c r="A2793" s="11" t="s">
        <v>2663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7"/>
    </row>
    <row r="2794" spans="1:14">
      <c r="A2794" s="11" t="s">
        <v>2664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7"/>
    </row>
    <row r="2795" spans="1:14">
      <c r="A2795" s="11" t="s">
        <v>2665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7"/>
    </row>
    <row r="2796" spans="1:14">
      <c r="A2796" s="11" t="s">
        <v>2666</v>
      </c>
      <c r="B2796" s="11" t="s">
        <v>2226</v>
      </c>
      <c r="C2796" s="11" t="s">
        <v>2227</v>
      </c>
      <c r="D2796" s="11">
        <v>1</v>
      </c>
      <c r="E2796" s="11" t="s">
        <v>151</v>
      </c>
      <c r="F2796" s="20">
        <v>46274.372800925928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7"/>
    </row>
    <row r="2797" spans="1:14">
      <c r="A2797" s="11" t="s">
        <v>2667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46274.353819444441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7"/>
    </row>
    <row r="2798" spans="1:14">
      <c r="A2798" s="11" t="s">
        <v>2668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46274.338692129626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7"/>
    </row>
    <row r="2799" spans="1:14">
      <c r="A2799" s="11" t="s">
        <v>2669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7"/>
    </row>
    <row r="2800" spans="1:14">
      <c r="A2800" s="11" t="s">
        <v>2670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7"/>
    </row>
    <row r="2801" spans="1:14">
      <c r="A2801" s="11" t="s">
        <v>2671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46266.227002314816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7"/>
    </row>
    <row r="2802" spans="1:14">
      <c r="A2802" s="11" t="s">
        <v>2672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7"/>
    </row>
    <row r="2803" spans="1:14">
      <c r="A2803" s="11" t="s">
        <v>2673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46266.223969907405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7"/>
    </row>
    <row r="2804" spans="1:14">
      <c r="A2804" s="11" t="s">
        <v>2674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46269.618969907409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7"/>
    </row>
    <row r="2805" spans="1:14">
      <c r="A2805" s="11" t="s">
        <v>2675</v>
      </c>
      <c r="B2805" s="11" t="s">
        <v>954</v>
      </c>
      <c r="C2805" s="11" t="s">
        <v>955</v>
      </c>
      <c r="D2805" s="11">
        <v>1</v>
      </c>
      <c r="E2805" s="11" t="s">
        <v>13</v>
      </c>
      <c r="F2805" s="20">
        <v>46269.616284722222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7"/>
    </row>
    <row r="2806" spans="1:14">
      <c r="A2806" s="11" t="s">
        <v>2676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46266.229328703703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7"/>
    </row>
    <row r="2807" spans="1:14">
      <c r="A2807" s="11" t="s">
        <v>2677</v>
      </c>
      <c r="B2807" s="11" t="s">
        <v>954</v>
      </c>
      <c r="C2807" s="11" t="s">
        <v>955</v>
      </c>
      <c r="D2807" s="11">
        <v>1</v>
      </c>
      <c r="E2807" s="11" t="s">
        <v>13</v>
      </c>
      <c r="F2807" s="20">
        <v>46269.611747685187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7"/>
    </row>
    <row r="2808" spans="1:14">
      <c r="A2808" s="11" t="s">
        <v>2678</v>
      </c>
      <c r="B2808" s="11" t="s">
        <v>954</v>
      </c>
      <c r="C2808" s="11" t="s">
        <v>955</v>
      </c>
      <c r="D2808" s="11">
        <v>1</v>
      </c>
      <c r="E2808" s="11" t="s">
        <v>13</v>
      </c>
      <c r="F2808" s="20">
        <v>46269.608541666668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7"/>
    </row>
    <row r="2809" spans="1:14">
      <c r="A2809" s="11" t="s">
        <v>2679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7"/>
    </row>
    <row r="2810" spans="1:14">
      <c r="A2810" s="11" t="s">
        <v>2680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7"/>
    </row>
    <row r="2811" spans="1:14">
      <c r="A2811" s="11" t="s">
        <v>2681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46266.217557870368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7"/>
    </row>
    <row r="2812" spans="1:14">
      <c r="A2812" s="11" t="s">
        <v>2687</v>
      </c>
      <c r="B2812" s="11" t="s">
        <v>2684</v>
      </c>
      <c r="C2812" s="11" t="s">
        <v>2685</v>
      </c>
      <c r="D2812" s="11">
        <v>1</v>
      </c>
      <c r="E2812" s="11" t="s">
        <v>151</v>
      </c>
      <c r="F2812" s="20">
        <v>46273.954733796294</v>
      </c>
      <c r="G2812" s="11" t="s">
        <v>2150</v>
      </c>
      <c r="H2812" s="11" t="s">
        <v>204</v>
      </c>
      <c r="I2812" s="1">
        <f>VLOOKUP(G2812,WO!A:J,10,0)</f>
        <v>43</v>
      </c>
      <c r="J2812" s="1" t="str">
        <f t="shared" si="43"/>
        <v>19BA14.10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7"/>
    </row>
    <row r="2813" spans="1:14">
      <c r="A2813" s="11" t="s">
        <v>2688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2150</v>
      </c>
      <c r="H2813" s="11" t="s">
        <v>204</v>
      </c>
      <c r="I2813" s="1">
        <f>VLOOKUP(G2813,WO!A:J,10,0)</f>
        <v>43</v>
      </c>
      <c r="J2813" s="1" t="str">
        <f t="shared" si="43"/>
        <v>19BA14.10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7"/>
    </row>
    <row r="2814" spans="1:14">
      <c r="A2814" s="11" t="s">
        <v>2689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2150</v>
      </c>
      <c r="H2814" s="11" t="s">
        <v>204</v>
      </c>
      <c r="I2814" s="1">
        <f>VLOOKUP(G2814,WO!A:J,10,0)</f>
        <v>43</v>
      </c>
      <c r="J2814" s="1" t="str">
        <f t="shared" si="43"/>
        <v>19BA14.10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7"/>
    </row>
    <row r="2815" spans="1:14">
      <c r="A2815" s="11" t="s">
        <v>2690</v>
      </c>
      <c r="B2815" s="11" t="s">
        <v>2684</v>
      </c>
      <c r="C2815" s="11" t="s">
        <v>2685</v>
      </c>
      <c r="D2815" s="11">
        <v>1</v>
      </c>
      <c r="E2815" s="11" t="s">
        <v>151</v>
      </c>
      <c r="F2815" s="20">
        <v>46270.530543981484</v>
      </c>
      <c r="G2815" s="11" t="s">
        <v>2150</v>
      </c>
      <c r="H2815" s="11" t="s">
        <v>204</v>
      </c>
      <c r="I2815" s="1">
        <f>VLOOKUP(G2815,WO!A:J,10,0)</f>
        <v>43</v>
      </c>
      <c r="J2815" s="1" t="str">
        <f t="shared" si="43"/>
        <v>19BA14.10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7"/>
    </row>
    <row r="2816" spans="1:14">
      <c r="A2816" s="11" t="s">
        <v>2691</v>
      </c>
      <c r="B2816" s="11" t="s">
        <v>956</v>
      </c>
      <c r="C2816" s="11" t="s">
        <v>957</v>
      </c>
      <c r="D2816" s="11">
        <v>1</v>
      </c>
      <c r="E2816" s="11" t="s">
        <v>13</v>
      </c>
      <c r="F2816" s="20">
        <v>46266.465162037035</v>
      </c>
      <c r="G2816" s="11" t="s">
        <v>2150</v>
      </c>
      <c r="H2816" s="11" t="s">
        <v>204</v>
      </c>
      <c r="I2816" s="1">
        <f>VLOOKUP(G2816,WO!A:J,10,0)</f>
        <v>43</v>
      </c>
      <c r="J2816" s="1" t="str">
        <f t="shared" si="43"/>
        <v>19BA14.10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7"/>
    </row>
    <row r="2817" spans="1:14">
      <c r="A2817" s="11" t="s">
        <v>2692</v>
      </c>
      <c r="B2817" s="11" t="s">
        <v>6</v>
      </c>
      <c r="C2817" s="11" t="s">
        <v>6</v>
      </c>
      <c r="D2817" s="11">
        <v>1</v>
      </c>
      <c r="E2817" s="11" t="s">
        <v>7</v>
      </c>
      <c r="F2817" s="20">
        <v>46267.571689814817</v>
      </c>
      <c r="G2817" s="11" t="s">
        <v>2150</v>
      </c>
      <c r="H2817" s="11" t="s">
        <v>204</v>
      </c>
      <c r="I2817" s="1">
        <f>VLOOKUP(G2817,WO!A:J,10,0)</f>
        <v>43</v>
      </c>
      <c r="J2817" s="1" t="str">
        <f t="shared" si="43"/>
        <v>19BA14.10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7"/>
    </row>
    <row r="2818" spans="1:14">
      <c r="A2818" s="11" t="s">
        <v>2693</v>
      </c>
      <c r="B2818" s="11" t="s">
        <v>6</v>
      </c>
      <c r="C2818" s="11" t="s">
        <v>6</v>
      </c>
      <c r="D2818" s="11">
        <v>1</v>
      </c>
      <c r="E2818" s="11" t="s">
        <v>7</v>
      </c>
      <c r="F2818" s="20">
        <v>46265.648842592593</v>
      </c>
      <c r="G2818" s="11" t="s">
        <v>2150</v>
      </c>
      <c r="H2818" s="11" t="s">
        <v>204</v>
      </c>
      <c r="I2818" s="1">
        <f>VLOOKUP(G2818,WO!A:J,10,0)</f>
        <v>43</v>
      </c>
      <c r="J2818" s="1" t="str">
        <f t="shared" si="43"/>
        <v>19BA14.10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7"/>
    </row>
    <row r="2819" spans="1:14">
      <c r="A2819" s="11" t="s">
        <v>2694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2150</v>
      </c>
      <c r="H2819" s="11" t="s">
        <v>204</v>
      </c>
      <c r="I2819" s="1">
        <f>VLOOKUP(G2819,WO!A:J,10,0)</f>
        <v>43</v>
      </c>
      <c r="J2819" s="1" t="str">
        <f t="shared" ref="J2819:J2882" si="44">MID(G2819,3,9)</f>
        <v>19BA14.10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7"/>
    </row>
    <row r="2820" spans="1:14">
      <c r="A2820" s="11" t="s">
        <v>2695</v>
      </c>
      <c r="B2820" s="11" t="s">
        <v>8</v>
      </c>
      <c r="C2820" s="11" t="s">
        <v>9</v>
      </c>
      <c r="D2820" s="11">
        <v>1</v>
      </c>
      <c r="E2820" s="11" t="s">
        <v>10</v>
      </c>
      <c r="F2820" s="20">
        <v>46266.501979166664</v>
      </c>
      <c r="G2820" s="11" t="s">
        <v>2150</v>
      </c>
      <c r="H2820" s="11" t="s">
        <v>204</v>
      </c>
      <c r="I2820" s="1">
        <f>VLOOKUP(G2820,WO!A:J,10,0)</f>
        <v>43</v>
      </c>
      <c r="J2820" s="1" t="str">
        <f t="shared" si="44"/>
        <v>19BA14.10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7"/>
    </row>
    <row r="2821" spans="1:14">
      <c r="A2821" s="11" t="s">
        <v>2696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2150</v>
      </c>
      <c r="H2821" s="11" t="s">
        <v>204</v>
      </c>
      <c r="I2821" s="1">
        <f>VLOOKUP(G2821,WO!A:J,10,0)</f>
        <v>43</v>
      </c>
      <c r="J2821" s="1" t="str">
        <f t="shared" si="44"/>
        <v>19BA14.10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7"/>
    </row>
    <row r="2822" spans="1:14">
      <c r="A2822" s="11" t="s">
        <v>2697</v>
      </c>
      <c r="B2822" s="11" t="s">
        <v>8</v>
      </c>
      <c r="C2822" s="11" t="s">
        <v>9</v>
      </c>
      <c r="D2822" s="11">
        <v>1</v>
      </c>
      <c r="E2822" s="11" t="s">
        <v>10</v>
      </c>
      <c r="F2822" s="20">
        <v>46273.457395833335</v>
      </c>
      <c r="G2822" s="11" t="s">
        <v>2150</v>
      </c>
      <c r="H2822" s="11" t="s">
        <v>204</v>
      </c>
      <c r="I2822" s="1">
        <f>VLOOKUP(G2822,WO!A:J,10,0)</f>
        <v>43</v>
      </c>
      <c r="J2822" s="1" t="str">
        <f t="shared" si="44"/>
        <v>19BA14.10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7"/>
    </row>
    <row r="2823" spans="1:14">
      <c r="A2823" s="11" t="s">
        <v>2698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2150</v>
      </c>
      <c r="H2823" s="11" t="s">
        <v>204</v>
      </c>
      <c r="I2823" s="1">
        <f>VLOOKUP(G2823,WO!A:J,10,0)</f>
        <v>43</v>
      </c>
      <c r="J2823" s="1" t="str">
        <f t="shared" si="44"/>
        <v>19BA14.10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7"/>
    </row>
    <row r="2824" spans="1:14">
      <c r="A2824" s="11" t="s">
        <v>2699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2150</v>
      </c>
      <c r="H2824" s="11" t="s">
        <v>204</v>
      </c>
      <c r="I2824" s="1">
        <f>VLOOKUP(G2824,WO!A:J,10,0)</f>
        <v>43</v>
      </c>
      <c r="J2824" s="1" t="str">
        <f t="shared" si="44"/>
        <v>19BA14.10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7"/>
    </row>
    <row r="2825" spans="1:14">
      <c r="A2825" s="11" t="s">
        <v>2700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2150</v>
      </c>
      <c r="H2825" s="11" t="s">
        <v>204</v>
      </c>
      <c r="I2825" s="1">
        <f>VLOOKUP(G2825,WO!A:J,10,0)</f>
        <v>43</v>
      </c>
      <c r="J2825" s="1" t="str">
        <f t="shared" si="44"/>
        <v>19BA14.10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7"/>
    </row>
    <row r="2826" spans="1:14">
      <c r="A2826" s="11" t="s">
        <v>2701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2150</v>
      </c>
      <c r="H2826" s="11" t="s">
        <v>204</v>
      </c>
      <c r="I2826" s="1">
        <f>VLOOKUP(G2826,WO!A:J,10,0)</f>
        <v>43</v>
      </c>
      <c r="J2826" s="1" t="str">
        <f t="shared" si="44"/>
        <v>19BA14.10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7"/>
    </row>
    <row r="2827" spans="1:14">
      <c r="A2827" s="11" t="s">
        <v>2702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2150</v>
      </c>
      <c r="H2827" s="11" t="s">
        <v>204</v>
      </c>
      <c r="I2827" s="1">
        <f>VLOOKUP(G2827,WO!A:J,10,0)</f>
        <v>43</v>
      </c>
      <c r="J2827" s="1" t="str">
        <f t="shared" si="44"/>
        <v>19BA14.10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7"/>
    </row>
    <row r="2828" spans="1:14">
      <c r="A2828" s="11" t="s">
        <v>2703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2150</v>
      </c>
      <c r="H2828" s="11" t="s">
        <v>204</v>
      </c>
      <c r="I2828" s="1">
        <f>VLOOKUP(G2828,WO!A:J,10,0)</f>
        <v>43</v>
      </c>
      <c r="J2828" s="1" t="str">
        <f t="shared" si="44"/>
        <v>19BA14.10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7"/>
    </row>
    <row r="2829" spans="1:14">
      <c r="A2829" s="11" t="s">
        <v>2704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2150</v>
      </c>
      <c r="H2829" s="11" t="s">
        <v>204</v>
      </c>
      <c r="I2829" s="1">
        <f>VLOOKUP(G2829,WO!A:J,10,0)</f>
        <v>43</v>
      </c>
      <c r="J2829" s="1" t="str">
        <f t="shared" si="44"/>
        <v>19BA14.10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7"/>
    </row>
    <row r="2830" spans="1:14">
      <c r="A2830" s="11" t="s">
        <v>2705</v>
      </c>
      <c r="B2830" s="11" t="s">
        <v>8</v>
      </c>
      <c r="C2830" s="11" t="s">
        <v>9</v>
      </c>
      <c r="D2830" s="11">
        <v>1</v>
      </c>
      <c r="E2830" s="11" t="s">
        <v>10</v>
      </c>
      <c r="F2830" s="20">
        <v>46273.311018518521</v>
      </c>
      <c r="G2830" s="11" t="s">
        <v>2150</v>
      </c>
      <c r="H2830" s="11" t="s">
        <v>204</v>
      </c>
      <c r="I2830" s="1">
        <f>VLOOKUP(G2830,WO!A:J,10,0)</f>
        <v>43</v>
      </c>
      <c r="J2830" s="1" t="str">
        <f t="shared" si="44"/>
        <v>19BA14.10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7"/>
    </row>
    <row r="2831" spans="1:14">
      <c r="A2831" s="11" t="s">
        <v>2706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2150</v>
      </c>
      <c r="H2831" s="11" t="s">
        <v>204</v>
      </c>
      <c r="I2831" s="1">
        <f>VLOOKUP(G2831,WO!A:J,10,0)</f>
        <v>43</v>
      </c>
      <c r="J2831" s="1" t="str">
        <f t="shared" si="44"/>
        <v>19BA14.10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7"/>
    </row>
    <row r="2832" spans="1:14">
      <c r="A2832" s="11" t="s">
        <v>2707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2150</v>
      </c>
      <c r="H2832" s="11" t="s">
        <v>204</v>
      </c>
      <c r="I2832" s="1">
        <f>VLOOKUP(G2832,WO!A:J,10,0)</f>
        <v>43</v>
      </c>
      <c r="J2832" s="1" t="str">
        <f t="shared" si="44"/>
        <v>19BA14.10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7"/>
    </row>
    <row r="2833" spans="1:14">
      <c r="A2833" s="11" t="s">
        <v>2708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2150</v>
      </c>
      <c r="H2833" s="11" t="s">
        <v>204</v>
      </c>
      <c r="I2833" s="1">
        <f>VLOOKUP(G2833,WO!A:J,10,0)</f>
        <v>43</v>
      </c>
      <c r="J2833" s="1" t="str">
        <f t="shared" si="44"/>
        <v>19BA14.10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7"/>
    </row>
    <row r="2834" spans="1:14">
      <c r="A2834" s="11" t="s">
        <v>2709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2150</v>
      </c>
      <c r="H2834" s="11" t="s">
        <v>204</v>
      </c>
      <c r="I2834" s="1">
        <f>VLOOKUP(G2834,WO!A:J,10,0)</f>
        <v>43</v>
      </c>
      <c r="J2834" s="1" t="str">
        <f t="shared" si="44"/>
        <v>19BA14.10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7"/>
    </row>
    <row r="2835" spans="1:14">
      <c r="A2835" s="11" t="s">
        <v>2710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2150</v>
      </c>
      <c r="H2835" s="11" t="s">
        <v>204</v>
      </c>
      <c r="I2835" s="1">
        <f>VLOOKUP(G2835,WO!A:J,10,0)</f>
        <v>43</v>
      </c>
      <c r="J2835" s="1" t="str">
        <f t="shared" si="44"/>
        <v>19BA14.10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7"/>
    </row>
    <row r="2836" spans="1:14">
      <c r="A2836" s="11" t="s">
        <v>2711</v>
      </c>
      <c r="B2836" s="11" t="s">
        <v>6</v>
      </c>
      <c r="C2836" s="11" t="s">
        <v>6</v>
      </c>
      <c r="D2836" s="11">
        <v>1</v>
      </c>
      <c r="E2836" s="11" t="s">
        <v>7</v>
      </c>
      <c r="F2836" s="20">
        <v>46266.353981481479</v>
      </c>
      <c r="G2836" s="11" t="s">
        <v>2150</v>
      </c>
      <c r="H2836" s="11" t="s">
        <v>204</v>
      </c>
      <c r="I2836" s="1">
        <f>VLOOKUP(G2836,WO!A:J,10,0)</f>
        <v>43</v>
      </c>
      <c r="J2836" s="1" t="str">
        <f t="shared" si="44"/>
        <v>19BA14.10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7"/>
    </row>
    <row r="2837" spans="1:14">
      <c r="A2837" s="11" t="s">
        <v>2712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2150</v>
      </c>
      <c r="H2837" s="11" t="s">
        <v>204</v>
      </c>
      <c r="I2837" s="1">
        <f>VLOOKUP(G2837,WO!A:J,10,0)</f>
        <v>43</v>
      </c>
      <c r="J2837" s="1" t="str">
        <f t="shared" si="44"/>
        <v>19BA14.10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7"/>
    </row>
    <row r="2838" spans="1:14">
      <c r="A2838" s="11" t="s">
        <v>2713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2150</v>
      </c>
      <c r="H2838" s="11" t="s">
        <v>204</v>
      </c>
      <c r="I2838" s="1">
        <f>VLOOKUP(G2838,WO!A:J,10,0)</f>
        <v>43</v>
      </c>
      <c r="J2838" s="1" t="str">
        <f t="shared" si="44"/>
        <v>19BA14.10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7"/>
    </row>
    <row r="2839" spans="1:14">
      <c r="A2839" s="11" t="s">
        <v>2714</v>
      </c>
      <c r="B2839" s="11" t="s">
        <v>6</v>
      </c>
      <c r="C2839" s="11" t="s">
        <v>6</v>
      </c>
      <c r="D2839" s="11">
        <v>1</v>
      </c>
      <c r="E2839" s="11" t="s">
        <v>7</v>
      </c>
      <c r="F2839" s="20">
        <v>46266.354745370372</v>
      </c>
      <c r="G2839" s="11" t="s">
        <v>2150</v>
      </c>
      <c r="H2839" s="11" t="s">
        <v>204</v>
      </c>
      <c r="I2839" s="1">
        <f>VLOOKUP(G2839,WO!A:J,10,0)</f>
        <v>43</v>
      </c>
      <c r="J2839" s="1" t="str">
        <f t="shared" si="44"/>
        <v>19BA14.10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7"/>
    </row>
    <row r="2840" spans="1:14">
      <c r="A2840" s="11" t="s">
        <v>2715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2150</v>
      </c>
      <c r="H2840" s="11" t="s">
        <v>204</v>
      </c>
      <c r="I2840" s="1">
        <f>VLOOKUP(G2840,WO!A:J,10,0)</f>
        <v>43</v>
      </c>
      <c r="J2840" s="1" t="str">
        <f t="shared" si="44"/>
        <v>19BA14.10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7"/>
    </row>
    <row r="2841" spans="1:14">
      <c r="A2841" s="11" t="s">
        <v>2716</v>
      </c>
      <c r="B2841" s="11" t="s">
        <v>6</v>
      </c>
      <c r="C2841" s="11" t="s">
        <v>6</v>
      </c>
      <c r="D2841" s="11">
        <v>1</v>
      </c>
      <c r="E2841" s="11" t="s">
        <v>7</v>
      </c>
      <c r="F2841" s="20">
        <v>46266.441469907404</v>
      </c>
      <c r="G2841" s="11" t="s">
        <v>2150</v>
      </c>
      <c r="H2841" s="11" t="s">
        <v>204</v>
      </c>
      <c r="I2841" s="1">
        <f>VLOOKUP(G2841,WO!A:J,10,0)</f>
        <v>43</v>
      </c>
      <c r="J2841" s="1" t="str">
        <f t="shared" si="44"/>
        <v>19BA14.10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7"/>
    </row>
    <row r="2842" spans="1:14">
      <c r="A2842" s="11" t="s">
        <v>2717</v>
      </c>
      <c r="B2842" s="11" t="s">
        <v>6</v>
      </c>
      <c r="C2842" s="11" t="s">
        <v>6</v>
      </c>
      <c r="D2842" s="11">
        <v>1</v>
      </c>
      <c r="E2842" s="11" t="s">
        <v>7</v>
      </c>
      <c r="F2842" s="20">
        <v>46266.573564814818</v>
      </c>
      <c r="G2842" s="11" t="s">
        <v>2150</v>
      </c>
      <c r="H2842" s="11" t="s">
        <v>204</v>
      </c>
      <c r="I2842" s="1">
        <f>VLOOKUP(G2842,WO!A:J,10,0)</f>
        <v>43</v>
      </c>
      <c r="J2842" s="1" t="str">
        <f t="shared" si="44"/>
        <v>19BA14.10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7"/>
    </row>
    <row r="2843" spans="1:14">
      <c r="A2843" s="11" t="s">
        <v>2718</v>
      </c>
      <c r="B2843" s="11" t="s">
        <v>6</v>
      </c>
      <c r="C2843" s="11" t="s">
        <v>6</v>
      </c>
      <c r="D2843" s="11">
        <v>1</v>
      </c>
      <c r="E2843" s="11" t="s">
        <v>7</v>
      </c>
      <c r="F2843" s="20">
        <v>46266.739733796298</v>
      </c>
      <c r="G2843" s="11" t="s">
        <v>2150</v>
      </c>
      <c r="H2843" s="11" t="s">
        <v>204</v>
      </c>
      <c r="I2843" s="1">
        <f>VLOOKUP(G2843,WO!A:J,10,0)</f>
        <v>43</v>
      </c>
      <c r="J2843" s="1" t="str">
        <f t="shared" si="44"/>
        <v>19BA14.10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7"/>
    </row>
    <row r="2844" spans="1:14">
      <c r="A2844" s="11" t="s">
        <v>2719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2150</v>
      </c>
      <c r="H2844" s="11" t="s">
        <v>204</v>
      </c>
      <c r="I2844" s="1">
        <f>VLOOKUP(G2844,WO!A:J,10,0)</f>
        <v>43</v>
      </c>
      <c r="J2844" s="1" t="str">
        <f t="shared" si="44"/>
        <v>19BA14.10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7"/>
    </row>
    <row r="2845" spans="1:14">
      <c r="A2845" s="11" t="s">
        <v>2720</v>
      </c>
      <c r="B2845" s="11" t="s">
        <v>6</v>
      </c>
      <c r="C2845" s="11" t="s">
        <v>6</v>
      </c>
      <c r="D2845" s="11">
        <v>1</v>
      </c>
      <c r="E2845" s="11" t="s">
        <v>7</v>
      </c>
      <c r="F2845" s="20">
        <v>46267.406701388885</v>
      </c>
      <c r="G2845" s="11" t="s">
        <v>2150</v>
      </c>
      <c r="H2845" s="11" t="s">
        <v>204</v>
      </c>
      <c r="I2845" s="1">
        <f>VLOOKUP(G2845,WO!A:J,10,0)</f>
        <v>43</v>
      </c>
      <c r="J2845" s="1" t="str">
        <f t="shared" si="44"/>
        <v>19BA14.10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7"/>
    </row>
    <row r="2846" spans="1:14">
      <c r="A2846" s="11" t="s">
        <v>2721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2150</v>
      </c>
      <c r="H2846" s="11" t="s">
        <v>204</v>
      </c>
      <c r="I2846" s="1">
        <f>VLOOKUP(G2846,WO!A:J,10,0)</f>
        <v>43</v>
      </c>
      <c r="J2846" s="1" t="str">
        <f t="shared" si="44"/>
        <v>19BA14.10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7"/>
    </row>
    <row r="2847" spans="1:14">
      <c r="A2847" s="11" t="s">
        <v>2722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2150</v>
      </c>
      <c r="H2847" s="11" t="s">
        <v>204</v>
      </c>
      <c r="I2847" s="1">
        <f>VLOOKUP(G2847,WO!A:J,10,0)</f>
        <v>43</v>
      </c>
      <c r="J2847" s="1" t="str">
        <f t="shared" si="44"/>
        <v>19BA14.10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7"/>
    </row>
    <row r="2848" spans="1:14">
      <c r="A2848" s="11" t="s">
        <v>2723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2150</v>
      </c>
      <c r="H2848" s="11" t="s">
        <v>204</v>
      </c>
      <c r="I2848" s="1">
        <f>VLOOKUP(G2848,WO!A:J,10,0)</f>
        <v>43</v>
      </c>
      <c r="J2848" s="1" t="str">
        <f t="shared" si="44"/>
        <v>19BA14.10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7"/>
    </row>
    <row r="2849" spans="1:14">
      <c r="A2849" s="11" t="s">
        <v>2724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2150</v>
      </c>
      <c r="H2849" s="11" t="s">
        <v>204</v>
      </c>
      <c r="I2849" s="1">
        <f>VLOOKUP(G2849,WO!A:J,10,0)</f>
        <v>43</v>
      </c>
      <c r="J2849" s="1" t="str">
        <f t="shared" si="44"/>
        <v>19BA14.10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7"/>
    </row>
    <row r="2850" spans="1:14">
      <c r="A2850" s="11" t="s">
        <v>2725</v>
      </c>
      <c r="B2850" s="11" t="s">
        <v>6</v>
      </c>
      <c r="C2850" s="11" t="s">
        <v>6</v>
      </c>
      <c r="D2850" s="11">
        <v>1</v>
      </c>
      <c r="E2850" s="11" t="s">
        <v>7</v>
      </c>
      <c r="F2850" s="20">
        <v>46266.44253472222</v>
      </c>
      <c r="G2850" s="11" t="s">
        <v>2150</v>
      </c>
      <c r="H2850" s="11" t="s">
        <v>204</v>
      </c>
      <c r="I2850" s="1">
        <f>VLOOKUP(G2850,WO!A:J,10,0)</f>
        <v>43</v>
      </c>
      <c r="J2850" s="1" t="str">
        <f t="shared" si="44"/>
        <v>19BA14.10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7"/>
    </row>
    <row r="2851" spans="1:14">
      <c r="A2851" s="11" t="s">
        <v>2726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2150</v>
      </c>
      <c r="H2851" s="11" t="s">
        <v>204</v>
      </c>
      <c r="I2851" s="1">
        <f>VLOOKUP(G2851,WO!A:J,10,0)</f>
        <v>43</v>
      </c>
      <c r="J2851" s="1" t="str">
        <f t="shared" si="44"/>
        <v>19BA14.10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7"/>
    </row>
    <row r="2852" spans="1:14">
      <c r="A2852" s="11" t="s">
        <v>2727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2150</v>
      </c>
      <c r="H2852" s="11" t="s">
        <v>204</v>
      </c>
      <c r="I2852" s="1">
        <f>VLOOKUP(G2852,WO!A:J,10,0)</f>
        <v>43</v>
      </c>
      <c r="J2852" s="1" t="str">
        <f t="shared" si="44"/>
        <v>19BA14.10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7"/>
    </row>
    <row r="2853" spans="1:14">
      <c r="A2853" s="11" t="s">
        <v>2728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2150</v>
      </c>
      <c r="H2853" s="11" t="s">
        <v>204</v>
      </c>
      <c r="I2853" s="1">
        <f>VLOOKUP(G2853,WO!A:J,10,0)</f>
        <v>43</v>
      </c>
      <c r="J2853" s="1" t="str">
        <f t="shared" si="44"/>
        <v>19BA14.10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7"/>
    </row>
    <row r="2854" spans="1:14">
      <c r="A2854" s="11" t="s">
        <v>2729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7"/>
    </row>
    <row r="2855" spans="1:14">
      <c r="A2855" s="11" t="s">
        <v>2730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7"/>
    </row>
    <row r="2856" spans="1:14">
      <c r="A2856" s="11" t="s">
        <v>2731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46266.739687499998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7"/>
    </row>
    <row r="2857" spans="1:14">
      <c r="A2857" s="11" t="s">
        <v>2732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7"/>
    </row>
    <row r="2858" spans="1:14">
      <c r="A2858" s="11" t="s">
        <v>2733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7"/>
    </row>
    <row r="2859" spans="1:14">
      <c r="A2859" s="11" t="s">
        <v>2734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7"/>
    </row>
    <row r="2860" spans="1:14">
      <c r="A2860" s="11" t="s">
        <v>2735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7"/>
    </row>
    <row r="2861" spans="1:14">
      <c r="A2861" s="11" t="s">
        <v>2736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7"/>
    </row>
    <row r="2862" spans="1:14">
      <c r="A2862" s="11" t="s">
        <v>2737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7"/>
    </row>
    <row r="2863" spans="1:14">
      <c r="A2863" s="11" t="s">
        <v>2738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7"/>
    </row>
    <row r="2864" spans="1:14">
      <c r="A2864" s="11" t="s">
        <v>2739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7"/>
    </row>
    <row r="2865" spans="1:14">
      <c r="A2865" s="11" t="s">
        <v>2740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7"/>
    </row>
    <row r="2866" spans="1:14">
      <c r="A2866" s="11" t="s">
        <v>2741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7"/>
    </row>
    <row r="2867" spans="1:14">
      <c r="A2867" s="11" t="s">
        <v>2742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7"/>
    </row>
    <row r="2868" spans="1:14">
      <c r="A2868" s="11" t="s">
        <v>2743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7"/>
    </row>
    <row r="2869" spans="1:14">
      <c r="A2869" s="11" t="s">
        <v>2744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7"/>
    </row>
    <row r="2870" spans="1:14">
      <c r="A2870" s="11" t="s">
        <v>2745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7"/>
    </row>
    <row r="2871" spans="1:14">
      <c r="A2871" s="11" t="s">
        <v>2746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7"/>
    </row>
    <row r="2872" spans="1:14">
      <c r="A2872" s="11" t="s">
        <v>2747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7"/>
    </row>
    <row r="2873" spans="1:14">
      <c r="A2873" s="11" t="s">
        <v>2748</v>
      </c>
      <c r="B2873" s="11" t="s">
        <v>6</v>
      </c>
      <c r="C2873" s="11" t="s">
        <v>6</v>
      </c>
      <c r="D2873" s="11">
        <v>1</v>
      </c>
      <c r="E2873" s="11" t="s">
        <v>7</v>
      </c>
      <c r="F2873" s="20">
        <v>46266.572314814817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7"/>
    </row>
    <row r="2874" spans="1:14">
      <c r="A2874" s="11" t="s">
        <v>2749</v>
      </c>
      <c r="B2874" s="11" t="s">
        <v>6</v>
      </c>
      <c r="C2874" s="11" t="s">
        <v>6</v>
      </c>
      <c r="D2874" s="11">
        <v>1</v>
      </c>
      <c r="E2874" s="11" t="s">
        <v>7</v>
      </c>
      <c r="F2874" s="20">
        <v>46266.572847222225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7"/>
    </row>
    <row r="2875" spans="1:14">
      <c r="A2875" s="11" t="s">
        <v>2750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7"/>
    </row>
    <row r="2876" spans="1:14">
      <c r="A2876" s="11" t="s">
        <v>2751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7"/>
    </row>
    <row r="2877" spans="1:14">
      <c r="A2877" s="11" t="s">
        <v>2752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46266.739583333336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7"/>
    </row>
    <row r="2878" spans="1:14">
      <c r="A2878" s="11" t="s">
        <v>2753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46266.443379629629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7"/>
    </row>
    <row r="2879" spans="1:14">
      <c r="A2879" s="11" t="s">
        <v>2754</v>
      </c>
      <c r="B2879" s="11" t="s">
        <v>6</v>
      </c>
      <c r="C2879" s="11" t="s">
        <v>6</v>
      </c>
      <c r="D2879" s="11">
        <v>1</v>
      </c>
      <c r="E2879" s="11" t="s">
        <v>7</v>
      </c>
      <c r="F2879" s="20">
        <v>46266.739884259259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7"/>
    </row>
    <row r="2880" spans="1:14">
      <c r="A2880" s="11" t="s">
        <v>2755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7"/>
    </row>
    <row r="2881" spans="1:14">
      <c r="A2881" s="11" t="s">
        <v>2756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46266.57304398148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7"/>
    </row>
    <row r="2882" spans="1:14">
      <c r="A2882" s="11" t="s">
        <v>2757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46267.408229166664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7"/>
    </row>
    <row r="2883" spans="1:14">
      <c r="A2883" s="11" t="s">
        <v>2758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7"/>
    </row>
    <row r="2884" spans="1:14">
      <c r="A2884" s="11" t="s">
        <v>2759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7"/>
    </row>
    <row r="2885" spans="1:14">
      <c r="A2885" s="11" t="s">
        <v>2760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7"/>
    </row>
    <row r="2886" spans="1:14">
      <c r="A2886" s="11" t="s">
        <v>2761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7"/>
    </row>
    <row r="2887" spans="1:14">
      <c r="A2887" s="11" t="s">
        <v>2762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7"/>
    </row>
    <row r="2888" spans="1:14">
      <c r="A2888" s="11" t="s">
        <v>2763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7"/>
    </row>
    <row r="2889" spans="1:14">
      <c r="A2889" s="11" t="s">
        <v>2764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46266.353472222225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7"/>
    </row>
    <row r="2890" spans="1:14">
      <c r="A2890" s="11" t="s">
        <v>2765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7"/>
    </row>
    <row r="2891" spans="1:14">
      <c r="A2891" s="11" t="s">
        <v>2766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46273.408773148149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7"/>
    </row>
    <row r="2892" spans="1:14">
      <c r="A2892" s="11" t="s">
        <v>2767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7"/>
    </row>
    <row r="2893" spans="1:14">
      <c r="A2893" s="11" t="s">
        <v>2768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7"/>
    </row>
    <row r="2894" spans="1:14">
      <c r="A2894" s="11" t="s">
        <v>2769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7"/>
    </row>
    <row r="2895" spans="1:14">
      <c r="A2895" s="11" t="s">
        <v>2770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7"/>
    </row>
    <row r="2896" spans="1:14">
      <c r="A2896" s="11" t="s">
        <v>2771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7"/>
    </row>
    <row r="2897" spans="1:14">
      <c r="A2897" s="11" t="s">
        <v>2772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7"/>
    </row>
    <row r="2898" spans="1:14">
      <c r="A2898" s="11" t="s">
        <v>2773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7"/>
    </row>
    <row r="2899" spans="1:14">
      <c r="A2899" s="11" t="s">
        <v>2774</v>
      </c>
      <c r="B2899" s="11" t="s">
        <v>6</v>
      </c>
      <c r="C2899" s="11" t="s">
        <v>6</v>
      </c>
      <c r="D2899" s="11">
        <v>1</v>
      </c>
      <c r="E2899" s="11" t="s">
        <v>7</v>
      </c>
      <c r="F2899" s="20">
        <v>46266.354166666664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7"/>
    </row>
    <row r="2900" spans="1:14">
      <c r="A2900" s="11" t="s">
        <v>2775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7"/>
    </row>
    <row r="2901" spans="1:14">
      <c r="A2901" s="11" t="s">
        <v>2776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7"/>
    </row>
    <row r="2902" spans="1:14">
      <c r="A2902" s="11" t="s">
        <v>2777</v>
      </c>
      <c r="B2902" s="11" t="s">
        <v>8</v>
      </c>
      <c r="C2902" s="11" t="s">
        <v>9</v>
      </c>
      <c r="D2902" s="11">
        <v>1</v>
      </c>
      <c r="E2902" s="11" t="s">
        <v>10</v>
      </c>
      <c r="F2902" s="20">
        <v>46273.42150462963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7"/>
    </row>
    <row r="2903" spans="1:14">
      <c r="A2903" s="11" t="s">
        <v>2778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7"/>
    </row>
    <row r="2904" spans="1:14">
      <c r="A2904" s="11" t="s">
        <v>2779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7"/>
    </row>
    <row r="2905" spans="1:14">
      <c r="A2905" s="11" t="s">
        <v>2780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46273.317743055559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7"/>
    </row>
    <row r="2906" spans="1:14">
      <c r="A2906" s="11" t="s">
        <v>2781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7"/>
    </row>
    <row r="2907" spans="1:14">
      <c r="A2907" s="11" t="s">
        <v>2782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7"/>
    </row>
    <row r="2908" spans="1:14">
      <c r="A2908" s="11" t="s">
        <v>2783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7"/>
    </row>
    <row r="2909" spans="1:14">
      <c r="A2909" s="11" t="s">
        <v>2784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7"/>
    </row>
    <row r="2910" spans="1:14">
      <c r="A2910" s="11" t="s">
        <v>2785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7"/>
    </row>
    <row r="2911" spans="1:14">
      <c r="A2911" s="11" t="s">
        <v>2786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7"/>
    </row>
    <row r="2912" spans="1:14">
      <c r="A2912" s="11" t="s">
        <v>2787</v>
      </c>
      <c r="B2912" s="11" t="s">
        <v>8</v>
      </c>
      <c r="C2912" s="11" t="s">
        <v>9</v>
      </c>
      <c r="D2912" s="11">
        <v>1</v>
      </c>
      <c r="E2912" s="11" t="s">
        <v>10</v>
      </c>
      <c r="F2912" s="20">
        <v>46273.404409722221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7"/>
    </row>
    <row r="2913" spans="1:14">
      <c r="A2913" s="11" t="s">
        <v>2788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7"/>
    </row>
    <row r="2914" spans="1:14">
      <c r="A2914" s="11" t="s">
        <v>2789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7"/>
    </row>
    <row r="2915" spans="1:14">
      <c r="A2915" s="11" t="s">
        <v>2790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7"/>
    </row>
    <row r="2916" spans="1:14">
      <c r="A2916" s="11" t="s">
        <v>2791</v>
      </c>
      <c r="B2916" s="11" t="s">
        <v>2226</v>
      </c>
      <c r="C2916" s="11" t="s">
        <v>2227</v>
      </c>
      <c r="D2916" s="11">
        <v>1</v>
      </c>
      <c r="E2916" s="11" t="s">
        <v>151</v>
      </c>
      <c r="F2916" s="20">
        <v>46256.378518518519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7"/>
    </row>
    <row r="2917" spans="1:14">
      <c r="A2917" s="11" t="s">
        <v>2792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46275.331817129627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7"/>
    </row>
    <row r="2918" spans="1:14">
      <c r="A2918" s="11" t="s">
        <v>2793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7"/>
    </row>
    <row r="2919" spans="1:14">
      <c r="A2919" s="11" t="s">
        <v>2794</v>
      </c>
      <c r="B2919" s="11" t="s">
        <v>3774</v>
      </c>
      <c r="C2919" s="11" t="s">
        <v>3775</v>
      </c>
      <c r="D2919" s="11">
        <v>1</v>
      </c>
      <c r="E2919" s="11" t="s">
        <v>85</v>
      </c>
      <c r="F2919" s="20">
        <v>46265.263472222221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7"/>
    </row>
    <row r="2920" spans="1:14">
      <c r="A2920" s="11" t="s">
        <v>2795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46265.891840277778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7"/>
    </row>
    <row r="2921" spans="1:14">
      <c r="A2921" s="11" t="s">
        <v>2796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7"/>
    </row>
    <row r="2922" spans="1:14">
      <c r="A2922" s="11" t="s">
        <v>2797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7"/>
    </row>
    <row r="2923" spans="1:14">
      <c r="A2923" s="11" t="s">
        <v>2798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7"/>
    </row>
    <row r="2924" spans="1:14">
      <c r="A2924" s="11" t="s">
        <v>2799</v>
      </c>
      <c r="B2924" s="11" t="s">
        <v>2684</v>
      </c>
      <c r="C2924" s="11" t="s">
        <v>2685</v>
      </c>
      <c r="D2924" s="11">
        <v>1</v>
      </c>
      <c r="E2924" s="11" t="s">
        <v>151</v>
      </c>
      <c r="F2924" s="20">
        <v>46273.768263888887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7"/>
    </row>
    <row r="2925" spans="1:14">
      <c r="A2925" s="11" t="s">
        <v>2800</v>
      </c>
      <c r="B2925" s="11" t="s">
        <v>2684</v>
      </c>
      <c r="C2925" s="11" t="s">
        <v>2685</v>
      </c>
      <c r="D2925" s="11">
        <v>1</v>
      </c>
      <c r="E2925" s="11" t="s">
        <v>151</v>
      </c>
      <c r="F2925" s="20">
        <v>46273.769490740742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7"/>
    </row>
    <row r="2926" spans="1:14">
      <c r="A2926" s="11" t="s">
        <v>2801</v>
      </c>
      <c r="B2926" s="11" t="s">
        <v>2684</v>
      </c>
      <c r="C2926" s="11" t="s">
        <v>2685</v>
      </c>
      <c r="D2926" s="11">
        <v>1</v>
      </c>
      <c r="E2926" s="11" t="s">
        <v>151</v>
      </c>
      <c r="F2926" s="20">
        <v>46273.7653125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7"/>
    </row>
    <row r="2927" spans="1:14">
      <c r="A2927" s="11" t="s">
        <v>2802</v>
      </c>
      <c r="B2927" s="11" t="s">
        <v>6</v>
      </c>
      <c r="C2927" s="11" t="s">
        <v>6</v>
      </c>
      <c r="D2927" s="11">
        <v>1</v>
      </c>
      <c r="E2927" s="11" t="s">
        <v>7</v>
      </c>
      <c r="F2927" s="20">
        <v>46265.649594907409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7"/>
    </row>
    <row r="2928" spans="1:14">
      <c r="A2928" s="11" t="s">
        <v>2803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46274.792962962965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7"/>
    </row>
    <row r="2929" spans="1:14">
      <c r="A2929" s="11" t="s">
        <v>2804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7"/>
    </row>
    <row r="2930" spans="1:14">
      <c r="A2930" s="11" t="s">
        <v>2805</v>
      </c>
      <c r="B2930" s="11" t="s">
        <v>6</v>
      </c>
      <c r="C2930" s="11" t="s">
        <v>6</v>
      </c>
      <c r="D2930" s="11">
        <v>1</v>
      </c>
      <c r="E2930" s="11" t="s">
        <v>7</v>
      </c>
      <c r="F2930" s="20">
        <v>46267.570555555554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7"/>
    </row>
    <row r="2931" spans="1:14">
      <c r="A2931" s="11" t="s">
        <v>2806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46265.649097222224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7"/>
    </row>
    <row r="2932" spans="1:14">
      <c r="A2932" s="11" t="s">
        <v>2807</v>
      </c>
      <c r="B2932" s="11" t="s">
        <v>6</v>
      </c>
      <c r="C2932" s="11" t="s">
        <v>6</v>
      </c>
      <c r="D2932" s="11">
        <v>1</v>
      </c>
      <c r="E2932" s="11" t="s">
        <v>7</v>
      </c>
      <c r="F2932" s="20">
        <v>46267.570856481485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7"/>
    </row>
    <row r="2933" spans="1:14">
      <c r="A2933" s="11" t="s">
        <v>2808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7"/>
    </row>
    <row r="2934" spans="1:14">
      <c r="A2934" s="11" t="s">
        <v>2809</v>
      </c>
      <c r="B2934" s="11" t="s">
        <v>2684</v>
      </c>
      <c r="C2934" s="11" t="s">
        <v>2685</v>
      </c>
      <c r="D2934" s="11">
        <v>1</v>
      </c>
      <c r="E2934" s="11" t="s">
        <v>151</v>
      </c>
      <c r="F2934" s="20">
        <v>46272.868032407408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7"/>
    </row>
    <row r="2935" spans="1:14">
      <c r="A2935" s="11" t="s">
        <v>2810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7"/>
    </row>
    <row r="2936" spans="1:14">
      <c r="A2936" s="11" t="s">
        <v>2811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7"/>
    </row>
    <row r="2937" spans="1:14">
      <c r="A2937" s="11" t="s">
        <v>2812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7"/>
    </row>
    <row r="2938" spans="1:14">
      <c r="A2938" s="11" t="s">
        <v>2813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7"/>
    </row>
    <row r="2939" spans="1:14">
      <c r="A2939" s="11" t="s">
        <v>2814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7"/>
    </row>
    <row r="2940" spans="1:14">
      <c r="A2940" s="11" t="s">
        <v>2815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7"/>
    </row>
    <row r="2941" spans="1:14">
      <c r="A2941" s="11" t="s">
        <v>2816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7"/>
    </row>
    <row r="2942" spans="1:14">
      <c r="A2942" s="11" t="s">
        <v>2817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7"/>
    </row>
    <row r="2943" spans="1:14">
      <c r="A2943" s="11" t="s">
        <v>2818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7"/>
    </row>
    <row r="2944" spans="1:14">
      <c r="A2944" s="11" t="s">
        <v>2819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46267.571250000001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7"/>
    </row>
    <row r="2945" spans="1:14">
      <c r="A2945" s="11" t="s">
        <v>2820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7"/>
    </row>
    <row r="2946" spans="1:14">
      <c r="A2946" s="11" t="s">
        <v>2821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7"/>
    </row>
    <row r="2947" spans="1:14">
      <c r="A2947" s="11" t="s">
        <v>2822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46265.89167824074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7"/>
    </row>
    <row r="2948" spans="1:14">
      <c r="A2948" s="11" t="s">
        <v>2823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46267.407916666663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7"/>
    </row>
    <row r="2949" spans="1:14">
      <c r="A2949" s="11" t="s">
        <v>2824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46265.694525462961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7"/>
    </row>
    <row r="2950" spans="1:14">
      <c r="A2950" s="11" t="s">
        <v>2825</v>
      </c>
      <c r="B2950" s="11" t="s">
        <v>6</v>
      </c>
      <c r="C2950" s="11" t="s">
        <v>6</v>
      </c>
      <c r="D2950" s="11">
        <v>1</v>
      </c>
      <c r="E2950" s="11" t="s">
        <v>7</v>
      </c>
      <c r="F2950" s="20">
        <v>46265.890023148146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7"/>
    </row>
    <row r="2951" spans="1:14">
      <c r="A2951" s="11" t="s">
        <v>2826</v>
      </c>
      <c r="B2951" s="11" t="s">
        <v>6</v>
      </c>
      <c r="C2951" s="11" t="s">
        <v>6</v>
      </c>
      <c r="D2951" s="11">
        <v>1</v>
      </c>
      <c r="E2951" s="11" t="s">
        <v>7</v>
      </c>
      <c r="F2951" s="20">
        <v>46265.890162037038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7"/>
    </row>
    <row r="2952" spans="1:14">
      <c r="A2952" s="11" t="s">
        <v>2827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46265.698553240742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7"/>
    </row>
    <row r="2953" spans="1:14">
      <c r="A2953" s="11" t="s">
        <v>2828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7"/>
    </row>
    <row r="2954" spans="1:14">
      <c r="A2954" s="11" t="s">
        <v>2829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46265.889988425923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7"/>
    </row>
    <row r="2955" spans="1:14">
      <c r="A2955" s="11" t="s">
        <v>2830</v>
      </c>
      <c r="B2955" s="11" t="s">
        <v>6</v>
      </c>
      <c r="C2955" s="11" t="s">
        <v>6</v>
      </c>
      <c r="D2955" s="11">
        <v>1</v>
      </c>
      <c r="E2955" s="11" t="s">
        <v>7</v>
      </c>
      <c r="F2955" s="20">
        <v>46265.891562500001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7"/>
    </row>
    <row r="2956" spans="1:14">
      <c r="A2956" s="11" t="s">
        <v>2831</v>
      </c>
      <c r="B2956" s="11" t="s">
        <v>6</v>
      </c>
      <c r="C2956" s="11" t="s">
        <v>6</v>
      </c>
      <c r="D2956" s="11">
        <v>1</v>
      </c>
      <c r="E2956" s="11" t="s">
        <v>7</v>
      </c>
      <c r="F2956" s="20">
        <v>46265.889814814815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7"/>
    </row>
    <row r="2957" spans="1:14">
      <c r="A2957" s="11" t="s">
        <v>2832</v>
      </c>
      <c r="B2957" s="11" t="s">
        <v>6</v>
      </c>
      <c r="C2957" s="11" t="s">
        <v>6</v>
      </c>
      <c r="D2957" s="11">
        <v>1</v>
      </c>
      <c r="E2957" s="11" t="s">
        <v>7</v>
      </c>
      <c r="F2957" s="20">
        <v>46267.409201388888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7"/>
    </row>
    <row r="2958" spans="1:14">
      <c r="A2958" s="11" t="s">
        <v>2833</v>
      </c>
      <c r="B2958" s="11" t="s">
        <v>6</v>
      </c>
      <c r="C2958" s="11" t="s">
        <v>6</v>
      </c>
      <c r="D2958" s="11">
        <v>1</v>
      </c>
      <c r="E2958" s="11" t="s">
        <v>7</v>
      </c>
      <c r="F2958" s="20">
        <v>46267.569432870368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7"/>
    </row>
    <row r="2959" spans="1:14">
      <c r="A2959" s="11" t="s">
        <v>2834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7"/>
    </row>
    <row r="2960" spans="1:14">
      <c r="A2960" s="11" t="s">
        <v>2835</v>
      </c>
      <c r="B2960" s="11" t="s">
        <v>2684</v>
      </c>
      <c r="C2960" s="11" t="s">
        <v>2685</v>
      </c>
      <c r="D2960" s="11">
        <v>1</v>
      </c>
      <c r="E2960" s="11" t="s">
        <v>151</v>
      </c>
      <c r="F2960" s="20">
        <v>46260.281273148146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7"/>
    </row>
    <row r="2961" spans="1:14">
      <c r="A2961" s="11" t="s">
        <v>2836</v>
      </c>
      <c r="B2961" s="11" t="s">
        <v>956</v>
      </c>
      <c r="C2961" s="11" t="s">
        <v>957</v>
      </c>
      <c r="D2961" s="11">
        <v>1</v>
      </c>
      <c r="E2961" s="11" t="s">
        <v>13</v>
      </c>
      <c r="F2961" s="20">
        <v>46266.463784722226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7"/>
    </row>
    <row r="2962" spans="1:14">
      <c r="A2962" s="11" t="s">
        <v>2837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7"/>
    </row>
    <row r="2963" spans="1:14">
      <c r="A2963" s="11" t="s">
        <v>2838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46268.390416666669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7"/>
    </row>
    <row r="2964" spans="1:14">
      <c r="A2964" s="11" t="s">
        <v>2839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7"/>
    </row>
    <row r="2965" spans="1:14">
      <c r="A2965" s="11" t="s">
        <v>2840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46266.509687500002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7"/>
    </row>
    <row r="2966" spans="1:14">
      <c r="A2966" s="11" t="s">
        <v>2841</v>
      </c>
      <c r="B2966" s="11" t="s">
        <v>6</v>
      </c>
      <c r="C2966" s="11" t="s">
        <v>6</v>
      </c>
      <c r="D2966" s="11">
        <v>1</v>
      </c>
      <c r="E2966" s="11" t="s">
        <v>7</v>
      </c>
      <c r="F2966" s="20">
        <v>46267.570243055554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7"/>
    </row>
    <row r="2967" spans="1:14">
      <c r="A2967" s="11" t="s">
        <v>2842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7"/>
    </row>
    <row r="2968" spans="1:14">
      <c r="A2968" s="11" t="s">
        <v>2843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7"/>
    </row>
    <row r="2969" spans="1:14">
      <c r="A2969" s="11" t="s">
        <v>2844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7"/>
    </row>
    <row r="2970" spans="1:14">
      <c r="A2970" s="11" t="s">
        <v>2845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7"/>
    </row>
    <row r="2971" spans="1:14">
      <c r="A2971" s="11" t="s">
        <v>2846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7"/>
    </row>
    <row r="2972" spans="1:14">
      <c r="A2972" s="11" t="s">
        <v>2847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7"/>
    </row>
    <row r="2973" spans="1:14">
      <c r="A2973" s="11" t="s">
        <v>2848</v>
      </c>
      <c r="B2973" s="11" t="s">
        <v>954</v>
      </c>
      <c r="C2973" s="11" t="s">
        <v>955</v>
      </c>
      <c r="D2973" s="11">
        <v>1</v>
      </c>
      <c r="E2973" s="11" t="s">
        <v>13</v>
      </c>
      <c r="F2973" s="20">
        <v>46266.467303240737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7"/>
    </row>
    <row r="2974" spans="1:14">
      <c r="A2974" s="11" t="s">
        <v>2849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7"/>
    </row>
    <row r="2975" spans="1:14">
      <c r="A2975" s="11" t="s">
        <v>2850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7"/>
    </row>
    <row r="2976" spans="1:14">
      <c r="A2976" s="11" t="s">
        <v>2851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7"/>
    </row>
    <row r="2977" spans="1:14">
      <c r="A2977" s="11" t="s">
        <v>2852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7"/>
    </row>
    <row r="2978" spans="1:14">
      <c r="A2978" s="11" t="s">
        <v>2853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46265.708148148151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7"/>
    </row>
    <row r="2979" spans="1:14">
      <c r="A2979" s="11" t="s">
        <v>2854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7"/>
    </row>
    <row r="2980" spans="1:14">
      <c r="A2980" s="11" t="s">
        <v>2855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7"/>
    </row>
    <row r="2981" spans="1:14">
      <c r="A2981" s="11" t="s">
        <v>2856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7"/>
    </row>
    <row r="2982" spans="1:14">
      <c r="A2982" s="11" t="s">
        <v>2857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7"/>
    </row>
    <row r="2983" spans="1:14">
      <c r="A2983" s="11" t="s">
        <v>2858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7"/>
    </row>
    <row r="2984" spans="1:14">
      <c r="A2984" s="11" t="s">
        <v>2859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7"/>
    </row>
    <row r="2985" spans="1:14">
      <c r="A2985" s="11" t="s">
        <v>2860</v>
      </c>
      <c r="B2985" s="11" t="s">
        <v>954</v>
      </c>
      <c r="C2985" s="11" t="s">
        <v>955</v>
      </c>
      <c r="D2985" s="11">
        <v>1</v>
      </c>
      <c r="E2985" s="11" t="s">
        <v>13</v>
      </c>
      <c r="F2985" s="20">
        <v>46266.467152777775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7"/>
    </row>
    <row r="2986" spans="1:14">
      <c r="A2986" s="11" t="s">
        <v>2861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7"/>
    </row>
    <row r="2987" spans="1:14">
      <c r="A2987" s="11" t="s">
        <v>2862</v>
      </c>
      <c r="B2987" s="11" t="s">
        <v>954</v>
      </c>
      <c r="C2987" s="11" t="s">
        <v>955</v>
      </c>
      <c r="D2987" s="11">
        <v>1</v>
      </c>
      <c r="E2987" s="11" t="s">
        <v>13</v>
      </c>
      <c r="F2987" s="20">
        <v>46266.466747685183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7"/>
    </row>
    <row r="2988" spans="1:14">
      <c r="A2988" s="11" t="s">
        <v>2863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7"/>
    </row>
    <row r="2989" spans="1:14">
      <c r="A2989" s="11" t="s">
        <v>2864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7"/>
    </row>
    <row r="2990" spans="1:14">
      <c r="A2990" s="11" t="s">
        <v>2865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7"/>
    </row>
    <row r="2991" spans="1:14">
      <c r="A2991" s="11" t="s">
        <v>2866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7"/>
    </row>
    <row r="2992" spans="1:14">
      <c r="A2992" s="11" t="s">
        <v>2867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7"/>
    </row>
    <row r="2993" spans="1:14">
      <c r="A2993" s="11" t="s">
        <v>2868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7"/>
    </row>
    <row r="2994" spans="1:14">
      <c r="A2994" s="11" t="s">
        <v>2869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7"/>
    </row>
    <row r="2995" spans="1:14">
      <c r="A2995" s="11" t="s">
        <v>2870</v>
      </c>
      <c r="B2995" s="11" t="s">
        <v>954</v>
      </c>
      <c r="C2995" s="11" t="s">
        <v>955</v>
      </c>
      <c r="D2995" s="11">
        <v>1</v>
      </c>
      <c r="E2995" s="11" t="s">
        <v>13</v>
      </c>
      <c r="F2995" s="20">
        <v>46266.466597222221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7"/>
    </row>
    <row r="2996" spans="1:14">
      <c r="A2996" s="11" t="s">
        <v>2871</v>
      </c>
      <c r="B2996" s="11" t="s">
        <v>954</v>
      </c>
      <c r="C2996" s="11" t="s">
        <v>955</v>
      </c>
      <c r="D2996" s="11">
        <v>1</v>
      </c>
      <c r="E2996" s="11" t="s">
        <v>13</v>
      </c>
      <c r="F2996" s="20">
        <v>46266.466203703705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7"/>
    </row>
    <row r="2997" spans="1:14">
      <c r="A2997" s="11" t="s">
        <v>2872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7"/>
    </row>
    <row r="2998" spans="1:14">
      <c r="A2998" s="11" t="s">
        <v>2873</v>
      </c>
      <c r="B2998" s="11" t="s">
        <v>8</v>
      </c>
      <c r="C2998" s="11" t="s">
        <v>9</v>
      </c>
      <c r="D2998" s="11">
        <v>1</v>
      </c>
      <c r="E2998" s="11" t="s">
        <v>10</v>
      </c>
      <c r="F2998" s="20">
        <v>46265.716863425929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7"/>
    </row>
    <row r="2999" spans="1:14">
      <c r="A2999" s="11" t="s">
        <v>2874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7"/>
    </row>
    <row r="3000" spans="1:14">
      <c r="A3000" s="11" t="s">
        <v>2875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7"/>
    </row>
    <row r="3001" spans="1:14">
      <c r="A3001" s="11" t="s">
        <v>2876</v>
      </c>
      <c r="B3001" s="11" t="s">
        <v>2684</v>
      </c>
      <c r="C3001" s="11" t="s">
        <v>2685</v>
      </c>
      <c r="D3001" s="11">
        <v>1</v>
      </c>
      <c r="E3001" s="11" t="s">
        <v>151</v>
      </c>
      <c r="F3001" s="20">
        <v>46270.540358796294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7"/>
    </row>
    <row r="3002" spans="1:14">
      <c r="A3002" s="11" t="s">
        <v>2877</v>
      </c>
      <c r="B3002" s="11" t="s">
        <v>8</v>
      </c>
      <c r="C3002" s="11" t="s">
        <v>9</v>
      </c>
      <c r="D3002" s="11">
        <v>1</v>
      </c>
      <c r="E3002" s="11" t="s">
        <v>10</v>
      </c>
      <c r="F3002" s="20">
        <v>46273.439317129632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7"/>
    </row>
    <row r="3003" spans="1:14">
      <c r="A3003" s="11" t="s">
        <v>2878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7"/>
    </row>
    <row r="3004" spans="1:14">
      <c r="A3004" s="11" t="s">
        <v>2879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7"/>
    </row>
    <row r="3005" spans="1:14">
      <c r="A3005" s="11" t="s">
        <v>2880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7"/>
    </row>
    <row r="3006" spans="1:14">
      <c r="A3006" s="11" t="s">
        <v>2881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7"/>
    </row>
    <row r="3007" spans="1:14">
      <c r="A3007" s="11" t="s">
        <v>2882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7"/>
    </row>
    <row r="3008" spans="1:14">
      <c r="A3008" s="11" t="s">
        <v>2883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46265.647858796299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7"/>
    </row>
    <row r="3009" spans="1:14">
      <c r="A3009" s="11" t="s">
        <v>2884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7"/>
    </row>
    <row r="3010" spans="1:14">
      <c r="A3010" s="11" t="s">
        <v>2885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7"/>
    </row>
    <row r="3011" spans="1:14">
      <c r="A3011" s="11" t="s">
        <v>2886</v>
      </c>
      <c r="B3011" s="11" t="s">
        <v>6</v>
      </c>
      <c r="C3011" s="11" t="s">
        <v>6</v>
      </c>
      <c r="D3011" s="11">
        <v>1</v>
      </c>
      <c r="E3011" s="11" t="s">
        <v>7</v>
      </c>
      <c r="F3011" s="20">
        <v>46265.891712962963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7"/>
    </row>
    <row r="3012" spans="1:14">
      <c r="A3012" s="11" t="s">
        <v>2887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7"/>
    </row>
    <row r="3013" spans="1:14">
      <c r="A3013" s="11" t="s">
        <v>2888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7"/>
    </row>
    <row r="3014" spans="1:14">
      <c r="A3014" s="11" t="s">
        <v>2889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7"/>
    </row>
    <row r="3015" spans="1:14">
      <c r="A3015" s="11" t="s">
        <v>2890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7"/>
    </row>
    <row r="3016" spans="1:14">
      <c r="A3016" s="11" t="s">
        <v>2891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46273.291562500002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7"/>
    </row>
    <row r="3017" spans="1:14">
      <c r="A3017" s="11" t="s">
        <v>2892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46265.712650462963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7"/>
    </row>
    <row r="3018" spans="1:14">
      <c r="A3018" s="11" t="s">
        <v>2893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7"/>
    </row>
    <row r="3019" spans="1:14">
      <c r="A3019" s="11" t="s">
        <v>2894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7"/>
    </row>
    <row r="3020" spans="1:14">
      <c r="A3020" s="11" t="s">
        <v>2895</v>
      </c>
      <c r="B3020" s="11" t="s">
        <v>6</v>
      </c>
      <c r="C3020" s="11" t="s">
        <v>6</v>
      </c>
      <c r="D3020" s="11">
        <v>1</v>
      </c>
      <c r="E3020" s="11" t="s">
        <v>7</v>
      </c>
      <c r="F3020" s="20">
        <v>46267.570497685185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7"/>
    </row>
    <row r="3021" spans="1:14">
      <c r="A3021" s="11" t="s">
        <v>2896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7"/>
    </row>
    <row r="3022" spans="1:14">
      <c r="A3022" s="11" t="s">
        <v>2897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7"/>
    </row>
    <row r="3023" spans="1:14">
      <c r="A3023" s="11" t="s">
        <v>2898</v>
      </c>
      <c r="B3023" s="11" t="s">
        <v>6</v>
      </c>
      <c r="C3023" s="11" t="s">
        <v>6</v>
      </c>
      <c r="D3023" s="11">
        <v>1</v>
      </c>
      <c r="E3023" s="11" t="s">
        <v>7</v>
      </c>
      <c r="F3023" s="20">
        <v>46266.440497685187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7"/>
    </row>
    <row r="3024" spans="1:14">
      <c r="A3024" s="11" t="s">
        <v>2899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7"/>
    </row>
    <row r="3025" spans="1:14">
      <c r="A3025" s="11" t="s">
        <v>2900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7"/>
    </row>
    <row r="3026" spans="1:14">
      <c r="A3026" s="11" t="s">
        <v>2901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7"/>
    </row>
    <row r="3027" spans="1:14">
      <c r="A3027" s="11" t="s">
        <v>2902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7"/>
    </row>
    <row r="3028" spans="1:14">
      <c r="A3028" s="11" t="s">
        <v>2903</v>
      </c>
      <c r="B3028" s="11" t="s">
        <v>6</v>
      </c>
      <c r="C3028" s="11" t="s">
        <v>6</v>
      </c>
      <c r="D3028" s="11">
        <v>1</v>
      </c>
      <c r="E3028" s="11" t="s">
        <v>7</v>
      </c>
      <c r="F3028" s="20">
        <v>46267.569340277776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7"/>
    </row>
    <row r="3029" spans="1:14">
      <c r="A3029" s="11" t="s">
        <v>2904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46266.46638888889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7"/>
    </row>
    <row r="3030" spans="1:14">
      <c r="A3030" s="11" t="s">
        <v>2905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7"/>
    </row>
    <row r="3031" spans="1:14">
      <c r="A3031" s="11" t="s">
        <v>2906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7"/>
    </row>
    <row r="3032" spans="1:14">
      <c r="A3032" s="11" t="s">
        <v>2907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7"/>
    </row>
    <row r="3033" spans="1:14">
      <c r="A3033" s="11" t="s">
        <v>2908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7"/>
    </row>
    <row r="3034" spans="1:14">
      <c r="A3034" s="11" t="s">
        <v>2909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7"/>
    </row>
    <row r="3035" spans="1:14">
      <c r="A3035" s="11" t="s">
        <v>2910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7"/>
    </row>
    <row r="3036" spans="1:14">
      <c r="A3036" s="11" t="s">
        <v>2911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7"/>
    </row>
    <row r="3037" spans="1:14">
      <c r="A3037" s="11" t="s">
        <v>2912</v>
      </c>
      <c r="B3037" s="11" t="s">
        <v>8</v>
      </c>
      <c r="C3037" s="11" t="s">
        <v>9</v>
      </c>
      <c r="D3037" s="11">
        <v>1</v>
      </c>
      <c r="E3037" s="11" t="s">
        <v>10</v>
      </c>
      <c r="F3037" s="20">
        <v>46265.702638888892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7"/>
    </row>
    <row r="3038" spans="1:14">
      <c r="A3038" s="11" t="s">
        <v>2913</v>
      </c>
      <c r="B3038" s="11" t="s">
        <v>8</v>
      </c>
      <c r="C3038" s="11" t="s">
        <v>9</v>
      </c>
      <c r="D3038" s="11">
        <v>1</v>
      </c>
      <c r="E3038" s="11" t="s">
        <v>10</v>
      </c>
      <c r="F3038" s="20">
        <v>46273.306932870371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7"/>
    </row>
    <row r="3039" spans="1:14">
      <c r="A3039" s="11" t="s">
        <v>2914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7"/>
    </row>
    <row r="3040" spans="1:14">
      <c r="A3040" s="11" t="s">
        <v>2915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7"/>
    </row>
    <row r="3041" spans="1:14">
      <c r="A3041" s="11" t="s">
        <v>2916</v>
      </c>
      <c r="B3041" s="11" t="s">
        <v>8</v>
      </c>
      <c r="C3041" s="11" t="s">
        <v>9</v>
      </c>
      <c r="D3041" s="11">
        <v>1</v>
      </c>
      <c r="E3041" s="11" t="s">
        <v>10</v>
      </c>
      <c r="F3041" s="20">
        <v>46268.325243055559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7"/>
    </row>
    <row r="3042" spans="1:14">
      <c r="A3042" s="11" t="s">
        <v>2917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7"/>
    </row>
    <row r="3043" spans="1:14">
      <c r="A3043" s="11" t="s">
        <v>2918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7"/>
    </row>
    <row r="3044" spans="1:14">
      <c r="A3044" s="11" t="s">
        <v>2919</v>
      </c>
      <c r="B3044" s="11" t="s">
        <v>956</v>
      </c>
      <c r="C3044" s="11" t="s">
        <v>957</v>
      </c>
      <c r="D3044" s="11">
        <v>1</v>
      </c>
      <c r="E3044" s="11" t="s">
        <v>13</v>
      </c>
      <c r="F3044" s="20">
        <v>46266.466967592591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7"/>
    </row>
    <row r="3045" spans="1:14">
      <c r="A3045" s="11" t="s">
        <v>2920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7"/>
    </row>
    <row r="3046" spans="1:14">
      <c r="A3046" s="11" t="s">
        <v>2921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7"/>
    </row>
    <row r="3047" spans="1:14">
      <c r="A3047" s="11" t="s">
        <v>2922</v>
      </c>
      <c r="B3047" s="11" t="s">
        <v>956</v>
      </c>
      <c r="C3047" s="11" t="s">
        <v>957</v>
      </c>
      <c r="D3047" s="11">
        <v>1</v>
      </c>
      <c r="E3047" s="11" t="s">
        <v>13</v>
      </c>
      <c r="F3047" s="20">
        <v>46266.464895833335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7"/>
    </row>
    <row r="3048" spans="1:14">
      <c r="A3048" s="11" t="s">
        <v>2923</v>
      </c>
      <c r="B3048" s="11" t="s">
        <v>956</v>
      </c>
      <c r="C3048" s="11" t="s">
        <v>957</v>
      </c>
      <c r="D3048" s="11">
        <v>1</v>
      </c>
      <c r="E3048" s="11" t="s">
        <v>13</v>
      </c>
      <c r="F3048" s="20">
        <v>46266.465613425928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7"/>
    </row>
    <row r="3049" spans="1:14">
      <c r="A3049" s="11" t="s">
        <v>2924</v>
      </c>
      <c r="B3049" s="11" t="s">
        <v>2226</v>
      </c>
      <c r="C3049" s="11" t="s">
        <v>2227</v>
      </c>
      <c r="D3049" s="11">
        <v>1</v>
      </c>
      <c r="E3049" s="11" t="s">
        <v>151</v>
      </c>
      <c r="F3049" s="20">
        <v>46255.482407407406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7"/>
    </row>
    <row r="3050" spans="1:14">
      <c r="A3050" s="11" t="s">
        <v>2925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7"/>
    </row>
    <row r="3051" spans="1:14">
      <c r="A3051" s="11" t="s">
        <v>2926</v>
      </c>
      <c r="B3051" s="11" t="s">
        <v>152</v>
      </c>
      <c r="C3051" s="11" t="s">
        <v>153</v>
      </c>
      <c r="D3051" s="11">
        <v>1</v>
      </c>
      <c r="E3051" s="11" t="s">
        <v>13</v>
      </c>
      <c r="F3051" s="20">
        <v>46274.797754629632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7"/>
    </row>
    <row r="3052" spans="1:14">
      <c r="A3052" s="11" t="s">
        <v>2927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7"/>
    </row>
    <row r="3053" spans="1:14">
      <c r="A3053" s="11" t="s">
        <v>2928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7"/>
    </row>
    <row r="3054" spans="1:14">
      <c r="A3054" s="11" t="s">
        <v>2929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7"/>
    </row>
    <row r="3055" spans="1:14">
      <c r="A3055" s="11" t="s">
        <v>2930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46266.356319444443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7"/>
    </row>
    <row r="3056" spans="1:14">
      <c r="A3056" s="11" t="s">
        <v>2931</v>
      </c>
      <c r="B3056" s="11" t="s">
        <v>152</v>
      </c>
      <c r="C3056" s="11" t="s">
        <v>153</v>
      </c>
      <c r="D3056" s="11">
        <v>1</v>
      </c>
      <c r="E3056" s="11" t="s">
        <v>13</v>
      </c>
      <c r="F3056" s="20">
        <v>46274.795624999999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7"/>
    </row>
    <row r="3057" spans="1:14">
      <c r="A3057" s="11" t="s">
        <v>2932</v>
      </c>
      <c r="B3057" s="11" t="s">
        <v>954</v>
      </c>
      <c r="C3057" s="11" t="s">
        <v>955</v>
      </c>
      <c r="D3057" s="11">
        <v>1</v>
      </c>
      <c r="E3057" s="11" t="s">
        <v>13</v>
      </c>
      <c r="F3057" s="20">
        <v>46274.319814814815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7"/>
    </row>
    <row r="3058" spans="1:14">
      <c r="A3058" s="11" t="s">
        <v>2933</v>
      </c>
      <c r="B3058" s="11" t="s">
        <v>152</v>
      </c>
      <c r="C3058" s="11" t="s">
        <v>153</v>
      </c>
      <c r="D3058" s="11">
        <v>1</v>
      </c>
      <c r="E3058" s="11" t="s">
        <v>13</v>
      </c>
      <c r="F3058" s="20">
        <v>46265.793333333335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7"/>
    </row>
    <row r="3059" spans="1:14">
      <c r="A3059" s="11" t="s">
        <v>2934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7"/>
    </row>
    <row r="3060" spans="1:14">
      <c r="A3060" s="11" t="s">
        <v>2935</v>
      </c>
      <c r="B3060" s="11" t="s">
        <v>152</v>
      </c>
      <c r="C3060" s="11" t="s">
        <v>153</v>
      </c>
      <c r="D3060" s="11">
        <v>1</v>
      </c>
      <c r="E3060" s="11" t="s">
        <v>13</v>
      </c>
      <c r="F3060" s="20">
        <v>46274.802893518521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7"/>
    </row>
    <row r="3061" spans="1:14">
      <c r="A3061" s="11" t="s">
        <v>2936</v>
      </c>
      <c r="B3061" s="11" t="s">
        <v>152</v>
      </c>
      <c r="C3061" s="11" t="s">
        <v>153</v>
      </c>
      <c r="D3061" s="11">
        <v>1</v>
      </c>
      <c r="E3061" s="11" t="s">
        <v>13</v>
      </c>
      <c r="F3061" s="20">
        <v>46274.800833333335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7"/>
    </row>
    <row r="3062" spans="1:14">
      <c r="A3062" s="11" t="s">
        <v>2937</v>
      </c>
      <c r="B3062" s="11" t="s">
        <v>152</v>
      </c>
      <c r="C3062" s="11" t="s">
        <v>153</v>
      </c>
      <c r="D3062" s="11">
        <v>1</v>
      </c>
      <c r="E3062" s="11" t="s">
        <v>13</v>
      </c>
      <c r="F3062" s="20">
        <v>46274.748738425929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7"/>
    </row>
    <row r="3063" spans="1:14">
      <c r="A3063" s="11" t="s">
        <v>2938</v>
      </c>
      <c r="B3063" s="11" t="s">
        <v>2226</v>
      </c>
      <c r="C3063" s="11" t="s">
        <v>2227</v>
      </c>
      <c r="D3063" s="11">
        <v>1</v>
      </c>
      <c r="E3063" s="11" t="s">
        <v>151</v>
      </c>
      <c r="F3063" s="20">
        <v>46265.381712962961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7"/>
    </row>
    <row r="3064" spans="1:14">
      <c r="A3064" s="11" t="s">
        <v>2939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46266.32104166667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7"/>
    </row>
    <row r="3065" spans="1:14">
      <c r="A3065" s="11" t="s">
        <v>2940</v>
      </c>
      <c r="B3065" s="11" t="s">
        <v>8</v>
      </c>
      <c r="C3065" s="11" t="s">
        <v>9</v>
      </c>
      <c r="D3065" s="11">
        <v>1</v>
      </c>
      <c r="E3065" s="11" t="s">
        <v>10</v>
      </c>
      <c r="F3065" s="20">
        <v>46266.299583333333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7"/>
    </row>
    <row r="3066" spans="1:14">
      <c r="A3066" s="11" t="s">
        <v>2941</v>
      </c>
      <c r="B3066" s="11" t="s">
        <v>152</v>
      </c>
      <c r="C3066" s="11" t="s">
        <v>153</v>
      </c>
      <c r="D3066" s="11">
        <v>1</v>
      </c>
      <c r="E3066" s="11" t="s">
        <v>13</v>
      </c>
      <c r="F3066" s="20">
        <v>46265.775046296294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7"/>
    </row>
    <row r="3067" spans="1:14">
      <c r="A3067" s="11" t="s">
        <v>2942</v>
      </c>
      <c r="B3067" s="11" t="s">
        <v>152</v>
      </c>
      <c r="C3067" s="11" t="s">
        <v>153</v>
      </c>
      <c r="D3067" s="11">
        <v>1</v>
      </c>
      <c r="E3067" s="11" t="s">
        <v>13</v>
      </c>
      <c r="F3067" s="20">
        <v>46265.611504629633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7"/>
    </row>
    <row r="3068" spans="1:14">
      <c r="A3068" s="11" t="s">
        <v>2943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7"/>
    </row>
    <row r="3069" spans="1:14">
      <c r="A3069" s="11" t="s">
        <v>2944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7"/>
    </row>
    <row r="3070" spans="1:14">
      <c r="A3070" s="11" t="s">
        <v>2945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7"/>
    </row>
    <row r="3071" spans="1:14">
      <c r="A3071" s="11" t="s">
        <v>2946</v>
      </c>
      <c r="B3071" s="11" t="s">
        <v>2226</v>
      </c>
      <c r="C3071" s="11" t="s">
        <v>2227</v>
      </c>
      <c r="D3071" s="11">
        <v>1</v>
      </c>
      <c r="E3071" s="11" t="s">
        <v>151</v>
      </c>
      <c r="F3071" s="20">
        <v>46265.460462962961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7"/>
    </row>
    <row r="3072" spans="1:14">
      <c r="A3072" s="11" t="s">
        <v>2947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7"/>
    </row>
    <row r="3073" spans="1:14">
      <c r="A3073" s="11" t="s">
        <v>2948</v>
      </c>
      <c r="B3073" s="11" t="s">
        <v>8</v>
      </c>
      <c r="C3073" s="11" t="s">
        <v>9</v>
      </c>
      <c r="D3073" s="11">
        <v>1</v>
      </c>
      <c r="E3073" s="11" t="s">
        <v>10</v>
      </c>
      <c r="F3073" s="20">
        <v>46266.295486111114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7"/>
    </row>
    <row r="3074" spans="1:14">
      <c r="A3074" s="11" t="s">
        <v>2949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7"/>
    </row>
    <row r="3075" spans="1:14">
      <c r="A3075" s="11" t="s">
        <v>2950</v>
      </c>
      <c r="B3075" s="11" t="s">
        <v>152</v>
      </c>
      <c r="C3075" s="11" t="s">
        <v>153</v>
      </c>
      <c r="D3075" s="11">
        <v>1</v>
      </c>
      <c r="E3075" s="11" t="s">
        <v>13</v>
      </c>
      <c r="F3075" s="20">
        <v>46265.612592592595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7"/>
    </row>
    <row r="3076" spans="1:14">
      <c r="A3076" s="11" t="s">
        <v>2951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46266.290509259263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7"/>
    </row>
    <row r="3077" spans="1:14">
      <c r="A3077" s="11" t="s">
        <v>2952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7"/>
    </row>
    <row r="3078" spans="1:14">
      <c r="A3078" s="11" t="s">
        <v>2953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46266.360682870371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7"/>
    </row>
    <row r="3079" spans="1:14">
      <c r="A3079" s="11" t="s">
        <v>2954</v>
      </c>
      <c r="B3079" s="11" t="s">
        <v>152</v>
      </c>
      <c r="C3079" s="11" t="s">
        <v>153</v>
      </c>
      <c r="D3079" s="11">
        <v>1</v>
      </c>
      <c r="E3079" s="11" t="s">
        <v>13</v>
      </c>
      <c r="F3079" s="20">
        <v>46274.800162037034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7"/>
    </row>
    <row r="3080" spans="1:14">
      <c r="A3080" s="11" t="s">
        <v>2955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7"/>
    </row>
    <row r="3081" spans="1:14">
      <c r="A3081" s="11" t="s">
        <v>2956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7"/>
    </row>
    <row r="3082" spans="1:14">
      <c r="A3082" s="11" t="s">
        <v>2957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7"/>
    </row>
    <row r="3083" spans="1:14">
      <c r="A3083" s="11" t="s">
        <v>2958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7"/>
    </row>
    <row r="3084" spans="1:14">
      <c r="A3084" s="11" t="s">
        <v>2959</v>
      </c>
      <c r="B3084" s="11" t="s">
        <v>152</v>
      </c>
      <c r="C3084" s="11" t="s">
        <v>153</v>
      </c>
      <c r="D3084" s="11">
        <v>1</v>
      </c>
      <c r="E3084" s="11" t="s">
        <v>13</v>
      </c>
      <c r="F3084" s="20">
        <v>46274.749548611115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7"/>
    </row>
    <row r="3085" spans="1:14">
      <c r="A3085" s="11" t="s">
        <v>2960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7"/>
    </row>
    <row r="3086" spans="1:14">
      <c r="A3086" s="11" t="s">
        <v>2961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7"/>
    </row>
    <row r="3087" spans="1:14">
      <c r="A3087" s="11" t="s">
        <v>2962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7"/>
    </row>
    <row r="3088" spans="1:14">
      <c r="A3088" s="11" t="s">
        <v>2963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7"/>
    </row>
    <row r="3089" spans="1:14">
      <c r="A3089" s="11" t="s">
        <v>2964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7"/>
    </row>
    <row r="3090" spans="1:14">
      <c r="A3090" s="11" t="s">
        <v>2965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7"/>
    </row>
    <row r="3091" spans="1:14">
      <c r="A3091" s="11" t="s">
        <v>2966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7"/>
    </row>
    <row r="3092" spans="1:14">
      <c r="A3092" s="11" t="s">
        <v>2967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7"/>
    </row>
    <row r="3093" spans="1:14">
      <c r="A3093" s="11" t="s">
        <v>2968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7"/>
    </row>
    <row r="3094" spans="1:14">
      <c r="A3094" s="11" t="s">
        <v>2969</v>
      </c>
      <c r="B3094" s="11" t="s">
        <v>8</v>
      </c>
      <c r="C3094" s="11" t="s">
        <v>9</v>
      </c>
      <c r="D3094" s="11">
        <v>1</v>
      </c>
      <c r="E3094" s="11" t="s">
        <v>10</v>
      </c>
      <c r="F3094" s="20">
        <v>46274.803854166668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7"/>
    </row>
    <row r="3095" spans="1:14">
      <c r="A3095" s="11" t="s">
        <v>2970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7"/>
    </row>
    <row r="3096" spans="1:14">
      <c r="A3096" s="11" t="s">
        <v>2971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7"/>
    </row>
    <row r="3097" spans="1:14">
      <c r="A3097" s="11" t="s">
        <v>2972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46274.824618055558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7"/>
    </row>
    <row r="3098" spans="1:14">
      <c r="A3098" s="11" t="s">
        <v>2973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46266.302824074075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7"/>
    </row>
    <row r="3099" spans="1:14">
      <c r="A3099" s="11" t="s">
        <v>2974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7"/>
    </row>
    <row r="3100" spans="1:14">
      <c r="A3100" s="11" t="s">
        <v>2975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7"/>
    </row>
    <row r="3101" spans="1:14">
      <c r="A3101" s="11" t="s">
        <v>2976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7"/>
    </row>
    <row r="3102" spans="1:14">
      <c r="A3102" s="11" t="s">
        <v>2977</v>
      </c>
      <c r="B3102" s="11" t="s">
        <v>8</v>
      </c>
      <c r="C3102" s="11" t="s">
        <v>9</v>
      </c>
      <c r="D3102" s="11">
        <v>1</v>
      </c>
      <c r="E3102" s="11" t="s">
        <v>10</v>
      </c>
      <c r="F3102" s="20">
        <v>46274.833275462966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7"/>
    </row>
    <row r="3103" spans="1:14">
      <c r="A3103" s="11" t="s">
        <v>2978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46265.780185185184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7"/>
    </row>
    <row r="3104" spans="1:14">
      <c r="A3104" s="11" t="s">
        <v>2979</v>
      </c>
      <c r="B3104" s="11" t="s">
        <v>152</v>
      </c>
      <c r="C3104" s="11" t="s">
        <v>153</v>
      </c>
      <c r="D3104" s="11">
        <v>1</v>
      </c>
      <c r="E3104" s="11" t="s">
        <v>13</v>
      </c>
      <c r="F3104" s="20">
        <v>46265.781342592592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7"/>
    </row>
    <row r="3105" spans="1:14">
      <c r="A3105" s="11" t="s">
        <v>2980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7"/>
    </row>
    <row r="3106" spans="1:14">
      <c r="A3106" s="11" t="s">
        <v>2981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7"/>
    </row>
    <row r="3107" spans="1:14">
      <c r="A3107" s="11" t="s">
        <v>2982</v>
      </c>
      <c r="B3107" s="11" t="s">
        <v>954</v>
      </c>
      <c r="C3107" s="11" t="s">
        <v>955</v>
      </c>
      <c r="D3107" s="11">
        <v>1</v>
      </c>
      <c r="E3107" s="11" t="s">
        <v>13</v>
      </c>
      <c r="F3107" s="20">
        <v>46274.316064814811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7"/>
    </row>
    <row r="3108" spans="1:14">
      <c r="A3108" s="11" t="s">
        <v>2983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7"/>
    </row>
    <row r="3109" spans="1:14">
      <c r="A3109" s="11" t="s">
        <v>2984</v>
      </c>
      <c r="B3109" s="11" t="s">
        <v>8</v>
      </c>
      <c r="C3109" s="11" t="s">
        <v>9</v>
      </c>
      <c r="D3109" s="11">
        <v>1</v>
      </c>
      <c r="E3109" s="11" t="s">
        <v>10</v>
      </c>
      <c r="F3109" s="20">
        <v>46274.829131944447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7"/>
    </row>
    <row r="3110" spans="1:14">
      <c r="A3110" s="11" t="s">
        <v>2985</v>
      </c>
      <c r="B3110" s="11" t="s">
        <v>8</v>
      </c>
      <c r="C3110" s="11" t="s">
        <v>9</v>
      </c>
      <c r="D3110" s="11">
        <v>1</v>
      </c>
      <c r="E3110" s="11" t="s">
        <v>10</v>
      </c>
      <c r="F3110" s="20">
        <v>46274.812685185185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7"/>
    </row>
    <row r="3111" spans="1:14">
      <c r="A3111" s="11" t="s">
        <v>2986</v>
      </c>
      <c r="B3111" s="11" t="s">
        <v>8</v>
      </c>
      <c r="C3111" s="11" t="s">
        <v>9</v>
      </c>
      <c r="D3111" s="11">
        <v>1</v>
      </c>
      <c r="E3111" s="11" t="s">
        <v>10</v>
      </c>
      <c r="F3111" s="20">
        <v>46274.796643518515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7"/>
    </row>
    <row r="3112" spans="1:14">
      <c r="A3112" s="11" t="s">
        <v>2987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7"/>
    </row>
    <row r="3113" spans="1:14">
      <c r="A3113" s="11" t="s">
        <v>2988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7"/>
    </row>
    <row r="3114" spans="1:14">
      <c r="A3114" s="11" t="s">
        <v>2989</v>
      </c>
      <c r="B3114" s="11" t="s">
        <v>8</v>
      </c>
      <c r="C3114" s="11" t="s">
        <v>9</v>
      </c>
      <c r="D3114" s="11">
        <v>1</v>
      </c>
      <c r="E3114" s="11" t="s">
        <v>10</v>
      </c>
      <c r="F3114" s="20">
        <v>46274.816122685188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7"/>
    </row>
    <row r="3115" spans="1:14">
      <c r="A3115" s="11" t="s">
        <v>2990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46274.800347222219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7"/>
    </row>
    <row r="3116" spans="1:14">
      <c r="A3116" s="11" t="s">
        <v>2991</v>
      </c>
      <c r="B3116" s="11" t="s">
        <v>8</v>
      </c>
      <c r="C3116" s="11" t="s">
        <v>9</v>
      </c>
      <c r="D3116" s="11">
        <v>1</v>
      </c>
      <c r="E3116" s="11" t="s">
        <v>10</v>
      </c>
      <c r="F3116" s="20">
        <v>46274.820428240739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7"/>
    </row>
    <row r="3117" spans="1:14">
      <c r="A3117" s="11" t="s">
        <v>2992</v>
      </c>
      <c r="B3117" s="11" t="s">
        <v>2226</v>
      </c>
      <c r="C3117" s="11" t="s">
        <v>2227</v>
      </c>
      <c r="D3117" s="11">
        <v>1</v>
      </c>
      <c r="E3117" s="11" t="s">
        <v>151</v>
      </c>
      <c r="F3117" s="20">
        <v>46265.346319444441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7"/>
    </row>
    <row r="3118" spans="1:14">
      <c r="A3118" s="11" t="s">
        <v>2993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7"/>
    </row>
    <row r="3119" spans="1:14">
      <c r="A3119" s="11" t="s">
        <v>2994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7"/>
    </row>
    <row r="3120" spans="1:14">
      <c r="A3120" s="11" t="s">
        <v>2995</v>
      </c>
      <c r="B3120" s="11" t="s">
        <v>954</v>
      </c>
      <c r="C3120" s="11" t="s">
        <v>955</v>
      </c>
      <c r="D3120" s="11">
        <v>1</v>
      </c>
      <c r="E3120" s="11" t="s">
        <v>13</v>
      </c>
      <c r="F3120" s="20">
        <v>46274.312997685185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7"/>
    </row>
    <row r="3121" spans="1:14">
      <c r="A3121" s="11" t="s">
        <v>2996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7"/>
    </row>
    <row r="3122" spans="1:14">
      <c r="A3122" s="11" t="s">
        <v>2997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7"/>
    </row>
    <row r="3123" spans="1:14">
      <c r="A3123" s="11" t="s">
        <v>2998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7"/>
    </row>
    <row r="3124" spans="1:14">
      <c r="A3124" s="11" t="s">
        <v>2999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7"/>
    </row>
    <row r="3125" spans="1:14">
      <c r="A3125" s="11" t="s">
        <v>3000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7"/>
    </row>
    <row r="3126" spans="1:14">
      <c r="A3126" s="11" t="s">
        <v>3001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7"/>
    </row>
    <row r="3127" spans="1:14">
      <c r="A3127" s="11" t="s">
        <v>3002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7"/>
    </row>
    <row r="3128" spans="1:14">
      <c r="A3128" s="11" t="s">
        <v>3003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7"/>
    </row>
    <row r="3129" spans="1:14">
      <c r="A3129" s="11" t="s">
        <v>3004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7"/>
    </row>
    <row r="3130" spans="1:14">
      <c r="A3130" s="11" t="s">
        <v>3005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7"/>
    </row>
    <row r="3131" spans="1:14">
      <c r="A3131" s="11" t="s">
        <v>3006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7"/>
    </row>
    <row r="3132" spans="1:14">
      <c r="A3132" s="11" t="s">
        <v>3007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7"/>
    </row>
    <row r="3133" spans="1:14">
      <c r="A3133" s="11" t="s">
        <v>3008</v>
      </c>
      <c r="B3133" s="11" t="s">
        <v>152</v>
      </c>
      <c r="C3133" s="11" t="s">
        <v>153</v>
      </c>
      <c r="D3133" s="11">
        <v>1</v>
      </c>
      <c r="E3133" s="11" t="s">
        <v>13</v>
      </c>
      <c r="F3133" s="20">
        <v>46274.802199074074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7"/>
    </row>
    <row r="3134" spans="1:14">
      <c r="A3134" s="11" t="s">
        <v>3009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7"/>
    </row>
    <row r="3135" spans="1:14">
      <c r="A3135" s="11" t="s">
        <v>3010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7"/>
    </row>
    <row r="3136" spans="1:14">
      <c r="A3136" s="11" t="s">
        <v>3011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7"/>
    </row>
    <row r="3137" spans="1:14">
      <c r="A3137" s="11" t="s">
        <v>3012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7"/>
    </row>
    <row r="3138" spans="1:14">
      <c r="A3138" s="11" t="s">
        <v>3013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7"/>
    </row>
    <row r="3139" spans="1:14">
      <c r="A3139" s="11" t="s">
        <v>3014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7"/>
    </row>
    <row r="3140" spans="1:14">
      <c r="A3140" s="11" t="s">
        <v>3015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7"/>
    </row>
    <row r="3141" spans="1:14">
      <c r="A3141" s="11" t="s">
        <v>3016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7"/>
    </row>
    <row r="3142" spans="1:14">
      <c r="A3142" s="11" t="s">
        <v>3017</v>
      </c>
      <c r="B3142" s="11" t="s">
        <v>152</v>
      </c>
      <c r="C3142" s="11" t="s">
        <v>153</v>
      </c>
      <c r="D3142" s="11">
        <v>1</v>
      </c>
      <c r="E3142" s="11" t="s">
        <v>13</v>
      </c>
      <c r="F3142" s="20">
        <v>46274.807210648149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7"/>
    </row>
    <row r="3143" spans="1:14">
      <c r="A3143" s="11" t="s">
        <v>3018</v>
      </c>
      <c r="B3143" s="11" t="s">
        <v>954</v>
      </c>
      <c r="C3143" s="11" t="s">
        <v>955</v>
      </c>
      <c r="D3143" s="11">
        <v>1</v>
      </c>
      <c r="E3143" s="11" t="s">
        <v>13</v>
      </c>
      <c r="F3143" s="20">
        <v>46274.318437499998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7"/>
    </row>
    <row r="3144" spans="1:14">
      <c r="A3144" s="11" t="s">
        <v>3019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7"/>
    </row>
    <row r="3145" spans="1:14">
      <c r="A3145" s="11" t="s">
        <v>3020</v>
      </c>
      <c r="B3145" s="11" t="s">
        <v>2226</v>
      </c>
      <c r="C3145" s="11" t="s">
        <v>2227</v>
      </c>
      <c r="D3145" s="11">
        <v>1</v>
      </c>
      <c r="E3145" s="11" t="s">
        <v>151</v>
      </c>
      <c r="F3145" s="20">
        <v>46265.569641203707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7"/>
    </row>
    <row r="3146" spans="1:14">
      <c r="A3146" s="11" t="s">
        <v>3021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7"/>
    </row>
    <row r="3147" spans="1:14">
      <c r="A3147" s="11" t="s">
        <v>3022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7"/>
    </row>
    <row r="3148" spans="1:14">
      <c r="A3148" s="11" t="s">
        <v>3023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7"/>
    </row>
    <row r="3149" spans="1:14">
      <c r="A3149" s="11" t="s">
        <v>3024</v>
      </c>
      <c r="B3149" s="11" t="s">
        <v>956</v>
      </c>
      <c r="C3149" s="11" t="s">
        <v>957</v>
      </c>
      <c r="D3149" s="11">
        <v>1</v>
      </c>
      <c r="E3149" s="11" t="s">
        <v>13</v>
      </c>
      <c r="F3149" s="20">
        <v>46265.597488425927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7"/>
    </row>
    <row r="3150" spans="1:14">
      <c r="A3150" s="11" t="s">
        <v>3025</v>
      </c>
      <c r="B3150" s="11" t="s">
        <v>954</v>
      </c>
      <c r="C3150" s="11" t="s">
        <v>955</v>
      </c>
      <c r="D3150" s="11">
        <v>1</v>
      </c>
      <c r="E3150" s="11" t="s">
        <v>13</v>
      </c>
      <c r="F3150" s="20">
        <v>46265.598645833335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7"/>
    </row>
    <row r="3151" spans="1:14">
      <c r="A3151" s="11" t="s">
        <v>3026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7"/>
    </row>
    <row r="3152" spans="1:14">
      <c r="A3152" s="11" t="s">
        <v>3027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7"/>
    </row>
    <row r="3153" spans="1:14">
      <c r="A3153" s="11" t="s">
        <v>3028</v>
      </c>
      <c r="B3153" s="11" t="s">
        <v>954</v>
      </c>
      <c r="C3153" s="11" t="s">
        <v>955</v>
      </c>
      <c r="D3153" s="11">
        <v>1</v>
      </c>
      <c r="E3153" s="11" t="s">
        <v>13</v>
      </c>
      <c r="F3153" s="20">
        <v>46265.601620370369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7"/>
    </row>
    <row r="3154" spans="1:14">
      <c r="A3154" s="11" t="s">
        <v>3029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7"/>
    </row>
    <row r="3155" spans="1:14">
      <c r="A3155" s="11" t="s">
        <v>3030</v>
      </c>
      <c r="B3155" s="11" t="s">
        <v>152</v>
      </c>
      <c r="C3155" s="11" t="s">
        <v>153</v>
      </c>
      <c r="D3155" s="11">
        <v>1</v>
      </c>
      <c r="E3155" s="11" t="s">
        <v>13</v>
      </c>
      <c r="F3155" s="20">
        <v>46274.796689814815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7"/>
    </row>
    <row r="3156" spans="1:14">
      <c r="A3156" s="11" t="s">
        <v>3031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7"/>
    </row>
    <row r="3157" spans="1:14">
      <c r="A3157" s="11" t="s">
        <v>3032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7"/>
    </row>
    <row r="3158" spans="1:14">
      <c r="A3158" s="11" t="s">
        <v>3033</v>
      </c>
      <c r="B3158" s="11" t="s">
        <v>152</v>
      </c>
      <c r="C3158" s="11" t="s">
        <v>153</v>
      </c>
      <c r="D3158" s="11">
        <v>1</v>
      </c>
      <c r="E3158" s="11" t="s">
        <v>13</v>
      </c>
      <c r="F3158" s="20">
        <v>46274.821145833332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7"/>
    </row>
    <row r="3159" spans="1:14">
      <c r="A3159" s="11" t="s">
        <v>3034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7"/>
    </row>
    <row r="3160" spans="1:14">
      <c r="A3160" s="11" t="s">
        <v>3035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7"/>
    </row>
    <row r="3161" spans="1:14">
      <c r="A3161" s="11" t="s">
        <v>3036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7"/>
    </row>
    <row r="3162" spans="1:14">
      <c r="A3162" s="11" t="s">
        <v>3037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7"/>
    </row>
    <row r="3163" spans="1:14">
      <c r="A3163" s="11" t="s">
        <v>3038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7"/>
    </row>
    <row r="3164" spans="1:14">
      <c r="A3164" s="11" t="s">
        <v>3039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7"/>
    </row>
    <row r="3165" spans="1:14">
      <c r="A3165" s="11" t="s">
        <v>3040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7"/>
    </row>
    <row r="3166" spans="1:14">
      <c r="A3166" s="11" t="s">
        <v>3041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7"/>
    </row>
    <row r="3167" spans="1:14">
      <c r="A3167" s="11" t="s">
        <v>3042</v>
      </c>
      <c r="B3167" s="11" t="s">
        <v>2684</v>
      </c>
      <c r="C3167" s="11" t="s">
        <v>2685</v>
      </c>
      <c r="D3167" s="11">
        <v>1</v>
      </c>
      <c r="E3167" s="11" t="s">
        <v>151</v>
      </c>
      <c r="F3167" s="20">
        <v>46273.984351851854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7"/>
    </row>
    <row r="3168" spans="1:14">
      <c r="A3168" s="11" t="s">
        <v>3043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7"/>
    </row>
    <row r="3169" spans="1:14">
      <c r="A3169" s="11" t="s">
        <v>3044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7"/>
    </row>
    <row r="3170" spans="1:14">
      <c r="A3170" s="11" t="s">
        <v>3045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7"/>
    </row>
    <row r="3171" spans="1:14">
      <c r="A3171" s="11" t="s">
        <v>3046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7"/>
    </row>
    <row r="3172" spans="1:14">
      <c r="A3172" s="11" t="s">
        <v>3047</v>
      </c>
      <c r="B3172" s="11" t="s">
        <v>152</v>
      </c>
      <c r="C3172" s="11" t="s">
        <v>153</v>
      </c>
      <c r="D3172" s="11">
        <v>1</v>
      </c>
      <c r="E3172" s="11" t="s">
        <v>13</v>
      </c>
      <c r="F3172" s="20">
        <v>46274.81827546296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7"/>
    </row>
    <row r="3173" spans="1:14">
      <c r="A3173" s="11" t="s">
        <v>3048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7"/>
    </row>
    <row r="3174" spans="1:14">
      <c r="A3174" s="11" t="s">
        <v>3049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7"/>
    </row>
    <row r="3175" spans="1:14">
      <c r="A3175" s="11" t="s">
        <v>3050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7"/>
    </row>
    <row r="3176" spans="1:14">
      <c r="A3176" s="11" t="s">
        <v>3051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7"/>
    </row>
    <row r="3177" spans="1:14">
      <c r="A3177" s="11" t="s">
        <v>3052</v>
      </c>
      <c r="B3177" s="11" t="s">
        <v>8</v>
      </c>
      <c r="C3177" s="11" t="s">
        <v>9</v>
      </c>
      <c r="D3177" s="11">
        <v>1</v>
      </c>
      <c r="E3177" s="11" t="s">
        <v>10</v>
      </c>
      <c r="F3177" s="20">
        <v>46266.306018518517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7"/>
    </row>
    <row r="3178" spans="1:14">
      <c r="A3178" s="11" t="s">
        <v>3053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7"/>
    </row>
    <row r="3179" spans="1:14">
      <c r="A3179" s="11" t="s">
        <v>3054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7"/>
    </row>
    <row r="3180" spans="1:14">
      <c r="A3180" s="11" t="s">
        <v>3055</v>
      </c>
      <c r="B3180" s="11" t="s">
        <v>8</v>
      </c>
      <c r="C3180" s="11" t="s">
        <v>9</v>
      </c>
      <c r="D3180" s="11">
        <v>1</v>
      </c>
      <c r="E3180" s="11" t="s">
        <v>10</v>
      </c>
      <c r="F3180" s="20">
        <v>46266.313854166663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7"/>
    </row>
    <row r="3181" spans="1:14">
      <c r="A3181" s="11" t="s">
        <v>3056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7"/>
    </row>
    <row r="3182" spans="1:14">
      <c r="A3182" s="11" t="s">
        <v>3057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7"/>
    </row>
    <row r="3183" spans="1:14">
      <c r="A3183" s="11" t="s">
        <v>3058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7"/>
    </row>
    <row r="3184" spans="1:14">
      <c r="A3184" s="11" t="s">
        <v>3059</v>
      </c>
      <c r="B3184" s="11" t="s">
        <v>3829</v>
      </c>
      <c r="C3184" s="11" t="s">
        <v>3830</v>
      </c>
      <c r="D3184" s="11">
        <v>1</v>
      </c>
      <c r="E3184" s="11" t="s">
        <v>151</v>
      </c>
      <c r="F3184" s="20">
        <v>46265.332881944443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7"/>
    </row>
    <row r="3185" spans="1:14">
      <c r="A3185" s="11" t="s">
        <v>3060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7"/>
    </row>
    <row r="3186" spans="1:14">
      <c r="A3186" s="11" t="s">
        <v>3061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7"/>
    </row>
    <row r="3187" spans="1:14">
      <c r="A3187" s="11" t="s">
        <v>3062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7"/>
    </row>
    <row r="3188" spans="1:14">
      <c r="A3188" s="11" t="s">
        <v>3063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7"/>
    </row>
    <row r="3189" spans="1:14">
      <c r="A3189" s="11" t="s">
        <v>3064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7"/>
    </row>
    <row r="3190" spans="1:14">
      <c r="A3190" s="11" t="s">
        <v>3065</v>
      </c>
      <c r="B3190" s="11" t="s">
        <v>8</v>
      </c>
      <c r="C3190" s="11" t="s">
        <v>9</v>
      </c>
      <c r="D3190" s="11">
        <v>1</v>
      </c>
      <c r="E3190" s="11" t="s">
        <v>10</v>
      </c>
      <c r="F3190" s="20">
        <v>46266.317245370374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7"/>
    </row>
    <row r="3191" spans="1:14">
      <c r="A3191" s="11" t="s">
        <v>3066</v>
      </c>
      <c r="B3191" s="11" t="s">
        <v>8</v>
      </c>
      <c r="C3191" s="11" t="s">
        <v>9</v>
      </c>
      <c r="D3191" s="11">
        <v>1</v>
      </c>
      <c r="E3191" s="11" t="s">
        <v>10</v>
      </c>
      <c r="F3191" s="20">
        <v>46266.309675925928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7"/>
    </row>
    <row r="3192" spans="1:14">
      <c r="A3192" s="11" t="s">
        <v>3067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7"/>
    </row>
    <row r="3193" spans="1:14">
      <c r="A3193" s="11" t="s">
        <v>3068</v>
      </c>
      <c r="B3193" s="11" t="s">
        <v>2226</v>
      </c>
      <c r="C3193" s="11" t="s">
        <v>2227</v>
      </c>
      <c r="D3193" s="11">
        <v>1</v>
      </c>
      <c r="E3193" s="11" t="s">
        <v>151</v>
      </c>
      <c r="F3193" s="20">
        <v>46263.238043981481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7"/>
    </row>
    <row r="3194" spans="1:14">
      <c r="A3194" s="11" t="s">
        <v>3069</v>
      </c>
      <c r="B3194" s="11" t="s">
        <v>8</v>
      </c>
      <c r="C3194" s="11" t="s">
        <v>9</v>
      </c>
      <c r="D3194" s="11">
        <v>1</v>
      </c>
      <c r="E3194" s="11" t="s">
        <v>10</v>
      </c>
      <c r="F3194" s="20">
        <v>46266.36478009259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7"/>
    </row>
    <row r="3195" spans="1:14">
      <c r="A3195" s="11" t="s">
        <v>3070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7"/>
    </row>
    <row r="3196" spans="1:14">
      <c r="A3196" s="11" t="s">
        <v>3071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7"/>
    </row>
    <row r="3197" spans="1:14">
      <c r="A3197" s="11" t="s">
        <v>3072</v>
      </c>
      <c r="B3197" s="11" t="s">
        <v>8</v>
      </c>
      <c r="C3197" s="11" t="s">
        <v>9</v>
      </c>
      <c r="D3197" s="11">
        <v>1</v>
      </c>
      <c r="E3197" s="11" t="s">
        <v>10</v>
      </c>
      <c r="F3197" s="20">
        <v>46266.37263888889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7"/>
    </row>
    <row r="3198" spans="1:14">
      <c r="A3198" s="11" t="s">
        <v>3073</v>
      </c>
      <c r="B3198" s="11" t="s">
        <v>2226</v>
      </c>
      <c r="C3198" s="11" t="s">
        <v>2227</v>
      </c>
      <c r="D3198" s="11">
        <v>1</v>
      </c>
      <c r="E3198" s="11" t="s">
        <v>151</v>
      </c>
      <c r="F3198" s="20">
        <v>46265.342592592591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7"/>
    </row>
    <row r="3199" spans="1:14">
      <c r="A3199" s="11" t="s">
        <v>3074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7"/>
    </row>
    <row r="3200" spans="1:14">
      <c r="A3200" s="11" t="s">
        <v>3075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7"/>
    </row>
    <row r="3201" spans="1:14">
      <c r="A3201" s="11" t="s">
        <v>3076</v>
      </c>
      <c r="B3201" s="11" t="s">
        <v>2226</v>
      </c>
      <c r="C3201" s="11" t="s">
        <v>2227</v>
      </c>
      <c r="D3201" s="11">
        <v>1</v>
      </c>
      <c r="E3201" s="11" t="s">
        <v>151</v>
      </c>
      <c r="F3201" s="20">
        <v>46262.363067129627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7"/>
    </row>
    <row r="3202" spans="1:14">
      <c r="A3202" s="11" t="s">
        <v>3077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7"/>
    </row>
    <row r="3203" spans="1:14">
      <c r="A3203" s="11" t="s">
        <v>3078</v>
      </c>
      <c r="B3203" s="11" t="s">
        <v>954</v>
      </c>
      <c r="C3203" s="11" t="s">
        <v>955</v>
      </c>
      <c r="D3203" s="11">
        <v>1</v>
      </c>
      <c r="E3203" s="11" t="s">
        <v>13</v>
      </c>
      <c r="F3203" s="20">
        <v>46274.213090277779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7"/>
    </row>
    <row r="3204" spans="1:14">
      <c r="A3204" s="11" t="s">
        <v>3079</v>
      </c>
      <c r="B3204" s="11" t="s">
        <v>954</v>
      </c>
      <c r="C3204" s="11" t="s">
        <v>955</v>
      </c>
      <c r="D3204" s="11">
        <v>1</v>
      </c>
      <c r="E3204" s="11" t="s">
        <v>13</v>
      </c>
      <c r="F3204" s="20">
        <v>46274.224918981483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7"/>
    </row>
    <row r="3205" spans="1:14">
      <c r="A3205" s="11" t="s">
        <v>3080</v>
      </c>
      <c r="B3205" s="11" t="s">
        <v>954</v>
      </c>
      <c r="C3205" s="11" t="s">
        <v>955</v>
      </c>
      <c r="D3205" s="11">
        <v>1</v>
      </c>
      <c r="E3205" s="11" t="s">
        <v>13</v>
      </c>
      <c r="F3205" s="20">
        <v>46274.222800925927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7"/>
    </row>
    <row r="3206" spans="1:14">
      <c r="A3206" s="11" t="s">
        <v>3081</v>
      </c>
      <c r="B3206" s="11" t="s">
        <v>2226</v>
      </c>
      <c r="C3206" s="11" t="s">
        <v>2227</v>
      </c>
      <c r="D3206" s="11">
        <v>1</v>
      </c>
      <c r="E3206" s="11" t="s">
        <v>151</v>
      </c>
      <c r="F3206" s="20">
        <v>46274.21607638889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7"/>
    </row>
    <row r="3207" spans="1:14">
      <c r="A3207" s="11" t="s">
        <v>3082</v>
      </c>
      <c r="B3207" s="11" t="s">
        <v>954</v>
      </c>
      <c r="C3207" s="11" t="s">
        <v>955</v>
      </c>
      <c r="D3207" s="11">
        <v>1</v>
      </c>
      <c r="E3207" s="11" t="s">
        <v>13</v>
      </c>
      <c r="F3207" s="20">
        <v>46274.221504629626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7"/>
    </row>
    <row r="3208" spans="1:14">
      <c r="A3208" s="11" t="s">
        <v>3083</v>
      </c>
      <c r="B3208" s="11" t="s">
        <v>954</v>
      </c>
      <c r="C3208" s="11" t="s">
        <v>955</v>
      </c>
      <c r="D3208" s="11">
        <v>1</v>
      </c>
      <c r="E3208" s="11" t="s">
        <v>13</v>
      </c>
      <c r="F3208" s="20">
        <v>46274.230891203704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7"/>
    </row>
    <row r="3209" spans="1:14">
      <c r="A3209" s="11" t="s">
        <v>3084</v>
      </c>
      <c r="B3209" s="11" t="s">
        <v>954</v>
      </c>
      <c r="C3209" s="11" t="s">
        <v>955</v>
      </c>
      <c r="D3209" s="11">
        <v>1</v>
      </c>
      <c r="E3209" s="11" t="s">
        <v>13</v>
      </c>
      <c r="F3209" s="20">
        <v>46274.229050925926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7"/>
    </row>
    <row r="3210" spans="1:14">
      <c r="A3210" s="11" t="s">
        <v>3085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46274.226145833331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7"/>
    </row>
    <row r="3211" spans="1:14">
      <c r="A3211" s="11" t="s">
        <v>3086</v>
      </c>
      <c r="B3211" s="11" t="s">
        <v>954</v>
      </c>
      <c r="C3211" s="11" t="s">
        <v>955</v>
      </c>
      <c r="D3211" s="11">
        <v>1</v>
      </c>
      <c r="E3211" s="11" t="s">
        <v>13</v>
      </c>
      <c r="F3211" s="20">
        <v>46274.240081018521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7"/>
    </row>
    <row r="3212" spans="1:14">
      <c r="A3212" s="11" t="s">
        <v>3087</v>
      </c>
      <c r="B3212" s="11" t="s">
        <v>954</v>
      </c>
      <c r="C3212" s="11" t="s">
        <v>955</v>
      </c>
      <c r="D3212" s="11">
        <v>1</v>
      </c>
      <c r="E3212" s="11" t="s">
        <v>13</v>
      </c>
      <c r="F3212" s="20">
        <v>46274.239085648151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7"/>
    </row>
    <row r="3213" spans="1:14">
      <c r="A3213" s="11" t="s">
        <v>3088</v>
      </c>
      <c r="B3213" s="11" t="s">
        <v>954</v>
      </c>
      <c r="C3213" s="11" t="s">
        <v>955</v>
      </c>
      <c r="D3213" s="11">
        <v>1</v>
      </c>
      <c r="E3213" s="11" t="s">
        <v>13</v>
      </c>
      <c r="F3213" s="20">
        <v>46274.233506944445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7"/>
    </row>
    <row r="3214" spans="1:14">
      <c r="A3214" s="11" t="s">
        <v>3089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7"/>
    </row>
    <row r="3215" spans="1:14">
      <c r="A3215" s="11" t="s">
        <v>3090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46273.311782407407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7"/>
    </row>
    <row r="3216" spans="1:14">
      <c r="A3216" s="11" t="s">
        <v>3091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7"/>
    </row>
    <row r="3217" spans="1:14">
      <c r="A3217" s="11" t="s">
        <v>3092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7"/>
    </row>
    <row r="3218" spans="1:14">
      <c r="A3218" s="11" t="s">
        <v>3093</v>
      </c>
      <c r="B3218" s="11" t="s">
        <v>152</v>
      </c>
      <c r="C3218" s="11" t="s">
        <v>153</v>
      </c>
      <c r="D3218" s="11">
        <v>1</v>
      </c>
      <c r="E3218" s="11" t="s">
        <v>13</v>
      </c>
      <c r="F3218" s="20">
        <v>46274.798495370371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7"/>
    </row>
    <row r="3219" spans="1:14">
      <c r="A3219" s="11" t="s">
        <v>3094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7"/>
    </row>
    <row r="3220" spans="1:14">
      <c r="A3220" s="11" t="s">
        <v>3095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7"/>
    </row>
    <row r="3221" spans="1:14">
      <c r="A3221" s="11" t="s">
        <v>3096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7"/>
    </row>
    <row r="3222" spans="1:14">
      <c r="A3222" s="11" t="s">
        <v>3097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7"/>
    </row>
    <row r="3223" spans="1:14">
      <c r="A3223" s="11" t="s">
        <v>3098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7"/>
    </row>
    <row r="3224" spans="1:14">
      <c r="A3224" s="11" t="s">
        <v>3099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7"/>
    </row>
    <row r="3225" spans="1:14">
      <c r="A3225" s="11" t="s">
        <v>3100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7"/>
    </row>
    <row r="3226" spans="1:14">
      <c r="A3226" s="11" t="s">
        <v>3101</v>
      </c>
      <c r="B3226" s="11" t="s">
        <v>2226</v>
      </c>
      <c r="C3226" s="11" t="s">
        <v>2227</v>
      </c>
      <c r="D3226" s="11">
        <v>1</v>
      </c>
      <c r="E3226" s="11" t="s">
        <v>151</v>
      </c>
      <c r="F3226" s="20">
        <v>46265.260011574072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7"/>
    </row>
    <row r="3227" spans="1:14">
      <c r="A3227" s="11" t="s">
        <v>3102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7"/>
    </row>
    <row r="3228" spans="1:14">
      <c r="A3228" s="11" t="s">
        <v>3103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7"/>
    </row>
    <row r="3229" spans="1:14">
      <c r="A3229" s="11" t="s">
        <v>3104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7"/>
    </row>
    <row r="3230" spans="1:14">
      <c r="A3230" s="11" t="s">
        <v>3105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7"/>
    </row>
    <row r="3231" spans="1:14">
      <c r="A3231" s="11" t="s">
        <v>3106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7"/>
    </row>
    <row r="3232" spans="1:14">
      <c r="A3232" s="11" t="s">
        <v>3107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7"/>
    </row>
    <row r="3233" spans="1:14">
      <c r="A3233" s="11" t="s">
        <v>3108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7"/>
    </row>
    <row r="3234" spans="1:14">
      <c r="A3234" s="11" t="s">
        <v>3109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7"/>
    </row>
    <row r="3235" spans="1:14">
      <c r="A3235" s="11" t="s">
        <v>3110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7"/>
    </row>
    <row r="3236" spans="1:14">
      <c r="A3236" s="11" t="s">
        <v>3111</v>
      </c>
      <c r="B3236" s="11" t="s">
        <v>954</v>
      </c>
      <c r="C3236" s="11" t="s">
        <v>955</v>
      </c>
      <c r="D3236" s="11">
        <v>1</v>
      </c>
      <c r="E3236" s="11" t="s">
        <v>13</v>
      </c>
      <c r="F3236" s="20">
        <v>46270.33803240741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7"/>
    </row>
    <row r="3237" spans="1:14">
      <c r="A3237" s="11" t="s">
        <v>3112</v>
      </c>
      <c r="B3237" s="11" t="s">
        <v>954</v>
      </c>
      <c r="C3237" s="11" t="s">
        <v>955</v>
      </c>
      <c r="D3237" s="11">
        <v>1</v>
      </c>
      <c r="E3237" s="11" t="s">
        <v>13</v>
      </c>
      <c r="F3237" s="20">
        <v>46274.202905092592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7"/>
    </row>
    <row r="3238" spans="1:14">
      <c r="A3238" s="11" t="s">
        <v>3113</v>
      </c>
      <c r="B3238" s="11" t="s">
        <v>954</v>
      </c>
      <c r="C3238" s="11" t="s">
        <v>955</v>
      </c>
      <c r="D3238" s="11">
        <v>1</v>
      </c>
      <c r="E3238" s="11" t="s">
        <v>13</v>
      </c>
      <c r="F3238" s="20">
        <v>46274.204791666663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7"/>
    </row>
    <row r="3239" spans="1:14">
      <c r="A3239" s="11" t="s">
        <v>3114</v>
      </c>
      <c r="B3239" s="11" t="s">
        <v>954</v>
      </c>
      <c r="C3239" s="11" t="s">
        <v>955</v>
      </c>
      <c r="D3239" s="11">
        <v>1</v>
      </c>
      <c r="E3239" s="11" t="s">
        <v>13</v>
      </c>
      <c r="F3239" s="20">
        <v>46274.208773148152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7"/>
    </row>
    <row r="3240" spans="1:14">
      <c r="A3240" s="11" t="s">
        <v>3115</v>
      </c>
      <c r="B3240" s="11" t="s">
        <v>954</v>
      </c>
      <c r="C3240" s="11" t="s">
        <v>955</v>
      </c>
      <c r="D3240" s="11">
        <v>1</v>
      </c>
      <c r="E3240" s="11" t="s">
        <v>13</v>
      </c>
      <c r="F3240" s="20">
        <v>46274.207094907404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7"/>
    </row>
    <row r="3241" spans="1:14">
      <c r="A3241" s="11" t="s">
        <v>3116</v>
      </c>
      <c r="B3241" s="11" t="s">
        <v>954</v>
      </c>
      <c r="C3241" s="11" t="s">
        <v>955</v>
      </c>
      <c r="D3241" s="11">
        <v>1</v>
      </c>
      <c r="E3241" s="11" t="s">
        <v>13</v>
      </c>
      <c r="F3241" s="20">
        <v>46274.212037037039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7"/>
    </row>
    <row r="3242" spans="1:14">
      <c r="A3242" s="11" t="s">
        <v>3117</v>
      </c>
      <c r="B3242" s="11" t="s">
        <v>954</v>
      </c>
      <c r="C3242" s="11" t="s">
        <v>955</v>
      </c>
      <c r="D3242" s="11">
        <v>1</v>
      </c>
      <c r="E3242" s="11" t="s">
        <v>13</v>
      </c>
      <c r="F3242" s="20">
        <v>46274.21020833333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7"/>
    </row>
    <row r="3243" spans="1:14">
      <c r="A3243" s="11" t="s">
        <v>3118</v>
      </c>
      <c r="B3243" s="11" t="s">
        <v>954</v>
      </c>
      <c r="C3243" s="11" t="s">
        <v>955</v>
      </c>
      <c r="D3243" s="11">
        <v>1</v>
      </c>
      <c r="E3243" s="11" t="s">
        <v>13</v>
      </c>
      <c r="F3243" s="20">
        <v>46274.218842592592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7"/>
    </row>
    <row r="3244" spans="1:14">
      <c r="A3244" s="11" t="s">
        <v>3119</v>
      </c>
      <c r="B3244" s="11" t="s">
        <v>954</v>
      </c>
      <c r="C3244" s="11" t="s">
        <v>955</v>
      </c>
      <c r="D3244" s="11">
        <v>1</v>
      </c>
      <c r="E3244" s="11" t="s">
        <v>13</v>
      </c>
      <c r="F3244" s="20">
        <v>46274.234560185185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7"/>
    </row>
    <row r="3245" spans="1:14">
      <c r="A3245" s="11" t="s">
        <v>3120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46274.246018518519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7"/>
    </row>
    <row r="3246" spans="1:14">
      <c r="A3246" s="11" t="s">
        <v>3121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46274.247349537036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7"/>
    </row>
    <row r="3247" spans="1:14">
      <c r="A3247" s="11" t="s">
        <v>3122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46274.242476851854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7"/>
    </row>
    <row r="3248" spans="1:14">
      <c r="A3248" s="11" t="s">
        <v>3123</v>
      </c>
      <c r="B3248" s="11" t="s">
        <v>954</v>
      </c>
      <c r="C3248" s="11" t="s">
        <v>955</v>
      </c>
      <c r="D3248" s="11">
        <v>1</v>
      </c>
      <c r="E3248" s="11" t="s">
        <v>13</v>
      </c>
      <c r="F3248" s="20">
        <v>46274.248182870368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7"/>
    </row>
    <row r="3249" spans="1:14">
      <c r="A3249" s="11" t="s">
        <v>3124</v>
      </c>
      <c r="B3249" s="11" t="s">
        <v>2226</v>
      </c>
      <c r="C3249" s="11" t="s">
        <v>2227</v>
      </c>
      <c r="D3249" s="11">
        <v>1</v>
      </c>
      <c r="E3249" s="11" t="s">
        <v>151</v>
      </c>
      <c r="F3249" s="20">
        <v>46274.275000000001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7"/>
    </row>
    <row r="3250" spans="1:14">
      <c r="A3250" s="11" t="s">
        <v>3125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46274.272499999999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7"/>
    </row>
    <row r="3251" spans="1:14">
      <c r="A3251" s="11" t="s">
        <v>3126</v>
      </c>
      <c r="B3251" s="11" t="s">
        <v>956</v>
      </c>
      <c r="C3251" s="11" t="s">
        <v>957</v>
      </c>
      <c r="D3251" s="11">
        <v>1</v>
      </c>
      <c r="E3251" s="11" t="s">
        <v>13</v>
      </c>
      <c r="F3251" s="20">
        <v>46274.276423611111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7"/>
    </row>
    <row r="3252" spans="1:14">
      <c r="A3252" s="11" t="s">
        <v>3127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46274.266817129632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7"/>
    </row>
    <row r="3253" spans="1:14">
      <c r="A3253" s="11" t="s">
        <v>3128</v>
      </c>
      <c r="B3253" s="11" t="s">
        <v>2226</v>
      </c>
      <c r="C3253" s="11" t="s">
        <v>2227</v>
      </c>
      <c r="D3253" s="11">
        <v>1</v>
      </c>
      <c r="E3253" s="11" t="s">
        <v>151</v>
      </c>
      <c r="F3253" s="20">
        <v>46274.271284722221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7"/>
    </row>
    <row r="3254" spans="1:14">
      <c r="A3254" s="11" t="s">
        <v>3129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46274.278935185182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7"/>
    </row>
    <row r="3255" spans="1:14">
      <c r="A3255" s="11" t="s">
        <v>3130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46274.25640046296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7"/>
    </row>
    <row r="3256" spans="1:14">
      <c r="A3256" s="11" t="s">
        <v>3131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46274.257465277777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7"/>
    </row>
    <row r="3257" spans="1:14">
      <c r="A3257" s="11" t="s">
        <v>3132</v>
      </c>
      <c r="B3257" s="11" t="s">
        <v>954</v>
      </c>
      <c r="C3257" s="11" t="s">
        <v>955</v>
      </c>
      <c r="D3257" s="11">
        <v>1</v>
      </c>
      <c r="E3257" s="11" t="s">
        <v>13</v>
      </c>
      <c r="F3257" s="20">
        <v>46274.253182870372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7"/>
    </row>
    <row r="3258" spans="1:14">
      <c r="A3258" s="11" t="s">
        <v>3133</v>
      </c>
      <c r="B3258" s="11" t="s">
        <v>954</v>
      </c>
      <c r="C3258" s="11" t="s">
        <v>955</v>
      </c>
      <c r="D3258" s="11">
        <v>1</v>
      </c>
      <c r="E3258" s="11" t="s">
        <v>13</v>
      </c>
      <c r="F3258" s="20">
        <v>46274.255277777775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7"/>
    </row>
    <row r="3259" spans="1:14">
      <c r="A3259" s="11" t="s">
        <v>3134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46274.264062499999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7"/>
    </row>
    <row r="3260" spans="1:14">
      <c r="A3260" s="11" t="s">
        <v>3135</v>
      </c>
      <c r="B3260" s="11" t="s">
        <v>954</v>
      </c>
      <c r="C3260" s="11" t="s">
        <v>955</v>
      </c>
      <c r="D3260" s="11">
        <v>1</v>
      </c>
      <c r="E3260" s="11" t="s">
        <v>13</v>
      </c>
      <c r="F3260" s="20">
        <v>46274.252129629633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7"/>
    </row>
    <row r="3261" spans="1:14">
      <c r="A3261" s="11" t="s">
        <v>3136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46274.282766203702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7"/>
    </row>
    <row r="3262" spans="1:14">
      <c r="A3262" s="11" t="s">
        <v>3137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46274.281967592593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7"/>
    </row>
    <row r="3263" spans="1:14">
      <c r="A3263" s="11" t="s">
        <v>3138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46274.277696759258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7"/>
    </row>
    <row r="3264" spans="1:14">
      <c r="A3264" s="11" t="s">
        <v>3139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46274.265960648147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7"/>
    </row>
    <row r="3265" spans="1:14">
      <c r="A3265" s="11" t="s">
        <v>3140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46274.199560185189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7"/>
    </row>
    <row r="3266" spans="1:14">
      <c r="A3266" s="11" t="s">
        <v>2159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2155</v>
      </c>
      <c r="H3266" s="11" t="s">
        <v>1054</v>
      </c>
      <c r="I3266" s="1">
        <f>VLOOKUP(G3266,WO!A:J,10,0)</f>
        <v>30</v>
      </c>
      <c r="J3266" s="1" t="str">
        <f t="shared" si="50"/>
        <v>19BA21.00</v>
      </c>
      <c r="K3266" s="1" t="str">
        <f>VLOOKUP(J3266,WO!B:E,4,0)</f>
        <v>AXOLBA</v>
      </c>
      <c r="L3266" s="1" t="str">
        <f>VLOOKUP(J3266,WO!B:F,5,0)</f>
        <v xml:space="preserve">  TRX/PSU/BB Assembly</v>
      </c>
      <c r="N3266" s="7"/>
    </row>
    <row r="3267" spans="1:14">
      <c r="A3267" s="11" t="s">
        <v>2160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2155</v>
      </c>
      <c r="H3267" s="11" t="s">
        <v>1054</v>
      </c>
      <c r="I3267" s="1">
        <f>VLOOKUP(G3267,WO!A:J,10,0)</f>
        <v>30</v>
      </c>
      <c r="J3267" s="1" t="str">
        <f t="shared" ref="J3267:J3330" si="51">MID(G3267,3,9)</f>
        <v>19BA21.00</v>
      </c>
      <c r="K3267" s="1" t="str">
        <f>VLOOKUP(J3267,WO!B:E,4,0)</f>
        <v>AXOLBA</v>
      </c>
      <c r="L3267" s="1" t="str">
        <f>VLOOKUP(J3267,WO!B:F,5,0)</f>
        <v xml:space="preserve">  TRX/PSU/BB Assembly</v>
      </c>
      <c r="N3267" s="7">
        <v>46220</v>
      </c>
    </row>
    <row r="3268" spans="1:14">
      <c r="A3268" s="11" t="s">
        <v>2161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2155</v>
      </c>
      <c r="H3268" s="11" t="s">
        <v>1054</v>
      </c>
      <c r="I3268" s="1">
        <f>VLOOKUP(G3268,WO!A:J,10,0)</f>
        <v>30</v>
      </c>
      <c r="J3268" s="1" t="str">
        <f t="shared" si="51"/>
        <v>19BA21.00</v>
      </c>
      <c r="K3268" s="1" t="str">
        <f>VLOOKUP(J3268,WO!B:E,4,0)</f>
        <v>AXOLBA</v>
      </c>
      <c r="L3268" s="1" t="str">
        <f>VLOOKUP(J3268,WO!B:F,5,0)</f>
        <v xml:space="preserve">  TRX/PSU/BB Assembly</v>
      </c>
      <c r="N3268" s="7">
        <v>46209</v>
      </c>
    </row>
    <row r="3269" spans="1:14">
      <c r="A3269" s="11" t="s">
        <v>2162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2155</v>
      </c>
      <c r="H3269" s="11" t="s">
        <v>1054</v>
      </c>
      <c r="I3269" s="1">
        <f>VLOOKUP(G3269,WO!A:J,10,0)</f>
        <v>30</v>
      </c>
      <c r="J3269" s="1" t="str">
        <f t="shared" si="51"/>
        <v>19BA21.00</v>
      </c>
      <c r="K3269" s="1" t="str">
        <f>VLOOKUP(J3269,WO!B:E,4,0)</f>
        <v>AXOLBA</v>
      </c>
      <c r="L3269" s="1" t="str">
        <f>VLOOKUP(J3269,WO!B:F,5,0)</f>
        <v xml:space="preserve">  TRX/PSU/BB Assembly</v>
      </c>
      <c r="N3269" s="7"/>
    </row>
    <row r="3270" spans="1:14">
      <c r="A3270" s="11" t="s">
        <v>2163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2155</v>
      </c>
      <c r="H3270" s="11" t="s">
        <v>1054</v>
      </c>
      <c r="I3270" s="1">
        <f>VLOOKUP(G3270,WO!A:J,10,0)</f>
        <v>30</v>
      </c>
      <c r="J3270" s="1" t="str">
        <f t="shared" si="51"/>
        <v>19BA21.00</v>
      </c>
      <c r="K3270" s="1" t="str">
        <f>VLOOKUP(J3270,WO!B:E,4,0)</f>
        <v>AXOLBA</v>
      </c>
      <c r="L3270" s="1" t="str">
        <f>VLOOKUP(J3270,WO!B:F,5,0)</f>
        <v xml:space="preserve">  TRX/PSU/BB Assembly</v>
      </c>
      <c r="N3270" s="7">
        <v>46220</v>
      </c>
    </row>
    <row r="3271" spans="1:14">
      <c r="A3271" s="11" t="s">
        <v>2164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2155</v>
      </c>
      <c r="H3271" s="11" t="s">
        <v>1054</v>
      </c>
      <c r="I3271" s="1">
        <f>VLOOKUP(G3271,WO!A:J,10,0)</f>
        <v>30</v>
      </c>
      <c r="J3271" s="1" t="str">
        <f t="shared" si="51"/>
        <v>19BA21.00</v>
      </c>
      <c r="K3271" s="1" t="str">
        <f>VLOOKUP(J3271,WO!B:E,4,0)</f>
        <v>AXOLBA</v>
      </c>
      <c r="L3271" s="1" t="str">
        <f>VLOOKUP(J3271,WO!B:F,5,0)</f>
        <v xml:space="preserve">  TRX/PSU/BB Assembly</v>
      </c>
      <c r="N3271" s="7">
        <v>46209</v>
      </c>
    </row>
    <row r="3272" spans="1:14">
      <c r="A3272" s="11" t="s">
        <v>2165</v>
      </c>
      <c r="B3272" s="11" t="s">
        <v>2189</v>
      </c>
      <c r="C3272" s="11" t="s">
        <v>2190</v>
      </c>
      <c r="D3272" s="11">
        <v>1</v>
      </c>
      <c r="E3272" s="11" t="s">
        <v>151</v>
      </c>
      <c r="F3272" s="20">
        <v>46261.330196759256</v>
      </c>
      <c r="G3272" s="11" t="s">
        <v>2155</v>
      </c>
      <c r="H3272" s="11" t="s">
        <v>1054</v>
      </c>
      <c r="I3272" s="1">
        <f>VLOOKUP(G3272,WO!A:J,10,0)</f>
        <v>30</v>
      </c>
      <c r="J3272" s="1" t="str">
        <f t="shared" si="51"/>
        <v>19BA21.00</v>
      </c>
      <c r="K3272" s="1" t="str">
        <f>VLOOKUP(J3272,WO!B:E,4,0)</f>
        <v>AXOLBA</v>
      </c>
      <c r="L3272" s="1" t="str">
        <f>VLOOKUP(J3272,WO!B:F,5,0)</f>
        <v xml:space="preserve">  TRX/PSU/BB Assembly</v>
      </c>
      <c r="N3272" s="7"/>
    </row>
    <row r="3273" spans="1:14">
      <c r="A3273" s="11" t="s">
        <v>2166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2155</v>
      </c>
      <c r="H3273" s="11" t="s">
        <v>1054</v>
      </c>
      <c r="I3273" s="1">
        <f>VLOOKUP(G3273,WO!A:J,10,0)</f>
        <v>30</v>
      </c>
      <c r="J3273" s="1" t="str">
        <f t="shared" si="51"/>
        <v>19BA21.00</v>
      </c>
      <c r="K3273" s="1" t="str">
        <f>VLOOKUP(J3273,WO!B:E,4,0)</f>
        <v>AXOLBA</v>
      </c>
      <c r="L3273" s="1" t="str">
        <f>VLOOKUP(J3273,WO!B:F,5,0)</f>
        <v xml:space="preserve">  TRX/PSU/BB Assembly</v>
      </c>
      <c r="M3273" s="11"/>
      <c r="N3273" s="7"/>
    </row>
    <row r="3274" spans="1:14">
      <c r="A3274" s="11" t="s">
        <v>2167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2155</v>
      </c>
      <c r="H3274" s="11" t="s">
        <v>1054</v>
      </c>
      <c r="I3274" s="1">
        <f>VLOOKUP(G3274,WO!A:J,10,0)</f>
        <v>30</v>
      </c>
      <c r="J3274" s="1" t="str">
        <f t="shared" si="51"/>
        <v>19BA21.00</v>
      </c>
      <c r="K3274" s="1" t="str">
        <f>VLOOKUP(J3274,WO!B:E,4,0)</f>
        <v>AXOLBA</v>
      </c>
      <c r="L3274" s="1" t="str">
        <f>VLOOKUP(J3274,WO!B:F,5,0)</f>
        <v xml:space="preserve">  TRX/PSU/BB Assembly</v>
      </c>
      <c r="M3274" s="11"/>
      <c r="N3274" s="7">
        <v>46220</v>
      </c>
    </row>
    <row r="3275" spans="1:14">
      <c r="A3275" s="11" t="s">
        <v>2168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2155</v>
      </c>
      <c r="H3275" s="11" t="s">
        <v>1054</v>
      </c>
      <c r="I3275" s="1">
        <f>VLOOKUP(G3275,WO!A:J,10,0)</f>
        <v>30</v>
      </c>
      <c r="J3275" s="1" t="str">
        <f t="shared" si="51"/>
        <v>19BA21.00</v>
      </c>
      <c r="K3275" s="1" t="str">
        <f>VLOOKUP(J3275,WO!B:E,4,0)</f>
        <v>AXOLBA</v>
      </c>
      <c r="L3275" s="1" t="str">
        <f>VLOOKUP(J3275,WO!B:F,5,0)</f>
        <v xml:space="preserve">  TRX/PSU/BB Assembly</v>
      </c>
      <c r="M3275" s="11"/>
      <c r="N3275" s="7">
        <v>46220</v>
      </c>
    </row>
    <row r="3276" spans="1:14">
      <c r="A3276" s="11" t="s">
        <v>2169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2155</v>
      </c>
      <c r="H3276" s="11" t="s">
        <v>1054</v>
      </c>
      <c r="I3276" s="1">
        <f>VLOOKUP(G3276,WO!A:J,10,0)</f>
        <v>30</v>
      </c>
      <c r="J3276" s="1" t="str">
        <f t="shared" si="51"/>
        <v>19BA21.00</v>
      </c>
      <c r="K3276" s="1" t="str">
        <f>VLOOKUP(J3276,WO!B:E,4,0)</f>
        <v>AXOLBA</v>
      </c>
      <c r="L3276" s="1" t="str">
        <f>VLOOKUP(J3276,WO!B:F,5,0)</f>
        <v xml:space="preserve">  TRX/PSU/BB Assembly</v>
      </c>
      <c r="M3276" s="11"/>
      <c r="N3276" s="7"/>
    </row>
    <row r="3277" spans="1:14">
      <c r="A3277" s="11" t="s">
        <v>2170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2155</v>
      </c>
      <c r="H3277" s="11" t="s">
        <v>1054</v>
      </c>
      <c r="I3277" s="1">
        <f>VLOOKUP(G3277,WO!A:J,10,0)</f>
        <v>30</v>
      </c>
      <c r="J3277" s="1" t="str">
        <f t="shared" si="51"/>
        <v>19BA21.00</v>
      </c>
      <c r="K3277" s="1" t="str">
        <f>VLOOKUP(J3277,WO!B:E,4,0)</f>
        <v>AXOLBA</v>
      </c>
      <c r="L3277" s="1" t="str">
        <f>VLOOKUP(J3277,WO!B:F,5,0)</f>
        <v xml:space="preserve">  TRX/PSU/BB Assembly</v>
      </c>
      <c r="M3277" s="11"/>
      <c r="N3277" s="7">
        <v>46220</v>
      </c>
    </row>
    <row r="3278" spans="1:14">
      <c r="A3278" s="11" t="s">
        <v>2171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2155</v>
      </c>
      <c r="H3278" s="11" t="s">
        <v>1054</v>
      </c>
      <c r="I3278" s="1">
        <f>VLOOKUP(G3278,WO!A:J,10,0)</f>
        <v>30</v>
      </c>
      <c r="J3278" s="1" t="str">
        <f t="shared" si="51"/>
        <v>19BA21.00</v>
      </c>
      <c r="K3278" s="1" t="str">
        <f>VLOOKUP(J3278,WO!B:E,4,0)</f>
        <v>AXOLBA</v>
      </c>
      <c r="L3278" s="1" t="str">
        <f>VLOOKUP(J3278,WO!B:F,5,0)</f>
        <v xml:space="preserve">  TRX/PSU/BB Assembly</v>
      </c>
      <c r="N3278" s="7">
        <v>46220</v>
      </c>
    </row>
    <row r="3279" spans="1:14">
      <c r="A3279" s="11" t="s">
        <v>2172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2155</v>
      </c>
      <c r="H3279" s="11" t="s">
        <v>1054</v>
      </c>
      <c r="I3279" s="1">
        <f>VLOOKUP(G3279,WO!A:J,10,0)</f>
        <v>30</v>
      </c>
      <c r="J3279" s="1" t="str">
        <f t="shared" si="51"/>
        <v>19BA21.00</v>
      </c>
      <c r="K3279" s="1" t="str">
        <f>VLOOKUP(J3279,WO!B:E,4,0)</f>
        <v>AXOLBA</v>
      </c>
      <c r="L3279" s="1" t="str">
        <f>VLOOKUP(J3279,WO!B:F,5,0)</f>
        <v xml:space="preserve">  TRX/PSU/BB Assembly</v>
      </c>
      <c r="M3279" s="11"/>
      <c r="N3279" s="7">
        <v>46220</v>
      </c>
    </row>
    <row r="3280" spans="1:14">
      <c r="A3280" s="11" t="s">
        <v>2173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2155</v>
      </c>
      <c r="H3280" s="11" t="s">
        <v>1054</v>
      </c>
      <c r="I3280" s="1">
        <f>VLOOKUP(G3280,WO!A:J,10,0)</f>
        <v>30</v>
      </c>
      <c r="J3280" s="1" t="str">
        <f t="shared" si="51"/>
        <v>19BA21.00</v>
      </c>
      <c r="K3280" s="1" t="str">
        <f>VLOOKUP(J3280,WO!B:E,4,0)</f>
        <v>AXOLBA</v>
      </c>
      <c r="L3280" s="1" t="str">
        <f>VLOOKUP(J3280,WO!B:F,5,0)</f>
        <v xml:space="preserve">  TRX/PSU/BB Assembly</v>
      </c>
      <c r="M3280" s="11"/>
      <c r="N3280" s="7">
        <v>46220</v>
      </c>
    </row>
    <row r="3281" spans="1:14">
      <c r="A3281" s="11" t="s">
        <v>2174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2155</v>
      </c>
      <c r="H3281" s="11" t="s">
        <v>1054</v>
      </c>
      <c r="I3281" s="1">
        <f>VLOOKUP(G3281,WO!A:J,10,0)</f>
        <v>30</v>
      </c>
      <c r="J3281" s="1" t="str">
        <f t="shared" si="51"/>
        <v>19BA21.00</v>
      </c>
      <c r="K3281" s="1" t="str">
        <f>VLOOKUP(J3281,WO!B:E,4,0)</f>
        <v>AXOLBA</v>
      </c>
      <c r="L3281" s="1" t="str">
        <f>VLOOKUP(J3281,WO!B:F,5,0)</f>
        <v xml:space="preserve">  TRX/PSU/BB Assembly</v>
      </c>
      <c r="M3281" s="11"/>
      <c r="N3281" s="7"/>
    </row>
    <row r="3282" spans="1:14">
      <c r="A3282" s="11" t="s">
        <v>2175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2155</v>
      </c>
      <c r="H3282" s="11" t="s">
        <v>1054</v>
      </c>
      <c r="I3282" s="1">
        <f>VLOOKUP(G3282,WO!A:J,10,0)</f>
        <v>30</v>
      </c>
      <c r="J3282" s="1" t="str">
        <f t="shared" si="51"/>
        <v>19BA21.00</v>
      </c>
      <c r="K3282" s="1" t="str">
        <f>VLOOKUP(J3282,WO!B:E,4,0)</f>
        <v>AXOLBA</v>
      </c>
      <c r="L3282" s="1" t="str">
        <f>VLOOKUP(J3282,WO!B:F,5,0)</f>
        <v xml:space="preserve">  TRX/PSU/BB Assembly</v>
      </c>
      <c r="M3282" s="11"/>
      <c r="N3282" s="7"/>
    </row>
    <row r="3283" spans="1:14">
      <c r="A3283" s="11" t="s">
        <v>2176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2155</v>
      </c>
      <c r="H3283" s="11" t="s">
        <v>1054</v>
      </c>
      <c r="I3283" s="1">
        <f>VLOOKUP(G3283,WO!A:J,10,0)</f>
        <v>30</v>
      </c>
      <c r="J3283" s="1" t="str">
        <f t="shared" si="51"/>
        <v>19BA21.00</v>
      </c>
      <c r="K3283" s="1" t="str">
        <f>VLOOKUP(J3283,WO!B:E,4,0)</f>
        <v>AXOLBA</v>
      </c>
      <c r="L3283" s="1" t="str">
        <f>VLOOKUP(J3283,WO!B:F,5,0)</f>
        <v xml:space="preserve">  TRX/PSU/BB Assembly</v>
      </c>
      <c r="M3283" s="11"/>
      <c r="N3283" s="7"/>
    </row>
    <row r="3284" spans="1:14">
      <c r="A3284" s="11" t="s">
        <v>2177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2155</v>
      </c>
      <c r="H3284" s="11" t="s">
        <v>1054</v>
      </c>
      <c r="I3284" s="1">
        <f>VLOOKUP(G3284,WO!A:J,10,0)</f>
        <v>30</v>
      </c>
      <c r="J3284" s="1" t="str">
        <f t="shared" si="51"/>
        <v>19BA21.00</v>
      </c>
      <c r="K3284" s="1" t="str">
        <f>VLOOKUP(J3284,WO!B:E,4,0)</f>
        <v>AXOLBA</v>
      </c>
      <c r="L3284" s="1" t="str">
        <f>VLOOKUP(J3284,WO!B:F,5,0)</f>
        <v xml:space="preserve">  TRX/PSU/BB Assembly</v>
      </c>
      <c r="M3284" s="11"/>
      <c r="N3284" s="7"/>
    </row>
    <row r="3285" spans="1:14">
      <c r="A3285" s="11" t="s">
        <v>2178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2155</v>
      </c>
      <c r="H3285" s="11" t="s">
        <v>1054</v>
      </c>
      <c r="I3285" s="1">
        <f>VLOOKUP(G3285,WO!A:J,10,0)</f>
        <v>30</v>
      </c>
      <c r="J3285" s="1" t="str">
        <f t="shared" si="51"/>
        <v>19BA21.00</v>
      </c>
      <c r="K3285" s="1" t="str">
        <f>VLOOKUP(J3285,WO!B:E,4,0)</f>
        <v>AXOLBA</v>
      </c>
      <c r="L3285" s="1" t="str">
        <f>VLOOKUP(J3285,WO!B:F,5,0)</f>
        <v xml:space="preserve">  TRX/PSU/BB Assembly</v>
      </c>
      <c r="M3285" s="11"/>
      <c r="N3285" s="7"/>
    </row>
    <row r="3286" spans="1:14">
      <c r="A3286" s="11" t="s">
        <v>2179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2155</v>
      </c>
      <c r="H3286" s="11" t="s">
        <v>1054</v>
      </c>
      <c r="I3286" s="1">
        <f>VLOOKUP(G3286,WO!A:J,10,0)</f>
        <v>30</v>
      </c>
      <c r="J3286" s="1" t="str">
        <f t="shared" si="51"/>
        <v>19BA21.00</v>
      </c>
      <c r="K3286" s="1" t="str">
        <f>VLOOKUP(J3286,WO!B:E,4,0)</f>
        <v>AXOLBA</v>
      </c>
      <c r="L3286" s="1" t="str">
        <f>VLOOKUP(J3286,WO!B:F,5,0)</f>
        <v xml:space="preserve">  TRX/PSU/BB Assembly</v>
      </c>
      <c r="N3286" s="7"/>
    </row>
    <row r="3287" spans="1:14">
      <c r="A3287" s="11" t="s">
        <v>2180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2155</v>
      </c>
      <c r="H3287" s="11" t="s">
        <v>1054</v>
      </c>
      <c r="I3287" s="1">
        <f>VLOOKUP(G3287,WO!A:J,10,0)</f>
        <v>30</v>
      </c>
      <c r="J3287" s="1" t="str">
        <f t="shared" si="51"/>
        <v>19BA21.00</v>
      </c>
      <c r="K3287" s="1" t="str">
        <f>VLOOKUP(J3287,WO!B:E,4,0)</f>
        <v>AXOLBA</v>
      </c>
      <c r="L3287" s="1" t="str">
        <f>VLOOKUP(J3287,WO!B:F,5,0)</f>
        <v xml:space="preserve">  TRX/PSU/BB Assembly</v>
      </c>
      <c r="N3287" s="7"/>
    </row>
    <row r="3288" spans="1:14">
      <c r="A3288" s="11" t="s">
        <v>3143</v>
      </c>
      <c r="B3288" s="11" t="s">
        <v>6</v>
      </c>
      <c r="C3288" s="11" t="s">
        <v>6</v>
      </c>
      <c r="D3288" s="11">
        <v>1</v>
      </c>
      <c r="E3288" s="11" t="s">
        <v>7</v>
      </c>
      <c r="F3288" s="20">
        <v>46266.77002314815</v>
      </c>
      <c r="G3288" s="11" t="s">
        <v>2683</v>
      </c>
      <c r="H3288" s="11" t="s">
        <v>2682</v>
      </c>
      <c r="I3288" s="1">
        <f>VLOOKUP(G3288,WO!A:J,10,0)</f>
        <v>41</v>
      </c>
      <c r="J3288" s="1" t="str">
        <f t="shared" si="51"/>
        <v>19BA22.00</v>
      </c>
      <c r="K3288" s="1" t="str">
        <f>VLOOKUP(J3288,WO!B:E,4,0)</f>
        <v>AXOLBA</v>
      </c>
      <c r="L3288" s="1" t="str">
        <f>VLOOKUP(J3288,WO!B:F,5,0)</f>
        <v xml:space="preserve">  TRX/PSU/BB Assembly</v>
      </c>
      <c r="N3288" s="7"/>
    </row>
    <row r="3289" spans="1:14">
      <c r="A3289" s="11" t="s">
        <v>3144</v>
      </c>
      <c r="B3289" s="11" t="s">
        <v>6</v>
      </c>
      <c r="C3289" s="11" t="s">
        <v>6</v>
      </c>
      <c r="D3289" s="11">
        <v>1</v>
      </c>
      <c r="E3289" s="11" t="s">
        <v>7</v>
      </c>
      <c r="F3289" s="20">
        <v>46266.465671296297</v>
      </c>
      <c r="G3289" s="11" t="s">
        <v>2683</v>
      </c>
      <c r="H3289" s="11" t="s">
        <v>2682</v>
      </c>
      <c r="I3289" s="1">
        <f>VLOOKUP(G3289,WO!A:J,10,0)</f>
        <v>41</v>
      </c>
      <c r="J3289" s="1" t="str">
        <f t="shared" si="51"/>
        <v>19BA22.00</v>
      </c>
      <c r="K3289" s="1" t="str">
        <f>VLOOKUP(J3289,WO!B:E,4,0)</f>
        <v>AXOLBA</v>
      </c>
      <c r="L3289" s="1" t="str">
        <f>VLOOKUP(J3289,WO!B:F,5,0)</f>
        <v xml:space="preserve">  TRX/PSU/BB Assembly</v>
      </c>
      <c r="N3289" s="7"/>
    </row>
    <row r="3290" spans="1:14">
      <c r="A3290" s="11" t="s">
        <v>3145</v>
      </c>
      <c r="B3290" s="11" t="s">
        <v>11</v>
      </c>
      <c r="C3290" s="11" t="s">
        <v>12</v>
      </c>
      <c r="D3290" s="11">
        <v>1</v>
      </c>
      <c r="E3290" s="11" t="s">
        <v>13</v>
      </c>
      <c r="F3290" s="20">
        <v>46273.608020833337</v>
      </c>
      <c r="G3290" s="11" t="s">
        <v>2683</v>
      </c>
      <c r="H3290" s="11" t="s">
        <v>2682</v>
      </c>
      <c r="I3290" s="1">
        <f>VLOOKUP(G3290,WO!A:J,10,0)</f>
        <v>41</v>
      </c>
      <c r="J3290" s="1" t="str">
        <f t="shared" si="51"/>
        <v>19BA22.00</v>
      </c>
      <c r="K3290" s="1" t="str">
        <f>VLOOKUP(J3290,WO!B:E,4,0)</f>
        <v>AXOLBA</v>
      </c>
      <c r="L3290" s="1" t="str">
        <f>VLOOKUP(J3290,WO!B:F,5,0)</f>
        <v xml:space="preserve">  TRX/PSU/BB Assembly</v>
      </c>
      <c r="N3290" s="7"/>
    </row>
    <row r="3291" spans="1:14">
      <c r="A3291" s="11" t="s">
        <v>3146</v>
      </c>
      <c r="B3291" s="11" t="s">
        <v>3508</v>
      </c>
      <c r="C3291" s="11" t="s">
        <v>3509</v>
      </c>
      <c r="D3291" s="11">
        <v>1</v>
      </c>
      <c r="E3291" s="11" t="s">
        <v>151</v>
      </c>
      <c r="F3291" s="20">
        <v>46259.389027777775</v>
      </c>
      <c r="G3291" s="11" t="s">
        <v>2683</v>
      </c>
      <c r="H3291" s="11" t="s">
        <v>2682</v>
      </c>
      <c r="I3291" s="1">
        <f>VLOOKUP(G3291,WO!A:J,10,0)</f>
        <v>41</v>
      </c>
      <c r="J3291" s="1" t="str">
        <f t="shared" si="51"/>
        <v>19BA22.00</v>
      </c>
      <c r="K3291" s="1" t="str">
        <f>VLOOKUP(J3291,WO!B:E,4,0)</f>
        <v>AXOLBA</v>
      </c>
      <c r="L3291" s="1" t="str">
        <f>VLOOKUP(J3291,WO!B:F,5,0)</f>
        <v xml:space="preserve">  TRX/PSU/BB Assembly</v>
      </c>
      <c r="N3291" s="7"/>
    </row>
    <row r="3292" spans="1:14">
      <c r="A3292" s="11" t="s">
        <v>3147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2683</v>
      </c>
      <c r="H3292" s="11" t="s">
        <v>2682</v>
      </c>
      <c r="I3292" s="1">
        <f>VLOOKUP(G3292,WO!A:J,10,0)</f>
        <v>41</v>
      </c>
      <c r="J3292" s="1" t="str">
        <f t="shared" si="51"/>
        <v>19BA22.00</v>
      </c>
      <c r="K3292" s="1" t="str">
        <f>VLOOKUP(J3292,WO!B:E,4,0)</f>
        <v>AXOLBA</v>
      </c>
      <c r="L3292" s="1" t="str">
        <f>VLOOKUP(J3292,WO!B:F,5,0)</f>
        <v xml:space="preserve">  TRX/PSU/BB Assembly</v>
      </c>
      <c r="N3292" s="7"/>
    </row>
    <row r="3293" spans="1:14">
      <c r="A3293" s="11" t="s">
        <v>3148</v>
      </c>
      <c r="B3293" s="11" t="s">
        <v>6</v>
      </c>
      <c r="C3293" s="11" t="s">
        <v>6</v>
      </c>
      <c r="D3293" s="11">
        <v>1</v>
      </c>
      <c r="E3293" s="11" t="s">
        <v>7</v>
      </c>
      <c r="F3293" s="20">
        <v>46266.766979166663</v>
      </c>
      <c r="G3293" s="11" t="s">
        <v>2683</v>
      </c>
      <c r="H3293" s="11" t="s">
        <v>2682</v>
      </c>
      <c r="I3293" s="1">
        <f>VLOOKUP(G3293,WO!A:J,10,0)</f>
        <v>41</v>
      </c>
      <c r="J3293" s="1" t="str">
        <f t="shared" si="51"/>
        <v>19BA22.00</v>
      </c>
      <c r="K3293" s="1" t="str">
        <f>VLOOKUP(J3293,WO!B:E,4,0)</f>
        <v>AXOLBA</v>
      </c>
      <c r="L3293" s="1" t="str">
        <f>VLOOKUP(J3293,WO!B:F,5,0)</f>
        <v xml:space="preserve">  TRX/PSU/BB Assembly</v>
      </c>
      <c r="N3293" s="7"/>
    </row>
    <row r="3294" spans="1:14">
      <c r="A3294" s="11" t="s">
        <v>3149</v>
      </c>
      <c r="B3294" s="11" t="s">
        <v>3774</v>
      </c>
      <c r="C3294" s="11" t="s">
        <v>3775</v>
      </c>
      <c r="D3294" s="11">
        <v>1</v>
      </c>
      <c r="E3294" s="11" t="s">
        <v>85</v>
      </c>
      <c r="F3294" s="20">
        <v>46274.462546296294</v>
      </c>
      <c r="G3294" s="11" t="s">
        <v>2683</v>
      </c>
      <c r="H3294" s="11" t="s">
        <v>2682</v>
      </c>
      <c r="I3294" s="1">
        <f>VLOOKUP(G3294,WO!A:J,10,0)</f>
        <v>41</v>
      </c>
      <c r="J3294" s="1" t="str">
        <f t="shared" si="51"/>
        <v>19BA22.00</v>
      </c>
      <c r="K3294" s="1" t="str">
        <f>VLOOKUP(J3294,WO!B:E,4,0)</f>
        <v>AXOLBA</v>
      </c>
      <c r="L3294" s="1" t="str">
        <f>VLOOKUP(J3294,WO!B:F,5,0)</f>
        <v xml:space="preserve">  TRX/PSU/BB Assembly</v>
      </c>
      <c r="N3294" s="7"/>
    </row>
    <row r="3295" spans="1:14">
      <c r="A3295" s="11" t="s">
        <v>3150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2683</v>
      </c>
      <c r="H3295" s="11" t="s">
        <v>2682</v>
      </c>
      <c r="I3295" s="1">
        <f>VLOOKUP(G3295,WO!A:J,10,0)</f>
        <v>41</v>
      </c>
      <c r="J3295" s="1" t="str">
        <f t="shared" si="51"/>
        <v>19BA22.00</v>
      </c>
      <c r="K3295" s="1" t="str">
        <f>VLOOKUP(J3295,WO!B:E,4,0)</f>
        <v>AXOLBA</v>
      </c>
      <c r="L3295" s="1" t="str">
        <f>VLOOKUP(J3295,WO!B:F,5,0)</f>
        <v xml:space="preserve">  TRX/PSU/BB Assembly</v>
      </c>
      <c r="N3295" s="7"/>
    </row>
    <row r="3296" spans="1:14">
      <c r="A3296" s="11" t="s">
        <v>3151</v>
      </c>
      <c r="B3296" s="11" t="s">
        <v>3508</v>
      </c>
      <c r="C3296" s="11" t="s">
        <v>3509</v>
      </c>
      <c r="D3296" s="11">
        <v>1</v>
      </c>
      <c r="E3296" s="11" t="s">
        <v>151</v>
      </c>
      <c r="F3296" s="20">
        <v>46259.38863425926</v>
      </c>
      <c r="G3296" s="11" t="s">
        <v>2683</v>
      </c>
      <c r="H3296" s="11" t="s">
        <v>2682</v>
      </c>
      <c r="I3296" s="1">
        <f>VLOOKUP(G3296,WO!A:J,10,0)</f>
        <v>41</v>
      </c>
      <c r="J3296" s="1" t="str">
        <f t="shared" si="51"/>
        <v>19BA22.00</v>
      </c>
      <c r="K3296" s="1" t="str">
        <f>VLOOKUP(J3296,WO!B:E,4,0)</f>
        <v>AXOLBA</v>
      </c>
      <c r="L3296" s="1" t="str">
        <f>VLOOKUP(J3296,WO!B:F,5,0)</f>
        <v xml:space="preserve">  TRX/PSU/BB Assembly</v>
      </c>
      <c r="N3296" s="7"/>
    </row>
    <row r="3297" spans="1:14">
      <c r="A3297" s="11" t="s">
        <v>3152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2683</v>
      </c>
      <c r="H3297" s="11" t="s">
        <v>2682</v>
      </c>
      <c r="I3297" s="1">
        <f>VLOOKUP(G3297,WO!A:J,10,0)</f>
        <v>41</v>
      </c>
      <c r="J3297" s="1" t="str">
        <f t="shared" si="51"/>
        <v>19BA22.00</v>
      </c>
      <c r="K3297" s="1" t="str">
        <f>VLOOKUP(J3297,WO!B:E,4,0)</f>
        <v>AXOLBA</v>
      </c>
      <c r="L3297" s="1" t="str">
        <f>VLOOKUP(J3297,WO!B:F,5,0)</f>
        <v xml:space="preserve">  TRX/PSU/BB Assembly</v>
      </c>
      <c r="N3297" s="7"/>
    </row>
    <row r="3298" spans="1:14">
      <c r="A3298" s="11" t="s">
        <v>3153</v>
      </c>
      <c r="B3298" s="11" t="s">
        <v>11</v>
      </c>
      <c r="C3298" s="11" t="s">
        <v>12</v>
      </c>
      <c r="D3298" s="11">
        <v>1</v>
      </c>
      <c r="E3298" s="11" t="s">
        <v>13</v>
      </c>
      <c r="F3298" s="20">
        <v>46273.621666666666</v>
      </c>
      <c r="G3298" s="11" t="s">
        <v>2683</v>
      </c>
      <c r="H3298" s="11" t="s">
        <v>2682</v>
      </c>
      <c r="I3298" s="1">
        <f>VLOOKUP(G3298,WO!A:J,10,0)</f>
        <v>41</v>
      </c>
      <c r="J3298" s="1" t="str">
        <f t="shared" si="51"/>
        <v>19BA22.00</v>
      </c>
      <c r="K3298" s="1" t="str">
        <f>VLOOKUP(J3298,WO!B:E,4,0)</f>
        <v>AXOLBA</v>
      </c>
      <c r="L3298" s="1" t="str">
        <f>VLOOKUP(J3298,WO!B:F,5,0)</f>
        <v xml:space="preserve">  TRX/PSU/BB Assembly</v>
      </c>
      <c r="N3298" s="7"/>
    </row>
    <row r="3299" spans="1:14">
      <c r="A3299" s="11" t="s">
        <v>3154</v>
      </c>
      <c r="B3299" s="11" t="s">
        <v>6</v>
      </c>
      <c r="C3299" s="11" t="s">
        <v>6</v>
      </c>
      <c r="D3299" s="11">
        <v>1</v>
      </c>
      <c r="E3299" s="11" t="s">
        <v>7</v>
      </c>
      <c r="F3299" s="20">
        <v>46267.354594907411</v>
      </c>
      <c r="G3299" s="11" t="s">
        <v>2683</v>
      </c>
      <c r="H3299" s="11" t="s">
        <v>2682</v>
      </c>
      <c r="I3299" s="1">
        <f>VLOOKUP(G3299,WO!A:J,10,0)</f>
        <v>41</v>
      </c>
      <c r="J3299" s="1" t="str">
        <f t="shared" si="51"/>
        <v>19BA22.00</v>
      </c>
      <c r="K3299" s="1" t="str">
        <f>VLOOKUP(J3299,WO!B:E,4,0)</f>
        <v>AXOLBA</v>
      </c>
      <c r="L3299" s="1" t="str">
        <f>VLOOKUP(J3299,WO!B:F,5,0)</f>
        <v xml:space="preserve">  TRX/PSU/BB Assembly</v>
      </c>
      <c r="N3299" s="7"/>
    </row>
    <row r="3300" spans="1:14">
      <c r="A3300" s="11" t="s">
        <v>3155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2683</v>
      </c>
      <c r="H3300" s="11" t="s">
        <v>2682</v>
      </c>
      <c r="I3300" s="1">
        <f>VLOOKUP(G3300,WO!A:J,10,0)</f>
        <v>41</v>
      </c>
      <c r="J3300" s="1" t="str">
        <f t="shared" si="51"/>
        <v>19BA22.00</v>
      </c>
      <c r="K3300" s="1" t="str">
        <f>VLOOKUP(J3300,WO!B:E,4,0)</f>
        <v>AXOLBA</v>
      </c>
      <c r="L3300" s="1" t="str">
        <f>VLOOKUP(J3300,WO!B:F,5,0)</f>
        <v xml:space="preserve">  TRX/PSU/BB Assembly</v>
      </c>
      <c r="N3300" s="7"/>
    </row>
    <row r="3301" spans="1:14">
      <c r="A3301" s="11" t="s">
        <v>3156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2683</v>
      </c>
      <c r="H3301" s="11" t="s">
        <v>2682</v>
      </c>
      <c r="I3301" s="1">
        <f>VLOOKUP(G3301,WO!A:J,10,0)</f>
        <v>41</v>
      </c>
      <c r="J3301" s="1" t="str">
        <f t="shared" si="51"/>
        <v>19BA22.00</v>
      </c>
      <c r="K3301" s="1" t="str">
        <f>VLOOKUP(J3301,WO!B:E,4,0)</f>
        <v>AXOLBA</v>
      </c>
      <c r="L3301" s="1" t="str">
        <f>VLOOKUP(J3301,WO!B:F,5,0)</f>
        <v xml:space="preserve">  TRX/PSU/BB Assembly</v>
      </c>
      <c r="N3301" s="7"/>
    </row>
    <row r="3302" spans="1:14">
      <c r="A3302" s="11" t="s">
        <v>3157</v>
      </c>
      <c r="B3302" s="11" t="s">
        <v>11</v>
      </c>
      <c r="C3302" s="11" t="s">
        <v>12</v>
      </c>
      <c r="D3302" s="11">
        <v>1</v>
      </c>
      <c r="E3302" s="11" t="s">
        <v>13</v>
      </c>
      <c r="F3302" s="20">
        <v>46273.625243055554</v>
      </c>
      <c r="G3302" s="11" t="s">
        <v>2683</v>
      </c>
      <c r="H3302" s="11" t="s">
        <v>2682</v>
      </c>
      <c r="I3302" s="1">
        <f>VLOOKUP(G3302,WO!A:J,10,0)</f>
        <v>41</v>
      </c>
      <c r="J3302" s="1" t="str">
        <f t="shared" si="51"/>
        <v>19BA22.00</v>
      </c>
      <c r="K3302" s="1" t="str">
        <f>VLOOKUP(J3302,WO!B:E,4,0)</f>
        <v>AXOLBA</v>
      </c>
      <c r="L3302" s="1" t="str">
        <f>VLOOKUP(J3302,WO!B:F,5,0)</f>
        <v xml:space="preserve">  TRX/PSU/BB Assembly</v>
      </c>
      <c r="N3302" s="7"/>
    </row>
    <row r="3303" spans="1:14">
      <c r="A3303" s="11" t="s">
        <v>3158</v>
      </c>
      <c r="B3303" s="11" t="s">
        <v>8</v>
      </c>
      <c r="C3303" s="11" t="s">
        <v>9</v>
      </c>
      <c r="D3303" s="11">
        <v>1</v>
      </c>
      <c r="E3303" s="11" t="s">
        <v>10</v>
      </c>
      <c r="F3303" s="20">
        <v>46267.440150462964</v>
      </c>
      <c r="G3303" s="11" t="s">
        <v>2683</v>
      </c>
      <c r="H3303" s="11" t="s">
        <v>2682</v>
      </c>
      <c r="I3303" s="1">
        <f>VLOOKUP(G3303,WO!A:J,10,0)</f>
        <v>41</v>
      </c>
      <c r="J3303" s="1" t="str">
        <f t="shared" si="51"/>
        <v>19BA22.00</v>
      </c>
      <c r="K3303" s="1" t="str">
        <f>VLOOKUP(J3303,WO!B:E,4,0)</f>
        <v>AXOLBA</v>
      </c>
      <c r="L3303" s="1" t="str">
        <f>VLOOKUP(J3303,WO!B:F,5,0)</f>
        <v xml:space="preserve">  TRX/PSU/BB Assembly</v>
      </c>
      <c r="N3303" s="7"/>
    </row>
    <row r="3304" spans="1:14">
      <c r="A3304" s="11" t="s">
        <v>3159</v>
      </c>
      <c r="B3304" s="11" t="s">
        <v>3508</v>
      </c>
      <c r="C3304" s="11" t="s">
        <v>3509</v>
      </c>
      <c r="D3304" s="11">
        <v>1</v>
      </c>
      <c r="E3304" s="11" t="s">
        <v>151</v>
      </c>
      <c r="F3304" s="20">
        <v>46259.388148148151</v>
      </c>
      <c r="G3304" s="11" t="s">
        <v>2683</v>
      </c>
      <c r="H3304" s="11" t="s">
        <v>2682</v>
      </c>
      <c r="I3304" s="1">
        <f>VLOOKUP(G3304,WO!A:J,10,0)</f>
        <v>41</v>
      </c>
      <c r="J3304" s="1" t="str">
        <f t="shared" si="51"/>
        <v>19BA22.00</v>
      </c>
      <c r="K3304" s="1" t="str">
        <f>VLOOKUP(J3304,WO!B:E,4,0)</f>
        <v>AXOLBA</v>
      </c>
      <c r="L3304" s="1" t="str">
        <f>VLOOKUP(J3304,WO!B:F,5,0)</f>
        <v xml:space="preserve">  TRX/PSU/BB Assembly</v>
      </c>
      <c r="N3304" s="7"/>
    </row>
    <row r="3305" spans="1:14">
      <c r="A3305" s="11" t="s">
        <v>3160</v>
      </c>
      <c r="B3305" s="11" t="s">
        <v>3508</v>
      </c>
      <c r="C3305" s="11" t="s">
        <v>3509</v>
      </c>
      <c r="D3305" s="11">
        <v>1</v>
      </c>
      <c r="E3305" s="11" t="s">
        <v>151</v>
      </c>
      <c r="F3305" s="20">
        <v>46259.387361111112</v>
      </c>
      <c r="G3305" s="11" t="s">
        <v>2683</v>
      </c>
      <c r="H3305" s="11" t="s">
        <v>2682</v>
      </c>
      <c r="I3305" s="1">
        <f>VLOOKUP(G3305,WO!A:J,10,0)</f>
        <v>41</v>
      </c>
      <c r="J3305" s="1" t="str">
        <f t="shared" si="51"/>
        <v>19BA22.00</v>
      </c>
      <c r="K3305" s="1" t="str">
        <f>VLOOKUP(J3305,WO!B:E,4,0)</f>
        <v>AXOLBA</v>
      </c>
      <c r="L3305" s="1" t="str">
        <f>VLOOKUP(J3305,WO!B:F,5,0)</f>
        <v xml:space="preserve">  TRX/PSU/BB Assembly</v>
      </c>
      <c r="N3305" s="7"/>
    </row>
    <row r="3306" spans="1:14">
      <c r="A3306" s="11" t="s">
        <v>3161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2683</v>
      </c>
      <c r="H3306" s="11" t="s">
        <v>2682</v>
      </c>
      <c r="I3306" s="1">
        <f>VLOOKUP(G3306,WO!A:J,10,0)</f>
        <v>41</v>
      </c>
      <c r="J3306" s="1" t="str">
        <f t="shared" si="51"/>
        <v>19BA22.00</v>
      </c>
      <c r="K3306" s="1" t="str">
        <f>VLOOKUP(J3306,WO!B:E,4,0)</f>
        <v>AXOLBA</v>
      </c>
      <c r="L3306" s="1" t="str">
        <f>VLOOKUP(J3306,WO!B:F,5,0)</f>
        <v xml:space="preserve">  TRX/PSU/BB Assembly</v>
      </c>
      <c r="M3306" s="11"/>
      <c r="N3306" s="7"/>
    </row>
    <row r="3307" spans="1:14">
      <c r="A3307" s="11" t="s">
        <v>3162</v>
      </c>
      <c r="B3307" s="11" t="s">
        <v>155</v>
      </c>
      <c r="C3307" s="11" t="s">
        <v>156</v>
      </c>
      <c r="D3307" s="11">
        <v>1</v>
      </c>
      <c r="E3307" s="11" t="s">
        <v>151</v>
      </c>
      <c r="F3307" s="20">
        <v>46273.556157407409</v>
      </c>
      <c r="G3307" s="11" t="s">
        <v>2683</v>
      </c>
      <c r="H3307" s="11" t="s">
        <v>2682</v>
      </c>
      <c r="I3307" s="1">
        <f>VLOOKUP(G3307,WO!A:J,10,0)</f>
        <v>41</v>
      </c>
      <c r="J3307" s="1" t="str">
        <f t="shared" si="51"/>
        <v>19BA22.00</v>
      </c>
      <c r="K3307" s="1" t="str">
        <f>VLOOKUP(J3307,WO!B:E,4,0)</f>
        <v>AXOLBA</v>
      </c>
      <c r="L3307" s="1" t="str">
        <f>VLOOKUP(J3307,WO!B:F,5,0)</f>
        <v xml:space="preserve">  TRX/PSU/BB Assembly</v>
      </c>
      <c r="M3307" s="11"/>
      <c r="N3307" s="7"/>
    </row>
    <row r="3308" spans="1:14">
      <c r="A3308" s="11" t="s">
        <v>3163</v>
      </c>
      <c r="B3308" s="11" t="s">
        <v>11</v>
      </c>
      <c r="C3308" s="11" t="s">
        <v>12</v>
      </c>
      <c r="D3308" s="11">
        <v>1</v>
      </c>
      <c r="E3308" s="11" t="s">
        <v>13</v>
      </c>
      <c r="F3308" s="20">
        <v>46274.282152777778</v>
      </c>
      <c r="G3308" s="11" t="s">
        <v>2683</v>
      </c>
      <c r="H3308" s="11" t="s">
        <v>2682</v>
      </c>
      <c r="I3308" s="1">
        <f>VLOOKUP(G3308,WO!A:J,10,0)</f>
        <v>41</v>
      </c>
      <c r="J3308" s="1" t="str">
        <f t="shared" si="51"/>
        <v>19BA22.00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7"/>
    </row>
    <row r="3309" spans="1:14">
      <c r="A3309" s="11" t="s">
        <v>3164</v>
      </c>
      <c r="B3309" s="11" t="s">
        <v>6</v>
      </c>
      <c r="C3309" s="11" t="s">
        <v>6</v>
      </c>
      <c r="D3309" s="11">
        <v>1</v>
      </c>
      <c r="E3309" s="11" t="s">
        <v>7</v>
      </c>
      <c r="F3309" s="20">
        <v>46266.383263888885</v>
      </c>
      <c r="G3309" s="11" t="s">
        <v>2683</v>
      </c>
      <c r="H3309" s="11" t="s">
        <v>2682</v>
      </c>
      <c r="I3309" s="1">
        <f>VLOOKUP(G3309,WO!A:J,10,0)</f>
        <v>41</v>
      </c>
      <c r="J3309" s="1" t="str">
        <f t="shared" si="51"/>
        <v>19BA22.00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7"/>
    </row>
    <row r="3310" spans="1:14">
      <c r="A3310" s="11" t="s">
        <v>3165</v>
      </c>
      <c r="B3310" s="11" t="s">
        <v>11</v>
      </c>
      <c r="C3310" s="11" t="s">
        <v>12</v>
      </c>
      <c r="D3310" s="11">
        <v>1</v>
      </c>
      <c r="E3310" s="11" t="s">
        <v>13</v>
      </c>
      <c r="F3310" s="20">
        <v>46273.635775462964</v>
      </c>
      <c r="G3310" s="11" t="s">
        <v>2683</v>
      </c>
      <c r="H3310" s="11" t="s">
        <v>2682</v>
      </c>
      <c r="I3310" s="1">
        <f>VLOOKUP(G3310,WO!A:J,10,0)</f>
        <v>41</v>
      </c>
      <c r="J3310" s="1" t="str">
        <f t="shared" si="51"/>
        <v>19BA22.00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7"/>
    </row>
    <row r="3311" spans="1:14">
      <c r="A3311" s="11" t="s">
        <v>3166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2683</v>
      </c>
      <c r="H3311" s="11" t="s">
        <v>2682</v>
      </c>
      <c r="I3311" s="1">
        <f>VLOOKUP(G3311,WO!A:J,10,0)</f>
        <v>41</v>
      </c>
      <c r="J3311" s="1" t="str">
        <f t="shared" si="51"/>
        <v>19BA22.00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7"/>
    </row>
    <row r="3312" spans="1:14">
      <c r="A3312" s="11" t="s">
        <v>3167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2683</v>
      </c>
      <c r="H3312" s="11" t="s">
        <v>2682</v>
      </c>
      <c r="I3312" s="1">
        <f>VLOOKUP(G3312,WO!A:J,10,0)</f>
        <v>41</v>
      </c>
      <c r="J3312" s="1" t="str">
        <f t="shared" si="51"/>
        <v>19BA22.00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7"/>
    </row>
    <row r="3313" spans="1:14">
      <c r="A3313" s="11" t="s">
        <v>3168</v>
      </c>
      <c r="B3313" s="11" t="s">
        <v>11</v>
      </c>
      <c r="C3313" s="11" t="s">
        <v>12</v>
      </c>
      <c r="D3313" s="11">
        <v>1</v>
      </c>
      <c r="E3313" s="11" t="s">
        <v>13</v>
      </c>
      <c r="F3313" s="20">
        <v>46273.622812499998</v>
      </c>
      <c r="G3313" s="11" t="s">
        <v>2683</v>
      </c>
      <c r="H3313" s="11" t="s">
        <v>2682</v>
      </c>
      <c r="I3313" s="1">
        <f>VLOOKUP(G3313,WO!A:J,10,0)</f>
        <v>41</v>
      </c>
      <c r="J3313" s="1" t="str">
        <f t="shared" si="51"/>
        <v>19BA22.00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7"/>
    </row>
    <row r="3314" spans="1:14">
      <c r="A3314" s="11" t="s">
        <v>3169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2683</v>
      </c>
      <c r="H3314" s="11" t="s">
        <v>2682</v>
      </c>
      <c r="I3314" s="1">
        <f>VLOOKUP(G3314,WO!A:J,10,0)</f>
        <v>41</v>
      </c>
      <c r="J3314" s="1" t="str">
        <f t="shared" si="51"/>
        <v>19BA22.00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7"/>
    </row>
    <row r="3315" spans="1:14">
      <c r="A3315" s="11" t="s">
        <v>3170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46266.552407407406</v>
      </c>
      <c r="G3315" s="11" t="s">
        <v>2683</v>
      </c>
      <c r="H3315" s="11" t="s">
        <v>2682</v>
      </c>
      <c r="I3315" s="1">
        <f>VLOOKUP(G3315,WO!A:J,10,0)</f>
        <v>41</v>
      </c>
      <c r="J3315" s="1" t="str">
        <f t="shared" si="51"/>
        <v>19BA22.00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7"/>
    </row>
    <row r="3316" spans="1:14">
      <c r="A3316" s="11" t="s">
        <v>3171</v>
      </c>
      <c r="B3316" s="11" t="s">
        <v>11</v>
      </c>
      <c r="C3316" s="11" t="s">
        <v>12</v>
      </c>
      <c r="D3316" s="11">
        <v>1</v>
      </c>
      <c r="E3316" s="11" t="s">
        <v>13</v>
      </c>
      <c r="F3316" s="20">
        <v>46273.632754629631</v>
      </c>
      <c r="G3316" s="11" t="s">
        <v>2683</v>
      </c>
      <c r="H3316" s="11" t="s">
        <v>2682</v>
      </c>
      <c r="I3316" s="1">
        <f>VLOOKUP(G3316,WO!A:J,10,0)</f>
        <v>41</v>
      </c>
      <c r="J3316" s="1" t="str">
        <f t="shared" si="51"/>
        <v>19BA22.00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7"/>
    </row>
    <row r="3317" spans="1:14">
      <c r="A3317" s="11" t="s">
        <v>3172</v>
      </c>
      <c r="B3317" s="11" t="s">
        <v>11</v>
      </c>
      <c r="C3317" s="11" t="s">
        <v>12</v>
      </c>
      <c r="D3317" s="11">
        <v>1</v>
      </c>
      <c r="E3317" s="11" t="s">
        <v>13</v>
      </c>
      <c r="F3317" s="20">
        <v>46273.611574074072</v>
      </c>
      <c r="G3317" s="11" t="s">
        <v>2683</v>
      </c>
      <c r="H3317" s="11" t="s">
        <v>2682</v>
      </c>
      <c r="I3317" s="1">
        <f>VLOOKUP(G3317,WO!A:J,10,0)</f>
        <v>41</v>
      </c>
      <c r="J3317" s="1" t="str">
        <f t="shared" si="51"/>
        <v>19BA22.00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7"/>
    </row>
    <row r="3318" spans="1:14">
      <c r="A3318" s="11" t="s">
        <v>3173</v>
      </c>
      <c r="B3318" s="11" t="s">
        <v>8</v>
      </c>
      <c r="C3318" s="11" t="s">
        <v>9</v>
      </c>
      <c r="D3318" s="11">
        <v>1</v>
      </c>
      <c r="E3318" s="11" t="s">
        <v>10</v>
      </c>
      <c r="F3318" s="20">
        <v>46273.403587962966</v>
      </c>
      <c r="G3318" s="11" t="s">
        <v>2683</v>
      </c>
      <c r="H3318" s="11" t="s">
        <v>2682</v>
      </c>
      <c r="I3318" s="1">
        <f>VLOOKUP(G3318,WO!A:J,10,0)</f>
        <v>41</v>
      </c>
      <c r="J3318" s="1" t="str">
        <f t="shared" si="51"/>
        <v>19BA22.00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7"/>
    </row>
    <row r="3319" spans="1:14">
      <c r="A3319" s="11" t="s">
        <v>3174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2683</v>
      </c>
      <c r="H3319" s="11" t="s">
        <v>2682</v>
      </c>
      <c r="I3319" s="1">
        <f>VLOOKUP(G3319,WO!A:J,10,0)</f>
        <v>41</v>
      </c>
      <c r="J3319" s="1" t="str">
        <f t="shared" si="51"/>
        <v>19BA22.00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7"/>
    </row>
    <row r="3320" spans="1:14">
      <c r="A3320" s="11" t="s">
        <v>3175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2683</v>
      </c>
      <c r="H3320" s="11" t="s">
        <v>2682</v>
      </c>
      <c r="I3320" s="1">
        <f>VLOOKUP(G3320,WO!A:J,10,0)</f>
        <v>41</v>
      </c>
      <c r="J3320" s="1" t="str">
        <f t="shared" si="51"/>
        <v>19BA22.00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7"/>
    </row>
    <row r="3321" spans="1:14">
      <c r="A3321" s="11" t="s">
        <v>3176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2683</v>
      </c>
      <c r="H3321" s="11" t="s">
        <v>2682</v>
      </c>
      <c r="I3321" s="1">
        <f>VLOOKUP(G3321,WO!A:J,10,0)</f>
        <v>41</v>
      </c>
      <c r="J3321" s="1" t="str">
        <f t="shared" si="51"/>
        <v>19BA22.00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7"/>
    </row>
    <row r="3322" spans="1:14">
      <c r="A3322" s="11" t="s">
        <v>3177</v>
      </c>
      <c r="B3322" s="11" t="s">
        <v>11</v>
      </c>
      <c r="C3322" s="11" t="s">
        <v>12</v>
      </c>
      <c r="D3322" s="11">
        <v>1</v>
      </c>
      <c r="E3322" s="11" t="s">
        <v>13</v>
      </c>
      <c r="F3322" s="20">
        <v>46273.626655092594</v>
      </c>
      <c r="G3322" s="11" t="s">
        <v>2683</v>
      </c>
      <c r="H3322" s="11" t="s">
        <v>2682</v>
      </c>
      <c r="I3322" s="1">
        <f>VLOOKUP(G3322,WO!A:J,10,0)</f>
        <v>41</v>
      </c>
      <c r="J3322" s="1" t="str">
        <f t="shared" si="51"/>
        <v>19BA22.00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7"/>
    </row>
    <row r="3323" spans="1:14">
      <c r="A3323" s="11" t="s">
        <v>3178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2683</v>
      </c>
      <c r="H3323" s="11" t="s">
        <v>2682</v>
      </c>
      <c r="I3323" s="1">
        <f>VLOOKUP(G3323,WO!A:J,10,0)</f>
        <v>41</v>
      </c>
      <c r="J3323" s="1" t="str">
        <f t="shared" si="51"/>
        <v>19BA22.00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7"/>
    </row>
    <row r="3324" spans="1:14">
      <c r="A3324" s="11" t="s">
        <v>3179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2683</v>
      </c>
      <c r="H3324" s="11" t="s">
        <v>2682</v>
      </c>
      <c r="I3324" s="1">
        <f>VLOOKUP(G3324,WO!A:J,10,0)</f>
        <v>41</v>
      </c>
      <c r="J3324" s="1" t="str">
        <f t="shared" si="51"/>
        <v>19BA22.00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7"/>
    </row>
    <row r="3325" spans="1:14">
      <c r="A3325" s="11" t="s">
        <v>3180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2683</v>
      </c>
      <c r="H3325" s="11" t="s">
        <v>2682</v>
      </c>
      <c r="I3325" s="1">
        <f>VLOOKUP(G3325,WO!A:J,10,0)</f>
        <v>41</v>
      </c>
      <c r="J3325" s="1" t="str">
        <f t="shared" si="51"/>
        <v>19BA22.00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7"/>
    </row>
    <row r="3326" spans="1:14">
      <c r="A3326" s="11" t="s">
        <v>3181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2683</v>
      </c>
      <c r="H3326" s="11" t="s">
        <v>2682</v>
      </c>
      <c r="I3326" s="1">
        <f>VLOOKUP(G3326,WO!A:J,10,0)</f>
        <v>41</v>
      </c>
      <c r="J3326" s="1" t="str">
        <f t="shared" si="51"/>
        <v>19BA22.00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7"/>
    </row>
    <row r="3327" spans="1:14">
      <c r="A3327" s="11" t="s">
        <v>3182</v>
      </c>
      <c r="B3327" s="11" t="s">
        <v>11</v>
      </c>
      <c r="C3327" s="11" t="s">
        <v>12</v>
      </c>
      <c r="D3327" s="11">
        <v>1</v>
      </c>
      <c r="E3327" s="11" t="s">
        <v>13</v>
      </c>
      <c r="F3327" s="20">
        <v>46274.304965277777</v>
      </c>
      <c r="G3327" s="11" t="s">
        <v>2683</v>
      </c>
      <c r="H3327" s="11" t="s">
        <v>2682</v>
      </c>
      <c r="I3327" s="1">
        <f>VLOOKUP(G3327,WO!A:J,10,0)</f>
        <v>41</v>
      </c>
      <c r="J3327" s="1" t="str">
        <f t="shared" si="51"/>
        <v>19BA22.00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7"/>
    </row>
    <row r="3328" spans="1:14">
      <c r="A3328" s="11" t="s">
        <v>3183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2683</v>
      </c>
      <c r="H3328" s="11" t="s">
        <v>2682</v>
      </c>
      <c r="I3328" s="1">
        <f>VLOOKUP(G3328,WO!A:J,10,0)</f>
        <v>41</v>
      </c>
      <c r="J3328" s="1" t="str">
        <f t="shared" si="51"/>
        <v>19BA22.00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7"/>
    </row>
    <row r="3329" spans="1:14">
      <c r="A3329" s="11" t="s">
        <v>3184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2683</v>
      </c>
      <c r="H3329" s="11" t="s">
        <v>2682</v>
      </c>
      <c r="I3329" s="1">
        <f>VLOOKUP(G3329,WO!A:J,10,0)</f>
        <v>41</v>
      </c>
      <c r="J3329" s="1" t="str">
        <f t="shared" si="51"/>
        <v>19BA22.00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7"/>
    </row>
    <row r="3330" spans="1:14">
      <c r="A3330" s="11" t="s">
        <v>3185</v>
      </c>
      <c r="B3330" s="11" t="s">
        <v>11</v>
      </c>
      <c r="C3330" s="11" t="s">
        <v>12</v>
      </c>
      <c r="D3330" s="11">
        <v>1</v>
      </c>
      <c r="E3330" s="11" t="s">
        <v>13</v>
      </c>
      <c r="F3330" s="20">
        <v>46274.281886574077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7"/>
    </row>
    <row r="3331" spans="1:14">
      <c r="A3331" s="11" t="s">
        <v>3186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7"/>
    </row>
    <row r="3332" spans="1:14">
      <c r="A3332" s="11" t="s">
        <v>3187</v>
      </c>
      <c r="B3332" s="11" t="s">
        <v>3503</v>
      </c>
      <c r="C3332" s="11" t="s">
        <v>3504</v>
      </c>
      <c r="D3332" s="11">
        <v>1</v>
      </c>
      <c r="E3332" s="11" t="s">
        <v>13</v>
      </c>
      <c r="F3332" s="20">
        <v>46273.517430555556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7"/>
    </row>
    <row r="3333" spans="1:14">
      <c r="A3333" s="11" t="s">
        <v>3188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7"/>
    </row>
    <row r="3334" spans="1:14">
      <c r="A3334" s="11" t="s">
        <v>3189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7"/>
    </row>
    <row r="3335" spans="1:14">
      <c r="A3335" s="11" t="s">
        <v>3190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7"/>
    </row>
    <row r="3336" spans="1:14">
      <c r="A3336" s="11" t="s">
        <v>3191</v>
      </c>
      <c r="B3336" s="11" t="s">
        <v>11</v>
      </c>
      <c r="C3336" s="11" t="s">
        <v>12</v>
      </c>
      <c r="D3336" s="11">
        <v>1</v>
      </c>
      <c r="E3336" s="11" t="s">
        <v>13</v>
      </c>
      <c r="F3336" s="20">
        <v>46273.633391203701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7"/>
    </row>
    <row r="3337" spans="1:14">
      <c r="A3337" s="11" t="s">
        <v>3192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7"/>
    </row>
    <row r="3338" spans="1:14">
      <c r="A3338" s="11" t="s">
        <v>3193</v>
      </c>
      <c r="B3338" s="11" t="s">
        <v>3435</v>
      </c>
      <c r="C3338" s="11" t="s">
        <v>3436</v>
      </c>
      <c r="D3338" s="11">
        <v>1</v>
      </c>
      <c r="E3338" s="11" t="s">
        <v>13</v>
      </c>
      <c r="F3338" s="20">
        <v>46262.29278935185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7"/>
    </row>
    <row r="3339" spans="1:14">
      <c r="A3339" s="11" t="s">
        <v>3194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7"/>
    </row>
    <row r="3340" spans="1:14">
      <c r="A3340" s="11" t="s">
        <v>3195</v>
      </c>
      <c r="B3340" s="11" t="s">
        <v>954</v>
      </c>
      <c r="C3340" s="11" t="s">
        <v>955</v>
      </c>
      <c r="D3340" s="11">
        <v>1</v>
      </c>
      <c r="E3340" s="11" t="s">
        <v>13</v>
      </c>
      <c r="F3340" s="20">
        <v>46274.348310185182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7"/>
    </row>
    <row r="3341" spans="1:14">
      <c r="A3341" s="11" t="s">
        <v>3196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7"/>
    </row>
    <row r="3342" spans="1:14">
      <c r="A3342" s="11" t="s">
        <v>3197</v>
      </c>
      <c r="B3342" s="11" t="s">
        <v>954</v>
      </c>
      <c r="C3342" s="11" t="s">
        <v>955</v>
      </c>
      <c r="D3342" s="11">
        <v>1</v>
      </c>
      <c r="E3342" s="11" t="s">
        <v>13</v>
      </c>
      <c r="F3342" s="20">
        <v>46274.612025462964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7"/>
    </row>
    <row r="3343" spans="1:14">
      <c r="A3343" s="11" t="s">
        <v>3198</v>
      </c>
      <c r="B3343" s="11" t="s">
        <v>956</v>
      </c>
      <c r="C3343" s="11" t="s">
        <v>957</v>
      </c>
      <c r="D3343" s="11">
        <v>1</v>
      </c>
      <c r="E3343" s="11" t="s">
        <v>13</v>
      </c>
      <c r="F3343" s="20">
        <v>46274.517835648148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7"/>
    </row>
    <row r="3344" spans="1:14">
      <c r="A3344" s="11" t="s">
        <v>3199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7"/>
    </row>
    <row r="3345" spans="1:14">
      <c r="A3345" s="11" t="s">
        <v>3200</v>
      </c>
      <c r="B3345" s="11" t="s">
        <v>8</v>
      </c>
      <c r="C3345" s="11" t="s">
        <v>9</v>
      </c>
      <c r="D3345" s="11">
        <v>1</v>
      </c>
      <c r="E3345" s="11" t="s">
        <v>10</v>
      </c>
      <c r="F3345" s="20">
        <v>46273.390821759262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7"/>
    </row>
    <row r="3346" spans="1:14">
      <c r="A3346" s="11" t="s">
        <v>3201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7"/>
    </row>
    <row r="3347" spans="1:14">
      <c r="A3347" s="11" t="s">
        <v>3202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7"/>
    </row>
    <row r="3348" spans="1:14">
      <c r="A3348" s="11" t="s">
        <v>3203</v>
      </c>
      <c r="B3348" s="11" t="s">
        <v>3508</v>
      </c>
      <c r="C3348" s="11" t="s">
        <v>3509</v>
      </c>
      <c r="D3348" s="11">
        <v>1</v>
      </c>
      <c r="E3348" s="11" t="s">
        <v>151</v>
      </c>
      <c r="F3348" s="20">
        <v>46269.572546296295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7"/>
    </row>
    <row r="3349" spans="1:14">
      <c r="A3349" s="11" t="s">
        <v>3204</v>
      </c>
      <c r="B3349" s="11" t="s">
        <v>3503</v>
      </c>
      <c r="C3349" s="11" t="s">
        <v>3504</v>
      </c>
      <c r="D3349" s="11">
        <v>1</v>
      </c>
      <c r="E3349" s="11" t="s">
        <v>13</v>
      </c>
      <c r="F3349" s="20">
        <v>46274.551145833335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7"/>
    </row>
    <row r="3350" spans="1:14">
      <c r="A3350" s="11" t="s">
        <v>3205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7"/>
    </row>
    <row r="3351" spans="1:14">
      <c r="A3351" s="11" t="s">
        <v>3206</v>
      </c>
      <c r="B3351" s="11" t="s">
        <v>954</v>
      </c>
      <c r="C3351" s="11" t="s">
        <v>955</v>
      </c>
      <c r="D3351" s="11">
        <v>1</v>
      </c>
      <c r="E3351" s="11" t="s">
        <v>13</v>
      </c>
      <c r="F3351" s="20">
        <v>46269.557581018518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7"/>
    </row>
    <row r="3352" spans="1:14">
      <c r="A3352" s="11" t="s">
        <v>1422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J3352" s="1" t="str">
        <f t="shared" si="52"/>
        <v>19BA41.00</v>
      </c>
      <c r="K3352" s="1" t="str">
        <f>VLOOKUP(J3352,WO!B:E,4,0)</f>
        <v>AXOLBA</v>
      </c>
      <c r="L3352" s="1" t="str">
        <f>VLOOKUP(J3352,WO!B:F,5,0)</f>
        <v xml:space="preserve">  RRH Unit</v>
      </c>
      <c r="N3352" s="7">
        <v>46253</v>
      </c>
    </row>
    <row r="3353" spans="1:14">
      <c r="A3353" s="11" t="s">
        <v>1423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" t="str">
        <f t="shared" si="52"/>
        <v>19BA41.00</v>
      </c>
      <c r="K3353" s="1" t="str">
        <f>VLOOKUP(J3353,WO!B:E,4,0)</f>
        <v>AXOLBA</v>
      </c>
      <c r="L3353" s="1" t="str">
        <f>VLOOKUP(J3353,WO!B:F,5,0)</f>
        <v xml:space="preserve">  RRH Unit</v>
      </c>
      <c r="M3353" s="11" t="s">
        <v>3815</v>
      </c>
      <c r="N3353" s="7">
        <v>46261</v>
      </c>
    </row>
    <row r="3354" spans="1:14">
      <c r="A3354" s="11" t="s">
        <v>1424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J3354" s="1" t="str">
        <f t="shared" si="52"/>
        <v>19BA41.00</v>
      </c>
      <c r="K3354" s="1" t="str">
        <f>VLOOKUP(J3354,WO!B:E,4,0)</f>
        <v>AXOLBA</v>
      </c>
      <c r="L3354" s="1" t="str">
        <f>VLOOKUP(J3354,WO!B:F,5,0)</f>
        <v xml:space="preserve">  RRH Unit</v>
      </c>
      <c r="N3354" s="7">
        <v>46253</v>
      </c>
    </row>
    <row r="3355" spans="1:14">
      <c r="A3355" s="11" t="s">
        <v>1425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" t="str">
        <f t="shared" si="52"/>
        <v>19BA41.00</v>
      </c>
      <c r="K3355" s="1" t="str">
        <f>VLOOKUP(J3355,WO!B:E,4,0)</f>
        <v>AXOLBA</v>
      </c>
      <c r="L3355" s="1" t="str">
        <f>VLOOKUP(J3355,WO!B:F,5,0)</f>
        <v xml:space="preserve">  RRH Unit</v>
      </c>
      <c r="M3355" s="11" t="s">
        <v>3815</v>
      </c>
      <c r="N3355" s="7">
        <v>46261</v>
      </c>
    </row>
    <row r="3356" spans="1:14">
      <c r="A3356" s="11" t="s">
        <v>1426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J3356" s="1" t="str">
        <f t="shared" si="52"/>
        <v>19BA41.00</v>
      </c>
      <c r="K3356" s="1" t="str">
        <f>VLOOKUP(J3356,WO!B:E,4,0)</f>
        <v>AXOLBA</v>
      </c>
      <c r="L3356" s="1" t="str">
        <f>VLOOKUP(J3356,WO!B:F,5,0)</f>
        <v xml:space="preserve">  RRH Unit</v>
      </c>
      <c r="N3356" s="7"/>
    </row>
    <row r="3357" spans="1:14">
      <c r="A3357" s="11" t="s">
        <v>1427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J3357" s="1" t="str">
        <f t="shared" si="52"/>
        <v>19BA41.00</v>
      </c>
      <c r="K3357" s="1" t="str">
        <f>VLOOKUP(J3357,WO!B:E,4,0)</f>
        <v>AXOLBA</v>
      </c>
      <c r="L3357" s="1" t="str">
        <f>VLOOKUP(J3357,WO!B:F,5,0)</f>
        <v xml:space="preserve">  RRH Unit</v>
      </c>
      <c r="N3357" s="7">
        <v>46253</v>
      </c>
    </row>
    <row r="3358" spans="1:14">
      <c r="A3358" s="11" t="s">
        <v>1428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J3358" s="1" t="str">
        <f t="shared" si="52"/>
        <v>19BA41.00</v>
      </c>
      <c r="K3358" s="1" t="str">
        <f>VLOOKUP(J3358,WO!B:E,4,0)</f>
        <v>AXOLBA</v>
      </c>
      <c r="L3358" s="1" t="str">
        <f>VLOOKUP(J3358,WO!B:F,5,0)</f>
        <v xml:space="preserve">  RRH Unit</v>
      </c>
      <c r="N3358" s="7">
        <v>46253</v>
      </c>
    </row>
    <row r="3359" spans="1:14">
      <c r="A3359" s="11" t="s">
        <v>1429</v>
      </c>
      <c r="B3359" s="11" t="s">
        <v>2189</v>
      </c>
      <c r="C3359" s="11" t="s">
        <v>2190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J3359" s="1" t="str">
        <f t="shared" si="52"/>
        <v>19BA41.00</v>
      </c>
      <c r="K3359" s="1" t="str">
        <f>VLOOKUP(J3359,WO!B:E,4,0)</f>
        <v>AXOLBA</v>
      </c>
      <c r="L3359" s="1" t="str">
        <f>VLOOKUP(J3359,WO!B:F,5,0)</f>
        <v xml:space="preserve">  RRH Unit</v>
      </c>
      <c r="N3359" s="7"/>
    </row>
    <row r="3360" spans="1:14">
      <c r="A3360" s="11" t="s">
        <v>3831</v>
      </c>
      <c r="B3360" s="11" t="s">
        <v>3817</v>
      </c>
      <c r="C3360" s="11" t="s">
        <v>3818</v>
      </c>
      <c r="D3360" s="11">
        <v>1</v>
      </c>
      <c r="E3360" s="11" t="s">
        <v>13</v>
      </c>
      <c r="F3360" s="20">
        <v>46268.459421296298</v>
      </c>
      <c r="G3360" s="11" t="s">
        <v>2151</v>
      </c>
      <c r="H3360" s="11" t="s">
        <v>3776</v>
      </c>
      <c r="I3360" s="1">
        <f>VLOOKUP(G3360,WO!A:J,10,0)</f>
        <v>44</v>
      </c>
      <c r="J3360" s="1" t="str">
        <f t="shared" si="52"/>
        <v>19BA42.00</v>
      </c>
      <c r="K3360" s="1" t="str">
        <f>VLOOKUP(J3360,WO!B:E,4,0)</f>
        <v>AXOLBA</v>
      </c>
      <c r="L3360" s="1" t="str">
        <f>VLOOKUP(J3360,WO!B:F,5,0)</f>
        <v xml:space="preserve">  RRH Unit</v>
      </c>
      <c r="N3360" s="7"/>
    </row>
    <row r="3361" spans="1:14">
      <c r="A3361" s="11" t="s">
        <v>3832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46268.271226851852</v>
      </c>
      <c r="G3361" s="11" t="s">
        <v>2151</v>
      </c>
      <c r="H3361" s="11" t="s">
        <v>3776</v>
      </c>
      <c r="I3361" s="1">
        <f>VLOOKUP(G3361,WO!A:J,10,0)</f>
        <v>44</v>
      </c>
      <c r="J3361" s="1" t="str">
        <f t="shared" si="52"/>
        <v>19BA42.00</v>
      </c>
      <c r="K3361" s="1" t="str">
        <f>VLOOKUP(J3361,WO!B:E,4,0)</f>
        <v>AXOLBA</v>
      </c>
      <c r="L3361" s="1" t="str">
        <f>VLOOKUP(J3361,WO!B:F,5,0)</f>
        <v xml:space="preserve">  RRH Unit</v>
      </c>
      <c r="N3361" s="7">
        <v>46267</v>
      </c>
    </row>
    <row r="3362" spans="1:14">
      <c r="A3362" s="11" t="s">
        <v>3833</v>
      </c>
      <c r="B3362" s="11" t="s">
        <v>2189</v>
      </c>
      <c r="C3362" s="11" t="s">
        <v>2190</v>
      </c>
      <c r="D3362" s="11">
        <v>1</v>
      </c>
      <c r="E3362" s="11" t="s">
        <v>151</v>
      </c>
      <c r="F3362" s="20">
        <v>46267.601585648146</v>
      </c>
      <c r="G3362" s="11" t="s">
        <v>2151</v>
      </c>
      <c r="H3362" s="11" t="s">
        <v>3776</v>
      </c>
      <c r="I3362" s="1">
        <f>VLOOKUP(G3362,WO!A:J,10,0)</f>
        <v>44</v>
      </c>
      <c r="J3362" s="1" t="str">
        <f t="shared" si="52"/>
        <v>19BA42.00</v>
      </c>
      <c r="K3362" s="1" t="str">
        <f>VLOOKUP(J3362,WO!B:E,4,0)</f>
        <v>AXOLBA</v>
      </c>
      <c r="L3362" s="1" t="str">
        <f>VLOOKUP(J3362,WO!B:F,5,0)</f>
        <v xml:space="preserve">  RRH Unit</v>
      </c>
      <c r="N3362" s="7"/>
    </row>
    <row r="3363" spans="1:14">
      <c r="A3363" s="11" t="s">
        <v>3834</v>
      </c>
      <c r="B3363" s="11" t="s">
        <v>2189</v>
      </c>
      <c r="C3363" s="11" t="s">
        <v>2190</v>
      </c>
      <c r="D3363" s="11">
        <v>1</v>
      </c>
      <c r="E3363" s="11" t="s">
        <v>151</v>
      </c>
      <c r="F3363" s="20">
        <v>46267.488981481481</v>
      </c>
      <c r="G3363" s="11" t="s">
        <v>2151</v>
      </c>
      <c r="H3363" s="11" t="s">
        <v>3776</v>
      </c>
      <c r="I3363" s="1">
        <f>VLOOKUP(G3363,WO!A:J,10,0)</f>
        <v>44</v>
      </c>
      <c r="J3363" s="1" t="str">
        <f t="shared" si="52"/>
        <v>19BA42.00</v>
      </c>
      <c r="K3363" s="1" t="str">
        <f>VLOOKUP(J3363,WO!B:E,4,0)</f>
        <v>AXOLBA</v>
      </c>
      <c r="L3363" s="1" t="str">
        <f>VLOOKUP(J3363,WO!B:F,5,0)</f>
        <v xml:space="preserve">  RRH Unit</v>
      </c>
      <c r="N3363" s="7"/>
    </row>
    <row r="3364" spans="1:14">
      <c r="A3364" s="11" t="s">
        <v>3835</v>
      </c>
      <c r="B3364" s="11" t="s">
        <v>3817</v>
      </c>
      <c r="C3364" s="11" t="s">
        <v>3818</v>
      </c>
      <c r="D3364" s="11">
        <v>1</v>
      </c>
      <c r="E3364" s="11" t="s">
        <v>13</v>
      </c>
      <c r="F3364" s="20">
        <v>46268.507060185184</v>
      </c>
      <c r="G3364" s="11" t="s">
        <v>2151</v>
      </c>
      <c r="H3364" s="11" t="s">
        <v>3776</v>
      </c>
      <c r="I3364" s="1">
        <f>VLOOKUP(G3364,WO!A:J,10,0)</f>
        <v>44</v>
      </c>
      <c r="J3364" s="1" t="str">
        <f t="shared" si="52"/>
        <v>19BA42.00</v>
      </c>
      <c r="K3364" s="1" t="str">
        <f>VLOOKUP(J3364,WO!B:E,4,0)</f>
        <v>AXOLBA</v>
      </c>
      <c r="L3364" s="1" t="str">
        <f>VLOOKUP(J3364,WO!B:F,5,0)</f>
        <v xml:space="preserve">  RRH Unit</v>
      </c>
      <c r="N3364" s="7">
        <v>46269</v>
      </c>
    </row>
    <row r="3365" spans="1:14">
      <c r="A3365" s="11" t="s">
        <v>3836</v>
      </c>
      <c r="B3365" s="11" t="s">
        <v>3896</v>
      </c>
      <c r="C3365" s="11" t="s">
        <v>3897</v>
      </c>
      <c r="D3365" s="11">
        <v>1</v>
      </c>
      <c r="E3365" s="11" t="s">
        <v>76</v>
      </c>
      <c r="F3365" s="20">
        <v>46267.391782407409</v>
      </c>
      <c r="G3365" s="11" t="s">
        <v>2151</v>
      </c>
      <c r="H3365" s="11" t="s">
        <v>3776</v>
      </c>
      <c r="I3365" s="1">
        <f>VLOOKUP(G3365,WO!A:J,10,0)</f>
        <v>44</v>
      </c>
      <c r="J3365" s="1" t="str">
        <f t="shared" si="52"/>
        <v>19BA42.00</v>
      </c>
      <c r="K3365" s="1" t="str">
        <f>VLOOKUP(J3365,WO!B:E,4,0)</f>
        <v>AXOLBA</v>
      </c>
      <c r="L3365" s="1" t="str">
        <f>VLOOKUP(J3365,WO!B:F,5,0)</f>
        <v xml:space="preserve">  RRH Unit</v>
      </c>
      <c r="N3365" s="7"/>
    </row>
    <row r="3366" spans="1:14">
      <c r="A3366" s="11" t="s">
        <v>3837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2151</v>
      </c>
      <c r="H3366" s="11" t="s">
        <v>3776</v>
      </c>
      <c r="I3366" s="1">
        <f>VLOOKUP(G3366,WO!A:J,10,0)</f>
        <v>44</v>
      </c>
      <c r="J3366" s="1" t="str">
        <f t="shared" si="52"/>
        <v>19BA42.00</v>
      </c>
      <c r="K3366" s="1" t="str">
        <f>VLOOKUP(J3366,WO!B:E,4,0)</f>
        <v>AXOLBA</v>
      </c>
      <c r="L3366" s="1" t="str">
        <f>VLOOKUP(J3366,WO!B:F,5,0)</f>
        <v xml:space="preserve">  RRH Unit</v>
      </c>
      <c r="N3366" s="7"/>
    </row>
    <row r="3367" spans="1:14">
      <c r="A3367" s="11" t="s">
        <v>3838</v>
      </c>
      <c r="B3367" s="11" t="s">
        <v>17</v>
      </c>
      <c r="C3367" s="11" t="s">
        <v>18</v>
      </c>
      <c r="D3367" s="11">
        <v>1</v>
      </c>
      <c r="E3367" s="11" t="s">
        <v>19</v>
      </c>
      <c r="F3367" s="20">
        <v>46269.451863425929</v>
      </c>
      <c r="G3367" s="11" t="s">
        <v>2151</v>
      </c>
      <c r="H3367" s="11" t="s">
        <v>3776</v>
      </c>
      <c r="I3367" s="1">
        <f>VLOOKUP(G3367,WO!A:J,10,0)</f>
        <v>44</v>
      </c>
      <c r="J3367" s="1" t="str">
        <f t="shared" si="52"/>
        <v>19BA42.00</v>
      </c>
      <c r="K3367" s="1" t="str">
        <f>VLOOKUP(J3367,WO!B:E,4,0)</f>
        <v>AXOLBA</v>
      </c>
      <c r="L3367" s="1" t="str">
        <f>VLOOKUP(J3367,WO!B:F,5,0)</f>
        <v xml:space="preserve">  RRH Unit</v>
      </c>
      <c r="N3367" s="7"/>
    </row>
    <row r="3368" spans="1:14">
      <c r="A3368" s="11" t="s">
        <v>3839</v>
      </c>
      <c r="B3368" s="11" t="s">
        <v>2189</v>
      </c>
      <c r="C3368" s="11" t="s">
        <v>2190</v>
      </c>
      <c r="D3368" s="11">
        <v>1</v>
      </c>
      <c r="E3368" s="11" t="s">
        <v>151</v>
      </c>
      <c r="F3368" s="20">
        <v>46267.590682870374</v>
      </c>
      <c r="G3368" s="11" t="s">
        <v>2151</v>
      </c>
      <c r="H3368" s="11" t="s">
        <v>3776</v>
      </c>
      <c r="I3368" s="1">
        <f>VLOOKUP(G3368,WO!A:J,10,0)</f>
        <v>44</v>
      </c>
      <c r="J3368" s="1" t="str">
        <f t="shared" si="52"/>
        <v>19BA42.00</v>
      </c>
      <c r="K3368" s="1" t="str">
        <f>VLOOKUP(J3368,WO!B:E,4,0)</f>
        <v>AXOLBA</v>
      </c>
      <c r="L3368" s="1" t="str">
        <f>VLOOKUP(J3368,WO!B:F,5,0)</f>
        <v xml:space="preserve">  RRH Unit</v>
      </c>
      <c r="N3368" s="7"/>
    </row>
    <row r="3369" spans="1:14">
      <c r="A3369" s="11" t="s">
        <v>3840</v>
      </c>
      <c r="B3369" s="11" t="s">
        <v>2189</v>
      </c>
      <c r="C3369" s="11" t="s">
        <v>2190</v>
      </c>
      <c r="D3369" s="11">
        <v>1</v>
      </c>
      <c r="E3369" s="11" t="s">
        <v>151</v>
      </c>
      <c r="F3369" s="20">
        <v>46267.427025462966</v>
      </c>
      <c r="G3369" s="11" t="s">
        <v>2151</v>
      </c>
      <c r="H3369" s="11" t="s">
        <v>3776</v>
      </c>
      <c r="I3369" s="1">
        <f>VLOOKUP(G3369,WO!A:J,10,0)</f>
        <v>44</v>
      </c>
      <c r="J3369" s="1" t="str">
        <f t="shared" si="52"/>
        <v>19BA42.00</v>
      </c>
      <c r="K3369" s="1" t="str">
        <f>VLOOKUP(J3369,WO!B:E,4,0)</f>
        <v>AXOLBA</v>
      </c>
      <c r="L3369" s="1" t="str">
        <f>VLOOKUP(J3369,WO!B:F,5,0)</f>
        <v xml:space="preserve">  RRH Unit</v>
      </c>
      <c r="N3369" s="7"/>
    </row>
    <row r="3370" spans="1:14">
      <c r="A3370" s="11" t="s">
        <v>3841</v>
      </c>
      <c r="B3370" s="11" t="s">
        <v>3896</v>
      </c>
      <c r="C3370" s="11" t="s">
        <v>3897</v>
      </c>
      <c r="D3370" s="11">
        <v>1</v>
      </c>
      <c r="E3370" s="11" t="s">
        <v>76</v>
      </c>
      <c r="F3370" s="20">
        <v>46267.445509259262</v>
      </c>
      <c r="G3370" s="11" t="s">
        <v>2151</v>
      </c>
      <c r="H3370" s="11" t="s">
        <v>3776</v>
      </c>
      <c r="I3370" s="1">
        <f>VLOOKUP(G3370,WO!A:J,10,0)</f>
        <v>44</v>
      </c>
      <c r="J3370" s="1" t="str">
        <f t="shared" si="52"/>
        <v>19BA42.00</v>
      </c>
      <c r="K3370" s="1" t="str">
        <f>VLOOKUP(J3370,WO!B:E,4,0)</f>
        <v>AXOLBA</v>
      </c>
      <c r="L3370" s="1" t="str">
        <f>VLOOKUP(J3370,WO!B:F,5,0)</f>
        <v xml:space="preserve">  RRH Unit</v>
      </c>
      <c r="N3370" s="7"/>
    </row>
    <row r="3371" spans="1:14">
      <c r="A3371" s="11" t="s">
        <v>3842</v>
      </c>
      <c r="B3371" s="11" t="s">
        <v>3898</v>
      </c>
      <c r="C3371" s="11" t="s">
        <v>3899</v>
      </c>
      <c r="D3371" s="11">
        <v>1</v>
      </c>
      <c r="E3371" s="11" t="s">
        <v>13</v>
      </c>
      <c r="F3371" s="20">
        <v>46267.58898148148</v>
      </c>
      <c r="G3371" s="11" t="s">
        <v>2151</v>
      </c>
      <c r="H3371" s="11" t="s">
        <v>3776</v>
      </c>
      <c r="I3371" s="1">
        <f>VLOOKUP(G3371,WO!A:J,10,0)</f>
        <v>44</v>
      </c>
      <c r="J3371" s="1" t="str">
        <f t="shared" si="52"/>
        <v>19BA42.00</v>
      </c>
      <c r="K3371" s="1" t="str">
        <f>VLOOKUP(J3371,WO!B:E,4,0)</f>
        <v>AXOLBA</v>
      </c>
      <c r="L3371" s="1" t="str">
        <f>VLOOKUP(J3371,WO!B:F,5,0)</f>
        <v xml:space="preserve">  RRH Unit</v>
      </c>
      <c r="N3371" s="7"/>
    </row>
    <row r="3372" spans="1:14">
      <c r="A3372" s="11" t="s">
        <v>3843</v>
      </c>
      <c r="B3372" s="11" t="s">
        <v>3898</v>
      </c>
      <c r="C3372" s="11" t="s">
        <v>3899</v>
      </c>
      <c r="D3372" s="11">
        <v>1</v>
      </c>
      <c r="E3372" s="11" t="s">
        <v>13</v>
      </c>
      <c r="F3372" s="20">
        <v>46267.580833333333</v>
      </c>
      <c r="G3372" s="11" t="s">
        <v>2151</v>
      </c>
      <c r="H3372" s="11" t="s">
        <v>3776</v>
      </c>
      <c r="I3372" s="1">
        <f>VLOOKUP(G3372,WO!A:J,10,0)</f>
        <v>44</v>
      </c>
      <c r="J3372" s="1" t="str">
        <f t="shared" si="52"/>
        <v>19BA42.00</v>
      </c>
      <c r="K3372" s="1" t="str">
        <f>VLOOKUP(J3372,WO!B:E,4,0)</f>
        <v>AXOLBA</v>
      </c>
      <c r="L3372" s="1" t="str">
        <f>VLOOKUP(J3372,WO!B:F,5,0)</f>
        <v xml:space="preserve">  RRH Unit</v>
      </c>
      <c r="N3372" s="7"/>
    </row>
    <row r="3373" spans="1:14">
      <c r="A3373" s="11" t="s">
        <v>3844</v>
      </c>
      <c r="B3373" s="11" t="s">
        <v>4047</v>
      </c>
      <c r="C3373" s="11" t="s">
        <v>4048</v>
      </c>
      <c r="D3373" s="11">
        <v>1</v>
      </c>
      <c r="E3373" s="11" t="s">
        <v>13</v>
      </c>
      <c r="F3373" s="20">
        <v>46275.273912037039</v>
      </c>
      <c r="G3373" s="11" t="s">
        <v>2151</v>
      </c>
      <c r="H3373" s="11" t="s">
        <v>3776</v>
      </c>
      <c r="I3373" s="1">
        <f>VLOOKUP(G3373,WO!A:J,10,0)</f>
        <v>44</v>
      </c>
      <c r="J3373" s="1" t="str">
        <f t="shared" si="52"/>
        <v>19BA42.00</v>
      </c>
      <c r="K3373" s="1" t="str">
        <f>VLOOKUP(J3373,WO!B:E,4,0)</f>
        <v>AXOLBA</v>
      </c>
      <c r="L3373" s="1" t="str">
        <f>VLOOKUP(J3373,WO!B:F,5,0)</f>
        <v xml:space="preserve">  RRH Unit</v>
      </c>
      <c r="N3373" s="7"/>
    </row>
    <row r="3374" spans="1:14">
      <c r="A3374" s="11" t="s">
        <v>3845</v>
      </c>
      <c r="B3374" s="11" t="s">
        <v>4047</v>
      </c>
      <c r="C3374" s="11" t="s">
        <v>4048</v>
      </c>
      <c r="D3374" s="11">
        <v>1</v>
      </c>
      <c r="E3374" s="11" t="s">
        <v>13</v>
      </c>
      <c r="F3374" s="20">
        <v>46275.294305555559</v>
      </c>
      <c r="G3374" s="11" t="s">
        <v>2151</v>
      </c>
      <c r="H3374" s="11" t="s">
        <v>3776</v>
      </c>
      <c r="I3374" s="1">
        <f>VLOOKUP(G3374,WO!A:J,10,0)</f>
        <v>44</v>
      </c>
      <c r="J3374" s="1" t="str">
        <f t="shared" si="52"/>
        <v>19BA42.00</v>
      </c>
      <c r="K3374" s="1" t="str">
        <f>VLOOKUP(J3374,WO!B:E,4,0)</f>
        <v>AXOLBA</v>
      </c>
      <c r="L3374" s="1" t="str">
        <f>VLOOKUP(J3374,WO!B:F,5,0)</f>
        <v xml:space="preserve">  RRH Unit</v>
      </c>
      <c r="N3374" s="7"/>
    </row>
    <row r="3375" spans="1:14">
      <c r="A3375" s="11" t="s">
        <v>3846</v>
      </c>
      <c r="B3375" s="11" t="s">
        <v>2152</v>
      </c>
      <c r="C3375" s="11" t="s">
        <v>2153</v>
      </c>
      <c r="D3375" s="11">
        <v>1</v>
      </c>
      <c r="E3375" s="11" t="s">
        <v>76</v>
      </c>
      <c r="F3375" s="20">
        <v>46275.312916666669</v>
      </c>
      <c r="G3375" s="11" t="s">
        <v>2151</v>
      </c>
      <c r="H3375" s="11" t="s">
        <v>3776</v>
      </c>
      <c r="I3375" s="1">
        <f>VLOOKUP(G3375,WO!A:J,10,0)</f>
        <v>44</v>
      </c>
      <c r="J3375" s="1" t="str">
        <f t="shared" si="52"/>
        <v>19BA42.00</v>
      </c>
      <c r="K3375" s="1" t="str">
        <f>VLOOKUP(J3375,WO!B:E,4,0)</f>
        <v>AXOLBA</v>
      </c>
      <c r="L3375" s="1" t="str">
        <f>VLOOKUP(J3375,WO!B:F,5,0)</f>
        <v xml:space="preserve">  RRH Unit</v>
      </c>
      <c r="N3375" s="7"/>
    </row>
    <row r="3376" spans="1:14">
      <c r="A3376" s="11" t="s">
        <v>3847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2151</v>
      </c>
      <c r="H3376" s="11" t="s">
        <v>3776</v>
      </c>
      <c r="I3376" s="1">
        <f>VLOOKUP(G3376,WO!A:J,10,0)</f>
        <v>44</v>
      </c>
      <c r="J3376" s="1" t="str">
        <f t="shared" si="52"/>
        <v>19BA42.00</v>
      </c>
      <c r="K3376" s="1" t="str">
        <f>VLOOKUP(J3376,WO!B:E,4,0)</f>
        <v>AXOLBA</v>
      </c>
      <c r="L3376" s="1" t="str">
        <f>VLOOKUP(J3376,WO!B:F,5,0)</f>
        <v xml:space="preserve">  RRH Unit</v>
      </c>
      <c r="N3376" s="7"/>
    </row>
    <row r="3377" spans="1:14">
      <c r="A3377" s="11" t="s">
        <v>3848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2151</v>
      </c>
      <c r="H3377" s="11" t="s">
        <v>3776</v>
      </c>
      <c r="I3377" s="1">
        <f>VLOOKUP(G3377,WO!A:J,10,0)</f>
        <v>44</v>
      </c>
      <c r="J3377" s="1" t="str">
        <f t="shared" si="52"/>
        <v>19BA42.00</v>
      </c>
      <c r="K3377" s="1" t="str">
        <f>VLOOKUP(J3377,WO!B:E,4,0)</f>
        <v>AXOLBA</v>
      </c>
      <c r="L3377" s="1" t="str">
        <f>VLOOKUP(J3377,WO!B:F,5,0)</f>
        <v xml:space="preserve">  RRH Unit</v>
      </c>
      <c r="N3377" s="7"/>
    </row>
    <row r="3378" spans="1:14">
      <c r="A3378" s="11" t="s">
        <v>3849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2151</v>
      </c>
      <c r="H3378" s="11" t="s">
        <v>3776</v>
      </c>
      <c r="I3378" s="1">
        <f>VLOOKUP(G3378,WO!A:J,10,0)</f>
        <v>44</v>
      </c>
      <c r="J3378" s="1" t="str">
        <f t="shared" si="52"/>
        <v>19BA42.00</v>
      </c>
      <c r="K3378" s="1" t="str">
        <f>VLOOKUP(J3378,WO!B:E,4,0)</f>
        <v>AXOLBA</v>
      </c>
      <c r="L3378" s="1" t="str">
        <f>VLOOKUP(J3378,WO!B:F,5,0)</f>
        <v xml:space="preserve">  RRH Unit</v>
      </c>
      <c r="N3378" s="7"/>
    </row>
    <row r="3379" spans="1:14">
      <c r="A3379" s="11" t="s">
        <v>3850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2151</v>
      </c>
      <c r="H3379" s="11" t="s">
        <v>3776</v>
      </c>
      <c r="I3379" s="1">
        <f>VLOOKUP(G3379,WO!A:J,10,0)</f>
        <v>44</v>
      </c>
      <c r="J3379" s="1" t="str">
        <f t="shared" si="52"/>
        <v>19BA42.00</v>
      </c>
      <c r="K3379" s="1" t="str">
        <f>VLOOKUP(J3379,WO!B:E,4,0)</f>
        <v>AXOLBA</v>
      </c>
      <c r="L3379" s="1" t="str">
        <f>VLOOKUP(J3379,WO!B:F,5,0)</f>
        <v xml:space="preserve">  RRH Unit</v>
      </c>
      <c r="N3379" s="7"/>
    </row>
    <row r="3380" spans="1:14">
      <c r="A3380" s="11" t="s">
        <v>3851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2151</v>
      </c>
      <c r="H3380" s="11" t="s">
        <v>3776</v>
      </c>
      <c r="I3380" s="1">
        <f>VLOOKUP(G3380,WO!A:J,10,0)</f>
        <v>44</v>
      </c>
      <c r="J3380" s="1" t="str">
        <f t="shared" si="52"/>
        <v>19BA42.00</v>
      </c>
      <c r="K3380" s="1" t="str">
        <f>VLOOKUP(J3380,WO!B:E,4,0)</f>
        <v>AXOLBA</v>
      </c>
      <c r="L3380" s="1" t="str">
        <f>VLOOKUP(J3380,WO!B:F,5,0)</f>
        <v xml:space="preserve">  RRH Unit</v>
      </c>
      <c r="N3380" s="7"/>
    </row>
    <row r="3381" spans="1:14">
      <c r="A3381" s="11" t="s">
        <v>3852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2151</v>
      </c>
      <c r="H3381" s="11" t="s">
        <v>3776</v>
      </c>
      <c r="I3381" s="1">
        <f>VLOOKUP(G3381,WO!A:J,10,0)</f>
        <v>44</v>
      </c>
      <c r="J3381" s="1" t="str">
        <f t="shared" si="52"/>
        <v>19BA42.00</v>
      </c>
      <c r="K3381" s="1" t="str">
        <f>VLOOKUP(J3381,WO!B:E,4,0)</f>
        <v>AXOLBA</v>
      </c>
      <c r="L3381" s="1" t="str">
        <f>VLOOKUP(J3381,WO!B:F,5,0)</f>
        <v xml:space="preserve">  RRH Unit</v>
      </c>
      <c r="N3381" s="7"/>
    </row>
    <row r="3382" spans="1:14">
      <c r="A3382" s="11" t="s">
        <v>3853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2151</v>
      </c>
      <c r="H3382" s="11" t="s">
        <v>3776</v>
      </c>
      <c r="I3382" s="1">
        <f>VLOOKUP(G3382,WO!A:J,10,0)</f>
        <v>44</v>
      </c>
      <c r="J3382" s="1" t="str">
        <f t="shared" si="52"/>
        <v>19BA42.00</v>
      </c>
      <c r="K3382" s="1" t="str">
        <f>VLOOKUP(J3382,WO!B:E,4,0)</f>
        <v>AXOLBA</v>
      </c>
      <c r="L3382" s="1" t="str">
        <f>VLOOKUP(J3382,WO!B:F,5,0)</f>
        <v xml:space="preserve">  RRH Unit</v>
      </c>
      <c r="N3382" s="7"/>
    </row>
    <row r="3383" spans="1:14">
      <c r="A3383" s="11" t="s">
        <v>3854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2151</v>
      </c>
      <c r="H3383" s="11" t="s">
        <v>3776</v>
      </c>
      <c r="I3383" s="1">
        <f>VLOOKUP(G3383,WO!A:J,10,0)</f>
        <v>44</v>
      </c>
      <c r="J3383" s="1" t="str">
        <f t="shared" si="52"/>
        <v>19BA42.00</v>
      </c>
      <c r="K3383" s="1" t="str">
        <f>VLOOKUP(J3383,WO!B:E,4,0)</f>
        <v>AXOLBA</v>
      </c>
      <c r="L3383" s="1" t="str">
        <f>VLOOKUP(J3383,WO!B:F,5,0)</f>
        <v xml:space="preserve">  RRH Unit</v>
      </c>
      <c r="N3383" s="7"/>
    </row>
    <row r="3384" spans="1:14">
      <c r="A3384" s="11" t="s">
        <v>3855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2151</v>
      </c>
      <c r="H3384" s="11" t="s">
        <v>3776</v>
      </c>
      <c r="I3384" s="1">
        <f>VLOOKUP(G3384,WO!A:J,10,0)</f>
        <v>44</v>
      </c>
      <c r="J3384" s="1" t="str">
        <f t="shared" si="52"/>
        <v>19BA42.00</v>
      </c>
      <c r="K3384" s="1" t="str">
        <f>VLOOKUP(J3384,WO!B:E,4,0)</f>
        <v>AXOLBA</v>
      </c>
      <c r="L3384" s="1" t="str">
        <f>VLOOKUP(J3384,WO!B:F,5,0)</f>
        <v xml:space="preserve">  RRH Unit</v>
      </c>
      <c r="N3384" s="7"/>
    </row>
    <row r="3385" spans="1:14">
      <c r="A3385" s="11" t="s">
        <v>3856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2151</v>
      </c>
      <c r="H3385" s="11" t="s">
        <v>3776</v>
      </c>
      <c r="I3385" s="1">
        <f>VLOOKUP(G3385,WO!A:J,10,0)</f>
        <v>44</v>
      </c>
      <c r="J3385" s="1" t="str">
        <f t="shared" si="52"/>
        <v>19BA42.00</v>
      </c>
      <c r="K3385" s="1" t="str">
        <f>VLOOKUP(J3385,WO!B:E,4,0)</f>
        <v>AXOLBA</v>
      </c>
      <c r="L3385" s="1" t="str">
        <f>VLOOKUP(J3385,WO!B:F,5,0)</f>
        <v xml:space="preserve">  RRH Unit</v>
      </c>
      <c r="N3385" s="7"/>
    </row>
    <row r="3386" spans="1:14">
      <c r="A3386" s="11" t="s">
        <v>3857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2151</v>
      </c>
      <c r="H3386" s="11" t="s">
        <v>3776</v>
      </c>
      <c r="I3386" s="1">
        <f>VLOOKUP(G3386,WO!A:J,10,0)</f>
        <v>44</v>
      </c>
      <c r="J3386" s="1" t="str">
        <f t="shared" si="52"/>
        <v>19BA42.00</v>
      </c>
      <c r="K3386" s="1" t="str">
        <f>VLOOKUP(J3386,WO!B:E,4,0)</f>
        <v>AXOLBA</v>
      </c>
      <c r="L3386" s="1" t="str">
        <f>VLOOKUP(J3386,WO!B:F,5,0)</f>
        <v xml:space="preserve">  RRH Unit</v>
      </c>
      <c r="N3386" s="7"/>
    </row>
    <row r="3387" spans="1:14">
      <c r="A3387" s="11" t="s">
        <v>3858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2151</v>
      </c>
      <c r="H3387" s="11" t="s">
        <v>3776</v>
      </c>
      <c r="I3387" s="1">
        <f>VLOOKUP(G3387,WO!A:J,10,0)</f>
        <v>44</v>
      </c>
      <c r="J3387" s="1" t="str">
        <f t="shared" si="52"/>
        <v>19BA42.00</v>
      </c>
      <c r="K3387" s="1" t="str">
        <f>VLOOKUP(J3387,WO!B:E,4,0)</f>
        <v>AXOLBA</v>
      </c>
      <c r="L3387" s="1" t="str">
        <f>VLOOKUP(J3387,WO!B:F,5,0)</f>
        <v xml:space="preserve">  RRH Unit</v>
      </c>
      <c r="N3387" s="7"/>
    </row>
    <row r="3388" spans="1:14">
      <c r="A3388" s="11" t="s">
        <v>3859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2151</v>
      </c>
      <c r="H3388" s="11" t="s">
        <v>3776</v>
      </c>
      <c r="I3388" s="1">
        <f>VLOOKUP(G3388,WO!A:J,10,0)</f>
        <v>44</v>
      </c>
      <c r="J3388" s="1" t="str">
        <f t="shared" si="52"/>
        <v>19BA42.00</v>
      </c>
      <c r="K3388" s="1" t="str">
        <f>VLOOKUP(J3388,WO!B:E,4,0)</f>
        <v>AXOLBA</v>
      </c>
      <c r="L3388" s="1" t="str">
        <f>VLOOKUP(J3388,WO!B:F,5,0)</f>
        <v xml:space="preserve">  RRH Unit</v>
      </c>
      <c r="N3388" s="7"/>
    </row>
    <row r="3389" spans="1:14">
      <c r="A3389" s="11" t="s">
        <v>3860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2151</v>
      </c>
      <c r="H3389" s="11" t="s">
        <v>3776</v>
      </c>
      <c r="I3389" s="1">
        <f>VLOOKUP(G3389,WO!A:J,10,0)</f>
        <v>44</v>
      </c>
      <c r="J3389" s="1" t="str">
        <f t="shared" si="52"/>
        <v>19BA42.00</v>
      </c>
      <c r="K3389" s="1" t="str">
        <f>VLOOKUP(J3389,WO!B:E,4,0)</f>
        <v>AXOLBA</v>
      </c>
      <c r="L3389" s="1" t="str">
        <f>VLOOKUP(J3389,WO!B:F,5,0)</f>
        <v xml:space="preserve">  RRH Unit</v>
      </c>
      <c r="N3389" s="7"/>
    </row>
    <row r="3390" spans="1:14">
      <c r="A3390" s="11" t="s">
        <v>3861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2151</v>
      </c>
      <c r="H3390" s="11" t="s">
        <v>3776</v>
      </c>
      <c r="I3390" s="1">
        <f>VLOOKUP(G3390,WO!A:J,10,0)</f>
        <v>44</v>
      </c>
      <c r="J3390" s="1" t="str">
        <f t="shared" si="52"/>
        <v>19BA42.00</v>
      </c>
      <c r="K3390" s="1" t="str">
        <f>VLOOKUP(J3390,WO!B:E,4,0)</f>
        <v>AXOLBA</v>
      </c>
      <c r="L3390" s="1" t="str">
        <f>VLOOKUP(J3390,WO!B:F,5,0)</f>
        <v xml:space="preserve">  RRH Unit</v>
      </c>
      <c r="N3390" s="7"/>
    </row>
    <row r="3391" spans="1:14">
      <c r="A3391" s="11" t="s">
        <v>3862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2151</v>
      </c>
      <c r="H3391" s="11" t="s">
        <v>3776</v>
      </c>
      <c r="I3391" s="1">
        <f>VLOOKUP(G3391,WO!A:J,10,0)</f>
        <v>44</v>
      </c>
      <c r="J3391" s="1" t="str">
        <f t="shared" si="52"/>
        <v>19BA42.00</v>
      </c>
      <c r="K3391" s="1" t="str">
        <f>VLOOKUP(J3391,WO!B:E,4,0)</f>
        <v>AXOLBA</v>
      </c>
      <c r="L3391" s="1" t="str">
        <f>VLOOKUP(J3391,WO!B:F,5,0)</f>
        <v xml:space="preserve">  RRH Unit</v>
      </c>
      <c r="N3391" s="7"/>
    </row>
    <row r="3392" spans="1:14">
      <c r="A3392" s="11" t="s">
        <v>3863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2151</v>
      </c>
      <c r="H3392" s="11" t="s">
        <v>3776</v>
      </c>
      <c r="I3392" s="1">
        <f>VLOOKUP(G3392,WO!A:J,10,0)</f>
        <v>44</v>
      </c>
      <c r="J3392" s="1" t="str">
        <f t="shared" si="52"/>
        <v>19BA42.00</v>
      </c>
      <c r="K3392" s="1" t="str">
        <f>VLOOKUP(J3392,WO!B:E,4,0)</f>
        <v>AXOLBA</v>
      </c>
      <c r="L3392" s="1" t="str">
        <f>VLOOKUP(J3392,WO!B:F,5,0)</f>
        <v xml:space="preserve">  RRH Unit</v>
      </c>
      <c r="N3392" s="7"/>
    </row>
    <row r="3393" spans="1:14">
      <c r="A3393" s="11" t="s">
        <v>3864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2151</v>
      </c>
      <c r="H3393" s="11" t="s">
        <v>3776</v>
      </c>
      <c r="I3393" s="1">
        <f>VLOOKUP(G3393,WO!A:J,10,0)</f>
        <v>44</v>
      </c>
      <c r="J3393" s="1" t="str">
        <f t="shared" si="52"/>
        <v>19BA42.00</v>
      </c>
      <c r="K3393" s="1" t="str">
        <f>VLOOKUP(J3393,WO!B:E,4,0)</f>
        <v>AXOLBA</v>
      </c>
      <c r="L3393" s="1" t="str">
        <f>VLOOKUP(J3393,WO!B:F,5,0)</f>
        <v xml:space="preserve">  RRH Unit</v>
      </c>
      <c r="N3393" s="7"/>
    </row>
    <row r="3394" spans="1:14">
      <c r="A3394" s="11" t="s">
        <v>3865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2151</v>
      </c>
      <c r="H3394" s="11" t="s">
        <v>3776</v>
      </c>
      <c r="I3394" s="1">
        <f>VLOOKUP(G3394,WO!A:J,10,0)</f>
        <v>44</v>
      </c>
      <c r="J3394" s="1" t="str">
        <f t="shared" si="52"/>
        <v>19BA42.00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7"/>
    </row>
    <row r="3395" spans="1:14">
      <c r="A3395" s="11" t="s">
        <v>3866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2151</v>
      </c>
      <c r="H3395" s="11" t="s">
        <v>3776</v>
      </c>
      <c r="I3395" s="1">
        <f>VLOOKUP(G3395,WO!A:J,10,0)</f>
        <v>44</v>
      </c>
      <c r="J3395" s="1" t="str">
        <f t="shared" ref="J3395:J3458" si="53">MID(G3395,3,9)</f>
        <v>19BA42.00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7"/>
    </row>
    <row r="3396" spans="1:14">
      <c r="A3396" s="11" t="s">
        <v>3867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2151</v>
      </c>
      <c r="H3396" s="11" t="s">
        <v>3776</v>
      </c>
      <c r="I3396" s="1">
        <f>VLOOKUP(G3396,WO!A:J,10,0)</f>
        <v>44</v>
      </c>
      <c r="J3396" s="1" t="str">
        <f t="shared" si="53"/>
        <v>19BA42.00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7"/>
    </row>
    <row r="3397" spans="1:14">
      <c r="A3397" s="11" t="s">
        <v>3868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2151</v>
      </c>
      <c r="H3397" s="11" t="s">
        <v>3776</v>
      </c>
      <c r="I3397" s="1">
        <f>VLOOKUP(G3397,WO!A:J,10,0)</f>
        <v>44</v>
      </c>
      <c r="J3397" s="1" t="str">
        <f t="shared" si="53"/>
        <v>19BA42.00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7"/>
    </row>
    <row r="3398" spans="1:14">
      <c r="A3398" s="11" t="s">
        <v>3869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2151</v>
      </c>
      <c r="H3398" s="11" t="s">
        <v>3776</v>
      </c>
      <c r="I3398" s="1">
        <f>VLOOKUP(G3398,WO!A:J,10,0)</f>
        <v>44</v>
      </c>
      <c r="J3398" s="1" t="str">
        <f t="shared" si="53"/>
        <v>19BA42.00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7"/>
    </row>
    <row r="3399" spans="1:14">
      <c r="A3399" s="11" t="s">
        <v>3870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2151</v>
      </c>
      <c r="H3399" s="11" t="s">
        <v>3776</v>
      </c>
      <c r="I3399" s="1">
        <f>VLOOKUP(G3399,WO!A:J,10,0)</f>
        <v>44</v>
      </c>
      <c r="J3399" s="1" t="str">
        <f t="shared" si="53"/>
        <v>19BA42.00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7"/>
    </row>
    <row r="3400" spans="1:14">
      <c r="A3400" s="11" t="s">
        <v>3871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2151</v>
      </c>
      <c r="H3400" s="11" t="s">
        <v>3776</v>
      </c>
      <c r="I3400" s="1">
        <f>VLOOKUP(G3400,WO!A:J,10,0)</f>
        <v>44</v>
      </c>
      <c r="J3400" s="1" t="str">
        <f t="shared" si="53"/>
        <v>19BA42.00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7"/>
    </row>
    <row r="3401" spans="1:14">
      <c r="A3401" s="11" t="s">
        <v>3872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2151</v>
      </c>
      <c r="H3401" s="11" t="s">
        <v>3776</v>
      </c>
      <c r="I3401" s="1">
        <f>VLOOKUP(G3401,WO!A:J,10,0)</f>
        <v>44</v>
      </c>
      <c r="J3401" s="1" t="str">
        <f t="shared" si="53"/>
        <v>19BA42.00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7"/>
    </row>
    <row r="3402" spans="1:14">
      <c r="A3402" s="11" t="s">
        <v>3873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7"/>
    </row>
    <row r="3403" spans="1:14">
      <c r="A3403" s="11" t="s">
        <v>3874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7"/>
    </row>
    <row r="3404" spans="1:14">
      <c r="A3404" s="11" t="s">
        <v>3875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7"/>
    </row>
    <row r="3405" spans="1:14">
      <c r="A3405" s="11" t="s">
        <v>3876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7"/>
    </row>
    <row r="3406" spans="1:14">
      <c r="A3406" s="11" t="s">
        <v>3877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7"/>
    </row>
    <row r="3407" spans="1:14">
      <c r="A3407" s="11" t="s">
        <v>3878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7"/>
    </row>
    <row r="3408" spans="1:14">
      <c r="A3408" s="11" t="s">
        <v>3879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7"/>
    </row>
    <row r="3409" spans="1:14">
      <c r="A3409" s="11" t="s">
        <v>3880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7"/>
    </row>
    <row r="3410" spans="1:14">
      <c r="A3410" s="11" t="s">
        <v>3881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7"/>
    </row>
    <row r="3411" spans="1:14">
      <c r="A3411" s="11" t="s">
        <v>3882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7"/>
    </row>
    <row r="3412" spans="1:14">
      <c r="A3412" s="11" t="s">
        <v>3883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7"/>
    </row>
    <row r="3413" spans="1:14">
      <c r="A3413" s="11" t="s">
        <v>3884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7"/>
    </row>
    <row r="3414" spans="1:14">
      <c r="A3414" s="11" t="s">
        <v>3885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7"/>
    </row>
    <row r="3415" spans="1:14">
      <c r="A3415" s="11" t="s">
        <v>3886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7"/>
    </row>
    <row r="3416" spans="1:14">
      <c r="A3416" s="11" t="s">
        <v>3887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7"/>
    </row>
    <row r="3417" spans="1:14">
      <c r="A3417" s="11" t="s">
        <v>3888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7"/>
    </row>
    <row r="3418" spans="1:14">
      <c r="A3418" s="11" t="s">
        <v>3889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7"/>
    </row>
    <row r="3419" spans="1:14">
      <c r="A3419" s="11" t="s">
        <v>3890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7"/>
    </row>
    <row r="3420" spans="1:14">
      <c r="A3420" s="11" t="s">
        <v>3891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7"/>
    </row>
    <row r="3421" spans="1:14">
      <c r="A3421" s="11" t="s">
        <v>3892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7"/>
    </row>
    <row r="3422" spans="1:14">
      <c r="A3422" s="11" t="s">
        <v>3893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7"/>
    </row>
    <row r="3423" spans="1:14">
      <c r="A3423" s="11" t="s">
        <v>3894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7"/>
    </row>
    <row r="3424" spans="1:14">
      <c r="A3424" s="11" t="s">
        <v>3437</v>
      </c>
      <c r="B3424" s="11" t="s">
        <v>17</v>
      </c>
      <c r="C3424" s="11" t="s">
        <v>18</v>
      </c>
      <c r="D3424" s="11">
        <v>1</v>
      </c>
      <c r="E3424" s="11" t="s">
        <v>19</v>
      </c>
      <c r="F3424" s="20">
        <v>46268.595636574071</v>
      </c>
      <c r="G3424" s="11" t="s">
        <v>2193</v>
      </c>
      <c r="H3424" s="11" t="s">
        <v>2197</v>
      </c>
      <c r="I3424" s="1">
        <f>VLOOKUP(G3424,WO!A:J,10,0)</f>
        <v>46</v>
      </c>
      <c r="J3424" s="1" t="str">
        <f t="shared" si="53"/>
        <v>20LA11.00</v>
      </c>
      <c r="K3424" s="1" t="str">
        <f>VLOOKUP(J3424,WO!B:E,4,0)</f>
        <v>AXOLA</v>
      </c>
      <c r="L3424" s="1" t="str">
        <f>VLOOKUP(J3424,WO!B:F,5,0)</f>
        <v xml:space="preserve">  PA Assembly</v>
      </c>
      <c r="N3424" s="7">
        <v>46269</v>
      </c>
    </row>
    <row r="3425" spans="1:14">
      <c r="A3425" s="11" t="s">
        <v>3438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2193</v>
      </c>
      <c r="H3425" s="11" t="s">
        <v>2197</v>
      </c>
      <c r="I3425" s="1">
        <f>VLOOKUP(G3425,WO!A:J,10,0)</f>
        <v>46</v>
      </c>
      <c r="J3425" s="1" t="str">
        <f t="shared" si="53"/>
        <v>20LA11.00</v>
      </c>
      <c r="K3425" s="1" t="str">
        <f>VLOOKUP(J3425,WO!B:E,4,0)</f>
        <v>AXOLA</v>
      </c>
      <c r="L3425" s="1" t="str">
        <f>VLOOKUP(J3425,WO!B:F,5,0)</f>
        <v xml:space="preserve">  PA Assembly</v>
      </c>
      <c r="N3425" s="7"/>
    </row>
    <row r="3426" spans="1:14">
      <c r="A3426" s="11" t="s">
        <v>3439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2193</v>
      </c>
      <c r="H3426" s="11" t="s">
        <v>2197</v>
      </c>
      <c r="I3426" s="1">
        <f>VLOOKUP(G3426,WO!A:J,10,0)</f>
        <v>46</v>
      </c>
      <c r="J3426" s="1" t="str">
        <f t="shared" si="53"/>
        <v>20LA11.00</v>
      </c>
      <c r="K3426" s="1" t="str">
        <f>VLOOKUP(J3426,WO!B:E,4,0)</f>
        <v>AXOLA</v>
      </c>
      <c r="L3426" s="1" t="str">
        <f>VLOOKUP(J3426,WO!B:F,5,0)</f>
        <v xml:space="preserve">  PA Assembly</v>
      </c>
      <c r="N3426" s="7">
        <v>46253</v>
      </c>
    </row>
    <row r="3427" spans="1:14">
      <c r="A3427" s="11" t="s">
        <v>3440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2193</v>
      </c>
      <c r="H3427" s="11" t="s">
        <v>2197</v>
      </c>
      <c r="I3427" s="1">
        <f>VLOOKUP(G3427,WO!A:J,10,0)</f>
        <v>46</v>
      </c>
      <c r="J3427" s="1" t="str">
        <f t="shared" si="53"/>
        <v>20LA11.00</v>
      </c>
      <c r="K3427" s="1" t="str">
        <f>VLOOKUP(J3427,WO!B:E,4,0)</f>
        <v>AXOLA</v>
      </c>
      <c r="L3427" s="1" t="str">
        <f>VLOOKUP(J3427,WO!B:F,5,0)</f>
        <v xml:space="preserve">  PA Assembly</v>
      </c>
      <c r="N3427" s="7">
        <v>46253</v>
      </c>
    </row>
    <row r="3428" spans="1:14">
      <c r="A3428" s="11" t="s">
        <v>3441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2193</v>
      </c>
      <c r="H3428" s="11" t="s">
        <v>2197</v>
      </c>
      <c r="I3428" s="1">
        <f>VLOOKUP(G3428,WO!A:J,10,0)</f>
        <v>46</v>
      </c>
      <c r="J3428" s="1" t="str">
        <f t="shared" si="53"/>
        <v>20LA11.00</v>
      </c>
      <c r="K3428" s="1" t="str">
        <f>VLOOKUP(J3428,WO!B:E,4,0)</f>
        <v>AXOLA</v>
      </c>
      <c r="L3428" s="1" t="str">
        <f>VLOOKUP(J3428,WO!B:F,5,0)</f>
        <v xml:space="preserve">  PA Assembly</v>
      </c>
      <c r="N3428" s="7">
        <v>46253</v>
      </c>
    </row>
    <row r="3429" spans="1:14">
      <c r="A3429" s="11" t="s">
        <v>3442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2193</v>
      </c>
      <c r="H3429" s="11" t="s">
        <v>2197</v>
      </c>
      <c r="I3429" s="1">
        <f>VLOOKUP(G3429,WO!A:J,10,0)</f>
        <v>46</v>
      </c>
      <c r="J3429" s="1" t="str">
        <f t="shared" si="53"/>
        <v>20LA11.00</v>
      </c>
      <c r="K3429" s="1" t="str">
        <f>VLOOKUP(J3429,WO!B:E,4,0)</f>
        <v>AXOLA</v>
      </c>
      <c r="L3429" s="1" t="str">
        <f>VLOOKUP(J3429,WO!B:F,5,0)</f>
        <v xml:space="preserve">  PA Assembly</v>
      </c>
      <c r="N3429" s="7">
        <v>46253</v>
      </c>
    </row>
    <row r="3430" spans="1:14">
      <c r="A3430" s="11" t="s">
        <v>3443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2193</v>
      </c>
      <c r="H3430" s="11" t="s">
        <v>2197</v>
      </c>
      <c r="I3430" s="1">
        <f>VLOOKUP(G3430,WO!A:J,10,0)</f>
        <v>46</v>
      </c>
      <c r="J3430" s="1" t="str">
        <f t="shared" si="53"/>
        <v>20LA11.00</v>
      </c>
      <c r="K3430" s="1" t="str">
        <f>VLOOKUP(J3430,WO!B:E,4,0)</f>
        <v>AXOLA</v>
      </c>
      <c r="L3430" s="1" t="str">
        <f>VLOOKUP(J3430,WO!B:F,5,0)</f>
        <v xml:space="preserve">  PA Assembly</v>
      </c>
      <c r="N3430" s="7">
        <v>46253</v>
      </c>
    </row>
    <row r="3431" spans="1:14">
      <c r="A3431" s="11" t="s">
        <v>3444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2193</v>
      </c>
      <c r="H3431" s="11" t="s">
        <v>2197</v>
      </c>
      <c r="I3431" s="1">
        <f>VLOOKUP(G3431,WO!A:J,10,0)</f>
        <v>46</v>
      </c>
      <c r="J3431" s="1" t="str">
        <f t="shared" si="53"/>
        <v>20LA11.00</v>
      </c>
      <c r="K3431" s="1" t="str">
        <f>VLOOKUP(J3431,WO!B:E,4,0)</f>
        <v>AXOLA</v>
      </c>
      <c r="L3431" s="1" t="str">
        <f>VLOOKUP(J3431,WO!B:F,5,0)</f>
        <v xml:space="preserve">  PA Assembly</v>
      </c>
      <c r="N3431" s="7">
        <v>46253</v>
      </c>
    </row>
    <row r="3432" spans="1:14">
      <c r="A3432" s="11" t="s">
        <v>3445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2193</v>
      </c>
      <c r="H3432" s="11" t="s">
        <v>2197</v>
      </c>
      <c r="I3432" s="1">
        <f>VLOOKUP(G3432,WO!A:J,10,0)</f>
        <v>46</v>
      </c>
      <c r="J3432" s="1" t="str">
        <f t="shared" si="53"/>
        <v>20LA11.00</v>
      </c>
      <c r="K3432" s="1" t="str">
        <f>VLOOKUP(J3432,WO!B:E,4,0)</f>
        <v>AXOLA</v>
      </c>
      <c r="L3432" s="1" t="str">
        <f>VLOOKUP(J3432,WO!B:F,5,0)</f>
        <v xml:space="preserve">  PA Assembly</v>
      </c>
      <c r="N3432" s="7">
        <v>46253</v>
      </c>
    </row>
    <row r="3433" spans="1:14">
      <c r="A3433" s="11" t="s">
        <v>3446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2193</v>
      </c>
      <c r="H3433" s="11" t="s">
        <v>2197</v>
      </c>
      <c r="I3433" s="1">
        <f>VLOOKUP(G3433,WO!A:J,10,0)</f>
        <v>46</v>
      </c>
      <c r="J3433" s="1" t="str">
        <f t="shared" si="53"/>
        <v>20LA11.00</v>
      </c>
      <c r="K3433" s="1" t="str">
        <f>VLOOKUP(J3433,WO!B:E,4,0)</f>
        <v>AXOLA</v>
      </c>
      <c r="L3433" s="1" t="str">
        <f>VLOOKUP(J3433,WO!B:F,5,0)</f>
        <v xml:space="preserve">  PA Assembly</v>
      </c>
      <c r="N3433" s="7">
        <v>46253</v>
      </c>
    </row>
    <row r="3434" spans="1:14">
      <c r="A3434" s="11" t="s">
        <v>3447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2193</v>
      </c>
      <c r="H3434" s="11" t="s">
        <v>2197</v>
      </c>
      <c r="I3434" s="1">
        <f>VLOOKUP(G3434,WO!A:J,10,0)</f>
        <v>46</v>
      </c>
      <c r="J3434" s="1" t="str">
        <f t="shared" si="53"/>
        <v>20LA11.00</v>
      </c>
      <c r="K3434" s="1" t="str">
        <f>VLOOKUP(J3434,WO!B:E,4,0)</f>
        <v>AXOLA</v>
      </c>
      <c r="L3434" s="1" t="str">
        <f>VLOOKUP(J3434,WO!B:F,5,0)</f>
        <v xml:space="preserve">  PA Assembly</v>
      </c>
      <c r="N3434" s="7">
        <v>46253</v>
      </c>
    </row>
    <row r="3435" spans="1:14">
      <c r="A3435" s="11" t="s">
        <v>3448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2193</v>
      </c>
      <c r="H3435" s="11" t="s">
        <v>2197</v>
      </c>
      <c r="I3435" s="1">
        <f>VLOOKUP(G3435,WO!A:J,10,0)</f>
        <v>46</v>
      </c>
      <c r="J3435" s="1" t="str">
        <f t="shared" si="53"/>
        <v>20LA11.00</v>
      </c>
      <c r="K3435" s="1" t="str">
        <f>VLOOKUP(J3435,WO!B:E,4,0)</f>
        <v>AXOLA</v>
      </c>
      <c r="L3435" s="1" t="str">
        <f>VLOOKUP(J3435,WO!B:F,5,0)</f>
        <v xml:space="preserve">  PA Assembly</v>
      </c>
      <c r="N3435" s="7">
        <v>46253</v>
      </c>
    </row>
    <row r="3436" spans="1:14">
      <c r="A3436" s="11" t="s">
        <v>3449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2193</v>
      </c>
      <c r="H3436" s="11" t="s">
        <v>2197</v>
      </c>
      <c r="I3436" s="1">
        <f>VLOOKUP(G3436,WO!A:J,10,0)</f>
        <v>46</v>
      </c>
      <c r="J3436" s="1" t="str">
        <f t="shared" si="53"/>
        <v>20LA11.00</v>
      </c>
      <c r="K3436" s="1" t="str">
        <f>VLOOKUP(J3436,WO!B:E,4,0)</f>
        <v>AXOLA</v>
      </c>
      <c r="L3436" s="1" t="str">
        <f>VLOOKUP(J3436,WO!B:F,5,0)</f>
        <v xml:space="preserve">  PA Assembly</v>
      </c>
      <c r="N3436" s="7">
        <v>46253</v>
      </c>
    </row>
    <row r="3437" spans="1:14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J3437" s="1" t="str">
        <f t="shared" si="53"/>
        <v>20LA12.00</v>
      </c>
      <c r="K3437" s="1" t="str">
        <f>VLOOKUP(J3437,WO!B:E,4,0)</f>
        <v>AXOLA</v>
      </c>
      <c r="L3437" s="1" t="str">
        <f>VLOOKUP(J3437,WO!B:F,5,0)</f>
        <v xml:space="preserve">  PA Assembly</v>
      </c>
      <c r="N3437" s="7"/>
    </row>
    <row r="3438" spans="1:14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J3438" s="1" t="str">
        <f t="shared" si="53"/>
        <v>20LA12.00</v>
      </c>
      <c r="K3438" s="1" t="str">
        <f>VLOOKUP(J3438,WO!B:E,4,0)</f>
        <v>AXOLA</v>
      </c>
      <c r="L3438" s="1" t="str">
        <f>VLOOKUP(J3438,WO!B:F,5,0)</f>
        <v xml:space="preserve">  PA Assembly</v>
      </c>
      <c r="N3438" s="7"/>
    </row>
    <row r="3439" spans="1:14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J3439" s="1" t="str">
        <f t="shared" si="53"/>
        <v>20LA12.00</v>
      </c>
      <c r="K3439" s="1" t="str">
        <f>VLOOKUP(J3439,WO!B:E,4,0)</f>
        <v>AXOLA</v>
      </c>
      <c r="L3439" s="1" t="str">
        <f>VLOOKUP(J3439,WO!B:F,5,0)</f>
        <v xml:space="preserve">  PA Assembly</v>
      </c>
      <c r="N3439" s="7"/>
    </row>
    <row r="3440" spans="1:14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J3440" s="1" t="str">
        <f t="shared" si="53"/>
        <v>20LA12.00</v>
      </c>
      <c r="K3440" s="1" t="str">
        <f>VLOOKUP(J3440,WO!B:E,4,0)</f>
        <v>AXOLA</v>
      </c>
      <c r="L3440" s="1" t="str">
        <f>VLOOKUP(J3440,WO!B:F,5,0)</f>
        <v xml:space="preserve">  PA Assembly</v>
      </c>
      <c r="N3440" s="7"/>
    </row>
    <row r="3441" spans="1:14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J3441" s="1" t="str">
        <f t="shared" si="53"/>
        <v>20LA12.00</v>
      </c>
      <c r="K3441" s="1" t="str">
        <f>VLOOKUP(J3441,WO!B:E,4,0)</f>
        <v>AXOLA</v>
      </c>
      <c r="L3441" s="1" t="str">
        <f>VLOOKUP(J3441,WO!B:F,5,0)</f>
        <v xml:space="preserve">  PA Assembly</v>
      </c>
      <c r="N3441" s="7"/>
    </row>
    <row r="3442" spans="1:14">
      <c r="A3442" s="11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J3442" s="1" t="str">
        <f t="shared" si="53"/>
        <v>20LA12.00</v>
      </c>
      <c r="K3442" s="1" t="str">
        <f>VLOOKUP(J3442,WO!B:E,4,0)</f>
        <v>AXOLA</v>
      </c>
      <c r="L3442" s="1" t="str">
        <f>VLOOKUP(J3442,WO!B:F,5,0)</f>
        <v xml:space="preserve">  PA Assembly</v>
      </c>
      <c r="N3442" s="7"/>
    </row>
    <row r="3443" spans="1:14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J3443" s="1" t="str">
        <f t="shared" si="53"/>
        <v>20LA12.00</v>
      </c>
      <c r="K3443" s="1" t="str">
        <f>VLOOKUP(J3443,WO!B:E,4,0)</f>
        <v>AXOLA</v>
      </c>
      <c r="L3443" s="1" t="str">
        <f>VLOOKUP(J3443,WO!B:F,5,0)</f>
        <v xml:space="preserve">  PA Assembly</v>
      </c>
      <c r="N3443" s="7"/>
    </row>
    <row r="3444" spans="1:14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J3444" s="1" t="str">
        <f t="shared" si="53"/>
        <v>20LA12.00</v>
      </c>
      <c r="K3444" s="1" t="str">
        <f>VLOOKUP(J3444,WO!B:E,4,0)</f>
        <v>AXOLA</v>
      </c>
      <c r="L3444" s="1" t="str">
        <f>VLOOKUP(J3444,WO!B:F,5,0)</f>
        <v xml:space="preserve">  PA Assembly</v>
      </c>
      <c r="N3444" s="7"/>
    </row>
    <row r="3445" spans="1:14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J3445" s="1" t="str">
        <f t="shared" si="53"/>
        <v>20LA12.00</v>
      </c>
      <c r="K3445" s="1" t="str">
        <f>VLOOKUP(J3445,WO!B:E,4,0)</f>
        <v>AXOLA</v>
      </c>
      <c r="L3445" s="1" t="str">
        <f>VLOOKUP(J3445,WO!B:F,5,0)</f>
        <v xml:space="preserve">  PA Assembly</v>
      </c>
      <c r="N3445" s="7"/>
    </row>
    <row r="3446" spans="1:14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J3446" s="1" t="str">
        <f t="shared" si="53"/>
        <v>20LA12.00</v>
      </c>
      <c r="K3446" s="1" t="str">
        <f>VLOOKUP(J3446,WO!B:E,4,0)</f>
        <v>AXOLA</v>
      </c>
      <c r="L3446" s="1" t="str">
        <f>VLOOKUP(J3446,WO!B:F,5,0)</f>
        <v xml:space="preserve">  PA Assembly</v>
      </c>
      <c r="N3446" s="7"/>
    </row>
    <row r="3447" spans="1:14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J3447" s="1" t="str">
        <f t="shared" si="53"/>
        <v>20LA12.00</v>
      </c>
      <c r="K3447" s="1" t="str">
        <f>VLOOKUP(J3447,WO!B:E,4,0)</f>
        <v>AXOLA</v>
      </c>
      <c r="L3447" s="1" t="str">
        <f>VLOOKUP(J3447,WO!B:F,5,0)</f>
        <v xml:space="preserve">  PA Assembly</v>
      </c>
      <c r="N3447" s="7"/>
    </row>
    <row r="3448" spans="1:14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J3448" s="1" t="str">
        <f t="shared" si="53"/>
        <v>20LA12.00</v>
      </c>
      <c r="K3448" s="1" t="str">
        <f>VLOOKUP(J3448,WO!B:E,4,0)</f>
        <v>AXOLA</v>
      </c>
      <c r="L3448" s="1" t="str">
        <f>VLOOKUP(J3448,WO!B:F,5,0)</f>
        <v xml:space="preserve">  PA Assembly</v>
      </c>
      <c r="N3448" s="7"/>
    </row>
    <row r="3449" spans="1:14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J3449" s="1" t="str">
        <f t="shared" si="53"/>
        <v>20LA12.00</v>
      </c>
      <c r="K3449" s="1" t="str">
        <f>VLOOKUP(J3449,WO!B:E,4,0)</f>
        <v>AXOLA</v>
      </c>
      <c r="L3449" s="1" t="str">
        <f>VLOOKUP(J3449,WO!B:F,5,0)</f>
        <v xml:space="preserve">  PA Assembly</v>
      </c>
      <c r="N3449" s="7"/>
    </row>
    <row r="3450" spans="1:14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J3450" s="1" t="str">
        <f t="shared" si="53"/>
        <v>20LA12.00</v>
      </c>
      <c r="K3450" s="1" t="str">
        <f>VLOOKUP(J3450,WO!B:E,4,0)</f>
        <v>AXOLA</v>
      </c>
      <c r="L3450" s="1" t="str">
        <f>VLOOKUP(J3450,WO!B:F,5,0)</f>
        <v xml:space="preserve">  PA Assembly</v>
      </c>
      <c r="N3450" s="7"/>
    </row>
    <row r="3451" spans="1:14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J3451" s="1" t="str">
        <f t="shared" si="53"/>
        <v>20LA12.00</v>
      </c>
      <c r="K3451" s="1" t="str">
        <f>VLOOKUP(J3451,WO!B:E,4,0)</f>
        <v>AXOLA</v>
      </c>
      <c r="L3451" s="1" t="str">
        <f>VLOOKUP(J3451,WO!B:F,5,0)</f>
        <v xml:space="preserve">  PA Assembly</v>
      </c>
      <c r="N3451" s="7"/>
    </row>
    <row r="3452" spans="1:14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J3452" s="1" t="str">
        <f t="shared" si="53"/>
        <v>20LA12.00</v>
      </c>
      <c r="K3452" s="1" t="str">
        <f>VLOOKUP(J3452,WO!B:E,4,0)</f>
        <v>AXOLA</v>
      </c>
      <c r="L3452" s="1" t="str">
        <f>VLOOKUP(J3452,WO!B:F,5,0)</f>
        <v xml:space="preserve">  PA Assembly</v>
      </c>
      <c r="N3452" s="7"/>
    </row>
    <row r="3453" spans="1:14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J3453" s="1" t="str">
        <f t="shared" si="53"/>
        <v>20LA12.00</v>
      </c>
      <c r="K3453" s="1" t="str">
        <f>VLOOKUP(J3453,WO!B:E,4,0)</f>
        <v>AXOLA</v>
      </c>
      <c r="L3453" s="1" t="str">
        <f>VLOOKUP(J3453,WO!B:F,5,0)</f>
        <v xml:space="preserve">  PA Assembly</v>
      </c>
      <c r="N3453" s="7"/>
    </row>
    <row r="3454" spans="1:14">
      <c r="A3454" s="11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J3454" s="1" t="str">
        <f t="shared" si="53"/>
        <v>20LA12.00</v>
      </c>
      <c r="K3454" s="1" t="str">
        <f>VLOOKUP(J3454,WO!B:E,4,0)</f>
        <v>AXOLA</v>
      </c>
      <c r="L3454" s="1" t="str">
        <f>VLOOKUP(J3454,WO!B:F,5,0)</f>
        <v xml:space="preserve">  PA Assembly</v>
      </c>
      <c r="N3454" s="7"/>
    </row>
    <row r="3455" spans="1:14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J3455" s="1" t="str">
        <f t="shared" si="53"/>
        <v>20LA12.00</v>
      </c>
      <c r="K3455" s="1" t="str">
        <f>VLOOKUP(J3455,WO!B:E,4,0)</f>
        <v>AXOLA</v>
      </c>
      <c r="L3455" s="1" t="str">
        <f>VLOOKUP(J3455,WO!B:F,5,0)</f>
        <v xml:space="preserve">  PA Assembly</v>
      </c>
      <c r="N3455" s="7"/>
    </row>
    <row r="3456" spans="1:14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J3456" s="1" t="str">
        <f t="shared" si="53"/>
        <v>20LA12.00</v>
      </c>
      <c r="K3456" s="1" t="str">
        <f>VLOOKUP(J3456,WO!B:E,4,0)</f>
        <v>AXOLA</v>
      </c>
      <c r="L3456" s="1" t="str">
        <f>VLOOKUP(J3456,WO!B:F,5,0)</f>
        <v xml:space="preserve">  PA Assembly</v>
      </c>
      <c r="N3456" s="7"/>
    </row>
    <row r="3457" spans="1:14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J3457" s="1" t="str">
        <f t="shared" si="53"/>
        <v>20LA12.00</v>
      </c>
      <c r="K3457" s="1" t="str">
        <f>VLOOKUP(J3457,WO!B:E,4,0)</f>
        <v>AXOLA</v>
      </c>
      <c r="L3457" s="1" t="str">
        <f>VLOOKUP(J3457,WO!B:F,5,0)</f>
        <v xml:space="preserve">  PA Assembly</v>
      </c>
      <c r="N3457" s="7"/>
    </row>
    <row r="3458" spans="1:14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J3458" s="1" t="str">
        <f t="shared" si="53"/>
        <v>20LA12.00</v>
      </c>
      <c r="K3458" s="1" t="str">
        <f>VLOOKUP(J3458,WO!B:E,4,0)</f>
        <v>AXOLA</v>
      </c>
      <c r="L3458" s="1" t="str">
        <f>VLOOKUP(J3458,WO!B:F,5,0)</f>
        <v xml:space="preserve">  PA Assembly</v>
      </c>
      <c r="N3458" s="7"/>
    </row>
    <row r="3459" spans="1:14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J3459" s="1" t="str">
        <f t="shared" ref="J3459:J3522" si="54">MID(G3459,3,9)</f>
        <v>20LA12.00</v>
      </c>
      <c r="K3459" s="1" t="str">
        <f>VLOOKUP(J3459,WO!B:E,4,0)</f>
        <v>AXOLA</v>
      </c>
      <c r="L3459" s="1" t="str">
        <f>VLOOKUP(J3459,WO!B:F,5,0)</f>
        <v xml:space="preserve">  PA Assembly</v>
      </c>
      <c r="N3459" s="7"/>
    </row>
    <row r="3460" spans="1:14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J3460" s="1" t="str">
        <f t="shared" si="54"/>
        <v>20LA12.00</v>
      </c>
      <c r="K3460" s="1" t="str">
        <f>VLOOKUP(J3460,WO!B:E,4,0)</f>
        <v>AXOLA</v>
      </c>
      <c r="L3460" s="1" t="str">
        <f>VLOOKUP(J3460,WO!B:F,5,0)</f>
        <v xml:space="preserve">  PA Assembly</v>
      </c>
      <c r="N3460" s="7"/>
    </row>
    <row r="3461" spans="1:14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J3461" s="1" t="str">
        <f t="shared" si="54"/>
        <v>20LA12.00</v>
      </c>
      <c r="K3461" s="1" t="str">
        <f>VLOOKUP(J3461,WO!B:E,4,0)</f>
        <v>AXOLA</v>
      </c>
      <c r="L3461" s="1" t="str">
        <f>VLOOKUP(J3461,WO!B:F,5,0)</f>
        <v xml:space="preserve">  PA Assembly</v>
      </c>
      <c r="N3461" s="7"/>
    </row>
    <row r="3462" spans="1:14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J3462" s="1" t="str">
        <f t="shared" si="54"/>
        <v>20LA12.00</v>
      </c>
      <c r="K3462" s="1" t="str">
        <f>VLOOKUP(J3462,WO!B:E,4,0)</f>
        <v>AXOLA</v>
      </c>
      <c r="L3462" s="1" t="str">
        <f>VLOOKUP(J3462,WO!B:F,5,0)</f>
        <v xml:space="preserve">  PA Assembly</v>
      </c>
      <c r="N3462" s="7"/>
    </row>
    <row r="3463" spans="1:14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J3463" s="1" t="str">
        <f t="shared" si="54"/>
        <v>20LA12.00</v>
      </c>
      <c r="K3463" s="1" t="str">
        <f>VLOOKUP(J3463,WO!B:E,4,0)</f>
        <v>AXOLA</v>
      </c>
      <c r="L3463" s="1" t="str">
        <f>VLOOKUP(J3463,WO!B:F,5,0)</f>
        <v xml:space="preserve">  PA Assembly</v>
      </c>
      <c r="N3463" s="7">
        <v>46211</v>
      </c>
    </row>
    <row r="3464" spans="1:14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J3464" s="1" t="str">
        <f t="shared" si="54"/>
        <v>20LA12.00</v>
      </c>
      <c r="K3464" s="1" t="str">
        <f>VLOOKUP(J3464,WO!B:E,4,0)</f>
        <v>AXOLA</v>
      </c>
      <c r="L3464" s="1" t="str">
        <f>VLOOKUP(J3464,WO!B:F,5,0)</f>
        <v xml:space="preserve">  PA Assembly</v>
      </c>
      <c r="N3464" s="7"/>
    </row>
    <row r="3465" spans="1:14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J3465" s="1" t="str">
        <f t="shared" si="54"/>
        <v>20LA12.00</v>
      </c>
      <c r="K3465" s="1" t="str">
        <f>VLOOKUP(J3465,WO!B:E,4,0)</f>
        <v>AXOLA</v>
      </c>
      <c r="L3465" s="1" t="str">
        <f>VLOOKUP(J3465,WO!B:F,5,0)</f>
        <v xml:space="preserve">  PA Assembly</v>
      </c>
      <c r="N3465" s="7"/>
    </row>
    <row r="3466" spans="1:14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J3466" s="1" t="str">
        <f t="shared" si="54"/>
        <v>20LA12.00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7"/>
    </row>
    <row r="3467" spans="1:14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J3467" s="1" t="str">
        <f t="shared" si="54"/>
        <v>20LA12.00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7"/>
    </row>
    <row r="3468" spans="1:14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J3468" s="1" t="str">
        <f t="shared" si="54"/>
        <v>20LA12.00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7"/>
    </row>
    <row r="3469" spans="1:14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J3469" s="1" t="str">
        <f t="shared" si="54"/>
        <v>20LA12.00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7"/>
    </row>
    <row r="3470" spans="1:14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J3470" s="1" t="str">
        <f t="shared" si="54"/>
        <v>20LA12.00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7"/>
    </row>
    <row r="3471" spans="1:14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J3471" s="1" t="str">
        <f t="shared" si="54"/>
        <v>20LA12.00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7"/>
    </row>
    <row r="3472" spans="1:14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J3472" s="1" t="str">
        <f t="shared" si="54"/>
        <v>20LA12.00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7"/>
    </row>
    <row r="3473" spans="1:14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J3473" s="1" t="str">
        <f t="shared" si="54"/>
        <v>20LA12.00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7"/>
    </row>
    <row r="3474" spans="1:14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J3474" s="1" t="str">
        <f t="shared" si="54"/>
        <v>20LA12.00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7"/>
    </row>
    <row r="3475" spans="1:14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J3475" s="1" t="str">
        <f t="shared" si="54"/>
        <v>20LA12.00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7"/>
    </row>
    <row r="3476" spans="1:14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J3476" s="1" t="str">
        <f t="shared" si="54"/>
        <v>20LA12.00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7"/>
    </row>
    <row r="3477" spans="1:14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J3477" s="1" t="str">
        <f t="shared" si="54"/>
        <v>20LA12.00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7"/>
    </row>
    <row r="3478" spans="1:14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J3478" s="1" t="str">
        <f t="shared" si="54"/>
        <v>20LA12.00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7"/>
    </row>
    <row r="3479" spans="1:14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7"/>
    </row>
    <row r="3480" spans="1:14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7"/>
    </row>
    <row r="3481" spans="1:14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7"/>
    </row>
    <row r="3482" spans="1:14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7"/>
    </row>
    <row r="3483" spans="1:14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7"/>
    </row>
    <row r="3484" spans="1:14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7"/>
    </row>
    <row r="3485" spans="1:14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7"/>
    </row>
    <row r="3486" spans="1:14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7"/>
    </row>
    <row r="3487" spans="1:14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7"/>
    </row>
    <row r="3488" spans="1:14">
      <c r="A3488" s="11" t="s">
        <v>1125</v>
      </c>
      <c r="B3488" s="11" t="s">
        <v>155</v>
      </c>
      <c r="C3488" s="11" t="s">
        <v>156</v>
      </c>
      <c r="D3488" s="11">
        <v>1</v>
      </c>
      <c r="E3488" s="11" t="s">
        <v>151</v>
      </c>
      <c r="F3488" s="20">
        <v>46273.487905092596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7"/>
    </row>
    <row r="3489" spans="1:14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7"/>
    </row>
    <row r="3490" spans="1:14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7"/>
    </row>
    <row r="3491" spans="1:14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7"/>
    </row>
    <row r="3492" spans="1:14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7"/>
    </row>
    <row r="3493" spans="1:14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7"/>
    </row>
    <row r="3494" spans="1:14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7"/>
    </row>
    <row r="3495" spans="1:14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7"/>
    </row>
    <row r="3496" spans="1:14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7"/>
    </row>
    <row r="3497" spans="1:14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7"/>
    </row>
    <row r="3498" spans="1:14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7"/>
    </row>
    <row r="3499" spans="1:14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7"/>
    </row>
    <row r="3500" spans="1:14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7"/>
    </row>
    <row r="3501" spans="1:14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" t="str">
        <f t="shared" si="54"/>
        <v>20LA12.10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7"/>
    </row>
    <row r="3502" spans="1:14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" t="str">
        <f t="shared" si="54"/>
        <v>20LA12.10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7"/>
    </row>
    <row r="3503" spans="1:14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" t="str">
        <f t="shared" si="54"/>
        <v>20LA12.10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7"/>
    </row>
    <row r="3504" spans="1:14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J3504" s="1" t="str">
        <f t="shared" si="54"/>
        <v>20LA12.10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7"/>
    </row>
    <row r="3505" spans="1:14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" t="str">
        <f t="shared" si="54"/>
        <v>20LA12.10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7"/>
    </row>
    <row r="3506" spans="1:14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" t="str">
        <f t="shared" si="54"/>
        <v>20LA12.10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7"/>
    </row>
    <row r="3507" spans="1:14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" t="str">
        <f t="shared" si="54"/>
        <v>20LA12.10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7"/>
    </row>
    <row r="3508" spans="1:14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" t="str">
        <f t="shared" si="54"/>
        <v>20LA12.10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7"/>
    </row>
    <row r="3509" spans="1:14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" t="str">
        <f t="shared" si="54"/>
        <v>20LA12.10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7"/>
    </row>
    <row r="3510" spans="1:14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" t="str">
        <f t="shared" si="54"/>
        <v>20LA12.10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7"/>
    </row>
    <row r="3511" spans="1:14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" t="str">
        <f t="shared" si="54"/>
        <v>20LA12.10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7"/>
    </row>
    <row r="3512" spans="1:14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J3512" s="1" t="str">
        <f t="shared" si="54"/>
        <v>20LA12.10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7"/>
    </row>
    <row r="3513" spans="1:14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J3513" s="1" t="str">
        <f t="shared" si="54"/>
        <v>20LA12.10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7"/>
    </row>
    <row r="3514" spans="1:14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J3514" s="1" t="str">
        <f t="shared" si="54"/>
        <v>20LA12.10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7"/>
    </row>
    <row r="3515" spans="1:14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J3515" s="1" t="str">
        <f t="shared" si="54"/>
        <v>20LA12.10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7">
        <v>46211</v>
      </c>
    </row>
    <row r="3516" spans="1:14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J3516" s="1" t="str">
        <f t="shared" si="54"/>
        <v>20LA12.10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7"/>
    </row>
    <row r="3517" spans="1:14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J3517" s="1" t="str">
        <f t="shared" si="54"/>
        <v>20LA12.10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7"/>
    </row>
    <row r="3518" spans="1:14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J3518" s="1" t="str">
        <f t="shared" si="54"/>
        <v>20LA12.10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7"/>
    </row>
    <row r="3519" spans="1:14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J3519" s="1" t="str">
        <f t="shared" si="54"/>
        <v>20LA12.10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7"/>
    </row>
    <row r="3520" spans="1:14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J3520" s="1" t="str">
        <f t="shared" si="54"/>
        <v>20LA12.10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7"/>
    </row>
    <row r="3521" spans="1:14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J3521" s="1" t="str">
        <f t="shared" si="54"/>
        <v>20LA12.10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7"/>
    </row>
    <row r="3522" spans="1:14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" t="str">
        <f t="shared" si="54"/>
        <v>20LA12.10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7"/>
    </row>
    <row r="3523" spans="1:14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J3523" s="1" t="str">
        <f t="shared" ref="J3523:J3586" si="55">MID(G3523,3,9)</f>
        <v>20LA12.10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7"/>
    </row>
    <row r="3524" spans="1:14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J3524" s="1" t="str">
        <f t="shared" si="55"/>
        <v>20LA12.10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7"/>
    </row>
    <row r="3525" spans="1:14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J3525" s="1" t="str">
        <f t="shared" si="55"/>
        <v>20LA12.10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7"/>
    </row>
    <row r="3526" spans="1:14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J3526" s="1" t="str">
        <f t="shared" si="55"/>
        <v>20LA12.10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7"/>
    </row>
    <row r="3527" spans="1:14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J3527" s="1" t="str">
        <f t="shared" si="55"/>
        <v>20LA12.10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7"/>
    </row>
    <row r="3528" spans="1:14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J3528" s="1" t="str">
        <f t="shared" si="55"/>
        <v>20LA12.10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7"/>
    </row>
    <row r="3529" spans="1:14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J3529" s="1" t="str">
        <f t="shared" si="55"/>
        <v>20LA12.10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7"/>
    </row>
    <row r="3530" spans="1:14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J3530" s="1" t="str">
        <f t="shared" si="55"/>
        <v>20LA12.10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7"/>
    </row>
    <row r="3531" spans="1:14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J3531" s="1" t="str">
        <f t="shared" si="55"/>
        <v>20LA12.10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7"/>
    </row>
    <row r="3532" spans="1:14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" t="str">
        <f t="shared" si="55"/>
        <v>20LA12.10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7"/>
    </row>
    <row r="3533" spans="1:14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" t="str">
        <f t="shared" si="55"/>
        <v>20LA12.10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7"/>
    </row>
    <row r="3534" spans="1:14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" t="str">
        <f t="shared" si="55"/>
        <v>20LA12.10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7"/>
    </row>
    <row r="3535" spans="1:14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" t="str">
        <f t="shared" si="55"/>
        <v>20LA12.10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7"/>
    </row>
    <row r="3536" spans="1:14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J3536" s="1" t="str">
        <f t="shared" si="55"/>
        <v>20LA12.10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7"/>
    </row>
    <row r="3537" spans="1:14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J3537" s="1" t="str">
        <f t="shared" si="55"/>
        <v>20LA12.10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7"/>
    </row>
    <row r="3538" spans="1:14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J3538" s="1" t="str">
        <f t="shared" si="55"/>
        <v>20LA12.10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7"/>
    </row>
    <row r="3539" spans="1:14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J3539" s="1" t="str">
        <f t="shared" si="55"/>
        <v>20LA12.10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7"/>
    </row>
    <row r="3540" spans="1:14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J3540" s="1" t="str">
        <f t="shared" si="55"/>
        <v>20LA12.10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7"/>
    </row>
    <row r="3541" spans="1:14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J3541" s="1" t="str">
        <f t="shared" si="55"/>
        <v>20LA12.10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7"/>
    </row>
    <row r="3542" spans="1:14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J3542" s="1" t="str">
        <f t="shared" si="55"/>
        <v>20LA12.10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7"/>
    </row>
    <row r="3543" spans="1:14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7"/>
    </row>
    <row r="3544" spans="1:14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7"/>
    </row>
    <row r="3545" spans="1:14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7"/>
    </row>
    <row r="3546" spans="1:14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7"/>
    </row>
    <row r="3547" spans="1:14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7"/>
    </row>
    <row r="3548" spans="1:14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7"/>
    </row>
    <row r="3549" spans="1:14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7"/>
    </row>
    <row r="3550" spans="1:14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7"/>
    </row>
    <row r="3551" spans="1:14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7"/>
    </row>
    <row r="3552" spans="1:14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7"/>
    </row>
    <row r="3553" spans="1:14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7"/>
    </row>
    <row r="3554" spans="1:14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7"/>
    </row>
    <row r="3555" spans="1:14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7"/>
    </row>
    <row r="3556" spans="1:14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7"/>
    </row>
    <row r="3557" spans="1:14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7"/>
    </row>
    <row r="3558" spans="1:14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7"/>
    </row>
    <row r="3559" spans="1:14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7"/>
    </row>
    <row r="3560" spans="1:14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7"/>
    </row>
    <row r="3561" spans="1:14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7"/>
    </row>
    <row r="3562" spans="1:14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7"/>
    </row>
    <row r="3563" spans="1:14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7"/>
    </row>
    <row r="3564" spans="1:14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7"/>
    </row>
    <row r="3565" spans="1:14">
      <c r="A3565" s="11" t="s">
        <v>2124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J3565" s="1" t="str">
        <f t="shared" si="55"/>
        <v>20LA15.93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7">
        <v>46226</v>
      </c>
    </row>
    <row r="3566" spans="1:14">
      <c r="A3566" s="11" t="s">
        <v>2125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J3566" s="1" t="str">
        <f t="shared" si="55"/>
        <v>20LA15.93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7">
        <v>46226</v>
      </c>
    </row>
    <row r="3567" spans="1:14">
      <c r="A3567" s="11" t="s">
        <v>2126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J3567" s="1" t="str">
        <f t="shared" si="55"/>
        <v>20LA15.93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7">
        <v>46230</v>
      </c>
    </row>
    <row r="3568" spans="1:14">
      <c r="A3568" s="11" t="s">
        <v>2127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J3568" s="1" t="str">
        <f t="shared" si="55"/>
        <v>20LA15.93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7">
        <v>46226</v>
      </c>
    </row>
    <row r="3569" spans="1:14">
      <c r="A3569" s="11" t="s">
        <v>2128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J3569" s="1" t="str">
        <f t="shared" si="55"/>
        <v>20LA15.93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7">
        <v>46230</v>
      </c>
    </row>
    <row r="3570" spans="1:14">
      <c r="A3570" s="11" t="s">
        <v>2129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J3570" s="1" t="str">
        <f t="shared" si="55"/>
        <v>20LA15.93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7">
        <v>46230</v>
      </c>
    </row>
    <row r="3571" spans="1:14">
      <c r="A3571" s="11" t="s">
        <v>2130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J3571" s="1" t="str">
        <f t="shared" si="55"/>
        <v>20LA15.93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7">
        <v>46226</v>
      </c>
    </row>
    <row r="3572" spans="1:14">
      <c r="A3572" s="11" t="s">
        <v>2131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J3572" s="1" t="str">
        <f t="shared" si="55"/>
        <v>20LA15.93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7">
        <v>46226</v>
      </c>
    </row>
    <row r="3573" spans="1:14">
      <c r="A3573" s="11" t="s">
        <v>2132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J3573" s="1" t="str">
        <f t="shared" si="55"/>
        <v>20LA15.93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7">
        <v>46226</v>
      </c>
    </row>
    <row r="3574" spans="1:14">
      <c r="A3574" s="11" t="s">
        <v>2133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J3574" s="1" t="str">
        <f t="shared" si="55"/>
        <v>20LA15.93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7">
        <v>46230</v>
      </c>
    </row>
    <row r="3575" spans="1:14">
      <c r="A3575" s="11" t="s">
        <v>2134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J3575" s="1" t="str">
        <f t="shared" si="55"/>
        <v>20LA15.93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7"/>
    </row>
    <row r="3576" spans="1:14">
      <c r="A3576" s="11" t="s">
        <v>2135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J3576" s="1" t="str">
        <f t="shared" si="55"/>
        <v>20LA15.93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7">
        <v>46226</v>
      </c>
    </row>
    <row r="3577" spans="1:14">
      <c r="A3577" s="11" t="s">
        <v>2136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J3577" s="1" t="str">
        <f t="shared" si="55"/>
        <v>20LA15.93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7">
        <v>46226</v>
      </c>
    </row>
    <row r="3578" spans="1:14">
      <c r="A3578" s="11" t="s">
        <v>2137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J3578" s="1" t="str">
        <f t="shared" si="55"/>
        <v>20LA15.95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7">
        <v>46226</v>
      </c>
    </row>
    <row r="3579" spans="1:14">
      <c r="A3579" s="11" t="s">
        <v>2138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J3579" s="1" t="str">
        <f t="shared" si="55"/>
        <v>20LA15.95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7">
        <v>46226</v>
      </c>
    </row>
    <row r="3580" spans="1:14">
      <c r="A3580" s="11" t="s">
        <v>2139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J3580" s="1" t="str">
        <f t="shared" si="55"/>
        <v>20LA15.95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7">
        <v>46226</v>
      </c>
    </row>
    <row r="3581" spans="1:14">
      <c r="A3581" s="11" t="s">
        <v>2140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J3581" s="1" t="str">
        <f t="shared" si="55"/>
        <v>20LA15.95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7">
        <v>46238</v>
      </c>
    </row>
    <row r="3582" spans="1:14">
      <c r="A3582" s="11" t="s">
        <v>2141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J3582" s="1" t="str">
        <f t="shared" si="55"/>
        <v>20LA15.95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7">
        <v>46226</v>
      </c>
    </row>
    <row r="3583" spans="1:14">
      <c r="A3583" s="11" t="s">
        <v>2142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J3583" s="1" t="str">
        <f t="shared" si="55"/>
        <v>20LA15.95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7">
        <v>46230</v>
      </c>
    </row>
    <row r="3584" spans="1:14">
      <c r="A3584" s="11" t="s">
        <v>2143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J3584" s="1" t="str">
        <f t="shared" si="55"/>
        <v>20LA15.95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7">
        <v>46226</v>
      </c>
    </row>
    <row r="3585" spans="1:14">
      <c r="A3585" s="11" t="s">
        <v>2144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J3585" s="1" t="str">
        <f t="shared" si="55"/>
        <v>20LA15.95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7">
        <v>46226</v>
      </c>
    </row>
    <row r="3586" spans="1:14">
      <c r="A3586" s="11" t="s">
        <v>2145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" t="str">
        <f t="shared" si="55"/>
        <v>20LA15.95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7">
        <v>46226</v>
      </c>
    </row>
    <row r="3587" spans="1:14">
      <c r="A3587" s="11" t="s">
        <v>2146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J3587" s="1" t="str">
        <f t="shared" ref="J3587:J3650" si="56">MID(G3587,3,9)</f>
        <v>20LA15.95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7">
        <v>46238</v>
      </c>
    </row>
    <row r="3588" spans="1:14">
      <c r="A3588" s="11" t="s">
        <v>2147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J3588" s="1" t="str">
        <f t="shared" si="56"/>
        <v>20LA15.95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7">
        <v>46226</v>
      </c>
    </row>
    <row r="3589" spans="1:14">
      <c r="A3589" s="11" t="s">
        <v>2148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J3589" s="1" t="str">
        <f t="shared" si="56"/>
        <v>20LA15.95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7">
        <v>46226</v>
      </c>
    </row>
    <row r="3590" spans="1:14">
      <c r="A3590" s="11" t="s">
        <v>2149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J3590" s="1" t="str">
        <f t="shared" si="56"/>
        <v>20LA15.95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7">
        <v>46226</v>
      </c>
    </row>
    <row r="3591" spans="1:14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J3591" s="1" t="str">
        <f t="shared" si="56"/>
        <v>20LA21.00</v>
      </c>
      <c r="K3591" s="1" t="str">
        <f>VLOOKUP(J3591,WO!B:E,4,0)</f>
        <v>AXOLA</v>
      </c>
      <c r="L3591" s="1" t="str">
        <f>VLOOKUP(J3591,WO!B:F,5,0)</f>
        <v xml:space="preserve">  TRX/PSU/BB Assembly</v>
      </c>
      <c r="N3591" s="7"/>
    </row>
    <row r="3592" spans="1:14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J3592" s="1" t="str">
        <f t="shared" si="56"/>
        <v>20LA21.00</v>
      </c>
      <c r="K3592" s="1" t="str">
        <f>VLOOKUP(J3592,WO!B:E,4,0)</f>
        <v>AXOLA</v>
      </c>
      <c r="L3592" s="1" t="str">
        <f>VLOOKUP(J3592,WO!B:F,5,0)</f>
        <v xml:space="preserve">  TRX/PSU/BB Assembly</v>
      </c>
      <c r="N3592" s="7"/>
    </row>
    <row r="3593" spans="1:14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J3593" s="1" t="str">
        <f t="shared" si="56"/>
        <v>20LA21.00</v>
      </c>
      <c r="K3593" s="1" t="str">
        <f>VLOOKUP(J3593,WO!B:E,4,0)</f>
        <v>AXOLA</v>
      </c>
      <c r="L3593" s="1" t="str">
        <f>VLOOKUP(J3593,WO!B:F,5,0)</f>
        <v xml:space="preserve">  TRX/PSU/BB Assembly</v>
      </c>
      <c r="N3593" s="7"/>
    </row>
    <row r="3594" spans="1:14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J3594" s="1" t="str">
        <f t="shared" si="56"/>
        <v>20LA21.00</v>
      </c>
      <c r="K3594" s="1" t="str">
        <f>VLOOKUP(J3594,WO!B:E,4,0)</f>
        <v>AXOLA</v>
      </c>
      <c r="L3594" s="1" t="str">
        <f>VLOOKUP(J3594,WO!B:F,5,0)</f>
        <v xml:space="preserve">  TRX/PSU/BB Assembly</v>
      </c>
      <c r="N3594" s="7"/>
    </row>
    <row r="3595" spans="1:14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J3595" s="1" t="str">
        <f t="shared" si="56"/>
        <v>20LA21.00</v>
      </c>
      <c r="K3595" s="1" t="str">
        <f>VLOOKUP(J3595,WO!B:E,4,0)</f>
        <v>AXOLA</v>
      </c>
      <c r="L3595" s="1" t="str">
        <f>VLOOKUP(J3595,WO!B:F,5,0)</f>
        <v xml:space="preserve">  TRX/PSU/BB Assembly</v>
      </c>
      <c r="N3595" s="7">
        <v>46169</v>
      </c>
    </row>
    <row r="3596" spans="1:14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J3596" s="1" t="str">
        <f t="shared" si="56"/>
        <v>20LA21.00</v>
      </c>
      <c r="K3596" s="1" t="str">
        <f>VLOOKUP(J3596,WO!B:E,4,0)</f>
        <v>AXOLA</v>
      </c>
      <c r="L3596" s="1" t="str">
        <f>VLOOKUP(J3596,WO!B:F,5,0)</f>
        <v xml:space="preserve">  TRX/PSU/BB Assembly</v>
      </c>
      <c r="N3596" s="7"/>
    </row>
    <row r="3597" spans="1:14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J3597" s="1" t="str">
        <f t="shared" si="56"/>
        <v>20LA21.00</v>
      </c>
      <c r="K3597" s="1" t="str">
        <f>VLOOKUP(J3597,WO!B:E,4,0)</f>
        <v>AXOLA</v>
      </c>
      <c r="L3597" s="1" t="str">
        <f>VLOOKUP(J3597,WO!B:F,5,0)</f>
        <v xml:space="preserve">  TRX/PSU/BB Assembly</v>
      </c>
      <c r="N3597" s="7"/>
    </row>
    <row r="3598" spans="1:14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J3598" s="1" t="str">
        <f t="shared" si="56"/>
        <v>20LA21.00</v>
      </c>
      <c r="K3598" s="1" t="str">
        <f>VLOOKUP(J3598,WO!B:E,4,0)</f>
        <v>AXOLA</v>
      </c>
      <c r="L3598" s="1" t="str">
        <f>VLOOKUP(J3598,WO!B:F,5,0)</f>
        <v xml:space="preserve">  TRX/PSU/BB Assembly</v>
      </c>
      <c r="N3598" s="7"/>
    </row>
    <row r="3599" spans="1:14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J3599" s="1" t="str">
        <f t="shared" si="56"/>
        <v>20LA21.00</v>
      </c>
      <c r="K3599" s="1" t="str">
        <f>VLOOKUP(J3599,WO!B:E,4,0)</f>
        <v>AXOLA</v>
      </c>
      <c r="L3599" s="1" t="str">
        <f>VLOOKUP(J3599,WO!B:F,5,0)</f>
        <v xml:space="preserve">  TRX/PSU/BB Assembly</v>
      </c>
      <c r="N3599" s="7"/>
    </row>
    <row r="3600" spans="1:14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J3600" s="1" t="str">
        <f t="shared" si="56"/>
        <v>20LA21.00</v>
      </c>
      <c r="K3600" s="1" t="str">
        <f>VLOOKUP(J3600,WO!B:E,4,0)</f>
        <v>AXOLA</v>
      </c>
      <c r="L3600" s="1" t="str">
        <f>VLOOKUP(J3600,WO!B:F,5,0)</f>
        <v xml:space="preserve">  TRX/PSU/BB Assembly</v>
      </c>
      <c r="N3600" s="7"/>
    </row>
    <row r="3601" spans="1:14">
      <c r="A3601" s="11" t="s">
        <v>3793</v>
      </c>
      <c r="B3601" s="11" t="s">
        <v>6</v>
      </c>
      <c r="C3601" s="11" t="s">
        <v>6</v>
      </c>
      <c r="D3601" s="11">
        <v>1</v>
      </c>
      <c r="E3601" s="11" t="s">
        <v>3794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J3601" s="1" t="str">
        <f t="shared" si="56"/>
        <v>20LA22.00</v>
      </c>
      <c r="K3601" s="1" t="str">
        <f>VLOOKUP(J3601,WO!B:E,4,0)</f>
        <v>AXOLA</v>
      </c>
      <c r="L3601" s="1" t="str">
        <f>VLOOKUP(J3601,WO!B:F,5,0)</f>
        <v xml:space="preserve">  TRX/PSU/BB Assembly</v>
      </c>
      <c r="N3601" s="7"/>
    </row>
    <row r="3602" spans="1:14">
      <c r="A3602" s="11" t="s">
        <v>3795</v>
      </c>
      <c r="B3602" s="11" t="s">
        <v>6</v>
      </c>
      <c r="C3602" s="11" t="s">
        <v>6</v>
      </c>
      <c r="D3602" s="11">
        <v>1</v>
      </c>
      <c r="E3602" s="11" t="s">
        <v>3794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J3602" s="1" t="str">
        <f t="shared" si="56"/>
        <v>20LA22.00</v>
      </c>
      <c r="K3602" s="1" t="str">
        <f>VLOOKUP(J3602,WO!B:E,4,0)</f>
        <v>AXOLA</v>
      </c>
      <c r="L3602" s="1" t="str">
        <f>VLOOKUP(J3602,WO!B:F,5,0)</f>
        <v xml:space="preserve">  TRX/PSU/BB Assembly</v>
      </c>
      <c r="N3602" s="7"/>
    </row>
    <row r="3603" spans="1:14">
      <c r="A3603" s="11" t="s">
        <v>3796</v>
      </c>
      <c r="B3603" s="11" t="s">
        <v>6</v>
      </c>
      <c r="C3603" s="11" t="s">
        <v>6</v>
      </c>
      <c r="D3603" s="11">
        <v>1</v>
      </c>
      <c r="E3603" s="11" t="s">
        <v>3794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J3603" s="1" t="str">
        <f t="shared" si="56"/>
        <v>20LA22.00</v>
      </c>
      <c r="K3603" s="1" t="str">
        <f>VLOOKUP(J3603,WO!B:E,4,0)</f>
        <v>AXOLA</v>
      </c>
      <c r="L3603" s="1" t="str">
        <f>VLOOKUP(J3603,WO!B:F,5,0)</f>
        <v xml:space="preserve">  TRX/PSU/BB Assembly</v>
      </c>
      <c r="N3603" s="7"/>
    </row>
    <row r="3604" spans="1:14">
      <c r="A3604" s="11" t="s">
        <v>3797</v>
      </c>
      <c r="B3604" s="11" t="s">
        <v>6</v>
      </c>
      <c r="C3604" s="11" t="s">
        <v>6</v>
      </c>
      <c r="D3604" s="11">
        <v>1</v>
      </c>
      <c r="E3604" s="11" t="s">
        <v>3794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J3604" s="1" t="str">
        <f t="shared" si="56"/>
        <v>20LA22.00</v>
      </c>
      <c r="K3604" s="1" t="str">
        <f>VLOOKUP(J3604,WO!B:E,4,0)</f>
        <v>AXOLA</v>
      </c>
      <c r="L3604" s="1" t="str">
        <f>VLOOKUP(J3604,WO!B:F,5,0)</f>
        <v xml:space="preserve">  TRX/PSU/BB Assembly</v>
      </c>
      <c r="N3604" s="7"/>
    </row>
    <row r="3605" spans="1:14">
      <c r="A3605" s="11" t="s">
        <v>3798</v>
      </c>
      <c r="B3605" s="11" t="s">
        <v>6</v>
      </c>
      <c r="C3605" s="11" t="s">
        <v>6</v>
      </c>
      <c r="D3605" s="11">
        <v>1</v>
      </c>
      <c r="E3605" s="11" t="s">
        <v>3794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J3605" s="1" t="str">
        <f t="shared" si="56"/>
        <v>20LA22.00</v>
      </c>
      <c r="K3605" s="1" t="str">
        <f>VLOOKUP(J3605,WO!B:E,4,0)</f>
        <v>AXOLA</v>
      </c>
      <c r="L3605" s="1" t="str">
        <f>VLOOKUP(J3605,WO!B:F,5,0)</f>
        <v xml:space="preserve">  TRX/PSU/BB Assembly</v>
      </c>
      <c r="N3605" s="7"/>
    </row>
    <row r="3606" spans="1:14">
      <c r="A3606" s="11" t="s">
        <v>3799</v>
      </c>
      <c r="B3606" s="11" t="s">
        <v>6</v>
      </c>
      <c r="C3606" s="11" t="s">
        <v>6</v>
      </c>
      <c r="D3606" s="11">
        <v>1</v>
      </c>
      <c r="E3606" s="11" t="s">
        <v>3794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J3606" s="1" t="str">
        <f t="shared" si="56"/>
        <v>20LA22.00</v>
      </c>
      <c r="K3606" s="1" t="str">
        <f>VLOOKUP(J3606,WO!B:E,4,0)</f>
        <v>AXOLA</v>
      </c>
      <c r="L3606" s="1" t="str">
        <f>VLOOKUP(J3606,WO!B:F,5,0)</f>
        <v xml:space="preserve">  TRX/PSU/BB Assembly</v>
      </c>
      <c r="N3606" s="7"/>
    </row>
    <row r="3607" spans="1:14">
      <c r="A3607" s="11" t="s">
        <v>3800</v>
      </c>
      <c r="B3607" s="11" t="s">
        <v>6</v>
      </c>
      <c r="C3607" s="11" t="s">
        <v>6</v>
      </c>
      <c r="D3607" s="11">
        <v>1</v>
      </c>
      <c r="E3607" s="11" t="s">
        <v>3794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J3607" s="1" t="str">
        <f t="shared" si="56"/>
        <v>20LA22.00</v>
      </c>
      <c r="K3607" s="1" t="str">
        <f>VLOOKUP(J3607,WO!B:E,4,0)</f>
        <v>AXOLA</v>
      </c>
      <c r="L3607" s="1" t="str">
        <f>VLOOKUP(J3607,WO!B:F,5,0)</f>
        <v xml:space="preserve">  TRX/PSU/BB Assembly</v>
      </c>
      <c r="N3607" s="7"/>
    </row>
    <row r="3608" spans="1:14">
      <c r="A3608" s="11" t="s">
        <v>3801</v>
      </c>
      <c r="B3608" s="11" t="s">
        <v>6</v>
      </c>
      <c r="C3608" s="11" t="s">
        <v>6</v>
      </c>
      <c r="D3608" s="11">
        <v>1</v>
      </c>
      <c r="E3608" s="11" t="s">
        <v>3794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J3608" s="1" t="str">
        <f t="shared" si="56"/>
        <v>20LA22.00</v>
      </c>
      <c r="K3608" s="1" t="str">
        <f>VLOOKUP(J3608,WO!B:E,4,0)</f>
        <v>AXOLA</v>
      </c>
      <c r="L3608" s="1" t="str">
        <f>VLOOKUP(J3608,WO!B:F,5,0)</f>
        <v xml:space="preserve">  TRX/PSU/BB Assembly</v>
      </c>
      <c r="N3608" s="7"/>
    </row>
    <row r="3609" spans="1:14">
      <c r="A3609" s="11" t="s">
        <v>3802</v>
      </c>
      <c r="B3609" s="11" t="s">
        <v>6</v>
      </c>
      <c r="C3609" s="11" t="s">
        <v>6</v>
      </c>
      <c r="D3609" s="11">
        <v>1</v>
      </c>
      <c r="E3609" s="11" t="s">
        <v>3794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J3609" s="1" t="str">
        <f t="shared" si="56"/>
        <v>20LA22.00</v>
      </c>
      <c r="K3609" s="1" t="str">
        <f>VLOOKUP(J3609,WO!B:E,4,0)</f>
        <v>AXOLA</v>
      </c>
      <c r="L3609" s="1" t="str">
        <f>VLOOKUP(J3609,WO!B:F,5,0)</f>
        <v xml:space="preserve">  TRX/PSU/BB Assembly</v>
      </c>
      <c r="N3609" s="7"/>
    </row>
    <row r="3610" spans="1:14">
      <c r="A3610" s="11" t="s">
        <v>3803</v>
      </c>
      <c r="B3610" s="11" t="s">
        <v>6</v>
      </c>
      <c r="C3610" s="11" t="s">
        <v>6</v>
      </c>
      <c r="D3610" s="11">
        <v>1</v>
      </c>
      <c r="E3610" s="11" t="s">
        <v>3794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J3610" s="1" t="str">
        <f t="shared" si="56"/>
        <v>20LA22.00</v>
      </c>
      <c r="K3610" s="1" t="str">
        <f>VLOOKUP(J3610,WO!B:E,4,0)</f>
        <v>AXOLA</v>
      </c>
      <c r="L3610" s="1" t="str">
        <f>VLOOKUP(J3610,WO!B:F,5,0)</f>
        <v xml:space="preserve">  TRX/PSU/BB Assembly</v>
      </c>
      <c r="N3610" s="7"/>
    </row>
    <row r="3611" spans="1:14">
      <c r="A3611" s="11" t="s">
        <v>1430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J3611" s="1" t="str">
        <f t="shared" si="56"/>
        <v>20LA22.00</v>
      </c>
      <c r="K3611" s="1" t="str">
        <f>VLOOKUP(J3611,WO!B:E,4,0)</f>
        <v>AXOLA</v>
      </c>
      <c r="L3611" s="1" t="str">
        <f>VLOOKUP(J3611,WO!B:F,5,0)</f>
        <v xml:space="preserve">  TRX/PSU/BB Assembly</v>
      </c>
      <c r="N3611" s="7">
        <v>46233</v>
      </c>
    </row>
    <row r="3612" spans="1:14">
      <c r="A3612" s="11" t="s">
        <v>1431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J3612" s="1" t="str">
        <f t="shared" si="56"/>
        <v>20LA22.00</v>
      </c>
      <c r="K3612" s="1" t="str">
        <f>VLOOKUP(J3612,WO!B:E,4,0)</f>
        <v>AXOLA</v>
      </c>
      <c r="L3612" s="1" t="str">
        <f>VLOOKUP(J3612,WO!B:F,5,0)</f>
        <v xml:space="preserve">  TRX/PSU/BB Assembly</v>
      </c>
      <c r="N3612" s="7">
        <v>46233</v>
      </c>
    </row>
    <row r="3613" spans="1:14">
      <c r="A3613" s="11" t="s">
        <v>1432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J3613" s="1" t="str">
        <f t="shared" si="56"/>
        <v>20LA22.00</v>
      </c>
      <c r="K3613" s="1" t="str">
        <f>VLOOKUP(J3613,WO!B:E,4,0)</f>
        <v>AXOLA</v>
      </c>
      <c r="L3613" s="1" t="str">
        <f>VLOOKUP(J3613,WO!B:F,5,0)</f>
        <v xml:space="preserve">  TRX/PSU/BB Assembly</v>
      </c>
      <c r="N3613" s="7">
        <v>46233</v>
      </c>
    </row>
    <row r="3614" spans="1:14">
      <c r="A3614" s="11" t="s">
        <v>1433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J3614" s="1" t="str">
        <f t="shared" si="56"/>
        <v>20LA22.00</v>
      </c>
      <c r="K3614" s="1" t="str">
        <f>VLOOKUP(J3614,WO!B:E,4,0)</f>
        <v>AXOLA</v>
      </c>
      <c r="L3614" s="1" t="str">
        <f>VLOOKUP(J3614,WO!B:F,5,0)</f>
        <v xml:space="preserve">  TRX/PSU/BB Assembly</v>
      </c>
      <c r="N3614" s="7">
        <v>46233</v>
      </c>
    </row>
    <row r="3615" spans="1:14">
      <c r="A3615" s="11" t="s">
        <v>3900</v>
      </c>
      <c r="B3615" s="11" t="s">
        <v>6</v>
      </c>
      <c r="C3615" s="11" t="s">
        <v>6</v>
      </c>
      <c r="D3615" s="11">
        <v>1</v>
      </c>
      <c r="E3615" s="11" t="s">
        <v>47</v>
      </c>
      <c r="F3615" s="20">
        <v>46266.273159722223</v>
      </c>
      <c r="G3615" s="11" t="s">
        <v>3208</v>
      </c>
      <c r="H3615" s="11" t="s">
        <v>3513</v>
      </c>
      <c r="I3615" s="1">
        <f>VLOOKUP(G3615,WO!A:J,10,0)</f>
        <v>53</v>
      </c>
      <c r="J3615" s="1" t="str">
        <f t="shared" si="56"/>
        <v>20LA23.00</v>
      </c>
      <c r="K3615" s="1" t="str">
        <f>VLOOKUP(J3615,WO!B:E,4,0)</f>
        <v>AXOLA</v>
      </c>
      <c r="L3615" s="1" t="str">
        <f>VLOOKUP(J3615,WO!B:F,5,0)</f>
        <v xml:space="preserve">  TRX/PSU/BB Assembly</v>
      </c>
      <c r="N3615" s="7"/>
    </row>
    <row r="3616" spans="1:14">
      <c r="A3616" s="11" t="s">
        <v>3901</v>
      </c>
      <c r="B3616" s="11" t="s">
        <v>6</v>
      </c>
      <c r="C3616" s="11" t="s">
        <v>6</v>
      </c>
      <c r="D3616" s="11">
        <v>1</v>
      </c>
      <c r="E3616" s="11" t="s">
        <v>47</v>
      </c>
      <c r="F3616" s="20">
        <v>46266.273159722223</v>
      </c>
      <c r="G3616" s="11" t="s">
        <v>3208</v>
      </c>
      <c r="H3616" s="11" t="s">
        <v>3513</v>
      </c>
      <c r="I3616" s="1">
        <f>VLOOKUP(G3616,WO!A:J,10,0)</f>
        <v>53</v>
      </c>
      <c r="J3616" s="1" t="str">
        <f t="shared" si="56"/>
        <v>20LA23.00</v>
      </c>
      <c r="K3616" s="1" t="str">
        <f>VLOOKUP(J3616,WO!B:E,4,0)</f>
        <v>AXOLA</v>
      </c>
      <c r="L3616" s="1" t="str">
        <f>VLOOKUP(J3616,WO!B:F,5,0)</f>
        <v xml:space="preserve">  TRX/PSU/BB Assembly</v>
      </c>
      <c r="N3616" s="7"/>
    </row>
    <row r="3617" spans="1:14">
      <c r="A3617" s="11" t="s">
        <v>3902</v>
      </c>
      <c r="B3617" s="11" t="s">
        <v>6</v>
      </c>
      <c r="C3617" s="11" t="s">
        <v>6</v>
      </c>
      <c r="D3617" s="11">
        <v>1</v>
      </c>
      <c r="E3617" s="11" t="s">
        <v>47</v>
      </c>
      <c r="F3617" s="20">
        <v>46266.273159722223</v>
      </c>
      <c r="G3617" s="11" t="s">
        <v>3208</v>
      </c>
      <c r="H3617" s="11" t="s">
        <v>3513</v>
      </c>
      <c r="I3617" s="1">
        <f>VLOOKUP(G3617,WO!A:J,10,0)</f>
        <v>53</v>
      </c>
      <c r="J3617" s="1" t="str">
        <f t="shared" si="56"/>
        <v>20LA23.00</v>
      </c>
      <c r="K3617" s="1" t="str">
        <f>VLOOKUP(J3617,WO!B:E,4,0)</f>
        <v>AXOLA</v>
      </c>
      <c r="L3617" s="1" t="str">
        <f>VLOOKUP(J3617,WO!B:F,5,0)</f>
        <v xml:space="preserve">  TRX/PSU/BB Assembly</v>
      </c>
      <c r="N3617" s="7"/>
    </row>
    <row r="3618" spans="1:14">
      <c r="A3618" s="11" t="s">
        <v>3903</v>
      </c>
      <c r="B3618" s="11" t="s">
        <v>6</v>
      </c>
      <c r="C3618" s="11" t="s">
        <v>6</v>
      </c>
      <c r="D3618" s="11">
        <v>1</v>
      </c>
      <c r="E3618" s="11" t="s">
        <v>47</v>
      </c>
      <c r="F3618" s="20">
        <v>46266.273159722223</v>
      </c>
      <c r="G3618" s="11" t="s">
        <v>3208</v>
      </c>
      <c r="H3618" s="11" t="s">
        <v>3513</v>
      </c>
      <c r="I3618" s="1">
        <f>VLOOKUP(G3618,WO!A:J,10,0)</f>
        <v>53</v>
      </c>
      <c r="J3618" s="1" t="str">
        <f t="shared" si="56"/>
        <v>20LA23.00</v>
      </c>
      <c r="K3618" s="1" t="str">
        <f>VLOOKUP(J3618,WO!B:E,4,0)</f>
        <v>AXOLA</v>
      </c>
      <c r="L3618" s="1" t="str">
        <f>VLOOKUP(J3618,WO!B:F,5,0)</f>
        <v xml:space="preserve">  TRX/PSU/BB Assembly</v>
      </c>
      <c r="N3618" s="7"/>
    </row>
    <row r="3619" spans="1:14">
      <c r="A3619" s="11" t="s">
        <v>3904</v>
      </c>
      <c r="B3619" s="11" t="s">
        <v>6</v>
      </c>
      <c r="C3619" s="11" t="s">
        <v>6</v>
      </c>
      <c r="D3619" s="11">
        <v>1</v>
      </c>
      <c r="E3619" s="11" t="s">
        <v>47</v>
      </c>
      <c r="F3619" s="20">
        <v>46266.273159722223</v>
      </c>
      <c r="G3619" s="11" t="s">
        <v>3208</v>
      </c>
      <c r="H3619" s="11" t="s">
        <v>3513</v>
      </c>
      <c r="I3619" s="1">
        <f>VLOOKUP(G3619,WO!A:J,10,0)</f>
        <v>53</v>
      </c>
      <c r="J3619" s="1" t="str">
        <f t="shared" si="56"/>
        <v>20LA23.00</v>
      </c>
      <c r="K3619" s="1" t="str">
        <f>VLOOKUP(J3619,WO!B:E,4,0)</f>
        <v>AXOLA</v>
      </c>
      <c r="L3619" s="1" t="str">
        <f>VLOOKUP(J3619,WO!B:F,5,0)</f>
        <v xml:space="preserve">  TRX/PSU/BB Assembly</v>
      </c>
      <c r="N3619" s="7"/>
    </row>
    <row r="3620" spans="1:14">
      <c r="A3620" s="11" t="s">
        <v>3905</v>
      </c>
      <c r="B3620" s="11" t="s">
        <v>6</v>
      </c>
      <c r="C3620" s="11" t="s">
        <v>6</v>
      </c>
      <c r="D3620" s="11">
        <v>1</v>
      </c>
      <c r="E3620" s="11" t="s">
        <v>47</v>
      </c>
      <c r="F3620" s="20">
        <v>46266.273159722223</v>
      </c>
      <c r="G3620" s="11" t="s">
        <v>3208</v>
      </c>
      <c r="H3620" s="11" t="s">
        <v>3513</v>
      </c>
      <c r="I3620" s="1">
        <f>VLOOKUP(G3620,WO!A:J,10,0)</f>
        <v>53</v>
      </c>
      <c r="J3620" s="1" t="str">
        <f t="shared" si="56"/>
        <v>20LA23.00</v>
      </c>
      <c r="K3620" s="1" t="str">
        <f>VLOOKUP(J3620,WO!B:E,4,0)</f>
        <v>AXOLA</v>
      </c>
      <c r="L3620" s="1" t="str">
        <f>VLOOKUP(J3620,WO!B:F,5,0)</f>
        <v xml:space="preserve">  TRX/PSU/BB Assembly</v>
      </c>
      <c r="N3620" s="7"/>
    </row>
    <row r="3621" spans="1:14">
      <c r="A3621" s="11" t="s">
        <v>3906</v>
      </c>
      <c r="B3621" s="11" t="s">
        <v>6</v>
      </c>
      <c r="C3621" s="11" t="s">
        <v>6</v>
      </c>
      <c r="D3621" s="11">
        <v>1</v>
      </c>
      <c r="E3621" s="11" t="s">
        <v>47</v>
      </c>
      <c r="F3621" s="20">
        <v>46266.273159722223</v>
      </c>
      <c r="G3621" s="11" t="s">
        <v>3208</v>
      </c>
      <c r="H3621" s="11" t="s">
        <v>3513</v>
      </c>
      <c r="I3621" s="1">
        <f>VLOOKUP(G3621,WO!A:J,10,0)</f>
        <v>53</v>
      </c>
      <c r="J3621" s="1" t="str">
        <f t="shared" si="56"/>
        <v>20LA23.00</v>
      </c>
      <c r="K3621" s="1" t="str">
        <f>VLOOKUP(J3621,WO!B:E,4,0)</f>
        <v>AXOLA</v>
      </c>
      <c r="L3621" s="1" t="str">
        <f>VLOOKUP(J3621,WO!B:F,5,0)</f>
        <v xml:space="preserve">  TRX/PSU/BB Assembly</v>
      </c>
      <c r="N3621" s="7"/>
    </row>
    <row r="3622" spans="1:14">
      <c r="A3622" s="11" t="s">
        <v>3907</v>
      </c>
      <c r="B3622" s="11" t="s">
        <v>6</v>
      </c>
      <c r="C3622" s="11" t="s">
        <v>6</v>
      </c>
      <c r="D3622" s="11">
        <v>1</v>
      </c>
      <c r="E3622" s="11" t="s">
        <v>47</v>
      </c>
      <c r="F3622" s="20">
        <v>46266.273159722223</v>
      </c>
      <c r="G3622" s="11" t="s">
        <v>3208</v>
      </c>
      <c r="H3622" s="11" t="s">
        <v>3513</v>
      </c>
      <c r="I3622" s="1">
        <f>VLOOKUP(G3622,WO!A:J,10,0)</f>
        <v>53</v>
      </c>
      <c r="J3622" s="1" t="str">
        <f t="shared" si="56"/>
        <v>20LA23.00</v>
      </c>
      <c r="K3622" s="1" t="str">
        <f>VLOOKUP(J3622,WO!B:E,4,0)</f>
        <v>AXOLA</v>
      </c>
      <c r="L3622" s="1" t="str">
        <f>VLOOKUP(J3622,WO!B:F,5,0)</f>
        <v xml:space="preserve">  TRX/PSU/BB Assembly</v>
      </c>
      <c r="N3622" s="7"/>
    </row>
    <row r="3623" spans="1:14">
      <c r="A3623" s="11" t="s">
        <v>3908</v>
      </c>
      <c r="B3623" s="11" t="s">
        <v>6</v>
      </c>
      <c r="C3623" s="11" t="s">
        <v>6</v>
      </c>
      <c r="D3623" s="11">
        <v>1</v>
      </c>
      <c r="E3623" s="11" t="s">
        <v>47</v>
      </c>
      <c r="F3623" s="20">
        <v>46266.273159722223</v>
      </c>
      <c r="G3623" s="11" t="s">
        <v>3208</v>
      </c>
      <c r="H3623" s="11" t="s">
        <v>3513</v>
      </c>
      <c r="I3623" s="1">
        <f>VLOOKUP(G3623,WO!A:J,10,0)</f>
        <v>53</v>
      </c>
      <c r="J3623" s="1" t="str">
        <f t="shared" si="56"/>
        <v>20LA23.00</v>
      </c>
      <c r="K3623" s="1" t="str">
        <f>VLOOKUP(J3623,WO!B:E,4,0)</f>
        <v>AXOLA</v>
      </c>
      <c r="L3623" s="1" t="str">
        <f>VLOOKUP(J3623,WO!B:F,5,0)</f>
        <v xml:space="preserve">  TRX/PSU/BB Assembly</v>
      </c>
      <c r="N3623" s="7"/>
    </row>
    <row r="3624" spans="1:14">
      <c r="A3624" s="11" t="s">
        <v>3909</v>
      </c>
      <c r="B3624" s="11" t="s">
        <v>6</v>
      </c>
      <c r="C3624" s="11" t="s">
        <v>6</v>
      </c>
      <c r="D3624" s="11">
        <v>1</v>
      </c>
      <c r="E3624" s="11" t="s">
        <v>47</v>
      </c>
      <c r="F3624" s="20">
        <v>46266.273159722223</v>
      </c>
      <c r="G3624" s="11" t="s">
        <v>3208</v>
      </c>
      <c r="H3624" s="11" t="s">
        <v>3513</v>
      </c>
      <c r="I3624" s="1">
        <f>VLOOKUP(G3624,WO!A:J,10,0)</f>
        <v>53</v>
      </c>
      <c r="J3624" s="1" t="str">
        <f t="shared" si="56"/>
        <v>20LA23.00</v>
      </c>
      <c r="K3624" s="1" t="str">
        <f>VLOOKUP(J3624,WO!B:E,4,0)</f>
        <v>AXOLA</v>
      </c>
      <c r="L3624" s="1" t="str">
        <f>VLOOKUP(J3624,WO!B:F,5,0)</f>
        <v xml:space="preserve">  TRX/PSU/BB Assembly</v>
      </c>
      <c r="N3624" s="7"/>
    </row>
    <row r="3625" spans="1:14">
      <c r="A3625" s="11" t="s">
        <v>3910</v>
      </c>
      <c r="B3625" s="11" t="s">
        <v>6</v>
      </c>
      <c r="C3625" s="11" t="s">
        <v>6</v>
      </c>
      <c r="D3625" s="11">
        <v>1</v>
      </c>
      <c r="E3625" s="11" t="s">
        <v>47</v>
      </c>
      <c r="F3625" s="20">
        <v>46266.273159722223</v>
      </c>
      <c r="G3625" s="11" t="s">
        <v>3208</v>
      </c>
      <c r="H3625" s="11" t="s">
        <v>3513</v>
      </c>
      <c r="I3625" s="1">
        <f>VLOOKUP(G3625,WO!A:J,10,0)</f>
        <v>53</v>
      </c>
      <c r="J3625" s="1" t="str">
        <f t="shared" si="56"/>
        <v>20LA23.00</v>
      </c>
      <c r="K3625" s="1" t="str">
        <f>VLOOKUP(J3625,WO!B:E,4,0)</f>
        <v>AXOLA</v>
      </c>
      <c r="L3625" s="1" t="str">
        <f>VLOOKUP(J3625,WO!B:F,5,0)</f>
        <v xml:space="preserve">  TRX/PSU/BB Assembly</v>
      </c>
      <c r="N3625" s="7"/>
    </row>
    <row r="3626" spans="1:14">
      <c r="A3626" s="11" t="s">
        <v>3911</v>
      </c>
      <c r="B3626" s="11" t="s">
        <v>6</v>
      </c>
      <c r="C3626" s="11" t="s">
        <v>6</v>
      </c>
      <c r="D3626" s="11">
        <v>1</v>
      </c>
      <c r="E3626" s="11" t="s">
        <v>47</v>
      </c>
      <c r="F3626" s="20">
        <v>46266.273159722223</v>
      </c>
      <c r="G3626" s="11" t="s">
        <v>3208</v>
      </c>
      <c r="H3626" s="11" t="s">
        <v>3513</v>
      </c>
      <c r="I3626" s="1">
        <f>VLOOKUP(G3626,WO!A:J,10,0)</f>
        <v>53</v>
      </c>
      <c r="J3626" s="1" t="str">
        <f t="shared" si="56"/>
        <v>20LA23.00</v>
      </c>
      <c r="K3626" s="1" t="str">
        <f>VLOOKUP(J3626,WO!B:E,4,0)</f>
        <v>AXOLA</v>
      </c>
      <c r="L3626" s="1" t="str">
        <f>VLOOKUP(J3626,WO!B:F,5,0)</f>
        <v xml:space="preserve">  TRX/PSU/BB Assembly</v>
      </c>
      <c r="N3626" s="7"/>
    </row>
    <row r="3627" spans="1:14">
      <c r="A3627" s="11" t="s">
        <v>3912</v>
      </c>
      <c r="B3627" s="11" t="s">
        <v>6</v>
      </c>
      <c r="C3627" s="11" t="s">
        <v>6</v>
      </c>
      <c r="D3627" s="11">
        <v>1</v>
      </c>
      <c r="E3627" s="11" t="s">
        <v>47</v>
      </c>
      <c r="F3627" s="20">
        <v>46266.273159722223</v>
      </c>
      <c r="G3627" s="11" t="s">
        <v>3208</v>
      </c>
      <c r="H3627" s="11" t="s">
        <v>3513</v>
      </c>
      <c r="I3627" s="1">
        <f>VLOOKUP(G3627,WO!A:J,10,0)</f>
        <v>53</v>
      </c>
      <c r="J3627" s="1" t="str">
        <f t="shared" si="56"/>
        <v>20LA23.00</v>
      </c>
      <c r="K3627" s="1" t="str">
        <f>VLOOKUP(J3627,WO!B:E,4,0)</f>
        <v>AXOLA</v>
      </c>
      <c r="L3627" s="1" t="str">
        <f>VLOOKUP(J3627,WO!B:F,5,0)</f>
        <v xml:space="preserve">  TRX/PSU/BB Assembly</v>
      </c>
      <c r="N3627" s="7"/>
    </row>
    <row r="3628" spans="1:14">
      <c r="A3628" s="11" t="s">
        <v>3913</v>
      </c>
      <c r="B3628" s="11" t="s">
        <v>6</v>
      </c>
      <c r="C3628" s="11" t="s">
        <v>6</v>
      </c>
      <c r="D3628" s="11">
        <v>1</v>
      </c>
      <c r="E3628" s="11" t="s">
        <v>47</v>
      </c>
      <c r="F3628" s="20">
        <v>46266.273159722223</v>
      </c>
      <c r="G3628" s="11" t="s">
        <v>3208</v>
      </c>
      <c r="H3628" s="11" t="s">
        <v>3513</v>
      </c>
      <c r="I3628" s="1">
        <f>VLOOKUP(G3628,WO!A:J,10,0)</f>
        <v>53</v>
      </c>
      <c r="J3628" s="1" t="str">
        <f t="shared" si="56"/>
        <v>20LA23.00</v>
      </c>
      <c r="K3628" s="1" t="str">
        <f>VLOOKUP(J3628,WO!B:E,4,0)</f>
        <v>AXOLA</v>
      </c>
      <c r="L3628" s="1" t="str">
        <f>VLOOKUP(J3628,WO!B:F,5,0)</f>
        <v xml:space="preserve">  TRX/PSU/BB Assembly</v>
      </c>
      <c r="N3628" s="7"/>
    </row>
    <row r="3629" spans="1:14">
      <c r="A3629" s="11" t="s">
        <v>3914</v>
      </c>
      <c r="B3629" s="11" t="s">
        <v>6</v>
      </c>
      <c r="C3629" s="11" t="s">
        <v>6</v>
      </c>
      <c r="D3629" s="11">
        <v>1</v>
      </c>
      <c r="E3629" s="11" t="s">
        <v>47</v>
      </c>
      <c r="F3629" s="20">
        <v>46266.273159722223</v>
      </c>
      <c r="G3629" s="11" t="s">
        <v>3208</v>
      </c>
      <c r="H3629" s="11" t="s">
        <v>3513</v>
      </c>
      <c r="I3629" s="1">
        <f>VLOOKUP(G3629,WO!A:J,10,0)</f>
        <v>53</v>
      </c>
      <c r="J3629" s="1" t="str">
        <f t="shared" si="56"/>
        <v>20LA23.00</v>
      </c>
      <c r="K3629" s="1" t="str">
        <f>VLOOKUP(J3629,WO!B:E,4,0)</f>
        <v>AXOLA</v>
      </c>
      <c r="L3629" s="1" t="str">
        <f>VLOOKUP(J3629,WO!B:F,5,0)</f>
        <v xml:space="preserve">  TRX/PSU/BB Assembly</v>
      </c>
      <c r="N3629" s="7"/>
    </row>
    <row r="3630" spans="1:14">
      <c r="A3630" s="11" t="s">
        <v>3915</v>
      </c>
      <c r="B3630" s="11" t="s">
        <v>6</v>
      </c>
      <c r="C3630" s="11" t="s">
        <v>6</v>
      </c>
      <c r="D3630" s="11">
        <v>1</v>
      </c>
      <c r="E3630" s="11" t="s">
        <v>47</v>
      </c>
      <c r="F3630" s="20">
        <v>46266.273159722223</v>
      </c>
      <c r="G3630" s="11" t="s">
        <v>3208</v>
      </c>
      <c r="H3630" s="11" t="s">
        <v>3513</v>
      </c>
      <c r="I3630" s="1">
        <f>VLOOKUP(G3630,WO!A:J,10,0)</f>
        <v>53</v>
      </c>
      <c r="J3630" s="1" t="str">
        <f t="shared" si="56"/>
        <v>20LA23.00</v>
      </c>
      <c r="K3630" s="1" t="str">
        <f>VLOOKUP(J3630,WO!B:E,4,0)</f>
        <v>AXOLA</v>
      </c>
      <c r="L3630" s="1" t="str">
        <f>VLOOKUP(J3630,WO!B:F,5,0)</f>
        <v xml:space="preserve">  TRX/PSU/BB Assembly</v>
      </c>
      <c r="N3630" s="7"/>
    </row>
    <row r="3631" spans="1:14">
      <c r="A3631" s="11" t="s">
        <v>3916</v>
      </c>
      <c r="B3631" s="11" t="s">
        <v>6</v>
      </c>
      <c r="C3631" s="11" t="s">
        <v>6</v>
      </c>
      <c r="D3631" s="11">
        <v>1</v>
      </c>
      <c r="E3631" s="11" t="s">
        <v>47</v>
      </c>
      <c r="F3631" s="20">
        <v>46266.273159722223</v>
      </c>
      <c r="G3631" s="11" t="s">
        <v>3208</v>
      </c>
      <c r="H3631" s="11" t="s">
        <v>3513</v>
      </c>
      <c r="I3631" s="1">
        <f>VLOOKUP(G3631,WO!A:J,10,0)</f>
        <v>53</v>
      </c>
      <c r="J3631" s="1" t="str">
        <f t="shared" si="56"/>
        <v>20LA23.00</v>
      </c>
      <c r="K3631" s="1" t="str">
        <f>VLOOKUP(J3631,WO!B:E,4,0)</f>
        <v>AXOLA</v>
      </c>
      <c r="L3631" s="1" t="str">
        <f>VLOOKUP(J3631,WO!B:F,5,0)</f>
        <v xml:space="preserve">  TRX/PSU/BB Assembly</v>
      </c>
      <c r="N3631" s="7"/>
    </row>
    <row r="3632" spans="1:14">
      <c r="A3632" s="11" t="s">
        <v>3917</v>
      </c>
      <c r="B3632" s="11" t="s">
        <v>6</v>
      </c>
      <c r="C3632" s="11" t="s">
        <v>6</v>
      </c>
      <c r="D3632" s="11">
        <v>1</v>
      </c>
      <c r="E3632" s="11" t="s">
        <v>47</v>
      </c>
      <c r="F3632" s="20">
        <v>46266.273159722223</v>
      </c>
      <c r="G3632" s="11" t="s">
        <v>3208</v>
      </c>
      <c r="H3632" s="11" t="s">
        <v>3513</v>
      </c>
      <c r="I3632" s="1">
        <f>VLOOKUP(G3632,WO!A:J,10,0)</f>
        <v>53</v>
      </c>
      <c r="J3632" s="1" t="str">
        <f t="shared" si="56"/>
        <v>20LA23.00</v>
      </c>
      <c r="K3632" s="1" t="str">
        <f>VLOOKUP(J3632,WO!B:E,4,0)</f>
        <v>AXOLA</v>
      </c>
      <c r="L3632" s="1" t="str">
        <f>VLOOKUP(J3632,WO!B:F,5,0)</f>
        <v xml:space="preserve">  TRX/PSU/BB Assembly</v>
      </c>
      <c r="N3632" s="7"/>
    </row>
    <row r="3633" spans="1:14">
      <c r="A3633" s="11" t="s">
        <v>3918</v>
      </c>
      <c r="B3633" s="11" t="s">
        <v>6</v>
      </c>
      <c r="C3633" s="11" t="s">
        <v>6</v>
      </c>
      <c r="D3633" s="11">
        <v>1</v>
      </c>
      <c r="E3633" s="11" t="s">
        <v>47</v>
      </c>
      <c r="F3633" s="20">
        <v>46266.273159722223</v>
      </c>
      <c r="G3633" s="11" t="s">
        <v>3208</v>
      </c>
      <c r="H3633" s="11" t="s">
        <v>3513</v>
      </c>
      <c r="I3633" s="1">
        <f>VLOOKUP(G3633,WO!A:J,10,0)</f>
        <v>53</v>
      </c>
      <c r="J3633" s="1" t="str">
        <f t="shared" si="56"/>
        <v>20LA23.00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7"/>
    </row>
    <row r="3634" spans="1:14">
      <c r="A3634" s="11" t="s">
        <v>3919</v>
      </c>
      <c r="B3634" s="11" t="s">
        <v>6</v>
      </c>
      <c r="C3634" s="11" t="s">
        <v>6</v>
      </c>
      <c r="D3634" s="11">
        <v>1</v>
      </c>
      <c r="E3634" s="11" t="s">
        <v>47</v>
      </c>
      <c r="F3634" s="20">
        <v>46266.273159722223</v>
      </c>
      <c r="G3634" s="11" t="s">
        <v>3208</v>
      </c>
      <c r="H3634" s="11" t="s">
        <v>3513</v>
      </c>
      <c r="I3634" s="1">
        <f>VLOOKUP(G3634,WO!A:J,10,0)</f>
        <v>53</v>
      </c>
      <c r="J3634" s="1" t="str">
        <f t="shared" si="56"/>
        <v>20LA23.00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7"/>
    </row>
    <row r="3635" spans="1:14">
      <c r="A3635" s="11" t="s">
        <v>3920</v>
      </c>
      <c r="B3635" s="11" t="s">
        <v>6</v>
      </c>
      <c r="C3635" s="11" t="s">
        <v>6</v>
      </c>
      <c r="D3635" s="11">
        <v>1</v>
      </c>
      <c r="E3635" s="11" t="s">
        <v>47</v>
      </c>
      <c r="F3635" s="20">
        <v>46266.273159722223</v>
      </c>
      <c r="G3635" s="11" t="s">
        <v>3208</v>
      </c>
      <c r="H3635" s="11" t="s">
        <v>3513</v>
      </c>
      <c r="I3635" s="1">
        <f>VLOOKUP(G3635,WO!A:J,10,0)</f>
        <v>53</v>
      </c>
      <c r="J3635" s="1" t="str">
        <f t="shared" si="56"/>
        <v>20LA23.00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7"/>
    </row>
    <row r="3636" spans="1:14">
      <c r="A3636" s="11" t="s">
        <v>3921</v>
      </c>
      <c r="B3636" s="11" t="s">
        <v>6</v>
      </c>
      <c r="C3636" s="11" t="s">
        <v>6</v>
      </c>
      <c r="D3636" s="11">
        <v>1</v>
      </c>
      <c r="E3636" s="11" t="s">
        <v>47</v>
      </c>
      <c r="F3636" s="20">
        <v>46266.273159722223</v>
      </c>
      <c r="G3636" s="11" t="s">
        <v>3208</v>
      </c>
      <c r="H3636" s="11" t="s">
        <v>3513</v>
      </c>
      <c r="I3636" s="1">
        <f>VLOOKUP(G3636,WO!A:J,10,0)</f>
        <v>53</v>
      </c>
      <c r="J3636" s="1" t="str">
        <f t="shared" si="56"/>
        <v>20LA23.00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7"/>
    </row>
    <row r="3637" spans="1:14">
      <c r="A3637" s="11" t="s">
        <v>3922</v>
      </c>
      <c r="B3637" s="11" t="s">
        <v>6</v>
      </c>
      <c r="C3637" s="11" t="s">
        <v>6</v>
      </c>
      <c r="D3637" s="11">
        <v>1</v>
      </c>
      <c r="E3637" s="11" t="s">
        <v>47</v>
      </c>
      <c r="F3637" s="20">
        <v>46266.273159722223</v>
      </c>
      <c r="G3637" s="11" t="s">
        <v>3208</v>
      </c>
      <c r="H3637" s="11" t="s">
        <v>3513</v>
      </c>
      <c r="I3637" s="1">
        <f>VLOOKUP(G3637,WO!A:J,10,0)</f>
        <v>53</v>
      </c>
      <c r="J3637" s="1" t="str">
        <f t="shared" si="56"/>
        <v>20LA23.00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7"/>
    </row>
    <row r="3638" spans="1:14">
      <c r="A3638" s="11" t="s">
        <v>3923</v>
      </c>
      <c r="B3638" s="11" t="s">
        <v>6</v>
      </c>
      <c r="C3638" s="11" t="s">
        <v>6</v>
      </c>
      <c r="D3638" s="11">
        <v>1</v>
      </c>
      <c r="E3638" s="11" t="s">
        <v>47</v>
      </c>
      <c r="F3638" s="20">
        <v>46266.273159722223</v>
      </c>
      <c r="G3638" s="11" t="s">
        <v>3208</v>
      </c>
      <c r="H3638" s="11" t="s">
        <v>3513</v>
      </c>
      <c r="I3638" s="1">
        <f>VLOOKUP(G3638,WO!A:J,10,0)</f>
        <v>53</v>
      </c>
      <c r="J3638" s="1" t="str">
        <f t="shared" si="56"/>
        <v>20LA23.00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7"/>
    </row>
    <row r="3639" spans="1:14">
      <c r="A3639" s="11" t="s">
        <v>3924</v>
      </c>
      <c r="B3639" s="11" t="s">
        <v>6</v>
      </c>
      <c r="C3639" s="11" t="s">
        <v>6</v>
      </c>
      <c r="D3639" s="11">
        <v>1</v>
      </c>
      <c r="E3639" s="11" t="s">
        <v>47</v>
      </c>
      <c r="F3639" s="20">
        <v>46266.273159722223</v>
      </c>
      <c r="G3639" s="11" t="s">
        <v>3208</v>
      </c>
      <c r="H3639" s="11" t="s">
        <v>3513</v>
      </c>
      <c r="I3639" s="1">
        <f>VLOOKUP(G3639,WO!A:J,10,0)</f>
        <v>53</v>
      </c>
      <c r="J3639" s="1" t="str">
        <f t="shared" si="56"/>
        <v>20LA23.00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7"/>
    </row>
    <row r="3640" spans="1:14">
      <c r="A3640" s="11" t="s">
        <v>3925</v>
      </c>
      <c r="B3640" s="11" t="s">
        <v>6</v>
      </c>
      <c r="C3640" s="11" t="s">
        <v>6</v>
      </c>
      <c r="D3640" s="11">
        <v>1</v>
      </c>
      <c r="E3640" s="11" t="s">
        <v>47</v>
      </c>
      <c r="F3640" s="20">
        <v>46266.273159722223</v>
      </c>
      <c r="G3640" s="11" t="s">
        <v>3208</v>
      </c>
      <c r="H3640" s="11" t="s">
        <v>3513</v>
      </c>
      <c r="I3640" s="1">
        <f>VLOOKUP(G3640,WO!A:J,10,0)</f>
        <v>53</v>
      </c>
      <c r="J3640" s="1" t="str">
        <f t="shared" si="56"/>
        <v>20LA23.00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7"/>
    </row>
    <row r="3641" spans="1:14">
      <c r="A3641" s="11" t="s">
        <v>3926</v>
      </c>
      <c r="B3641" s="11" t="s">
        <v>6</v>
      </c>
      <c r="C3641" s="11" t="s">
        <v>6</v>
      </c>
      <c r="D3641" s="11">
        <v>1</v>
      </c>
      <c r="E3641" s="11" t="s">
        <v>47</v>
      </c>
      <c r="F3641" s="20">
        <v>46266.273159722223</v>
      </c>
      <c r="G3641" s="11" t="s">
        <v>3208</v>
      </c>
      <c r="H3641" s="11" t="s">
        <v>3513</v>
      </c>
      <c r="I3641" s="1">
        <f>VLOOKUP(G3641,WO!A:J,10,0)</f>
        <v>53</v>
      </c>
      <c r="J3641" s="1" t="str">
        <f t="shared" si="56"/>
        <v>20LA23.00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7"/>
    </row>
    <row r="3642" spans="1:14">
      <c r="A3642" s="11" t="s">
        <v>3927</v>
      </c>
      <c r="B3642" s="11" t="s">
        <v>6</v>
      </c>
      <c r="C3642" s="11" t="s">
        <v>6</v>
      </c>
      <c r="D3642" s="11">
        <v>1</v>
      </c>
      <c r="E3642" s="11" t="s">
        <v>47</v>
      </c>
      <c r="F3642" s="20">
        <v>46266.273159722223</v>
      </c>
      <c r="G3642" s="11" t="s">
        <v>3208</v>
      </c>
      <c r="H3642" s="11" t="s">
        <v>3513</v>
      </c>
      <c r="I3642" s="1">
        <f>VLOOKUP(G3642,WO!A:J,10,0)</f>
        <v>53</v>
      </c>
      <c r="J3642" s="1" t="str">
        <f t="shared" si="56"/>
        <v>20LA23.00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7"/>
    </row>
    <row r="3643" spans="1:14">
      <c r="A3643" s="11" t="s">
        <v>3928</v>
      </c>
      <c r="B3643" s="11" t="s">
        <v>6</v>
      </c>
      <c r="C3643" s="11" t="s">
        <v>6</v>
      </c>
      <c r="D3643" s="11">
        <v>1</v>
      </c>
      <c r="E3643" s="11" t="s">
        <v>47</v>
      </c>
      <c r="F3643" s="20">
        <v>46266.273159722223</v>
      </c>
      <c r="G3643" s="11" t="s">
        <v>3208</v>
      </c>
      <c r="H3643" s="11" t="s">
        <v>3513</v>
      </c>
      <c r="I3643" s="1">
        <f>VLOOKUP(G3643,WO!A:J,10,0)</f>
        <v>53</v>
      </c>
      <c r="J3643" s="1" t="str">
        <f t="shared" si="56"/>
        <v>20LA23.00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7"/>
    </row>
    <row r="3644" spans="1:14">
      <c r="A3644" s="11" t="s">
        <v>3929</v>
      </c>
      <c r="B3644" s="11" t="s">
        <v>6</v>
      </c>
      <c r="C3644" s="11" t="s">
        <v>6</v>
      </c>
      <c r="D3644" s="11">
        <v>1</v>
      </c>
      <c r="E3644" s="11" t="s">
        <v>47</v>
      </c>
      <c r="F3644" s="20">
        <v>46266.273159722223</v>
      </c>
      <c r="G3644" s="11" t="s">
        <v>3208</v>
      </c>
      <c r="H3644" s="11" t="s">
        <v>3513</v>
      </c>
      <c r="I3644" s="1">
        <f>VLOOKUP(G3644,WO!A:J,10,0)</f>
        <v>53</v>
      </c>
      <c r="J3644" s="1" t="str">
        <f t="shared" si="56"/>
        <v>20LA23.00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7"/>
    </row>
    <row r="3645" spans="1:14">
      <c r="A3645" s="11" t="s">
        <v>3930</v>
      </c>
      <c r="B3645" s="11" t="s">
        <v>6</v>
      </c>
      <c r="C3645" s="11" t="s">
        <v>6</v>
      </c>
      <c r="D3645" s="11">
        <v>1</v>
      </c>
      <c r="E3645" s="11" t="s">
        <v>47</v>
      </c>
      <c r="F3645" s="20">
        <v>46266.273159722223</v>
      </c>
      <c r="G3645" s="11" t="s">
        <v>3208</v>
      </c>
      <c r="H3645" s="11" t="s">
        <v>3513</v>
      </c>
      <c r="I3645" s="1">
        <f>VLOOKUP(G3645,WO!A:J,10,0)</f>
        <v>53</v>
      </c>
      <c r="J3645" s="1" t="str">
        <f t="shared" si="56"/>
        <v>20LA23.00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7"/>
    </row>
    <row r="3646" spans="1:14">
      <c r="A3646" s="11" t="s">
        <v>3931</v>
      </c>
      <c r="B3646" s="11" t="s">
        <v>6</v>
      </c>
      <c r="C3646" s="11" t="s">
        <v>6</v>
      </c>
      <c r="D3646" s="11">
        <v>1</v>
      </c>
      <c r="E3646" s="11" t="s">
        <v>47</v>
      </c>
      <c r="F3646" s="20">
        <v>46266.273159722223</v>
      </c>
      <c r="G3646" s="11" t="s">
        <v>3208</v>
      </c>
      <c r="H3646" s="11" t="s">
        <v>3513</v>
      </c>
      <c r="I3646" s="1">
        <f>VLOOKUP(G3646,WO!A:J,10,0)</f>
        <v>53</v>
      </c>
      <c r="J3646" s="1" t="str">
        <f t="shared" si="56"/>
        <v>20LA23.00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7"/>
    </row>
    <row r="3647" spans="1:14">
      <c r="A3647" s="11" t="s">
        <v>3932</v>
      </c>
      <c r="B3647" s="11" t="s">
        <v>6</v>
      </c>
      <c r="C3647" s="11" t="s">
        <v>6</v>
      </c>
      <c r="D3647" s="11">
        <v>1</v>
      </c>
      <c r="E3647" s="11" t="s">
        <v>47</v>
      </c>
      <c r="F3647" s="20">
        <v>46266.273159722223</v>
      </c>
      <c r="G3647" s="11" t="s">
        <v>3208</v>
      </c>
      <c r="H3647" s="11" t="s">
        <v>3513</v>
      </c>
      <c r="I3647" s="1">
        <f>VLOOKUP(G3647,WO!A:J,10,0)</f>
        <v>53</v>
      </c>
      <c r="J3647" s="1" t="str">
        <f t="shared" si="56"/>
        <v>20LA23.00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7"/>
    </row>
    <row r="3648" spans="1:14">
      <c r="A3648" s="11" t="s">
        <v>3933</v>
      </c>
      <c r="B3648" s="11" t="s">
        <v>6</v>
      </c>
      <c r="C3648" s="11" t="s">
        <v>6</v>
      </c>
      <c r="D3648" s="11">
        <v>1</v>
      </c>
      <c r="E3648" s="11" t="s">
        <v>47</v>
      </c>
      <c r="F3648" s="20">
        <v>46266.273159722223</v>
      </c>
      <c r="G3648" s="11" t="s">
        <v>3208</v>
      </c>
      <c r="H3648" s="11" t="s">
        <v>3513</v>
      </c>
      <c r="I3648" s="1">
        <f>VLOOKUP(G3648,WO!A:J,10,0)</f>
        <v>53</v>
      </c>
      <c r="J3648" s="1" t="str">
        <f t="shared" si="56"/>
        <v>20LA23.00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7"/>
    </row>
    <row r="3649" spans="1:14">
      <c r="A3649" s="11" t="s">
        <v>3934</v>
      </c>
      <c r="B3649" s="11" t="s">
        <v>6</v>
      </c>
      <c r="C3649" s="11" t="s">
        <v>6</v>
      </c>
      <c r="D3649" s="11">
        <v>1</v>
      </c>
      <c r="E3649" s="11" t="s">
        <v>47</v>
      </c>
      <c r="F3649" s="20">
        <v>46266.273159722223</v>
      </c>
      <c r="G3649" s="11" t="s">
        <v>3208</v>
      </c>
      <c r="H3649" s="11" t="s">
        <v>3513</v>
      </c>
      <c r="I3649" s="1">
        <f>VLOOKUP(G3649,WO!A:J,10,0)</f>
        <v>53</v>
      </c>
      <c r="J3649" s="1" t="str">
        <f t="shared" si="56"/>
        <v>20LA23.00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7"/>
    </row>
    <row r="3650" spans="1:14">
      <c r="A3650" s="11" t="s">
        <v>3935</v>
      </c>
      <c r="B3650" s="11" t="s">
        <v>6</v>
      </c>
      <c r="C3650" s="11" t="s">
        <v>6</v>
      </c>
      <c r="D3650" s="11">
        <v>1</v>
      </c>
      <c r="E3650" s="11" t="s">
        <v>47</v>
      </c>
      <c r="F3650" s="20">
        <v>46266.273159722223</v>
      </c>
      <c r="G3650" s="11" t="s">
        <v>3208</v>
      </c>
      <c r="H3650" s="11" t="s">
        <v>3513</v>
      </c>
      <c r="I3650" s="1">
        <f>VLOOKUP(G3650,WO!A:J,10,0)</f>
        <v>53</v>
      </c>
      <c r="J3650" s="1" t="str">
        <f t="shared" si="56"/>
        <v>20LA23.00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7"/>
    </row>
    <row r="3651" spans="1:14">
      <c r="A3651" s="11" t="s">
        <v>3936</v>
      </c>
      <c r="B3651" s="11" t="s">
        <v>6</v>
      </c>
      <c r="C3651" s="11" t="s">
        <v>6</v>
      </c>
      <c r="D3651" s="11">
        <v>1</v>
      </c>
      <c r="E3651" s="11" t="s">
        <v>47</v>
      </c>
      <c r="F3651" s="20">
        <v>46266.273159722223</v>
      </c>
      <c r="G3651" s="11" t="s">
        <v>3208</v>
      </c>
      <c r="H3651" s="11" t="s">
        <v>3513</v>
      </c>
      <c r="I3651" s="1">
        <f>VLOOKUP(G3651,WO!A:J,10,0)</f>
        <v>53</v>
      </c>
      <c r="J3651" s="1" t="str">
        <f t="shared" ref="J3651:J3714" si="57">MID(G3651,3,9)</f>
        <v>20LA23.00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7"/>
    </row>
    <row r="3652" spans="1:14">
      <c r="A3652" s="11" t="s">
        <v>3937</v>
      </c>
      <c r="B3652" s="11" t="s">
        <v>6</v>
      </c>
      <c r="C3652" s="11" t="s">
        <v>6</v>
      </c>
      <c r="D3652" s="11">
        <v>1</v>
      </c>
      <c r="E3652" s="11" t="s">
        <v>47</v>
      </c>
      <c r="F3652" s="20">
        <v>46266.273159722223</v>
      </c>
      <c r="G3652" s="11" t="s">
        <v>3208</v>
      </c>
      <c r="H3652" s="11" t="s">
        <v>3513</v>
      </c>
      <c r="I3652" s="1">
        <f>VLOOKUP(G3652,WO!A:J,10,0)</f>
        <v>53</v>
      </c>
      <c r="J3652" s="1" t="str">
        <f t="shared" si="57"/>
        <v>20LA23.00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7"/>
    </row>
    <row r="3653" spans="1:14">
      <c r="A3653" s="11" t="s">
        <v>3938</v>
      </c>
      <c r="B3653" s="11" t="s">
        <v>6</v>
      </c>
      <c r="C3653" s="11" t="s">
        <v>6</v>
      </c>
      <c r="D3653" s="11">
        <v>1</v>
      </c>
      <c r="E3653" s="11" t="s">
        <v>47</v>
      </c>
      <c r="F3653" s="20">
        <v>46266.273159722223</v>
      </c>
      <c r="G3653" s="11" t="s">
        <v>3208</v>
      </c>
      <c r="H3653" s="11" t="s">
        <v>3513</v>
      </c>
      <c r="I3653" s="1">
        <f>VLOOKUP(G3653,WO!A:J,10,0)</f>
        <v>53</v>
      </c>
      <c r="J3653" s="1" t="str">
        <f t="shared" si="57"/>
        <v>20LA23.00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7"/>
    </row>
    <row r="3654" spans="1:14">
      <c r="A3654" s="11" t="s">
        <v>3939</v>
      </c>
      <c r="B3654" s="11" t="s">
        <v>6</v>
      </c>
      <c r="C3654" s="11" t="s">
        <v>6</v>
      </c>
      <c r="D3654" s="11">
        <v>1</v>
      </c>
      <c r="E3654" s="11" t="s">
        <v>47</v>
      </c>
      <c r="F3654" s="20">
        <v>46266.273159722223</v>
      </c>
      <c r="G3654" s="11" t="s">
        <v>3208</v>
      </c>
      <c r="H3654" s="11" t="s">
        <v>3513</v>
      </c>
      <c r="I3654" s="1">
        <f>VLOOKUP(G3654,WO!A:J,10,0)</f>
        <v>53</v>
      </c>
      <c r="J3654" s="1" t="str">
        <f t="shared" si="57"/>
        <v>20LA23.00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7"/>
    </row>
    <row r="3655" spans="1:14">
      <c r="A3655" s="11" t="s">
        <v>3940</v>
      </c>
      <c r="B3655" s="11" t="s">
        <v>6</v>
      </c>
      <c r="C3655" s="11" t="s">
        <v>6</v>
      </c>
      <c r="D3655" s="11">
        <v>1</v>
      </c>
      <c r="E3655" s="11" t="s">
        <v>47</v>
      </c>
      <c r="F3655" s="20">
        <v>46266.273159722223</v>
      </c>
      <c r="G3655" s="11" t="s">
        <v>3208</v>
      </c>
      <c r="H3655" s="11" t="s">
        <v>3513</v>
      </c>
      <c r="I3655" s="1">
        <f>VLOOKUP(G3655,WO!A:J,10,0)</f>
        <v>53</v>
      </c>
      <c r="J3655" s="1" t="str">
        <f t="shared" si="57"/>
        <v>20LA23.00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7"/>
    </row>
    <row r="3656" spans="1:14">
      <c r="A3656" s="11" t="s">
        <v>3941</v>
      </c>
      <c r="B3656" s="11" t="s">
        <v>6</v>
      </c>
      <c r="C3656" s="11" t="s">
        <v>6</v>
      </c>
      <c r="D3656" s="11">
        <v>1</v>
      </c>
      <c r="E3656" s="11" t="s">
        <v>47</v>
      </c>
      <c r="F3656" s="20">
        <v>46266.273159722223</v>
      </c>
      <c r="G3656" s="11" t="s">
        <v>3208</v>
      </c>
      <c r="H3656" s="11" t="s">
        <v>3513</v>
      </c>
      <c r="I3656" s="1">
        <f>VLOOKUP(G3656,WO!A:J,10,0)</f>
        <v>53</v>
      </c>
      <c r="J3656" s="1" t="str">
        <f t="shared" si="57"/>
        <v>20LA23.00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7"/>
    </row>
    <row r="3657" spans="1:14">
      <c r="A3657" s="11" t="s">
        <v>3942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7"/>
    </row>
    <row r="3658" spans="1:14">
      <c r="A3658" s="11" t="s">
        <v>3943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7"/>
    </row>
    <row r="3659" spans="1:14">
      <c r="A3659" s="11" t="s">
        <v>3944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7"/>
    </row>
    <row r="3660" spans="1:14">
      <c r="A3660" s="11" t="s">
        <v>3762</v>
      </c>
      <c r="B3660" s="11" t="s">
        <v>17</v>
      </c>
      <c r="C3660" s="11" t="s">
        <v>18</v>
      </c>
      <c r="D3660" s="11">
        <v>1</v>
      </c>
      <c r="E3660" s="11" t="s">
        <v>19</v>
      </c>
      <c r="F3660" s="20">
        <v>46269.363217592596</v>
      </c>
      <c r="G3660" s="11" t="s">
        <v>3761</v>
      </c>
      <c r="H3660" s="11" t="s">
        <v>3513</v>
      </c>
      <c r="I3660" s="1">
        <f>VLOOKUP(G3660,WO!A:J,10,0)</f>
        <v>50</v>
      </c>
      <c r="J3660" s="1" t="str">
        <f t="shared" si="57"/>
        <v>20LA23.10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7">
        <v>46267</v>
      </c>
    </row>
    <row r="3661" spans="1:14">
      <c r="A3661" s="11" t="s">
        <v>3763</v>
      </c>
      <c r="B3661" s="11" t="s">
        <v>8</v>
      </c>
      <c r="C3661" s="11" t="s">
        <v>9</v>
      </c>
      <c r="D3661" s="11">
        <v>1</v>
      </c>
      <c r="E3661" s="11" t="s">
        <v>10</v>
      </c>
      <c r="F3661" s="20">
        <v>46274.739560185182</v>
      </c>
      <c r="G3661" s="11" t="s">
        <v>3761</v>
      </c>
      <c r="H3661" s="11" t="s">
        <v>3513</v>
      </c>
      <c r="I3661" s="1">
        <f>VLOOKUP(G3661,WO!A:J,10,0)</f>
        <v>50</v>
      </c>
      <c r="J3661" s="1" t="str">
        <f t="shared" si="57"/>
        <v>20LA23.10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7"/>
    </row>
    <row r="3662" spans="1:14">
      <c r="A3662" s="11" t="s">
        <v>3764</v>
      </c>
      <c r="B3662" s="11" t="s">
        <v>17</v>
      </c>
      <c r="C3662" s="11" t="s">
        <v>18</v>
      </c>
      <c r="D3662" s="11">
        <v>1</v>
      </c>
      <c r="E3662" s="11" t="s">
        <v>19</v>
      </c>
      <c r="F3662" s="20">
        <v>46269.364837962959</v>
      </c>
      <c r="G3662" s="11" t="s">
        <v>3761</v>
      </c>
      <c r="H3662" s="11" t="s">
        <v>3513</v>
      </c>
      <c r="I3662" s="1">
        <f>VLOOKUP(G3662,WO!A:J,10,0)</f>
        <v>50</v>
      </c>
      <c r="J3662" s="1" t="str">
        <f t="shared" si="57"/>
        <v>20LA23.10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7">
        <v>46267</v>
      </c>
    </row>
    <row r="3663" spans="1:14">
      <c r="A3663" s="11" t="s">
        <v>3765</v>
      </c>
      <c r="B3663" s="11" t="s">
        <v>954</v>
      </c>
      <c r="C3663" s="11" t="s">
        <v>955</v>
      </c>
      <c r="D3663" s="11">
        <v>1</v>
      </c>
      <c r="E3663" s="11" t="s">
        <v>13</v>
      </c>
      <c r="F3663" s="20">
        <v>46274.493530092594</v>
      </c>
      <c r="G3663" s="11" t="s">
        <v>3761</v>
      </c>
      <c r="H3663" s="11" t="s">
        <v>3513</v>
      </c>
      <c r="I3663" s="1">
        <f>VLOOKUP(G3663,WO!A:J,10,0)</f>
        <v>50</v>
      </c>
      <c r="J3663" s="1" t="str">
        <f t="shared" si="57"/>
        <v>20LA23.10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7"/>
    </row>
    <row r="3664" spans="1:14">
      <c r="A3664" s="11" t="s">
        <v>3766</v>
      </c>
      <c r="B3664" s="11" t="s">
        <v>155</v>
      </c>
      <c r="C3664" s="11" t="s">
        <v>156</v>
      </c>
      <c r="D3664" s="11">
        <v>1</v>
      </c>
      <c r="E3664" s="11" t="s">
        <v>151</v>
      </c>
      <c r="F3664" s="20">
        <v>46274.496481481481</v>
      </c>
      <c r="G3664" s="11" t="s">
        <v>3761</v>
      </c>
      <c r="H3664" s="11" t="s">
        <v>3513</v>
      </c>
      <c r="I3664" s="1">
        <f>VLOOKUP(G3664,WO!A:J,10,0)</f>
        <v>50</v>
      </c>
      <c r="J3664" s="1" t="str">
        <f t="shared" si="57"/>
        <v>20LA23.10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7"/>
    </row>
    <row r="3665" spans="1:14">
      <c r="A3665" s="11" t="s">
        <v>3767</v>
      </c>
      <c r="B3665" s="11" t="s">
        <v>8</v>
      </c>
      <c r="C3665" s="11" t="s">
        <v>9</v>
      </c>
      <c r="D3665" s="11">
        <v>1</v>
      </c>
      <c r="E3665" s="11" t="s">
        <v>10</v>
      </c>
      <c r="F3665" s="20">
        <v>46274.694826388892</v>
      </c>
      <c r="G3665" s="11" t="s">
        <v>3761</v>
      </c>
      <c r="H3665" s="11" t="s">
        <v>3513</v>
      </c>
      <c r="I3665" s="1">
        <f>VLOOKUP(G3665,WO!A:J,10,0)</f>
        <v>50</v>
      </c>
      <c r="J3665" s="1" t="str">
        <f t="shared" si="57"/>
        <v>20LA23.10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7"/>
    </row>
    <row r="3666" spans="1:14">
      <c r="A3666" s="11" t="s">
        <v>3768</v>
      </c>
      <c r="B3666" s="11" t="s">
        <v>954</v>
      </c>
      <c r="C3666" s="11" t="s">
        <v>955</v>
      </c>
      <c r="D3666" s="11">
        <v>1</v>
      </c>
      <c r="E3666" s="11" t="s">
        <v>13</v>
      </c>
      <c r="F3666" s="20">
        <v>46274.603530092594</v>
      </c>
      <c r="G3666" s="11" t="s">
        <v>3761</v>
      </c>
      <c r="H3666" s="11" t="s">
        <v>3513</v>
      </c>
      <c r="I3666" s="1">
        <f>VLOOKUP(G3666,WO!A:J,10,0)</f>
        <v>50</v>
      </c>
      <c r="J3666" s="1" t="str">
        <f t="shared" si="57"/>
        <v>20LA23.10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7"/>
    </row>
    <row r="3667" spans="1:14">
      <c r="A3667" s="11" t="s">
        <v>3769</v>
      </c>
      <c r="B3667" s="11" t="s">
        <v>83</v>
      </c>
      <c r="C3667" s="11" t="s">
        <v>84</v>
      </c>
      <c r="D3667" s="11">
        <v>1</v>
      </c>
      <c r="E3667" s="11" t="s">
        <v>85</v>
      </c>
      <c r="F3667" s="20">
        <v>46274.546168981484</v>
      </c>
      <c r="G3667" s="11" t="s">
        <v>3761</v>
      </c>
      <c r="H3667" s="11" t="s">
        <v>3513</v>
      </c>
      <c r="I3667" s="1">
        <f>VLOOKUP(G3667,WO!A:J,10,0)</f>
        <v>50</v>
      </c>
      <c r="J3667" s="1" t="str">
        <f t="shared" si="57"/>
        <v>20LA23.10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7"/>
    </row>
    <row r="3668" spans="1:14">
      <c r="A3668" s="11" t="s">
        <v>3770</v>
      </c>
      <c r="B3668" s="11" t="s">
        <v>83</v>
      </c>
      <c r="C3668" s="11" t="s">
        <v>84</v>
      </c>
      <c r="D3668" s="11">
        <v>1</v>
      </c>
      <c r="E3668" s="11" t="s">
        <v>85</v>
      </c>
      <c r="F3668" s="20">
        <v>46274.753425925926</v>
      </c>
      <c r="G3668" s="11" t="s">
        <v>3761</v>
      </c>
      <c r="H3668" s="11" t="s">
        <v>3513</v>
      </c>
      <c r="I3668" s="1">
        <f>VLOOKUP(G3668,WO!A:J,10,0)</f>
        <v>50</v>
      </c>
      <c r="J3668" s="1" t="str">
        <f t="shared" si="57"/>
        <v>20LA23.10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7"/>
    </row>
    <row r="3669" spans="1:14">
      <c r="A3669" s="11" t="s">
        <v>3771</v>
      </c>
      <c r="B3669" s="11" t="s">
        <v>83</v>
      </c>
      <c r="C3669" s="11" t="s">
        <v>84</v>
      </c>
      <c r="D3669" s="11">
        <v>1</v>
      </c>
      <c r="E3669" s="11" t="s">
        <v>85</v>
      </c>
      <c r="F3669" s="20">
        <v>46274.771006944444</v>
      </c>
      <c r="G3669" s="11" t="s">
        <v>3761</v>
      </c>
      <c r="H3669" s="11" t="s">
        <v>3513</v>
      </c>
      <c r="I3669" s="1">
        <f>VLOOKUP(G3669,WO!A:J,10,0)</f>
        <v>50</v>
      </c>
      <c r="J3669" s="1" t="str">
        <f t="shared" si="57"/>
        <v>20LA23.10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7"/>
    </row>
    <row r="3670" spans="1:14">
      <c r="A3670" s="11" t="s">
        <v>1205</v>
      </c>
      <c r="B3670" s="11" t="s">
        <v>17</v>
      </c>
      <c r="C3670" s="11" t="s">
        <v>18</v>
      </c>
      <c r="D3670" s="11">
        <v>1</v>
      </c>
      <c r="E3670" s="11" t="s">
        <v>19</v>
      </c>
      <c r="F3670" s="20">
        <v>46217.304282407407</v>
      </c>
      <c r="G3670" s="11" t="s">
        <v>263</v>
      </c>
      <c r="H3670" s="11" t="s">
        <v>556</v>
      </c>
      <c r="I3670" s="1">
        <f>VLOOKUP(G3670,WO!A:J,10,0)</f>
        <v>29</v>
      </c>
      <c r="J3670" s="1" t="str">
        <f t="shared" si="57"/>
        <v>20LA41.00</v>
      </c>
      <c r="K3670" s="1" t="str">
        <f>VLOOKUP(J3670,WO!B:E,4,0)</f>
        <v>AXOLA</v>
      </c>
      <c r="L3670" s="1" t="str">
        <f>VLOOKUP(J3670,WO!B:F,5,0)</f>
        <v xml:space="preserve">  RRH Unit</v>
      </c>
      <c r="N3670" s="7">
        <v>46230</v>
      </c>
    </row>
    <row r="3671" spans="1:14">
      <c r="A3671" s="11" t="s">
        <v>1206</v>
      </c>
      <c r="B3671" s="11" t="s">
        <v>17</v>
      </c>
      <c r="C3671" s="11" t="s">
        <v>18</v>
      </c>
      <c r="D3671" s="11">
        <v>1</v>
      </c>
      <c r="E3671" s="11" t="s">
        <v>19</v>
      </c>
      <c r="F3671" s="20">
        <v>46211.406782407408</v>
      </c>
      <c r="G3671" s="11" t="s">
        <v>263</v>
      </c>
      <c r="H3671" s="11" t="s">
        <v>556</v>
      </c>
      <c r="I3671" s="1">
        <f>VLOOKUP(G3671,WO!A:J,10,0)</f>
        <v>29</v>
      </c>
      <c r="J3671" s="1" t="str">
        <f t="shared" si="57"/>
        <v>20LA41.00</v>
      </c>
      <c r="K3671" s="1" t="str">
        <f>VLOOKUP(J3671,WO!B:E,4,0)</f>
        <v>AXOLA</v>
      </c>
      <c r="L3671" s="1" t="str">
        <f>VLOOKUP(J3671,WO!B:F,5,0)</f>
        <v xml:space="preserve">  RRH Unit</v>
      </c>
      <c r="N3671" s="7">
        <v>46230</v>
      </c>
    </row>
    <row r="3672" spans="1:14">
      <c r="A3672" s="11" t="s">
        <v>1207</v>
      </c>
      <c r="B3672" s="11" t="s">
        <v>17</v>
      </c>
      <c r="C3672" s="11" t="s">
        <v>18</v>
      </c>
      <c r="D3672" s="11">
        <v>1</v>
      </c>
      <c r="E3672" s="11" t="s">
        <v>19</v>
      </c>
      <c r="F3672" s="20">
        <v>46221.407673611109</v>
      </c>
      <c r="G3672" s="11" t="s">
        <v>263</v>
      </c>
      <c r="H3672" s="11" t="s">
        <v>556</v>
      </c>
      <c r="I3672" s="1">
        <f>VLOOKUP(G3672,WO!A:J,10,0)</f>
        <v>29</v>
      </c>
      <c r="J3672" s="1" t="str">
        <f t="shared" si="57"/>
        <v>20LA41.00</v>
      </c>
      <c r="K3672" s="1" t="str">
        <f>VLOOKUP(J3672,WO!B:E,4,0)</f>
        <v>AXOLA</v>
      </c>
      <c r="L3672" s="1" t="str">
        <f>VLOOKUP(J3672,WO!B:F,5,0)</f>
        <v xml:space="preserve">  RRH Unit</v>
      </c>
      <c r="N3672" s="7">
        <v>46230</v>
      </c>
    </row>
    <row r="3673" spans="1:14">
      <c r="A3673" s="11" t="s">
        <v>1208</v>
      </c>
      <c r="B3673" s="11" t="s">
        <v>17</v>
      </c>
      <c r="C3673" s="11" t="s">
        <v>18</v>
      </c>
      <c r="D3673" s="11">
        <v>1</v>
      </c>
      <c r="E3673" s="11" t="s">
        <v>19</v>
      </c>
      <c r="F3673" s="20">
        <v>46218.586168981485</v>
      </c>
      <c r="G3673" s="11" t="s">
        <v>263</v>
      </c>
      <c r="H3673" s="11" t="s">
        <v>556</v>
      </c>
      <c r="I3673" s="1">
        <f>VLOOKUP(G3673,WO!A:J,10,0)</f>
        <v>29</v>
      </c>
      <c r="J3673" s="1" t="str">
        <f t="shared" si="57"/>
        <v>20LA41.00</v>
      </c>
      <c r="K3673" s="1" t="str">
        <f>VLOOKUP(J3673,WO!B:E,4,0)</f>
        <v>AXOLA</v>
      </c>
      <c r="L3673" s="1" t="str">
        <f>VLOOKUP(J3673,WO!B:F,5,0)</f>
        <v xml:space="preserve">  RRH Unit</v>
      </c>
      <c r="N3673" s="7">
        <v>46220</v>
      </c>
    </row>
    <row r="3674" spans="1:14">
      <c r="A3674" s="11" t="s">
        <v>1209</v>
      </c>
      <c r="B3674" s="11" t="s">
        <v>17</v>
      </c>
      <c r="C3674" s="11" t="s">
        <v>18</v>
      </c>
      <c r="D3674" s="11">
        <v>1</v>
      </c>
      <c r="E3674" s="11" t="s">
        <v>19</v>
      </c>
      <c r="F3674" s="20">
        <v>46218.586782407408</v>
      </c>
      <c r="G3674" s="11" t="s">
        <v>263</v>
      </c>
      <c r="H3674" s="11" t="s">
        <v>556</v>
      </c>
      <c r="I3674" s="1">
        <f>VLOOKUP(G3674,WO!A:J,10,0)</f>
        <v>29</v>
      </c>
      <c r="J3674" s="1" t="str">
        <f t="shared" si="57"/>
        <v>20LA41.00</v>
      </c>
      <c r="K3674" s="1" t="str">
        <f>VLOOKUP(J3674,WO!B:E,4,0)</f>
        <v>AXOLA</v>
      </c>
      <c r="L3674" s="1" t="str">
        <f>VLOOKUP(J3674,WO!B:F,5,0)</f>
        <v xml:space="preserve">  RRH Unit</v>
      </c>
      <c r="N3674" s="7">
        <v>46220</v>
      </c>
    </row>
    <row r="3675" spans="1:14">
      <c r="A3675" s="11" t="s">
        <v>1210</v>
      </c>
      <c r="B3675" s="11" t="s">
        <v>17</v>
      </c>
      <c r="C3675" s="11" t="s">
        <v>18</v>
      </c>
      <c r="D3675" s="11">
        <v>1</v>
      </c>
      <c r="E3675" s="11" t="s">
        <v>19</v>
      </c>
      <c r="F3675" s="20">
        <v>46218.587048611109</v>
      </c>
      <c r="G3675" s="11" t="s">
        <v>263</v>
      </c>
      <c r="H3675" s="11" t="s">
        <v>556</v>
      </c>
      <c r="I3675" s="1">
        <f>VLOOKUP(G3675,WO!A:J,10,0)</f>
        <v>29</v>
      </c>
      <c r="J3675" s="1" t="str">
        <f t="shared" si="57"/>
        <v>20LA41.00</v>
      </c>
      <c r="K3675" s="1" t="str">
        <f>VLOOKUP(J3675,WO!B:E,4,0)</f>
        <v>AXOLA</v>
      </c>
      <c r="L3675" s="1" t="str">
        <f>VLOOKUP(J3675,WO!B:F,5,0)</f>
        <v xml:space="preserve">  RRH Unit</v>
      </c>
      <c r="N3675" s="7">
        <v>46220</v>
      </c>
    </row>
    <row r="3676" spans="1:14">
      <c r="A3676" s="11" t="s">
        <v>1211</v>
      </c>
      <c r="B3676" s="11" t="s">
        <v>17</v>
      </c>
      <c r="C3676" s="11" t="s">
        <v>18</v>
      </c>
      <c r="D3676" s="11">
        <v>1</v>
      </c>
      <c r="E3676" s="11" t="s">
        <v>19</v>
      </c>
      <c r="F3676" s="20">
        <v>46218.587326388886</v>
      </c>
      <c r="G3676" s="11" t="s">
        <v>263</v>
      </c>
      <c r="H3676" s="11" t="s">
        <v>556</v>
      </c>
      <c r="I3676" s="1">
        <f>VLOOKUP(G3676,WO!A:J,10,0)</f>
        <v>29</v>
      </c>
      <c r="J3676" s="1" t="str">
        <f t="shared" si="57"/>
        <v>20LA41.00</v>
      </c>
      <c r="K3676" s="1" t="str">
        <f>VLOOKUP(J3676,WO!B:E,4,0)</f>
        <v>AXOLA</v>
      </c>
      <c r="L3676" s="1" t="str">
        <f>VLOOKUP(J3676,WO!B:F,5,0)</f>
        <v xml:space="preserve">  RRH Unit</v>
      </c>
      <c r="N3676" s="7">
        <v>46226</v>
      </c>
    </row>
    <row r="3677" spans="1:14">
      <c r="A3677" s="11" t="s">
        <v>1212</v>
      </c>
      <c r="B3677" s="11" t="s">
        <v>17</v>
      </c>
      <c r="C3677" s="11" t="s">
        <v>18</v>
      </c>
      <c r="D3677" s="11">
        <v>1</v>
      </c>
      <c r="E3677" s="11" t="s">
        <v>19</v>
      </c>
      <c r="F3677" s="20">
        <v>46218.587847222225</v>
      </c>
      <c r="G3677" s="11" t="s">
        <v>263</v>
      </c>
      <c r="H3677" s="11" t="s">
        <v>556</v>
      </c>
      <c r="I3677" s="1">
        <f>VLOOKUP(G3677,WO!A:J,10,0)</f>
        <v>29</v>
      </c>
      <c r="J3677" s="1" t="str">
        <f t="shared" si="57"/>
        <v>20LA41.00</v>
      </c>
      <c r="K3677" s="1" t="str">
        <f>VLOOKUP(J3677,WO!B:E,4,0)</f>
        <v>AXOLA</v>
      </c>
      <c r="L3677" s="1" t="str">
        <f>VLOOKUP(J3677,WO!B:F,5,0)</f>
        <v xml:space="preserve">  RRH Unit</v>
      </c>
      <c r="N3677" s="7">
        <v>46220</v>
      </c>
    </row>
    <row r="3678" spans="1:14">
      <c r="A3678" s="11" t="s">
        <v>3996</v>
      </c>
      <c r="B3678" s="11" t="s">
        <v>6</v>
      </c>
      <c r="C3678" s="11" t="s">
        <v>6</v>
      </c>
      <c r="D3678" s="11">
        <v>1</v>
      </c>
      <c r="E3678" s="11" t="s">
        <v>47</v>
      </c>
      <c r="F3678" s="20">
        <v>46273.391435185185</v>
      </c>
      <c r="G3678" s="11" t="s">
        <v>3759</v>
      </c>
      <c r="H3678" s="11" t="s">
        <v>556</v>
      </c>
      <c r="I3678" s="1">
        <f>VLOOKUP(G3678,WO!A:J,10,0)</f>
        <v>57</v>
      </c>
      <c r="J3678" s="1" t="str">
        <f t="shared" si="57"/>
        <v>20LA42.00</v>
      </c>
      <c r="K3678" s="1" t="str">
        <f>VLOOKUP(J3678,WO!B:E,4,0)</f>
        <v>AXOLA</v>
      </c>
      <c r="L3678" s="1" t="str">
        <f>VLOOKUP(J3678,WO!B:F,5,0)</f>
        <v xml:space="preserve">  RRH Unit</v>
      </c>
      <c r="N3678" s="7"/>
    </row>
    <row r="3679" spans="1:14">
      <c r="A3679" s="11" t="s">
        <v>3997</v>
      </c>
      <c r="B3679" s="11" t="s">
        <v>6</v>
      </c>
      <c r="C3679" s="11" t="s">
        <v>6</v>
      </c>
      <c r="D3679" s="11">
        <v>1</v>
      </c>
      <c r="E3679" s="11" t="s">
        <v>47</v>
      </c>
      <c r="F3679" s="20">
        <v>46273.391435185185</v>
      </c>
      <c r="G3679" s="11" t="s">
        <v>3759</v>
      </c>
      <c r="H3679" s="11" t="s">
        <v>556</v>
      </c>
      <c r="I3679" s="1">
        <f>VLOOKUP(G3679,WO!A:J,10,0)</f>
        <v>57</v>
      </c>
      <c r="J3679" s="1" t="str">
        <f t="shared" si="57"/>
        <v>20LA42.00</v>
      </c>
      <c r="K3679" s="1" t="str">
        <f>VLOOKUP(J3679,WO!B:E,4,0)</f>
        <v>AXOLA</v>
      </c>
      <c r="L3679" s="1" t="str">
        <f>VLOOKUP(J3679,WO!B:F,5,0)</f>
        <v xml:space="preserve">  RRH Unit</v>
      </c>
      <c r="N3679" s="7"/>
    </row>
    <row r="3680" spans="1:14">
      <c r="A3680" s="11" t="s">
        <v>3998</v>
      </c>
      <c r="B3680" s="11" t="s">
        <v>6</v>
      </c>
      <c r="C3680" s="11" t="s">
        <v>6</v>
      </c>
      <c r="D3680" s="11">
        <v>1</v>
      </c>
      <c r="E3680" s="11" t="s">
        <v>47</v>
      </c>
      <c r="F3680" s="20">
        <v>46273.391435185185</v>
      </c>
      <c r="G3680" s="11" t="s">
        <v>3759</v>
      </c>
      <c r="H3680" s="11" t="s">
        <v>556</v>
      </c>
      <c r="I3680" s="1">
        <f>VLOOKUP(G3680,WO!A:J,10,0)</f>
        <v>57</v>
      </c>
      <c r="J3680" s="1" t="str">
        <f t="shared" si="57"/>
        <v>20LA42.00</v>
      </c>
      <c r="K3680" s="1" t="str">
        <f>VLOOKUP(J3680,WO!B:E,4,0)</f>
        <v>AXOLA</v>
      </c>
      <c r="L3680" s="1" t="str">
        <f>VLOOKUP(J3680,WO!B:F,5,0)</f>
        <v xml:space="preserve">  RRH Unit</v>
      </c>
      <c r="N3680" s="7"/>
    </row>
    <row r="3681" spans="1:14">
      <c r="A3681" s="11" t="s">
        <v>3999</v>
      </c>
      <c r="B3681" s="11" t="s">
        <v>6</v>
      </c>
      <c r="C3681" s="11" t="s">
        <v>6</v>
      </c>
      <c r="D3681" s="11">
        <v>1</v>
      </c>
      <c r="E3681" s="11" t="s">
        <v>47</v>
      </c>
      <c r="F3681" s="20">
        <v>46273.391435185185</v>
      </c>
      <c r="G3681" s="11" t="s">
        <v>3759</v>
      </c>
      <c r="H3681" s="11" t="s">
        <v>556</v>
      </c>
      <c r="I3681" s="1">
        <f>VLOOKUP(G3681,WO!A:J,10,0)</f>
        <v>57</v>
      </c>
      <c r="J3681" s="1" t="str">
        <f t="shared" si="57"/>
        <v>20LA42.00</v>
      </c>
      <c r="K3681" s="1" t="str">
        <f>VLOOKUP(J3681,WO!B:E,4,0)</f>
        <v>AXOLA</v>
      </c>
      <c r="L3681" s="1" t="str">
        <f>VLOOKUP(J3681,WO!B:F,5,0)</f>
        <v xml:space="preserve">  RRH Unit</v>
      </c>
      <c r="N3681" s="7"/>
    </row>
    <row r="3682" spans="1:14">
      <c r="A3682" s="11" t="s">
        <v>4000</v>
      </c>
      <c r="B3682" s="11" t="s">
        <v>6</v>
      </c>
      <c r="C3682" s="11" t="s">
        <v>6</v>
      </c>
      <c r="D3682" s="11">
        <v>1</v>
      </c>
      <c r="E3682" s="11" t="s">
        <v>47</v>
      </c>
      <c r="F3682" s="20">
        <v>46273.391435185185</v>
      </c>
      <c r="G3682" s="11" t="s">
        <v>3759</v>
      </c>
      <c r="H3682" s="11" t="s">
        <v>556</v>
      </c>
      <c r="I3682" s="1">
        <f>VLOOKUP(G3682,WO!A:J,10,0)</f>
        <v>57</v>
      </c>
      <c r="J3682" s="1" t="str">
        <f t="shared" si="57"/>
        <v>20LA42.00</v>
      </c>
      <c r="K3682" s="1" t="str">
        <f>VLOOKUP(J3682,WO!B:E,4,0)</f>
        <v>AXOLA</v>
      </c>
      <c r="L3682" s="1" t="str">
        <f>VLOOKUP(J3682,WO!B:F,5,0)</f>
        <v xml:space="preserve">  RRH Unit</v>
      </c>
      <c r="N3682" s="7"/>
    </row>
    <row r="3683" spans="1:14">
      <c r="A3683" s="11" t="s">
        <v>4001</v>
      </c>
      <c r="B3683" s="11" t="s">
        <v>6</v>
      </c>
      <c r="C3683" s="11" t="s">
        <v>6</v>
      </c>
      <c r="D3683" s="11">
        <v>1</v>
      </c>
      <c r="E3683" s="11" t="s">
        <v>47</v>
      </c>
      <c r="F3683" s="20">
        <v>46273.391435185185</v>
      </c>
      <c r="G3683" s="11" t="s">
        <v>3759</v>
      </c>
      <c r="H3683" s="11" t="s">
        <v>556</v>
      </c>
      <c r="I3683" s="1">
        <f>VLOOKUP(G3683,WO!A:J,10,0)</f>
        <v>57</v>
      </c>
      <c r="J3683" s="1" t="str">
        <f t="shared" si="57"/>
        <v>20LA42.00</v>
      </c>
      <c r="K3683" s="1" t="str">
        <f>VLOOKUP(J3683,WO!B:E,4,0)</f>
        <v>AXOLA</v>
      </c>
      <c r="L3683" s="1" t="str">
        <f>VLOOKUP(J3683,WO!B:F,5,0)</f>
        <v xml:space="preserve">  RRH Unit</v>
      </c>
      <c r="N3683" s="7"/>
    </row>
    <row r="3684" spans="1:14">
      <c r="A3684" s="11" t="s">
        <v>4002</v>
      </c>
      <c r="B3684" s="11" t="s">
        <v>6</v>
      </c>
      <c r="C3684" s="11" t="s">
        <v>6</v>
      </c>
      <c r="D3684" s="11">
        <v>1</v>
      </c>
      <c r="E3684" s="11" t="s">
        <v>47</v>
      </c>
      <c r="F3684" s="20">
        <v>46273.391435185185</v>
      </c>
      <c r="G3684" s="11" t="s">
        <v>3759</v>
      </c>
      <c r="H3684" s="11" t="s">
        <v>556</v>
      </c>
      <c r="I3684" s="1">
        <f>VLOOKUP(G3684,WO!A:J,10,0)</f>
        <v>57</v>
      </c>
      <c r="J3684" s="1" t="str">
        <f t="shared" si="57"/>
        <v>20LA42.00</v>
      </c>
      <c r="K3684" s="1" t="str">
        <f>VLOOKUP(J3684,WO!B:E,4,0)</f>
        <v>AXOLA</v>
      </c>
      <c r="L3684" s="1" t="str">
        <f>VLOOKUP(J3684,WO!B:F,5,0)</f>
        <v xml:space="preserve">  RRH Unit</v>
      </c>
      <c r="N3684" s="7"/>
    </row>
    <row r="3685" spans="1:14">
      <c r="A3685" s="11" t="s">
        <v>4003</v>
      </c>
      <c r="B3685" s="11" t="s">
        <v>6</v>
      </c>
      <c r="C3685" s="11" t="s">
        <v>6</v>
      </c>
      <c r="D3685" s="11">
        <v>1</v>
      </c>
      <c r="E3685" s="11" t="s">
        <v>47</v>
      </c>
      <c r="F3685" s="20">
        <v>46273.391435185185</v>
      </c>
      <c r="G3685" s="11" t="s">
        <v>3759</v>
      </c>
      <c r="H3685" s="11" t="s">
        <v>556</v>
      </c>
      <c r="I3685" s="1">
        <f>VLOOKUP(G3685,WO!A:J,10,0)</f>
        <v>57</v>
      </c>
      <c r="J3685" s="1" t="str">
        <f t="shared" si="57"/>
        <v>20LA42.00</v>
      </c>
      <c r="K3685" s="1" t="str">
        <f>VLOOKUP(J3685,WO!B:E,4,0)</f>
        <v>AXOLA</v>
      </c>
      <c r="L3685" s="1" t="str">
        <f>VLOOKUP(J3685,WO!B:F,5,0)</f>
        <v xml:space="preserve">  RRH Unit</v>
      </c>
      <c r="N3685" s="7"/>
    </row>
    <row r="3686" spans="1:14">
      <c r="A3686" s="11" t="s">
        <v>4004</v>
      </c>
      <c r="B3686" s="11" t="s">
        <v>6</v>
      </c>
      <c r="C3686" s="11" t="s">
        <v>6</v>
      </c>
      <c r="D3686" s="11">
        <v>1</v>
      </c>
      <c r="E3686" s="11" t="s">
        <v>47</v>
      </c>
      <c r="F3686" s="20">
        <v>46273.391435185185</v>
      </c>
      <c r="G3686" s="11" t="s">
        <v>3759</v>
      </c>
      <c r="H3686" s="11" t="s">
        <v>556</v>
      </c>
      <c r="I3686" s="1">
        <f>VLOOKUP(G3686,WO!A:J,10,0)</f>
        <v>57</v>
      </c>
      <c r="J3686" s="1" t="str">
        <f t="shared" si="57"/>
        <v>20LA42.00</v>
      </c>
      <c r="K3686" s="1" t="str">
        <f>VLOOKUP(J3686,WO!B:E,4,0)</f>
        <v>AXOLA</v>
      </c>
      <c r="L3686" s="1" t="str">
        <f>VLOOKUP(J3686,WO!B:F,5,0)</f>
        <v xml:space="preserve">  RRH Unit</v>
      </c>
      <c r="N3686" s="7"/>
    </row>
    <row r="3687" spans="1:14">
      <c r="A3687" s="11" t="s">
        <v>4005</v>
      </c>
      <c r="B3687" s="11" t="s">
        <v>6</v>
      </c>
      <c r="C3687" s="11" t="s">
        <v>6</v>
      </c>
      <c r="D3687" s="11">
        <v>1</v>
      </c>
      <c r="E3687" s="11" t="s">
        <v>47</v>
      </c>
      <c r="F3687" s="20">
        <v>46273.391435185185</v>
      </c>
      <c r="G3687" s="11" t="s">
        <v>3759</v>
      </c>
      <c r="H3687" s="11" t="s">
        <v>556</v>
      </c>
      <c r="I3687" s="1">
        <f>VLOOKUP(G3687,WO!A:J,10,0)</f>
        <v>57</v>
      </c>
      <c r="J3687" s="1" t="str">
        <f t="shared" si="57"/>
        <v>20LA42.00</v>
      </c>
      <c r="K3687" s="1" t="str">
        <f>VLOOKUP(J3687,WO!B:E,4,0)</f>
        <v>AXOLA</v>
      </c>
      <c r="L3687" s="1" t="str">
        <f>VLOOKUP(J3687,WO!B:F,5,0)</f>
        <v xml:space="preserve">  RRH Unit</v>
      </c>
      <c r="N3687" s="7"/>
    </row>
    <row r="3688" spans="1:14">
      <c r="A3688" s="11" t="s">
        <v>4006</v>
      </c>
      <c r="B3688" s="11" t="s">
        <v>6</v>
      </c>
      <c r="C3688" s="11" t="s">
        <v>6</v>
      </c>
      <c r="D3688" s="11">
        <v>1</v>
      </c>
      <c r="E3688" s="11" t="s">
        <v>47</v>
      </c>
      <c r="F3688" s="20">
        <v>46273.391435185185</v>
      </c>
      <c r="G3688" s="11" t="s">
        <v>3759</v>
      </c>
      <c r="H3688" s="11" t="s">
        <v>556</v>
      </c>
      <c r="I3688" s="1">
        <f>VLOOKUP(G3688,WO!A:J,10,0)</f>
        <v>57</v>
      </c>
      <c r="J3688" s="1" t="str">
        <f t="shared" si="57"/>
        <v>20LA42.00</v>
      </c>
      <c r="K3688" s="1" t="str">
        <f>VLOOKUP(J3688,WO!B:E,4,0)</f>
        <v>AXOLA</v>
      </c>
      <c r="L3688" s="1" t="str">
        <f>VLOOKUP(J3688,WO!B:F,5,0)</f>
        <v xml:space="preserve">  RRH Unit</v>
      </c>
      <c r="N3688" s="7"/>
    </row>
    <row r="3689" spans="1:14">
      <c r="A3689" s="11" t="s">
        <v>4007</v>
      </c>
      <c r="B3689" s="11" t="s">
        <v>6</v>
      </c>
      <c r="C3689" s="11" t="s">
        <v>6</v>
      </c>
      <c r="D3689" s="11">
        <v>1</v>
      </c>
      <c r="E3689" s="11" t="s">
        <v>47</v>
      </c>
      <c r="F3689" s="20">
        <v>46273.391435185185</v>
      </c>
      <c r="G3689" s="11" t="s">
        <v>3759</v>
      </c>
      <c r="H3689" s="11" t="s">
        <v>556</v>
      </c>
      <c r="I3689" s="1">
        <f>VLOOKUP(G3689,WO!A:J,10,0)</f>
        <v>57</v>
      </c>
      <c r="J3689" s="1" t="str">
        <f t="shared" si="57"/>
        <v>20LA42.00</v>
      </c>
      <c r="K3689" s="1" t="str">
        <f>VLOOKUP(J3689,WO!B:E,4,0)</f>
        <v>AXOLA</v>
      </c>
      <c r="L3689" s="1" t="str">
        <f>VLOOKUP(J3689,WO!B:F,5,0)</f>
        <v xml:space="preserve">  RRH Unit</v>
      </c>
      <c r="N3689" s="7"/>
    </row>
    <row r="3690" spans="1:14">
      <c r="A3690" s="11" t="s">
        <v>4008</v>
      </c>
      <c r="B3690" s="11" t="s">
        <v>6</v>
      </c>
      <c r="C3690" s="11" t="s">
        <v>6</v>
      </c>
      <c r="D3690" s="11">
        <v>1</v>
      </c>
      <c r="E3690" s="11" t="s">
        <v>47</v>
      </c>
      <c r="F3690" s="20">
        <v>46273.391435185185</v>
      </c>
      <c r="G3690" s="11" t="s">
        <v>3759</v>
      </c>
      <c r="H3690" s="11" t="s">
        <v>556</v>
      </c>
      <c r="I3690" s="1">
        <f>VLOOKUP(G3690,WO!A:J,10,0)</f>
        <v>57</v>
      </c>
      <c r="J3690" s="1" t="str">
        <f t="shared" si="57"/>
        <v>20LA42.00</v>
      </c>
      <c r="K3690" s="1" t="str">
        <f>VLOOKUP(J3690,WO!B:E,4,0)</f>
        <v>AXOLA</v>
      </c>
      <c r="L3690" s="1" t="str">
        <f>VLOOKUP(J3690,WO!B:F,5,0)</f>
        <v xml:space="preserve">  RRH Unit</v>
      </c>
      <c r="N3690" s="7"/>
    </row>
    <row r="3691" spans="1:14">
      <c r="A3691" s="11" t="s">
        <v>4009</v>
      </c>
      <c r="B3691" s="11" t="s">
        <v>6</v>
      </c>
      <c r="C3691" s="11" t="s">
        <v>6</v>
      </c>
      <c r="D3691" s="11">
        <v>1</v>
      </c>
      <c r="E3691" s="11" t="s">
        <v>47</v>
      </c>
      <c r="F3691" s="20">
        <v>46273.391435185185</v>
      </c>
      <c r="G3691" s="11" t="s">
        <v>3759</v>
      </c>
      <c r="H3691" s="11" t="s">
        <v>556</v>
      </c>
      <c r="I3691" s="1">
        <f>VLOOKUP(G3691,WO!A:J,10,0)</f>
        <v>57</v>
      </c>
      <c r="J3691" s="1" t="str">
        <f t="shared" si="57"/>
        <v>20LA42.00</v>
      </c>
      <c r="K3691" s="1" t="str">
        <f>VLOOKUP(J3691,WO!B:E,4,0)</f>
        <v>AXOLA</v>
      </c>
      <c r="L3691" s="1" t="str">
        <f>VLOOKUP(J3691,WO!B:F,5,0)</f>
        <v xml:space="preserve">  RRH Unit</v>
      </c>
      <c r="N3691" s="7"/>
    </row>
    <row r="3692" spans="1:14">
      <c r="A3692" s="11" t="s">
        <v>4010</v>
      </c>
      <c r="B3692" s="11" t="s">
        <v>6</v>
      </c>
      <c r="C3692" s="11" t="s">
        <v>6</v>
      </c>
      <c r="D3692" s="11">
        <v>1</v>
      </c>
      <c r="E3692" s="11" t="s">
        <v>47</v>
      </c>
      <c r="F3692" s="20">
        <v>46273.391435185185</v>
      </c>
      <c r="G3692" s="11" t="s">
        <v>3759</v>
      </c>
      <c r="H3692" s="11" t="s">
        <v>556</v>
      </c>
      <c r="I3692" s="1">
        <f>VLOOKUP(G3692,WO!A:J,10,0)</f>
        <v>57</v>
      </c>
      <c r="J3692" s="1" t="str">
        <f t="shared" si="57"/>
        <v>20LA42.00</v>
      </c>
      <c r="K3692" s="1" t="str">
        <f>VLOOKUP(J3692,WO!B:E,4,0)</f>
        <v>AXOLA</v>
      </c>
      <c r="L3692" s="1" t="str">
        <f>VLOOKUP(J3692,WO!B:F,5,0)</f>
        <v xml:space="preserve">  RRH Unit</v>
      </c>
      <c r="N3692" s="7"/>
    </row>
    <row r="3693" spans="1:14">
      <c r="A3693" s="11" t="s">
        <v>4011</v>
      </c>
      <c r="B3693" s="11" t="s">
        <v>6</v>
      </c>
      <c r="C3693" s="11" t="s">
        <v>6</v>
      </c>
      <c r="D3693" s="11">
        <v>1</v>
      </c>
      <c r="E3693" s="11" t="s">
        <v>47</v>
      </c>
      <c r="F3693" s="20">
        <v>46273.391435185185</v>
      </c>
      <c r="G3693" s="11" t="s">
        <v>3759</v>
      </c>
      <c r="H3693" s="11" t="s">
        <v>556</v>
      </c>
      <c r="I3693" s="1">
        <f>VLOOKUP(G3693,WO!A:J,10,0)</f>
        <v>57</v>
      </c>
      <c r="J3693" s="1" t="str">
        <f t="shared" si="57"/>
        <v>20LA42.00</v>
      </c>
      <c r="K3693" s="1" t="str">
        <f>VLOOKUP(J3693,WO!B:E,4,0)</f>
        <v>AXOLA</v>
      </c>
      <c r="L3693" s="1" t="str">
        <f>VLOOKUP(J3693,WO!B:F,5,0)</f>
        <v xml:space="preserve">  RRH Unit</v>
      </c>
      <c r="N3693" s="7"/>
    </row>
    <row r="3694" spans="1:14">
      <c r="A3694" s="11" t="s">
        <v>4012</v>
      </c>
      <c r="B3694" s="11" t="s">
        <v>6</v>
      </c>
      <c r="C3694" s="11" t="s">
        <v>6</v>
      </c>
      <c r="D3694" s="11">
        <v>1</v>
      </c>
      <c r="E3694" s="11" t="s">
        <v>47</v>
      </c>
      <c r="F3694" s="20">
        <v>46273.391435185185</v>
      </c>
      <c r="G3694" s="11" t="s">
        <v>3759</v>
      </c>
      <c r="H3694" s="11" t="s">
        <v>556</v>
      </c>
      <c r="I3694" s="1">
        <f>VLOOKUP(G3694,WO!A:J,10,0)</f>
        <v>57</v>
      </c>
      <c r="J3694" s="1" t="str">
        <f t="shared" si="57"/>
        <v>20LA42.00</v>
      </c>
      <c r="K3694" s="1" t="str">
        <f>VLOOKUP(J3694,WO!B:E,4,0)</f>
        <v>AXOLA</v>
      </c>
      <c r="L3694" s="1" t="str">
        <f>VLOOKUP(J3694,WO!B:F,5,0)</f>
        <v xml:space="preserve">  RRH Unit</v>
      </c>
      <c r="N3694" s="7"/>
    </row>
    <row r="3695" spans="1:14">
      <c r="A3695" s="11" t="s">
        <v>4013</v>
      </c>
      <c r="B3695" s="11" t="s">
        <v>6</v>
      </c>
      <c r="C3695" s="11" t="s">
        <v>6</v>
      </c>
      <c r="D3695" s="11">
        <v>1</v>
      </c>
      <c r="E3695" s="11" t="s">
        <v>47</v>
      </c>
      <c r="F3695" s="20">
        <v>46273.391435185185</v>
      </c>
      <c r="G3695" s="11" t="s">
        <v>3759</v>
      </c>
      <c r="H3695" s="11" t="s">
        <v>556</v>
      </c>
      <c r="I3695" s="1">
        <f>VLOOKUP(G3695,WO!A:J,10,0)</f>
        <v>57</v>
      </c>
      <c r="J3695" s="1" t="str">
        <f t="shared" si="57"/>
        <v>20LA42.00</v>
      </c>
      <c r="K3695" s="1" t="str">
        <f>VLOOKUP(J3695,WO!B:E,4,0)</f>
        <v>AXOLA</v>
      </c>
      <c r="L3695" s="1" t="str">
        <f>VLOOKUP(J3695,WO!B:F,5,0)</f>
        <v xml:space="preserve">  RRH Unit</v>
      </c>
      <c r="N3695" s="7"/>
    </row>
    <row r="3696" spans="1:14">
      <c r="A3696" s="11" t="s">
        <v>4014</v>
      </c>
      <c r="B3696" s="11" t="s">
        <v>6</v>
      </c>
      <c r="C3696" s="11" t="s">
        <v>6</v>
      </c>
      <c r="D3696" s="11">
        <v>1</v>
      </c>
      <c r="E3696" s="11" t="s">
        <v>47</v>
      </c>
      <c r="F3696" s="20">
        <v>46273.391435185185</v>
      </c>
      <c r="G3696" s="11" t="s">
        <v>3759</v>
      </c>
      <c r="H3696" s="11" t="s">
        <v>556</v>
      </c>
      <c r="I3696" s="1">
        <f>VLOOKUP(G3696,WO!A:J,10,0)</f>
        <v>57</v>
      </c>
      <c r="J3696" s="1" t="str">
        <f t="shared" si="57"/>
        <v>20LA42.00</v>
      </c>
      <c r="K3696" s="1" t="str">
        <f>VLOOKUP(J3696,WO!B:E,4,0)</f>
        <v>AXOLA</v>
      </c>
      <c r="L3696" s="1" t="str">
        <f>VLOOKUP(J3696,WO!B:F,5,0)</f>
        <v xml:space="preserve">  RRH Unit</v>
      </c>
      <c r="N3696" s="7"/>
    </row>
    <row r="3697" spans="1:14">
      <c r="A3697" s="11" t="s">
        <v>4015</v>
      </c>
      <c r="B3697" s="11" t="s">
        <v>6</v>
      </c>
      <c r="C3697" s="11" t="s">
        <v>6</v>
      </c>
      <c r="D3697" s="11">
        <v>1</v>
      </c>
      <c r="E3697" s="11" t="s">
        <v>47</v>
      </c>
      <c r="F3697" s="20">
        <v>46273.391435185185</v>
      </c>
      <c r="G3697" s="11" t="s">
        <v>3759</v>
      </c>
      <c r="H3697" s="11" t="s">
        <v>556</v>
      </c>
      <c r="I3697" s="1">
        <f>VLOOKUP(G3697,WO!A:J,10,0)</f>
        <v>57</v>
      </c>
      <c r="J3697" s="1" t="str">
        <f t="shared" si="57"/>
        <v>20LA42.00</v>
      </c>
      <c r="K3697" s="1" t="str">
        <f>VLOOKUP(J3697,WO!B:E,4,0)</f>
        <v>AXOLA</v>
      </c>
      <c r="L3697" s="1" t="str">
        <f>VLOOKUP(J3697,WO!B:F,5,0)</f>
        <v xml:space="preserve">  RRH Unit</v>
      </c>
      <c r="N3697" s="7"/>
    </row>
    <row r="3698" spans="1:14">
      <c r="A3698" s="11" t="s">
        <v>4016</v>
      </c>
      <c r="B3698" s="11" t="s">
        <v>6</v>
      </c>
      <c r="C3698" s="11" t="s">
        <v>6</v>
      </c>
      <c r="D3698" s="11">
        <v>1</v>
      </c>
      <c r="E3698" s="11" t="s">
        <v>47</v>
      </c>
      <c r="F3698" s="20">
        <v>46273.391435185185</v>
      </c>
      <c r="G3698" s="11" t="s">
        <v>3759</v>
      </c>
      <c r="H3698" s="11" t="s">
        <v>556</v>
      </c>
      <c r="I3698" s="1">
        <f>VLOOKUP(G3698,WO!A:J,10,0)</f>
        <v>57</v>
      </c>
      <c r="J3698" s="1" t="str">
        <f t="shared" si="57"/>
        <v>20LA42.00</v>
      </c>
      <c r="K3698" s="1" t="str">
        <f>VLOOKUP(J3698,WO!B:E,4,0)</f>
        <v>AXOLA</v>
      </c>
      <c r="L3698" s="1" t="str">
        <f>VLOOKUP(J3698,WO!B:F,5,0)</f>
        <v xml:space="preserve">  RRH Unit</v>
      </c>
      <c r="N3698" s="7"/>
    </row>
    <row r="3699" spans="1:14">
      <c r="A3699" s="11" t="s">
        <v>4017</v>
      </c>
      <c r="B3699" s="11" t="s">
        <v>6</v>
      </c>
      <c r="C3699" s="11" t="s">
        <v>6</v>
      </c>
      <c r="D3699" s="11">
        <v>1</v>
      </c>
      <c r="E3699" s="11" t="s">
        <v>47</v>
      </c>
      <c r="F3699" s="20">
        <v>46273.391435185185</v>
      </c>
      <c r="G3699" s="11" t="s">
        <v>3759</v>
      </c>
      <c r="H3699" s="11" t="s">
        <v>556</v>
      </c>
      <c r="I3699" s="1">
        <f>VLOOKUP(G3699,WO!A:J,10,0)</f>
        <v>57</v>
      </c>
      <c r="J3699" s="1" t="str">
        <f t="shared" si="57"/>
        <v>20LA42.00</v>
      </c>
      <c r="K3699" s="1" t="str">
        <f>VLOOKUP(J3699,WO!B:E,4,0)</f>
        <v>AXOLA</v>
      </c>
      <c r="L3699" s="1" t="str">
        <f>VLOOKUP(J3699,WO!B:F,5,0)</f>
        <v xml:space="preserve">  RRH Unit</v>
      </c>
      <c r="N3699" s="7"/>
    </row>
    <row r="3700" spans="1:14">
      <c r="A3700" s="11" t="s">
        <v>4018</v>
      </c>
      <c r="B3700" s="11" t="s">
        <v>6</v>
      </c>
      <c r="C3700" s="11" t="s">
        <v>6</v>
      </c>
      <c r="D3700" s="11">
        <v>1</v>
      </c>
      <c r="E3700" s="11" t="s">
        <v>47</v>
      </c>
      <c r="F3700" s="20">
        <v>46273.391435185185</v>
      </c>
      <c r="G3700" s="11" t="s">
        <v>3759</v>
      </c>
      <c r="H3700" s="11" t="s">
        <v>556</v>
      </c>
      <c r="I3700" s="1">
        <f>VLOOKUP(G3700,WO!A:J,10,0)</f>
        <v>57</v>
      </c>
      <c r="J3700" s="1" t="str">
        <f t="shared" si="57"/>
        <v>20LA42.00</v>
      </c>
      <c r="K3700" s="1" t="str">
        <f>VLOOKUP(J3700,WO!B:E,4,0)</f>
        <v>AXOLA</v>
      </c>
      <c r="L3700" s="1" t="str">
        <f>VLOOKUP(J3700,WO!B:F,5,0)</f>
        <v xml:space="preserve">  RRH Unit</v>
      </c>
      <c r="N3700" s="7"/>
    </row>
    <row r="3701" spans="1:14">
      <c r="A3701" s="11" t="s">
        <v>4019</v>
      </c>
      <c r="B3701" s="11" t="s">
        <v>6</v>
      </c>
      <c r="C3701" s="11" t="s">
        <v>6</v>
      </c>
      <c r="D3701" s="11">
        <v>1</v>
      </c>
      <c r="E3701" s="11" t="s">
        <v>47</v>
      </c>
      <c r="F3701" s="20">
        <v>46273.391435185185</v>
      </c>
      <c r="G3701" s="11" t="s">
        <v>3759</v>
      </c>
      <c r="H3701" s="11" t="s">
        <v>556</v>
      </c>
      <c r="I3701" s="1">
        <f>VLOOKUP(G3701,WO!A:J,10,0)</f>
        <v>57</v>
      </c>
      <c r="J3701" s="1" t="str">
        <f t="shared" si="57"/>
        <v>20LA42.00</v>
      </c>
      <c r="K3701" s="1" t="str">
        <f>VLOOKUP(J3701,WO!B:E,4,0)</f>
        <v>AXOLA</v>
      </c>
      <c r="L3701" s="1" t="str">
        <f>VLOOKUP(J3701,WO!B:F,5,0)</f>
        <v xml:space="preserve">  RRH Unit</v>
      </c>
      <c r="N3701" s="7"/>
    </row>
    <row r="3702" spans="1:14">
      <c r="A3702" s="11" t="s">
        <v>4020</v>
      </c>
      <c r="B3702" s="11" t="s">
        <v>6</v>
      </c>
      <c r="C3702" s="11" t="s">
        <v>6</v>
      </c>
      <c r="D3702" s="11">
        <v>1</v>
      </c>
      <c r="E3702" s="11" t="s">
        <v>47</v>
      </c>
      <c r="F3702" s="20">
        <v>46273.391435185185</v>
      </c>
      <c r="G3702" s="11" t="s">
        <v>3759</v>
      </c>
      <c r="H3702" s="11" t="s">
        <v>556</v>
      </c>
      <c r="I3702" s="1">
        <f>VLOOKUP(G3702,WO!A:J,10,0)</f>
        <v>57</v>
      </c>
      <c r="J3702" s="1" t="str">
        <f t="shared" si="57"/>
        <v>20LA42.00</v>
      </c>
      <c r="K3702" s="1" t="str">
        <f>VLOOKUP(J3702,WO!B:E,4,0)</f>
        <v>AXOLA</v>
      </c>
      <c r="L3702" s="1" t="str">
        <f>VLOOKUP(J3702,WO!B:F,5,0)</f>
        <v xml:space="preserve">  RRH Unit</v>
      </c>
      <c r="N3702" s="7"/>
    </row>
    <row r="3703" spans="1:14">
      <c r="A3703" s="11" t="s">
        <v>4021</v>
      </c>
      <c r="B3703" s="11" t="s">
        <v>6</v>
      </c>
      <c r="C3703" s="11" t="s">
        <v>6</v>
      </c>
      <c r="D3703" s="11">
        <v>1</v>
      </c>
      <c r="E3703" s="11" t="s">
        <v>47</v>
      </c>
      <c r="F3703" s="20">
        <v>46273.391435185185</v>
      </c>
      <c r="G3703" s="11" t="s">
        <v>3759</v>
      </c>
      <c r="H3703" s="11" t="s">
        <v>556</v>
      </c>
      <c r="I3703" s="1">
        <f>VLOOKUP(G3703,WO!A:J,10,0)</f>
        <v>57</v>
      </c>
      <c r="J3703" s="1" t="str">
        <f t="shared" si="57"/>
        <v>20LA42.00</v>
      </c>
      <c r="K3703" s="1" t="str">
        <f>VLOOKUP(J3703,WO!B:E,4,0)</f>
        <v>AXOLA</v>
      </c>
      <c r="L3703" s="1" t="str">
        <f>VLOOKUP(J3703,WO!B:F,5,0)</f>
        <v xml:space="preserve">  RRH Unit</v>
      </c>
      <c r="N3703" s="7"/>
    </row>
    <row r="3704" spans="1:14">
      <c r="A3704" s="11" t="s">
        <v>4022</v>
      </c>
      <c r="B3704" s="11" t="s">
        <v>6</v>
      </c>
      <c r="C3704" s="11" t="s">
        <v>6</v>
      </c>
      <c r="D3704" s="11">
        <v>1</v>
      </c>
      <c r="E3704" s="11" t="s">
        <v>47</v>
      </c>
      <c r="F3704" s="20">
        <v>46273.391435185185</v>
      </c>
      <c r="G3704" s="11" t="s">
        <v>3759</v>
      </c>
      <c r="H3704" s="11" t="s">
        <v>556</v>
      </c>
      <c r="I3704" s="1">
        <f>VLOOKUP(G3704,WO!A:J,10,0)</f>
        <v>57</v>
      </c>
      <c r="J3704" s="1" t="str">
        <f t="shared" si="57"/>
        <v>20LA42.00</v>
      </c>
      <c r="K3704" s="1" t="str">
        <f>VLOOKUP(J3704,WO!B:E,4,0)</f>
        <v>AXOLA</v>
      </c>
      <c r="L3704" s="1" t="str">
        <f>VLOOKUP(J3704,WO!B:F,5,0)</f>
        <v xml:space="preserve">  RRH Unit</v>
      </c>
      <c r="N3704" s="7"/>
    </row>
    <row r="3705" spans="1:14">
      <c r="A3705" s="11" t="s">
        <v>4023</v>
      </c>
      <c r="B3705" s="11" t="s">
        <v>6</v>
      </c>
      <c r="C3705" s="11" t="s">
        <v>6</v>
      </c>
      <c r="D3705" s="11">
        <v>1</v>
      </c>
      <c r="E3705" s="11" t="s">
        <v>47</v>
      </c>
      <c r="F3705" s="20">
        <v>46273.391435185185</v>
      </c>
      <c r="G3705" s="11" t="s">
        <v>3759</v>
      </c>
      <c r="H3705" s="11" t="s">
        <v>556</v>
      </c>
      <c r="I3705" s="1">
        <f>VLOOKUP(G3705,WO!A:J,10,0)</f>
        <v>57</v>
      </c>
      <c r="J3705" s="1" t="str">
        <f t="shared" si="57"/>
        <v>20LA42.00</v>
      </c>
      <c r="K3705" s="1" t="str">
        <f>VLOOKUP(J3705,WO!B:E,4,0)</f>
        <v>AXOLA</v>
      </c>
      <c r="L3705" s="1" t="str">
        <f>VLOOKUP(J3705,WO!B:F,5,0)</f>
        <v xml:space="preserve">  RRH Unit</v>
      </c>
      <c r="N3705" s="7"/>
    </row>
    <row r="3706" spans="1:14">
      <c r="A3706" s="11" t="s">
        <v>4024</v>
      </c>
      <c r="B3706" s="11" t="s">
        <v>6</v>
      </c>
      <c r="C3706" s="11" t="s">
        <v>6</v>
      </c>
      <c r="D3706" s="11">
        <v>1</v>
      </c>
      <c r="E3706" s="11" t="s">
        <v>47</v>
      </c>
      <c r="F3706" s="20">
        <v>46273.391435185185</v>
      </c>
      <c r="G3706" s="11" t="s">
        <v>3759</v>
      </c>
      <c r="H3706" s="11" t="s">
        <v>556</v>
      </c>
      <c r="I3706" s="1">
        <f>VLOOKUP(G3706,WO!A:J,10,0)</f>
        <v>57</v>
      </c>
      <c r="J3706" s="1" t="str">
        <f t="shared" si="57"/>
        <v>20LA42.00</v>
      </c>
      <c r="K3706" s="1" t="str">
        <f>VLOOKUP(J3706,WO!B:E,4,0)</f>
        <v>AXOLA</v>
      </c>
      <c r="L3706" s="1" t="str">
        <f>VLOOKUP(J3706,WO!B:F,5,0)</f>
        <v xml:space="preserve">  RRH Unit</v>
      </c>
      <c r="N3706" s="7"/>
    </row>
    <row r="3707" spans="1:14">
      <c r="A3707" s="11" t="s">
        <v>4025</v>
      </c>
      <c r="B3707" s="11" t="s">
        <v>6</v>
      </c>
      <c r="C3707" s="11" t="s">
        <v>6</v>
      </c>
      <c r="D3707" s="11">
        <v>1</v>
      </c>
      <c r="E3707" s="11" t="s">
        <v>47</v>
      </c>
      <c r="F3707" s="20">
        <v>46273.391435185185</v>
      </c>
      <c r="G3707" s="11" t="s">
        <v>3759</v>
      </c>
      <c r="H3707" s="11" t="s">
        <v>556</v>
      </c>
      <c r="I3707" s="1">
        <f>VLOOKUP(G3707,WO!A:J,10,0)</f>
        <v>57</v>
      </c>
      <c r="J3707" s="1" t="str">
        <f t="shared" si="57"/>
        <v>20LA42.00</v>
      </c>
      <c r="K3707" s="1" t="str">
        <f>VLOOKUP(J3707,WO!B:E,4,0)</f>
        <v>AXOLA</v>
      </c>
      <c r="L3707" s="1" t="str">
        <f>VLOOKUP(J3707,WO!B:F,5,0)</f>
        <v xml:space="preserve">  RRH Unit</v>
      </c>
      <c r="N3707" s="7"/>
    </row>
    <row r="3708" spans="1:14">
      <c r="A3708" s="11" t="s">
        <v>4026</v>
      </c>
      <c r="B3708" s="11" t="s">
        <v>6</v>
      </c>
      <c r="C3708" s="11" t="s">
        <v>6</v>
      </c>
      <c r="D3708" s="11">
        <v>1</v>
      </c>
      <c r="E3708" s="11" t="s">
        <v>47</v>
      </c>
      <c r="F3708" s="20">
        <v>46273.391435185185</v>
      </c>
      <c r="G3708" s="11" t="s">
        <v>3759</v>
      </c>
      <c r="H3708" s="11" t="s">
        <v>556</v>
      </c>
      <c r="I3708" s="1">
        <f>VLOOKUP(G3708,WO!A:J,10,0)</f>
        <v>57</v>
      </c>
      <c r="J3708" s="1" t="str">
        <f t="shared" si="57"/>
        <v>20LA42.00</v>
      </c>
      <c r="K3708" s="1" t="str">
        <f>VLOOKUP(J3708,WO!B:E,4,0)</f>
        <v>AXOLA</v>
      </c>
      <c r="L3708" s="1" t="str">
        <f>VLOOKUP(J3708,WO!B:F,5,0)</f>
        <v xml:space="preserve">  RRH Unit</v>
      </c>
      <c r="N3708" s="7"/>
    </row>
    <row r="3709" spans="1:14">
      <c r="A3709" s="11" t="s">
        <v>4027</v>
      </c>
      <c r="B3709" s="11" t="s">
        <v>6</v>
      </c>
      <c r="C3709" s="11" t="s">
        <v>6</v>
      </c>
      <c r="D3709" s="11">
        <v>1</v>
      </c>
      <c r="E3709" s="11" t="s">
        <v>47</v>
      </c>
      <c r="F3709" s="20">
        <v>46273.391435185185</v>
      </c>
      <c r="G3709" s="11" t="s">
        <v>3759</v>
      </c>
      <c r="H3709" s="11" t="s">
        <v>556</v>
      </c>
      <c r="I3709" s="1">
        <f>VLOOKUP(G3709,WO!A:J,10,0)</f>
        <v>57</v>
      </c>
      <c r="J3709" s="1" t="str">
        <f t="shared" si="57"/>
        <v>20LA42.00</v>
      </c>
      <c r="K3709" s="1" t="str">
        <f>VLOOKUP(J3709,WO!B:E,4,0)</f>
        <v>AXOLA</v>
      </c>
      <c r="L3709" s="1" t="str">
        <f>VLOOKUP(J3709,WO!B:F,5,0)</f>
        <v xml:space="preserve">  RRH Unit</v>
      </c>
      <c r="N3709" s="7"/>
    </row>
    <row r="3710" spans="1:14">
      <c r="A3710" s="11" t="s">
        <v>4028</v>
      </c>
      <c r="B3710" s="11" t="s">
        <v>6</v>
      </c>
      <c r="C3710" s="11" t="s">
        <v>6</v>
      </c>
      <c r="D3710" s="11">
        <v>1</v>
      </c>
      <c r="E3710" s="11" t="s">
        <v>47</v>
      </c>
      <c r="F3710" s="20">
        <v>46273.391435185185</v>
      </c>
      <c r="G3710" s="11" t="s">
        <v>3759</v>
      </c>
      <c r="H3710" s="11" t="s">
        <v>556</v>
      </c>
      <c r="I3710" s="1">
        <f>VLOOKUP(G3710,WO!A:J,10,0)</f>
        <v>57</v>
      </c>
      <c r="J3710" s="1" t="str">
        <f t="shared" si="57"/>
        <v>20LA42.00</v>
      </c>
      <c r="K3710" s="1" t="str">
        <f>VLOOKUP(J3710,WO!B:E,4,0)</f>
        <v>AXOLA</v>
      </c>
      <c r="L3710" s="1" t="str">
        <f>VLOOKUP(J3710,WO!B:F,5,0)</f>
        <v xml:space="preserve">  RRH Unit</v>
      </c>
      <c r="N3710" s="7"/>
    </row>
    <row r="3711" spans="1:14">
      <c r="A3711" s="11" t="s">
        <v>4029</v>
      </c>
      <c r="B3711" s="11" t="s">
        <v>6</v>
      </c>
      <c r="C3711" s="11" t="s">
        <v>6</v>
      </c>
      <c r="D3711" s="11">
        <v>1</v>
      </c>
      <c r="E3711" s="11" t="s">
        <v>47</v>
      </c>
      <c r="F3711" s="20">
        <v>46273.391435185185</v>
      </c>
      <c r="G3711" s="11" t="s">
        <v>3759</v>
      </c>
      <c r="H3711" s="11" t="s">
        <v>556</v>
      </c>
      <c r="I3711" s="1">
        <f>VLOOKUP(G3711,WO!A:J,10,0)</f>
        <v>57</v>
      </c>
      <c r="J3711" s="1" t="str">
        <f t="shared" si="57"/>
        <v>20LA42.00</v>
      </c>
      <c r="K3711" s="1" t="str">
        <f>VLOOKUP(J3711,WO!B:E,4,0)</f>
        <v>AXOLA</v>
      </c>
      <c r="L3711" s="1" t="str">
        <f>VLOOKUP(J3711,WO!B:F,5,0)</f>
        <v xml:space="preserve">  RRH Unit</v>
      </c>
      <c r="N3711" s="7"/>
    </row>
    <row r="3712" spans="1:14">
      <c r="A3712" s="11" t="s">
        <v>4030</v>
      </c>
      <c r="B3712" s="11" t="s">
        <v>6</v>
      </c>
      <c r="C3712" s="11" t="s">
        <v>6</v>
      </c>
      <c r="D3712" s="11">
        <v>1</v>
      </c>
      <c r="E3712" s="11" t="s">
        <v>47</v>
      </c>
      <c r="F3712" s="20">
        <v>46273.391435185185</v>
      </c>
      <c r="G3712" s="11" t="s">
        <v>3759</v>
      </c>
      <c r="H3712" s="11" t="s">
        <v>556</v>
      </c>
      <c r="I3712" s="1">
        <f>VLOOKUP(G3712,WO!A:J,10,0)</f>
        <v>57</v>
      </c>
      <c r="J3712" s="1" t="str">
        <f t="shared" si="57"/>
        <v>20LA42.00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7"/>
    </row>
    <row r="3713" spans="1:14">
      <c r="A3713" s="11" t="s">
        <v>4031</v>
      </c>
      <c r="B3713" s="11" t="s">
        <v>6</v>
      </c>
      <c r="C3713" s="11" t="s">
        <v>6</v>
      </c>
      <c r="D3713" s="11">
        <v>1</v>
      </c>
      <c r="E3713" s="11" t="s">
        <v>47</v>
      </c>
      <c r="F3713" s="20">
        <v>46273.391435185185</v>
      </c>
      <c r="G3713" s="11" t="s">
        <v>3759</v>
      </c>
      <c r="H3713" s="11" t="s">
        <v>556</v>
      </c>
      <c r="I3713" s="1">
        <f>VLOOKUP(G3713,WO!A:J,10,0)</f>
        <v>57</v>
      </c>
      <c r="J3713" s="1" t="str">
        <f t="shared" si="57"/>
        <v>20LA42.00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7"/>
    </row>
    <row r="3714" spans="1:14">
      <c r="A3714" s="11" t="s">
        <v>4032</v>
      </c>
      <c r="B3714" s="11" t="s">
        <v>6</v>
      </c>
      <c r="C3714" s="11" t="s">
        <v>6</v>
      </c>
      <c r="D3714" s="11">
        <v>1</v>
      </c>
      <c r="E3714" s="11" t="s">
        <v>47</v>
      </c>
      <c r="F3714" s="20">
        <v>46273.391435185185</v>
      </c>
      <c r="G3714" s="11" t="s">
        <v>3759</v>
      </c>
      <c r="H3714" s="11" t="s">
        <v>556</v>
      </c>
      <c r="I3714" s="1">
        <f>VLOOKUP(G3714,WO!A:J,10,0)</f>
        <v>57</v>
      </c>
      <c r="J3714" s="1" t="str">
        <f t="shared" si="57"/>
        <v>20LA42.00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7"/>
    </row>
    <row r="3715" spans="1:14">
      <c r="A3715" s="11" t="s">
        <v>4033</v>
      </c>
      <c r="B3715" s="11" t="s">
        <v>6</v>
      </c>
      <c r="C3715" s="11" t="s">
        <v>6</v>
      </c>
      <c r="D3715" s="11">
        <v>1</v>
      </c>
      <c r="E3715" s="11" t="s">
        <v>47</v>
      </c>
      <c r="F3715" s="20">
        <v>46273.391435185185</v>
      </c>
      <c r="G3715" s="11" t="s">
        <v>3759</v>
      </c>
      <c r="H3715" s="11" t="s">
        <v>556</v>
      </c>
      <c r="I3715" s="1">
        <f>VLOOKUP(G3715,WO!A:J,10,0)</f>
        <v>57</v>
      </c>
      <c r="J3715" s="1" t="str">
        <f t="shared" ref="J3715:J3722" si="58">MID(G3715,3,9)</f>
        <v>20LA42.00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7"/>
    </row>
    <row r="3716" spans="1:14">
      <c r="A3716" s="11" t="s">
        <v>4034</v>
      </c>
      <c r="B3716" s="11" t="s">
        <v>6</v>
      </c>
      <c r="C3716" s="11" t="s">
        <v>6</v>
      </c>
      <c r="D3716" s="11">
        <v>1</v>
      </c>
      <c r="E3716" s="11" t="s">
        <v>47</v>
      </c>
      <c r="F3716" s="20">
        <v>46273.391435185185</v>
      </c>
      <c r="G3716" s="11" t="s">
        <v>3759</v>
      </c>
      <c r="H3716" s="11" t="s">
        <v>556</v>
      </c>
      <c r="I3716" s="1">
        <f>VLOOKUP(G3716,WO!A:J,10,0)</f>
        <v>57</v>
      </c>
      <c r="J3716" s="1" t="str">
        <f t="shared" si="58"/>
        <v>20LA42.00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7"/>
    </row>
    <row r="3717" spans="1:14">
      <c r="A3717" s="11" t="s">
        <v>4035</v>
      </c>
      <c r="B3717" s="11" t="s">
        <v>6</v>
      </c>
      <c r="C3717" s="11" t="s">
        <v>6</v>
      </c>
      <c r="D3717" s="11">
        <v>1</v>
      </c>
      <c r="E3717" s="11" t="s">
        <v>47</v>
      </c>
      <c r="F3717" s="20">
        <v>46273.391435185185</v>
      </c>
      <c r="G3717" s="11" t="s">
        <v>3759</v>
      </c>
      <c r="H3717" s="11" t="s">
        <v>556</v>
      </c>
      <c r="I3717" s="1">
        <f>VLOOKUP(G3717,WO!A:J,10,0)</f>
        <v>57</v>
      </c>
      <c r="J3717" s="1" t="str">
        <f t="shared" si="58"/>
        <v>20LA42.00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7"/>
    </row>
    <row r="3718" spans="1:14">
      <c r="A3718" s="11" t="s">
        <v>4036</v>
      </c>
      <c r="B3718" s="11" t="s">
        <v>6</v>
      </c>
      <c r="C3718" s="11" t="s">
        <v>6</v>
      </c>
      <c r="D3718" s="11">
        <v>1</v>
      </c>
      <c r="E3718" s="11" t="s">
        <v>47</v>
      </c>
      <c r="F3718" s="20">
        <v>46273.391435185185</v>
      </c>
      <c r="G3718" s="11" t="s">
        <v>3759</v>
      </c>
      <c r="H3718" s="11" t="s">
        <v>556</v>
      </c>
      <c r="I3718" s="1">
        <f>VLOOKUP(G3718,WO!A:J,10,0)</f>
        <v>57</v>
      </c>
      <c r="J3718" s="1" t="str">
        <f t="shared" si="58"/>
        <v>20LA42.00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7"/>
    </row>
    <row r="3719" spans="1:14">
      <c r="A3719" s="11" t="s">
        <v>4037</v>
      </c>
      <c r="B3719" s="11" t="s">
        <v>6</v>
      </c>
      <c r="C3719" s="11" t="s">
        <v>6</v>
      </c>
      <c r="D3719" s="11">
        <v>1</v>
      </c>
      <c r="E3719" s="11" t="s">
        <v>47</v>
      </c>
      <c r="F3719" s="20">
        <v>46273.391435185185</v>
      </c>
      <c r="G3719" s="11" t="s">
        <v>3759</v>
      </c>
      <c r="H3719" s="11" t="s">
        <v>556</v>
      </c>
      <c r="I3719" s="1">
        <f>VLOOKUP(G3719,WO!A:J,10,0)</f>
        <v>57</v>
      </c>
      <c r="J3719" s="1" t="str">
        <f t="shared" si="58"/>
        <v>20LA42.00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7"/>
    </row>
    <row r="3720" spans="1:14">
      <c r="A3720" s="11" t="s">
        <v>4038</v>
      </c>
      <c r="B3720" s="11" t="s">
        <v>6</v>
      </c>
      <c r="C3720" s="11" t="s">
        <v>6</v>
      </c>
      <c r="D3720" s="11">
        <v>1</v>
      </c>
      <c r="E3720" s="11" t="s">
        <v>47</v>
      </c>
      <c r="F3720" s="20">
        <v>46273.391435185185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7"/>
    </row>
    <row r="3721" spans="1:14">
      <c r="A3721" s="11" t="s">
        <v>4039</v>
      </c>
      <c r="B3721" s="11" t="s">
        <v>6</v>
      </c>
      <c r="C3721" s="11" t="s">
        <v>6</v>
      </c>
      <c r="D3721" s="11">
        <v>1</v>
      </c>
      <c r="E3721" s="11" t="s">
        <v>47</v>
      </c>
      <c r="F3721" s="20">
        <v>46273.391435185185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7"/>
    </row>
    <row r="3722" spans="1:14">
      <c r="A3722" s="11" t="s">
        <v>4040</v>
      </c>
      <c r="B3722" s="11" t="s">
        <v>6</v>
      </c>
      <c r="C3722" s="11" t="s">
        <v>6</v>
      </c>
      <c r="D3722" s="11">
        <v>1</v>
      </c>
      <c r="E3722" s="11" t="s">
        <v>47</v>
      </c>
      <c r="F3722" s="20">
        <v>46273.391435185185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7"/>
    </row>
  </sheetData>
  <autoFilter ref="A1:P3722">
    <filterColumn colId="1"/>
    <filterColumn colId="6"/>
    <filterColumn colId="7"/>
    <filterColumn colId="9"/>
    <filterColumn colId="10"/>
    <filterColumn colId="11"/>
    <filterColumn colId="13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H186"/>
  <sheetViews>
    <sheetView zoomScaleNormal="100" workbookViewId="0">
      <pane ySplit="1" topLeftCell="A142" activePane="bottomLeft" state="frozen"/>
      <selection pane="bottomLeft" activeCell="B161" sqref="B161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3828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1</v>
      </c>
    </row>
    <row r="79" spans="1:6" s="12" customFormat="1">
      <c r="B79"/>
      <c r="C79"/>
      <c r="D79" s="3" t="s">
        <v>156</v>
      </c>
      <c r="E79" s="3" t="s">
        <v>151</v>
      </c>
      <c r="F79" s="4">
        <v>1</v>
      </c>
    </row>
    <row r="80" spans="1:6" s="12" customFormat="1">
      <c r="A80" s="18">
        <v>28</v>
      </c>
      <c r="B80" s="6" t="s">
        <v>262</v>
      </c>
      <c r="C80" s="6" t="s">
        <v>204</v>
      </c>
      <c r="D80" s="6" t="s">
        <v>9</v>
      </c>
      <c r="E80" s="6" t="s">
        <v>10</v>
      </c>
      <c r="F80" s="16">
        <v>5</v>
      </c>
    </row>
    <row r="81" spans="1:6" s="12" customFormat="1">
      <c r="B81"/>
      <c r="C81"/>
      <c r="D81" s="3" t="s">
        <v>6</v>
      </c>
      <c r="E81" s="3" t="s">
        <v>7</v>
      </c>
      <c r="F81" s="4">
        <v>54</v>
      </c>
    </row>
    <row r="82" spans="1:6" s="12" customFormat="1">
      <c r="B82"/>
      <c r="C82"/>
      <c r="D82" s="3" t="s">
        <v>18</v>
      </c>
      <c r="E82" s="3" t="s">
        <v>19</v>
      </c>
      <c r="F82" s="4">
        <v>1</v>
      </c>
    </row>
    <row r="83" spans="1:6" s="12" customFormat="1">
      <c r="B83"/>
      <c r="C83"/>
      <c r="D83" s="3" t="s">
        <v>84</v>
      </c>
      <c r="E83" s="3" t="s">
        <v>85</v>
      </c>
      <c r="F83" s="4">
        <v>2</v>
      </c>
    </row>
    <row r="84" spans="1:6" s="12" customFormat="1">
      <c r="B84"/>
      <c r="C84"/>
      <c r="D84" s="3" t="s">
        <v>156</v>
      </c>
      <c r="E84" s="3" t="s">
        <v>151</v>
      </c>
      <c r="F84" s="4">
        <v>2</v>
      </c>
    </row>
    <row r="85" spans="1:6" s="12" customFormat="1">
      <c r="A85" s="18">
        <v>29</v>
      </c>
      <c r="B85" s="3" t="s">
        <v>263</v>
      </c>
      <c r="C85" s="3" t="s">
        <v>556</v>
      </c>
      <c r="D85" s="3" t="s">
        <v>18</v>
      </c>
      <c r="E85" s="3" t="s">
        <v>19</v>
      </c>
      <c r="F85" s="4">
        <v>8</v>
      </c>
    </row>
    <row r="86" spans="1:6" s="12" customFormat="1">
      <c r="A86" s="3">
        <v>30</v>
      </c>
      <c r="B86" s="3" t="s">
        <v>2155</v>
      </c>
      <c r="C86" s="3" t="s">
        <v>1054</v>
      </c>
      <c r="D86" s="3" t="s">
        <v>6</v>
      </c>
      <c r="E86" s="3" t="s">
        <v>7</v>
      </c>
      <c r="F86" s="4">
        <v>7</v>
      </c>
    </row>
    <row r="87" spans="1:6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6" s="12" customFormat="1">
      <c r="A88"/>
      <c r="B88"/>
      <c r="C88"/>
      <c r="D88" s="3" t="s">
        <v>84</v>
      </c>
      <c r="E88" s="3" t="s">
        <v>85</v>
      </c>
      <c r="F88" s="4">
        <v>4</v>
      </c>
    </row>
    <row r="89" spans="1:6" s="12" customFormat="1">
      <c r="A89"/>
      <c r="B89"/>
      <c r="C89"/>
      <c r="D89" s="3" t="s">
        <v>2190</v>
      </c>
      <c r="E89" s="3" t="s">
        <v>151</v>
      </c>
      <c r="F89" s="4">
        <v>1</v>
      </c>
    </row>
    <row r="90" spans="1:6" s="12" customFormat="1">
      <c r="A90" s="3">
        <v>33</v>
      </c>
      <c r="B90" s="3" t="s">
        <v>1055</v>
      </c>
      <c r="C90" s="3" t="s">
        <v>1170</v>
      </c>
      <c r="D90" s="3" t="s">
        <v>18</v>
      </c>
      <c r="E90" s="3" t="s">
        <v>19</v>
      </c>
      <c r="F90" s="4">
        <v>6</v>
      </c>
    </row>
    <row r="91" spans="1:6" s="12" customFormat="1">
      <c r="A91"/>
      <c r="B91"/>
      <c r="C91"/>
      <c r="D91" s="3" t="s">
        <v>156</v>
      </c>
      <c r="E91" s="3" t="s">
        <v>151</v>
      </c>
      <c r="F91" s="4">
        <v>1</v>
      </c>
    </row>
    <row r="92" spans="1:6" s="12" customFormat="1">
      <c r="A92"/>
      <c r="B92"/>
      <c r="C92"/>
      <c r="D92" s="3" t="s">
        <v>2190</v>
      </c>
      <c r="E92" s="3" t="s">
        <v>151</v>
      </c>
      <c r="F92" s="4">
        <v>1</v>
      </c>
    </row>
    <row r="93" spans="1:6" s="12" customFormat="1">
      <c r="A93" s="3">
        <v>34</v>
      </c>
      <c r="B93" s="3" t="s">
        <v>1171</v>
      </c>
      <c r="C93" s="3" t="s">
        <v>1176</v>
      </c>
      <c r="D93" s="3" t="s">
        <v>9</v>
      </c>
      <c r="E93" s="3" t="s">
        <v>10</v>
      </c>
      <c r="F93" s="4">
        <v>1</v>
      </c>
    </row>
    <row r="94" spans="1:6" s="12" customFormat="1">
      <c r="A94"/>
      <c r="B94"/>
      <c r="C94"/>
      <c r="D94" s="3" t="s">
        <v>6</v>
      </c>
      <c r="E94" s="3" t="s">
        <v>7</v>
      </c>
      <c r="F94" s="4">
        <v>2</v>
      </c>
    </row>
    <row r="95" spans="1:6" s="12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6">
      <c r="D96" s="3" t="s">
        <v>156</v>
      </c>
      <c r="E96" s="3" t="s">
        <v>151</v>
      </c>
      <c r="F96" s="4">
        <v>16</v>
      </c>
    </row>
    <row r="97" spans="1:8">
      <c r="A97" s="3">
        <v>35</v>
      </c>
      <c r="B97" s="3" t="s">
        <v>1347</v>
      </c>
      <c r="C97" s="3" t="s">
        <v>1348</v>
      </c>
      <c r="D97" s="3" t="s">
        <v>12</v>
      </c>
      <c r="E97" s="3" t="s">
        <v>13</v>
      </c>
      <c r="F97" s="4">
        <v>55</v>
      </c>
      <c r="G97" s="3" t="s">
        <v>4049</v>
      </c>
      <c r="H97" s="12" t="s">
        <v>4050</v>
      </c>
    </row>
    <row r="98" spans="1:8" s="12" customFormat="1">
      <c r="A98"/>
      <c r="B98"/>
      <c r="C98"/>
      <c r="D98" s="3" t="s">
        <v>6</v>
      </c>
      <c r="E98" s="3" t="s">
        <v>7</v>
      </c>
      <c r="F98" s="4">
        <v>4</v>
      </c>
    </row>
    <row r="99" spans="1:8" s="12" customFormat="1">
      <c r="A99"/>
      <c r="B99"/>
      <c r="C99"/>
      <c r="D99" s="3" t="s">
        <v>18</v>
      </c>
      <c r="E99" s="3" t="s">
        <v>19</v>
      </c>
      <c r="F99" s="4">
        <v>13</v>
      </c>
    </row>
    <row r="100" spans="1:8" s="12" customFormat="1">
      <c r="A100"/>
      <c r="B100"/>
      <c r="C100"/>
      <c r="D100" s="3" t="s">
        <v>156</v>
      </c>
      <c r="E100" s="3" t="s">
        <v>151</v>
      </c>
      <c r="F100" s="4">
        <v>2</v>
      </c>
    </row>
    <row r="101" spans="1:8" s="12" customFormat="1">
      <c r="A101" s="3">
        <v>36</v>
      </c>
      <c r="B101" s="3" t="s">
        <v>1173</v>
      </c>
      <c r="C101" s="3" t="s">
        <v>1213</v>
      </c>
      <c r="D101" s="3" t="s">
        <v>9</v>
      </c>
      <c r="E101" s="3" t="s">
        <v>10</v>
      </c>
      <c r="F101" s="4">
        <v>46</v>
      </c>
    </row>
    <row r="102" spans="1:8" s="12" customFormat="1">
      <c r="A102"/>
      <c r="B102"/>
      <c r="C102"/>
      <c r="D102" s="3" t="s">
        <v>12</v>
      </c>
      <c r="E102" s="3" t="s">
        <v>13</v>
      </c>
      <c r="F102" s="4">
        <v>2</v>
      </c>
    </row>
    <row r="103" spans="1:8" s="12" customFormat="1">
      <c r="A103"/>
      <c r="B103"/>
      <c r="C103"/>
      <c r="D103" s="3" t="s">
        <v>6</v>
      </c>
      <c r="E103" s="3" t="s">
        <v>7</v>
      </c>
      <c r="F103" s="4">
        <v>12</v>
      </c>
      <c r="G103" s="12" t="s">
        <v>4050</v>
      </c>
    </row>
    <row r="104" spans="1:8" s="12" customFormat="1">
      <c r="A104"/>
      <c r="B104"/>
      <c r="C104"/>
      <c r="D104" s="3" t="s">
        <v>18</v>
      </c>
      <c r="E104" s="3" t="s">
        <v>19</v>
      </c>
      <c r="F104" s="4">
        <v>10</v>
      </c>
    </row>
    <row r="105" spans="1:8" s="12" customFormat="1">
      <c r="A105"/>
      <c r="B105"/>
      <c r="C105"/>
      <c r="D105" s="3" t="s">
        <v>955</v>
      </c>
      <c r="E105" s="3" t="s">
        <v>13</v>
      </c>
      <c r="F105" s="4">
        <v>1</v>
      </c>
      <c r="G105" s="12" t="s">
        <v>4050</v>
      </c>
    </row>
    <row r="106" spans="1:8" s="12" customFormat="1">
      <c r="A106"/>
      <c r="B106"/>
      <c r="C106"/>
      <c r="D106" s="3" t="s">
        <v>2685</v>
      </c>
      <c r="E106" s="3" t="s">
        <v>151</v>
      </c>
      <c r="F106" s="4">
        <v>2</v>
      </c>
      <c r="G106" s="12" t="s">
        <v>4050</v>
      </c>
    </row>
    <row r="107" spans="1:8" s="12" customFormat="1">
      <c r="A107"/>
      <c r="B107"/>
      <c r="C107"/>
      <c r="D107" s="3" t="s">
        <v>3957</v>
      </c>
      <c r="E107" s="3" t="s">
        <v>3958</v>
      </c>
      <c r="F107" s="4">
        <v>1</v>
      </c>
      <c r="G107" s="12" t="s">
        <v>4051</v>
      </c>
    </row>
    <row r="108" spans="1:8" s="12" customFormat="1">
      <c r="A108" s="3">
        <v>37</v>
      </c>
      <c r="B108" s="3" t="s">
        <v>3781</v>
      </c>
      <c r="C108" s="3" t="s">
        <v>2191</v>
      </c>
      <c r="D108" s="3" t="s">
        <v>6</v>
      </c>
      <c r="E108" s="3" t="s">
        <v>47</v>
      </c>
      <c r="F108" s="4">
        <v>2</v>
      </c>
    </row>
    <row r="109" spans="1:8" s="12" customFormat="1">
      <c r="A109"/>
      <c r="B109"/>
      <c r="C109"/>
      <c r="D109" s="3" t="s">
        <v>957</v>
      </c>
      <c r="E109" s="3" t="s">
        <v>13</v>
      </c>
      <c r="F109" s="4">
        <v>8</v>
      </c>
    </row>
    <row r="110" spans="1:8" s="12" customFormat="1">
      <c r="A110"/>
      <c r="B110"/>
      <c r="C110"/>
      <c r="D110" s="3" t="s">
        <v>3436</v>
      </c>
      <c r="E110" s="3" t="s">
        <v>13</v>
      </c>
      <c r="F110" s="4">
        <v>1</v>
      </c>
    </row>
    <row r="111" spans="1:8" s="12" customFormat="1">
      <c r="A111" s="3">
        <v>38</v>
      </c>
      <c r="B111" s="3" t="s">
        <v>1215</v>
      </c>
      <c r="C111" s="3" t="s">
        <v>1216</v>
      </c>
      <c r="D111" s="3" t="s">
        <v>6</v>
      </c>
      <c r="E111" s="3" t="s">
        <v>3794</v>
      </c>
      <c r="F111" s="4">
        <v>10</v>
      </c>
    </row>
    <row r="112" spans="1:8" s="12" customFormat="1">
      <c r="A112"/>
      <c r="B112"/>
      <c r="C112"/>
      <c r="D112" s="3" t="s">
        <v>18</v>
      </c>
      <c r="E112" s="3" t="s">
        <v>19</v>
      </c>
      <c r="F112" s="4">
        <v>4</v>
      </c>
    </row>
    <row r="113" spans="1:6" s="12" customFormat="1">
      <c r="A113" s="3">
        <v>39</v>
      </c>
      <c r="B113" s="3" t="s">
        <v>1222</v>
      </c>
      <c r="C113" s="3" t="s">
        <v>203</v>
      </c>
      <c r="D113" s="3" t="s">
        <v>18</v>
      </c>
      <c r="E113" s="3" t="s">
        <v>19</v>
      </c>
      <c r="F113" s="4">
        <v>13</v>
      </c>
    </row>
    <row r="114" spans="1:6" s="12" customFormat="1">
      <c r="A114" s="3">
        <v>40</v>
      </c>
      <c r="B114" s="3" t="s">
        <v>1223</v>
      </c>
      <c r="C114" s="3" t="s">
        <v>204</v>
      </c>
      <c r="D114" s="3" t="s">
        <v>9</v>
      </c>
      <c r="E114" s="3" t="s">
        <v>10</v>
      </c>
      <c r="F114" s="4">
        <v>1</v>
      </c>
    </row>
    <row r="115" spans="1:6" s="12" customFormat="1">
      <c r="A115"/>
      <c r="B115"/>
      <c r="C115"/>
      <c r="D115" s="3" t="s">
        <v>18</v>
      </c>
      <c r="E115" s="3" t="s">
        <v>19</v>
      </c>
      <c r="F115" s="4">
        <v>12</v>
      </c>
    </row>
    <row r="116" spans="1:6" s="12" customFormat="1">
      <c r="A116" s="3">
        <v>41</v>
      </c>
      <c r="B116" s="3" t="s">
        <v>2683</v>
      </c>
      <c r="C116" s="3" t="s">
        <v>2682</v>
      </c>
      <c r="D116" s="3" t="s">
        <v>9</v>
      </c>
      <c r="E116" s="3" t="s">
        <v>10</v>
      </c>
      <c r="F116" s="4">
        <v>3</v>
      </c>
    </row>
    <row r="117" spans="1:6" s="12" customFormat="1">
      <c r="A117"/>
      <c r="B117"/>
      <c r="C117"/>
      <c r="D117" s="3" t="s">
        <v>12</v>
      </c>
      <c r="E117" s="3" t="s">
        <v>13</v>
      </c>
      <c r="F117" s="4">
        <v>12</v>
      </c>
    </row>
    <row r="118" spans="1:6" s="12" customFormat="1">
      <c r="A118"/>
      <c r="B118"/>
      <c r="C118"/>
      <c r="D118" s="3" t="s">
        <v>6</v>
      </c>
      <c r="E118" s="3" t="s">
        <v>7</v>
      </c>
      <c r="F118" s="4">
        <v>8</v>
      </c>
    </row>
    <row r="119" spans="1:6" s="12" customFormat="1">
      <c r="A119"/>
      <c r="B119"/>
      <c r="C119"/>
      <c r="D119" s="3" t="s">
        <v>84</v>
      </c>
      <c r="E119" s="3" t="s">
        <v>85</v>
      </c>
      <c r="F119" s="4">
        <v>8</v>
      </c>
    </row>
    <row r="120" spans="1:6" s="12" customFormat="1">
      <c r="A120"/>
      <c r="B120"/>
      <c r="C120"/>
      <c r="D120" s="3" t="s">
        <v>156</v>
      </c>
      <c r="E120" s="3" t="s">
        <v>151</v>
      </c>
      <c r="F120" s="4">
        <v>1</v>
      </c>
    </row>
    <row r="121" spans="1:6" s="12" customFormat="1">
      <c r="A121"/>
      <c r="B121"/>
      <c r="C121"/>
      <c r="D121" s="3" t="s">
        <v>957</v>
      </c>
      <c r="E121" s="3" t="s">
        <v>13</v>
      </c>
      <c r="F121" s="16">
        <v>20</v>
      </c>
    </row>
    <row r="122" spans="1:6" s="12" customFormat="1">
      <c r="A122"/>
      <c r="B122"/>
      <c r="C122"/>
      <c r="D122" s="3" t="s">
        <v>955</v>
      </c>
      <c r="E122" s="3" t="s">
        <v>13</v>
      </c>
      <c r="F122" s="16">
        <v>3</v>
      </c>
    </row>
    <row r="123" spans="1:6" s="12" customFormat="1">
      <c r="A123"/>
      <c r="B123"/>
      <c r="C123"/>
      <c r="D123" s="3" t="s">
        <v>3436</v>
      </c>
      <c r="E123" s="3" t="s">
        <v>13</v>
      </c>
      <c r="F123" s="4">
        <v>1</v>
      </c>
    </row>
    <row r="124" spans="1:6" s="12" customFormat="1">
      <c r="A124"/>
      <c r="B124"/>
      <c r="C124"/>
      <c r="D124" s="3" t="s">
        <v>3504</v>
      </c>
      <c r="E124" s="3" t="s">
        <v>13</v>
      </c>
      <c r="F124" s="16">
        <v>2</v>
      </c>
    </row>
    <row r="125" spans="1:6" s="12" customFormat="1">
      <c r="A125"/>
      <c r="B125"/>
      <c r="C125"/>
      <c r="D125" s="3" t="s">
        <v>3509</v>
      </c>
      <c r="E125" s="3" t="s">
        <v>151</v>
      </c>
      <c r="F125" s="4">
        <v>5</v>
      </c>
    </row>
    <row r="126" spans="1:6" s="12" customFormat="1">
      <c r="A126"/>
      <c r="B126"/>
      <c r="C126"/>
      <c r="D126" s="3" t="s">
        <v>3775</v>
      </c>
      <c r="E126" s="3" t="s">
        <v>85</v>
      </c>
      <c r="F126" s="4">
        <v>1</v>
      </c>
    </row>
    <row r="127" spans="1:6">
      <c r="A127" s="3">
        <v>42</v>
      </c>
      <c r="B127" s="3" t="s">
        <v>2194</v>
      </c>
      <c r="C127" s="3" t="s">
        <v>203</v>
      </c>
      <c r="D127" s="3" t="s">
        <v>9</v>
      </c>
      <c r="E127" s="3" t="s">
        <v>10</v>
      </c>
      <c r="F127" s="4">
        <v>179</v>
      </c>
    </row>
    <row r="128" spans="1:6">
      <c r="D128" s="3" t="s">
        <v>6</v>
      </c>
      <c r="E128" s="3" t="s">
        <v>47</v>
      </c>
      <c r="F128" s="4">
        <v>1</v>
      </c>
    </row>
    <row r="129" spans="1:6">
      <c r="E129" s="3" t="s">
        <v>7</v>
      </c>
      <c r="F129" s="4">
        <v>55</v>
      </c>
    </row>
    <row r="130" spans="1:6">
      <c r="D130" s="3" t="s">
        <v>156</v>
      </c>
      <c r="E130" s="3" t="s">
        <v>151</v>
      </c>
      <c r="F130" s="4">
        <v>10</v>
      </c>
    </row>
    <row r="131" spans="1:6">
      <c r="D131" s="3" t="s">
        <v>153</v>
      </c>
      <c r="E131" s="3" t="s">
        <v>13</v>
      </c>
      <c r="F131" s="4">
        <v>1</v>
      </c>
    </row>
    <row r="132" spans="1:6">
      <c r="D132" s="3" t="s">
        <v>957</v>
      </c>
      <c r="E132" s="3" t="s">
        <v>13</v>
      </c>
      <c r="F132" s="4">
        <v>42</v>
      </c>
    </row>
    <row r="133" spans="1:6">
      <c r="D133" s="3" t="s">
        <v>955</v>
      </c>
      <c r="E133" s="3" t="s">
        <v>13</v>
      </c>
      <c r="F133" s="4">
        <v>113</v>
      </c>
    </row>
    <row r="134" spans="1:6">
      <c r="D134" s="3" t="s">
        <v>2227</v>
      </c>
      <c r="E134" s="3" t="s">
        <v>151</v>
      </c>
      <c r="F134" s="4">
        <v>52</v>
      </c>
    </row>
    <row r="135" spans="1:6">
      <c r="D135" s="3" t="s">
        <v>2685</v>
      </c>
      <c r="E135" s="3" t="s">
        <v>151</v>
      </c>
      <c r="F135" s="4">
        <v>1</v>
      </c>
    </row>
    <row r="136" spans="1:6">
      <c r="A136" s="3">
        <v>43</v>
      </c>
      <c r="B136" s="3" t="s">
        <v>2150</v>
      </c>
      <c r="C136" s="3" t="s">
        <v>204</v>
      </c>
      <c r="D136" s="3" t="s">
        <v>9</v>
      </c>
      <c r="E136" s="3" t="s">
        <v>10</v>
      </c>
      <c r="F136" s="4">
        <v>162</v>
      </c>
    </row>
    <row r="137" spans="1:6">
      <c r="D137" s="3" t="s">
        <v>12</v>
      </c>
      <c r="E137" s="3" t="s">
        <v>13</v>
      </c>
      <c r="F137" s="4">
        <v>1</v>
      </c>
    </row>
    <row r="138" spans="1:6">
      <c r="D138" s="3" t="s">
        <v>6</v>
      </c>
      <c r="E138" s="3" t="s">
        <v>47</v>
      </c>
      <c r="F138" s="4">
        <v>5</v>
      </c>
    </row>
    <row r="139" spans="1:6">
      <c r="E139" s="3" t="s">
        <v>7</v>
      </c>
      <c r="F139" s="4">
        <v>58</v>
      </c>
    </row>
    <row r="140" spans="1:6">
      <c r="D140" s="3" t="s">
        <v>156</v>
      </c>
      <c r="E140" s="3" t="s">
        <v>151</v>
      </c>
      <c r="F140" s="4">
        <v>1</v>
      </c>
    </row>
    <row r="141" spans="1:6">
      <c r="D141" s="3" t="s">
        <v>153</v>
      </c>
      <c r="E141" s="3" t="s">
        <v>13</v>
      </c>
      <c r="F141" s="4">
        <v>20</v>
      </c>
    </row>
    <row r="142" spans="1:6">
      <c r="D142" s="3" t="s">
        <v>957</v>
      </c>
      <c r="E142" s="3" t="s">
        <v>13</v>
      </c>
      <c r="F142" s="16">
        <v>81</v>
      </c>
    </row>
    <row r="143" spans="1:6">
      <c r="D143" s="3" t="s">
        <v>955</v>
      </c>
      <c r="E143" s="3" t="s">
        <v>13</v>
      </c>
      <c r="F143" s="4">
        <v>102</v>
      </c>
    </row>
    <row r="144" spans="1:6">
      <c r="D144" s="3" t="s">
        <v>2227</v>
      </c>
      <c r="E144" s="3" t="s">
        <v>151</v>
      </c>
      <c r="F144" s="4">
        <v>13</v>
      </c>
    </row>
    <row r="145" spans="1:6">
      <c r="D145" s="3" t="s">
        <v>2685</v>
      </c>
      <c r="E145" s="3" t="s">
        <v>151</v>
      </c>
      <c r="F145" s="4">
        <v>9</v>
      </c>
    </row>
    <row r="146" spans="1:6">
      <c r="D146" s="3" t="s">
        <v>3775</v>
      </c>
      <c r="E146" s="3" t="s">
        <v>85</v>
      </c>
      <c r="F146" s="4">
        <v>1</v>
      </c>
    </row>
    <row r="147" spans="1:6">
      <c r="D147" s="3" t="s">
        <v>3830</v>
      </c>
      <c r="E147" s="3" t="s">
        <v>151</v>
      </c>
      <c r="F147" s="4">
        <v>1</v>
      </c>
    </row>
    <row r="148" spans="1:6">
      <c r="A148" s="3">
        <v>44</v>
      </c>
      <c r="B148" s="3" t="s">
        <v>2151</v>
      </c>
      <c r="C148" s="3" t="s">
        <v>3776</v>
      </c>
      <c r="D148" s="3" t="s">
        <v>6</v>
      </c>
      <c r="E148" s="3" t="s">
        <v>47</v>
      </c>
      <c r="F148" s="4">
        <v>49</v>
      </c>
    </row>
    <row r="149" spans="1:6">
      <c r="D149" s="3" t="s">
        <v>18</v>
      </c>
      <c r="E149" s="3" t="s">
        <v>19</v>
      </c>
      <c r="F149" s="4">
        <v>2</v>
      </c>
    </row>
    <row r="150" spans="1:6">
      <c r="D150" s="3" t="s">
        <v>2190</v>
      </c>
      <c r="E150" s="3" t="s">
        <v>151</v>
      </c>
      <c r="F150" s="52">
        <v>4</v>
      </c>
    </row>
    <row r="151" spans="1:6">
      <c r="D151" s="3" t="s">
        <v>2153</v>
      </c>
      <c r="E151" s="3" t="s">
        <v>76</v>
      </c>
      <c r="F151" s="4">
        <v>1</v>
      </c>
    </row>
    <row r="152" spans="1:6">
      <c r="D152" s="3" t="s">
        <v>3897</v>
      </c>
      <c r="E152" s="3" t="s">
        <v>76</v>
      </c>
      <c r="F152" s="4">
        <v>2</v>
      </c>
    </row>
    <row r="153" spans="1:6">
      <c r="D153" s="3" t="s">
        <v>3899</v>
      </c>
      <c r="E153" s="3" t="s">
        <v>13</v>
      </c>
      <c r="F153" s="4">
        <v>2</v>
      </c>
    </row>
    <row r="154" spans="1:6">
      <c r="D154" s="3" t="s">
        <v>3818</v>
      </c>
      <c r="E154" s="3" t="s">
        <v>13</v>
      </c>
      <c r="F154" s="4">
        <v>2</v>
      </c>
    </row>
    <row r="155" spans="1:6">
      <c r="D155" s="3" t="s">
        <v>4048</v>
      </c>
      <c r="E155" s="3" t="s">
        <v>13</v>
      </c>
      <c r="F155" s="4">
        <v>2</v>
      </c>
    </row>
    <row r="156" spans="1:6">
      <c r="A156" s="3">
        <v>45</v>
      </c>
      <c r="B156" s="3" t="s">
        <v>2154</v>
      </c>
      <c r="C156" s="3" t="s">
        <v>3744</v>
      </c>
      <c r="D156" s="3" t="s">
        <v>12</v>
      </c>
      <c r="E156" s="3" t="s">
        <v>13</v>
      </c>
      <c r="F156" s="4">
        <v>2</v>
      </c>
    </row>
    <row r="157" spans="1:6">
      <c r="D157" s="3" t="s">
        <v>6</v>
      </c>
      <c r="E157" s="3" t="s">
        <v>47</v>
      </c>
      <c r="F157" s="4">
        <v>10</v>
      </c>
    </row>
    <row r="158" spans="1:6">
      <c r="D158" s="3" t="s">
        <v>18</v>
      </c>
      <c r="E158" s="3" t="s">
        <v>19</v>
      </c>
      <c r="F158" s="4">
        <v>1</v>
      </c>
    </row>
    <row r="159" spans="1:6">
      <c r="D159" s="3" t="s">
        <v>2153</v>
      </c>
      <c r="E159" s="3" t="s">
        <v>76</v>
      </c>
      <c r="F159" s="4">
        <v>2</v>
      </c>
    </row>
    <row r="160" spans="1:6">
      <c r="A160" s="3">
        <v>46</v>
      </c>
      <c r="B160" s="3" t="s">
        <v>2193</v>
      </c>
      <c r="C160" s="3" t="s">
        <v>2197</v>
      </c>
      <c r="D160" s="3" t="s">
        <v>18</v>
      </c>
      <c r="E160" s="3" t="s">
        <v>19</v>
      </c>
      <c r="F160" s="4">
        <v>13</v>
      </c>
    </row>
    <row r="161" spans="1:6">
      <c r="A161" s="3">
        <v>47</v>
      </c>
      <c r="B161" s="3" t="s">
        <v>2200</v>
      </c>
      <c r="C161" s="3" t="s">
        <v>2199</v>
      </c>
      <c r="D161" s="3" t="s">
        <v>957</v>
      </c>
      <c r="E161" s="3" t="s">
        <v>13</v>
      </c>
      <c r="F161" s="4">
        <v>1</v>
      </c>
    </row>
    <row r="162" spans="1:6">
      <c r="D162" s="3" t="s">
        <v>955</v>
      </c>
      <c r="E162" s="3" t="s">
        <v>13</v>
      </c>
      <c r="F162" s="4">
        <v>13</v>
      </c>
    </row>
    <row r="163" spans="1:6">
      <c r="A163" s="3">
        <v>48</v>
      </c>
      <c r="B163" s="3" t="s">
        <v>2221</v>
      </c>
      <c r="C163" s="3" t="s">
        <v>1213</v>
      </c>
      <c r="D163" s="3" t="s">
        <v>12</v>
      </c>
      <c r="E163" s="3" t="s">
        <v>13</v>
      </c>
      <c r="F163" s="4">
        <v>33</v>
      </c>
    </row>
    <row r="164" spans="1:6">
      <c r="D164" s="3" t="s">
        <v>84</v>
      </c>
      <c r="E164" s="3" t="s">
        <v>85</v>
      </c>
      <c r="F164" s="4">
        <v>4</v>
      </c>
    </row>
    <row r="165" spans="1:6">
      <c r="D165" s="3" t="s">
        <v>957</v>
      </c>
      <c r="E165" s="3" t="s">
        <v>13</v>
      </c>
      <c r="F165" s="4">
        <v>28</v>
      </c>
    </row>
    <row r="166" spans="1:6">
      <c r="D166" s="3" t="s">
        <v>955</v>
      </c>
      <c r="E166" s="3" t="s">
        <v>13</v>
      </c>
      <c r="F166" s="4">
        <v>140</v>
      </c>
    </row>
    <row r="167" spans="1:6">
      <c r="D167" s="3" t="s">
        <v>2227</v>
      </c>
      <c r="E167" s="3" t="s">
        <v>151</v>
      </c>
      <c r="F167" s="4">
        <v>13</v>
      </c>
    </row>
    <row r="168" spans="1:6">
      <c r="D168" s="3" t="s">
        <v>2685</v>
      </c>
      <c r="E168" s="3" t="s">
        <v>151</v>
      </c>
      <c r="F168" s="4">
        <v>7</v>
      </c>
    </row>
    <row r="169" spans="1:6">
      <c r="D169" s="3" t="s">
        <v>3775</v>
      </c>
      <c r="E169" s="3" t="s">
        <v>85</v>
      </c>
      <c r="F169" s="4">
        <v>1</v>
      </c>
    </row>
    <row r="170" spans="1:6">
      <c r="A170" s="3">
        <v>49</v>
      </c>
      <c r="B170" s="3" t="s">
        <v>2222</v>
      </c>
      <c r="C170" s="3" t="s">
        <v>1348</v>
      </c>
      <c r="D170" s="3" t="s">
        <v>6</v>
      </c>
      <c r="E170" s="3" t="s">
        <v>47</v>
      </c>
      <c r="F170" s="4">
        <v>166</v>
      </c>
    </row>
    <row r="171" spans="1:6">
      <c r="D171" s="3" t="s">
        <v>957</v>
      </c>
      <c r="E171" s="3" t="s">
        <v>13</v>
      </c>
      <c r="F171" s="4">
        <v>44</v>
      </c>
    </row>
    <row r="172" spans="1:6">
      <c r="D172" s="3" t="s">
        <v>2227</v>
      </c>
      <c r="E172" s="3" t="s">
        <v>151</v>
      </c>
      <c r="F172" s="4">
        <v>4</v>
      </c>
    </row>
    <row r="173" spans="1:6">
      <c r="D173" s="3" t="s">
        <v>3775</v>
      </c>
      <c r="E173" s="3" t="s">
        <v>85</v>
      </c>
      <c r="F173" s="4">
        <v>12</v>
      </c>
    </row>
    <row r="174" spans="1:6">
      <c r="A174" s="3">
        <v>50</v>
      </c>
      <c r="B174" s="3" t="s">
        <v>3761</v>
      </c>
      <c r="C174" s="3" t="s">
        <v>3513</v>
      </c>
      <c r="D174" s="3" t="s">
        <v>9</v>
      </c>
      <c r="E174" s="3" t="s">
        <v>10</v>
      </c>
      <c r="F174" s="4">
        <v>2</v>
      </c>
    </row>
    <row r="175" spans="1:6">
      <c r="D175" s="3" t="s">
        <v>18</v>
      </c>
      <c r="E175" s="3" t="s">
        <v>19</v>
      </c>
      <c r="F175" s="4">
        <v>2</v>
      </c>
    </row>
    <row r="176" spans="1:6">
      <c r="D176" s="3" t="s">
        <v>84</v>
      </c>
      <c r="E176" s="3" t="s">
        <v>85</v>
      </c>
      <c r="F176" s="4">
        <v>3</v>
      </c>
    </row>
    <row r="177" spans="1:6">
      <c r="D177" s="3" t="s">
        <v>156</v>
      </c>
      <c r="E177" s="3" t="s">
        <v>151</v>
      </c>
      <c r="F177" s="4">
        <v>1</v>
      </c>
    </row>
    <row r="178" spans="1:6">
      <c r="D178" s="3" t="s">
        <v>955</v>
      </c>
      <c r="E178" s="3" t="s">
        <v>13</v>
      </c>
      <c r="F178" s="4">
        <v>2</v>
      </c>
    </row>
    <row r="179" spans="1:6">
      <c r="A179" s="3">
        <v>52</v>
      </c>
      <c r="B179" s="3" t="s">
        <v>3142</v>
      </c>
      <c r="C179" s="3" t="s">
        <v>1176</v>
      </c>
      <c r="D179" s="3" t="s">
        <v>12</v>
      </c>
      <c r="E179" s="3" t="s">
        <v>13</v>
      </c>
      <c r="F179" s="4">
        <v>1</v>
      </c>
    </row>
    <row r="180" spans="1:6">
      <c r="D180" s="3" t="s">
        <v>957</v>
      </c>
      <c r="E180" s="3" t="s">
        <v>13</v>
      </c>
      <c r="F180" s="36">
        <v>29</v>
      </c>
    </row>
    <row r="181" spans="1:6">
      <c r="D181" s="3" t="s">
        <v>3436</v>
      </c>
      <c r="E181" s="3" t="s">
        <v>13</v>
      </c>
      <c r="F181" s="36">
        <v>6</v>
      </c>
    </row>
    <row r="182" spans="1:6">
      <c r="D182" s="3" t="s">
        <v>3504</v>
      </c>
      <c r="E182" s="3" t="s">
        <v>13</v>
      </c>
      <c r="F182" s="36">
        <v>15</v>
      </c>
    </row>
    <row r="183" spans="1:6">
      <c r="D183" s="3" t="s">
        <v>3509</v>
      </c>
      <c r="E183" s="3" t="s">
        <v>151</v>
      </c>
      <c r="F183" s="36">
        <v>1</v>
      </c>
    </row>
    <row r="184" spans="1:6">
      <c r="A184" s="3">
        <v>53</v>
      </c>
      <c r="B184" s="3" t="s">
        <v>3208</v>
      </c>
      <c r="C184" s="3" t="s">
        <v>3513</v>
      </c>
      <c r="D184" s="3" t="s">
        <v>6</v>
      </c>
      <c r="E184" s="3" t="s">
        <v>47</v>
      </c>
      <c r="F184" s="4">
        <v>45</v>
      </c>
    </row>
    <row r="185" spans="1:6">
      <c r="A185" s="3">
        <v>57</v>
      </c>
      <c r="B185" s="3" t="s">
        <v>3759</v>
      </c>
      <c r="C185" s="3" t="s">
        <v>556</v>
      </c>
      <c r="D185" s="3" t="s">
        <v>6</v>
      </c>
      <c r="E185" s="3" t="s">
        <v>47</v>
      </c>
      <c r="F185" s="4">
        <v>45</v>
      </c>
    </row>
    <row r="186" spans="1:6">
      <c r="A186" s="3" t="s">
        <v>74</v>
      </c>
      <c r="F186" s="4">
        <v>3721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2"/>
  <sheetViews>
    <sheetView topLeftCell="A527" workbookViewId="0">
      <selection activeCell="J583" sqref="J583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1" t="s">
        <v>0</v>
      </c>
      <c r="B1" s="32" t="s">
        <v>3826</v>
      </c>
      <c r="I1" s="8" t="s">
        <v>0</v>
      </c>
      <c r="J1" s="8" t="s">
        <v>149</v>
      </c>
    </row>
    <row r="2" spans="1:10">
      <c r="A2" s="33" t="s">
        <v>1256</v>
      </c>
      <c r="B2" s="35">
        <v>46230</v>
      </c>
      <c r="I2" s="11" t="s">
        <v>1590</v>
      </c>
      <c r="J2" s="7">
        <v>46248</v>
      </c>
    </row>
    <row r="3" spans="1:10">
      <c r="A3" s="34" t="s">
        <v>1247</v>
      </c>
      <c r="B3" s="35">
        <v>46230</v>
      </c>
      <c r="I3" s="11" t="s">
        <v>1593</v>
      </c>
      <c r="J3" s="7">
        <v>46248</v>
      </c>
    </row>
    <row r="4" spans="1:10">
      <c r="A4" s="33" t="s">
        <v>1256</v>
      </c>
      <c r="B4" s="35">
        <v>46248</v>
      </c>
      <c r="I4" s="11" t="s">
        <v>1595</v>
      </c>
      <c r="J4" s="7">
        <v>46105</v>
      </c>
    </row>
    <row r="5" spans="1:10">
      <c r="A5" s="34" t="s">
        <v>1247</v>
      </c>
      <c r="B5" s="35">
        <v>46248</v>
      </c>
      <c r="I5" s="11" t="s">
        <v>1596</v>
      </c>
      <c r="J5" s="7">
        <v>46105</v>
      </c>
    </row>
    <row r="6" spans="1:10">
      <c r="A6" s="33" t="s">
        <v>1700</v>
      </c>
      <c r="B6" s="35">
        <v>46248</v>
      </c>
      <c r="I6" s="11" t="s">
        <v>1597</v>
      </c>
      <c r="J6" s="7">
        <v>46248</v>
      </c>
    </row>
    <row r="7" spans="1:10">
      <c r="A7" s="34" t="s">
        <v>1979</v>
      </c>
      <c r="B7" s="35">
        <v>46248</v>
      </c>
      <c r="I7" s="11" t="s">
        <v>1598</v>
      </c>
      <c r="J7" s="7">
        <v>46105</v>
      </c>
    </row>
    <row r="8" spans="1:10">
      <c r="A8" s="33" t="s">
        <v>1943</v>
      </c>
      <c r="B8" s="35">
        <v>46248</v>
      </c>
      <c r="I8" s="11" t="s">
        <v>1599</v>
      </c>
      <c r="J8" s="7">
        <v>46156</v>
      </c>
    </row>
    <row r="9" spans="1:10">
      <c r="A9" s="34" t="s">
        <v>1974</v>
      </c>
      <c r="B9" s="35">
        <v>46248</v>
      </c>
      <c r="I9" s="11" t="s">
        <v>1602</v>
      </c>
      <c r="J9" s="7">
        <v>46248</v>
      </c>
    </row>
    <row r="10" spans="1:10">
      <c r="A10" s="33" t="s">
        <v>1894</v>
      </c>
      <c r="B10" s="35">
        <v>46248</v>
      </c>
      <c r="I10" s="11" t="s">
        <v>1605</v>
      </c>
      <c r="J10" s="7">
        <v>46097</v>
      </c>
    </row>
    <row r="11" spans="1:10">
      <c r="A11" s="34" t="s">
        <v>1999</v>
      </c>
      <c r="B11" s="35">
        <v>46248</v>
      </c>
      <c r="I11" s="11" t="s">
        <v>1606</v>
      </c>
      <c r="J11" s="7">
        <v>46248</v>
      </c>
    </row>
    <row r="12" spans="1:10">
      <c r="A12" s="33" t="s">
        <v>1993</v>
      </c>
      <c r="B12" s="35">
        <v>46248</v>
      </c>
      <c r="I12" s="11" t="s">
        <v>1609</v>
      </c>
      <c r="J12" s="7">
        <v>46128</v>
      </c>
    </row>
    <row r="13" spans="1:10">
      <c r="A13" s="34" t="s">
        <v>1978</v>
      </c>
      <c r="B13" s="35">
        <v>46248</v>
      </c>
      <c r="I13" s="11" t="s">
        <v>1610</v>
      </c>
      <c r="J13" s="7">
        <v>46248</v>
      </c>
    </row>
    <row r="14" spans="1:10">
      <c r="A14" s="33" t="s">
        <v>1870</v>
      </c>
      <c r="B14" s="35">
        <v>46248</v>
      </c>
      <c r="I14" s="11" t="s">
        <v>1611</v>
      </c>
      <c r="J14" s="7">
        <v>46248</v>
      </c>
    </row>
    <row r="15" spans="1:10">
      <c r="A15" s="34" t="s">
        <v>1921</v>
      </c>
      <c r="B15" s="35">
        <v>46248</v>
      </c>
      <c r="I15" s="11" t="s">
        <v>1612</v>
      </c>
      <c r="J15" s="7">
        <v>46248</v>
      </c>
    </row>
    <row r="16" spans="1:10">
      <c r="A16" s="33" t="s">
        <v>1868</v>
      </c>
      <c r="B16" s="35">
        <v>46248</v>
      </c>
      <c r="I16" s="11" t="s">
        <v>1613</v>
      </c>
      <c r="J16" s="7">
        <v>46248</v>
      </c>
    </row>
    <row r="17" spans="1:10">
      <c r="A17" s="34" t="s">
        <v>1898</v>
      </c>
      <c r="B17" s="35">
        <v>46248</v>
      </c>
      <c r="I17" s="11" t="s">
        <v>1615</v>
      </c>
      <c r="J17" s="7">
        <v>46248</v>
      </c>
    </row>
    <row r="18" spans="1:10">
      <c r="A18" s="33" t="s">
        <v>1873</v>
      </c>
      <c r="B18" s="35">
        <v>46248</v>
      </c>
      <c r="I18" s="11" t="s">
        <v>1616</v>
      </c>
      <c r="J18" s="7">
        <v>46097</v>
      </c>
    </row>
    <row r="19" spans="1:10">
      <c r="A19" s="34" t="s">
        <v>1986</v>
      </c>
      <c r="B19" s="35">
        <v>46248</v>
      </c>
      <c r="I19" s="11" t="s">
        <v>1617</v>
      </c>
      <c r="J19" s="7">
        <v>46105</v>
      </c>
    </row>
    <row r="20" spans="1:10">
      <c r="A20" s="33" t="s">
        <v>1913</v>
      </c>
      <c r="B20" s="35">
        <v>46248</v>
      </c>
      <c r="I20" s="11" t="s">
        <v>1618</v>
      </c>
      <c r="J20" s="7">
        <v>46112</v>
      </c>
    </row>
    <row r="21" spans="1:10">
      <c r="A21" s="34" t="s">
        <v>1733</v>
      </c>
      <c r="B21" s="35">
        <v>46248</v>
      </c>
      <c r="I21" s="11" t="s">
        <v>1620</v>
      </c>
      <c r="J21" s="7">
        <v>46248</v>
      </c>
    </row>
    <row r="22" spans="1:10">
      <c r="A22" s="33" t="s">
        <v>1941</v>
      </c>
      <c r="B22" s="35">
        <v>46248</v>
      </c>
      <c r="I22" s="11" t="s">
        <v>1621</v>
      </c>
      <c r="J22" s="7">
        <v>46105</v>
      </c>
    </row>
    <row r="23" spans="1:10">
      <c r="A23" s="34" t="s">
        <v>1902</v>
      </c>
      <c r="B23" s="35">
        <v>46248</v>
      </c>
      <c r="I23" s="11" t="s">
        <v>1622</v>
      </c>
      <c r="J23" s="7">
        <v>46248</v>
      </c>
    </row>
    <row r="24" spans="1:10">
      <c r="A24" s="33" t="s">
        <v>1977</v>
      </c>
      <c r="B24" s="35">
        <v>46248</v>
      </c>
      <c r="I24" s="11" t="s">
        <v>1623</v>
      </c>
      <c r="J24" s="7">
        <v>46248</v>
      </c>
    </row>
    <row r="25" spans="1:10">
      <c r="A25" s="34" t="s">
        <v>1987</v>
      </c>
      <c r="B25" s="35">
        <v>46248</v>
      </c>
      <c r="I25" s="11" t="s">
        <v>1625</v>
      </c>
      <c r="J25" s="7">
        <v>46097</v>
      </c>
    </row>
    <row r="26" spans="1:10">
      <c r="A26" s="33" t="s">
        <v>1997</v>
      </c>
      <c r="B26" s="35">
        <v>46248</v>
      </c>
      <c r="I26" s="11" t="s">
        <v>1634</v>
      </c>
      <c r="J26" s="7">
        <v>46112</v>
      </c>
    </row>
    <row r="27" spans="1:10">
      <c r="A27" s="34" t="s">
        <v>1734</v>
      </c>
      <c r="B27" s="35">
        <v>46248</v>
      </c>
      <c r="I27" s="11" t="s">
        <v>1638</v>
      </c>
      <c r="J27" s="7">
        <v>46112</v>
      </c>
    </row>
    <row r="28" spans="1:10">
      <c r="A28" s="33" t="s">
        <v>1996</v>
      </c>
      <c r="B28" s="35">
        <v>46248</v>
      </c>
      <c r="I28" s="11" t="s">
        <v>1639</v>
      </c>
      <c r="J28" s="7">
        <v>46248</v>
      </c>
    </row>
    <row r="29" spans="1:10">
      <c r="A29" s="34" t="s">
        <v>1696</v>
      </c>
      <c r="B29" s="35">
        <v>46248</v>
      </c>
      <c r="I29" s="11" t="s">
        <v>1641</v>
      </c>
      <c r="J29" s="7">
        <v>46248</v>
      </c>
    </row>
    <row r="30" spans="1:10">
      <c r="A30" s="33" t="s">
        <v>1688</v>
      </c>
      <c r="B30" s="35">
        <v>46248</v>
      </c>
      <c r="I30" s="11" t="s">
        <v>1642</v>
      </c>
      <c r="J30" s="7">
        <v>46248</v>
      </c>
    </row>
    <row r="31" spans="1:10">
      <c r="A31" s="34" t="s">
        <v>1663</v>
      </c>
      <c r="B31" s="35">
        <v>46248</v>
      </c>
      <c r="I31" s="11" t="s">
        <v>1649</v>
      </c>
      <c r="J31" s="7">
        <v>46097</v>
      </c>
    </row>
    <row r="32" spans="1:10">
      <c r="A32" s="33" t="s">
        <v>1985</v>
      </c>
      <c r="B32" s="35">
        <v>46248</v>
      </c>
      <c r="I32" s="11" t="s">
        <v>1650</v>
      </c>
      <c r="J32" s="7">
        <v>46112</v>
      </c>
    </row>
    <row r="33" spans="1:10">
      <c r="A33" s="34" t="s">
        <v>1664</v>
      </c>
      <c r="B33" s="35">
        <v>46248</v>
      </c>
      <c r="I33" s="11" t="s">
        <v>1654</v>
      </c>
      <c r="J33" s="7">
        <v>46128</v>
      </c>
    </row>
    <row r="34" spans="1:10">
      <c r="A34" s="33" t="s">
        <v>1906</v>
      </c>
      <c r="B34" s="35">
        <v>46248</v>
      </c>
      <c r="I34" s="11" t="s">
        <v>1659</v>
      </c>
      <c r="J34" s="7">
        <v>46248</v>
      </c>
    </row>
    <row r="35" spans="1:10">
      <c r="A35" s="34" t="s">
        <v>1980</v>
      </c>
      <c r="B35" s="35">
        <v>46248</v>
      </c>
      <c r="I35" s="11" t="s">
        <v>1663</v>
      </c>
      <c r="J35" s="7">
        <v>46248</v>
      </c>
    </row>
    <row r="36" spans="1:10">
      <c r="A36" s="33" t="s">
        <v>1991</v>
      </c>
      <c r="B36" s="35">
        <v>46248</v>
      </c>
      <c r="I36" s="11" t="s">
        <v>1664</v>
      </c>
      <c r="J36" s="7">
        <v>46248</v>
      </c>
    </row>
    <row r="37" spans="1:10">
      <c r="A37" s="34" t="s">
        <v>1981</v>
      </c>
      <c r="B37" s="35">
        <v>46248</v>
      </c>
      <c r="I37" s="11" t="s">
        <v>1666</v>
      </c>
      <c r="J37" s="7">
        <v>46248</v>
      </c>
    </row>
    <row r="38" spans="1:10">
      <c r="A38" s="33" t="s">
        <v>1982</v>
      </c>
      <c r="B38" s="35">
        <v>46248</v>
      </c>
      <c r="I38" s="11" t="s">
        <v>1667</v>
      </c>
      <c r="J38" s="7">
        <v>46248</v>
      </c>
    </row>
    <row r="39" spans="1:10">
      <c r="A39" s="34" t="s">
        <v>1992</v>
      </c>
      <c r="B39" s="35">
        <v>46248</v>
      </c>
      <c r="I39" s="11" t="s">
        <v>1669</v>
      </c>
      <c r="J39" s="7">
        <v>46248</v>
      </c>
    </row>
    <row r="40" spans="1:10">
      <c r="A40" s="33" t="s">
        <v>1684</v>
      </c>
      <c r="B40" s="35">
        <v>46248</v>
      </c>
      <c r="I40" s="11" t="s">
        <v>1674</v>
      </c>
      <c r="J40" s="7">
        <v>46097</v>
      </c>
    </row>
    <row r="41" spans="1:10">
      <c r="A41" s="34" t="s">
        <v>1984</v>
      </c>
      <c r="B41" s="35">
        <v>46248</v>
      </c>
      <c r="I41" s="11" t="s">
        <v>1676</v>
      </c>
      <c r="J41" s="7">
        <v>46097</v>
      </c>
    </row>
    <row r="42" spans="1:10">
      <c r="A42" s="33" t="s">
        <v>1907</v>
      </c>
      <c r="B42" s="35">
        <v>46248</v>
      </c>
      <c r="I42" s="11" t="s">
        <v>1677</v>
      </c>
      <c r="J42" s="7">
        <v>46097</v>
      </c>
    </row>
    <row r="43" spans="1:10">
      <c r="A43" s="34" t="s">
        <v>1976</v>
      </c>
      <c r="B43" s="35">
        <v>46248</v>
      </c>
      <c r="I43" s="11" t="s">
        <v>1678</v>
      </c>
      <c r="J43" s="7">
        <v>46169</v>
      </c>
    </row>
    <row r="44" spans="1:10">
      <c r="A44" s="33" t="s">
        <v>1679</v>
      </c>
      <c r="B44" s="35">
        <v>46248</v>
      </c>
      <c r="I44" s="11" t="s">
        <v>1679</v>
      </c>
      <c r="J44" s="7">
        <v>46248</v>
      </c>
    </row>
    <row r="45" spans="1:10">
      <c r="A45" s="34" t="s">
        <v>1871</v>
      </c>
      <c r="B45" s="35">
        <v>46248</v>
      </c>
      <c r="I45" s="11" t="s">
        <v>1681</v>
      </c>
      <c r="J45" s="7">
        <v>46248</v>
      </c>
    </row>
    <row r="46" spans="1:10">
      <c r="A46" s="33" t="s">
        <v>1880</v>
      </c>
      <c r="B46" s="35">
        <v>46248</v>
      </c>
      <c r="I46" s="11" t="s">
        <v>1682</v>
      </c>
      <c r="J46" s="7">
        <v>46248</v>
      </c>
    </row>
    <row r="47" spans="1:10">
      <c r="A47" s="34" t="s">
        <v>1971</v>
      </c>
      <c r="B47" s="35">
        <v>46248</v>
      </c>
      <c r="I47" s="11" t="s">
        <v>1684</v>
      </c>
      <c r="J47" s="7">
        <v>46248</v>
      </c>
    </row>
    <row r="48" spans="1:10">
      <c r="A48" s="33" t="s">
        <v>1730</v>
      </c>
      <c r="B48" s="35">
        <v>46248</v>
      </c>
      <c r="I48" s="11" t="s">
        <v>1686</v>
      </c>
      <c r="J48" s="7">
        <v>46097</v>
      </c>
    </row>
    <row r="49" spans="1:10">
      <c r="A49" s="34" t="s">
        <v>1709</v>
      </c>
      <c r="B49" s="35">
        <v>46248</v>
      </c>
      <c r="I49" s="11" t="s">
        <v>1687</v>
      </c>
      <c r="J49" s="7">
        <v>46097</v>
      </c>
    </row>
    <row r="50" spans="1:10">
      <c r="A50" s="33" t="s">
        <v>1875</v>
      </c>
      <c r="B50" s="35">
        <v>46248</v>
      </c>
      <c r="I50" s="11" t="s">
        <v>1688</v>
      </c>
      <c r="J50" s="7">
        <v>46248</v>
      </c>
    </row>
    <row r="51" spans="1:10">
      <c r="A51" s="34" t="s">
        <v>1965</v>
      </c>
      <c r="B51" s="35">
        <v>46248</v>
      </c>
      <c r="I51" s="11" t="s">
        <v>1689</v>
      </c>
      <c r="J51" s="7">
        <v>46248</v>
      </c>
    </row>
    <row r="52" spans="1:10">
      <c r="A52" s="33" t="s">
        <v>1944</v>
      </c>
      <c r="B52" s="35">
        <v>46248</v>
      </c>
      <c r="I52" s="11" t="s">
        <v>1690</v>
      </c>
      <c r="J52" s="7">
        <v>46248</v>
      </c>
    </row>
    <row r="53" spans="1:10">
      <c r="A53" s="34" t="s">
        <v>1710</v>
      </c>
      <c r="B53" s="35">
        <v>46248</v>
      </c>
      <c r="I53" s="11" t="s">
        <v>1691</v>
      </c>
      <c r="J53" s="7">
        <v>46169</v>
      </c>
    </row>
    <row r="54" spans="1:10">
      <c r="A54" s="33" t="s">
        <v>1666</v>
      </c>
      <c r="B54" s="35">
        <v>46248</v>
      </c>
      <c r="I54" s="11" t="s">
        <v>1693</v>
      </c>
      <c r="J54" s="7">
        <v>46248</v>
      </c>
    </row>
    <row r="55" spans="1:10">
      <c r="A55" s="34" t="s">
        <v>1724</v>
      </c>
      <c r="B55" s="35">
        <v>46248</v>
      </c>
      <c r="I55" s="11" t="s">
        <v>1694</v>
      </c>
      <c r="J55" s="7">
        <v>46248</v>
      </c>
    </row>
    <row r="56" spans="1:10">
      <c r="A56" s="33" t="s">
        <v>1690</v>
      </c>
      <c r="B56" s="35">
        <v>46248</v>
      </c>
      <c r="I56" s="11" t="s">
        <v>1696</v>
      </c>
      <c r="J56" s="7">
        <v>46248</v>
      </c>
    </row>
    <row r="57" spans="1:10">
      <c r="A57" s="34" t="s">
        <v>1682</v>
      </c>
      <c r="B57" s="35">
        <v>46248</v>
      </c>
      <c r="I57" s="11" t="s">
        <v>1698</v>
      </c>
      <c r="J57" s="7">
        <v>46169</v>
      </c>
    </row>
    <row r="58" spans="1:10">
      <c r="A58" s="33" t="s">
        <v>1892</v>
      </c>
      <c r="B58" s="35">
        <v>46248</v>
      </c>
      <c r="I58" s="11" t="s">
        <v>1699</v>
      </c>
      <c r="J58" s="7">
        <v>46248</v>
      </c>
    </row>
    <row r="59" spans="1:10">
      <c r="A59" s="34" t="s">
        <v>1885</v>
      </c>
      <c r="B59" s="35">
        <v>46248</v>
      </c>
      <c r="I59" s="11" t="s">
        <v>1700</v>
      </c>
      <c r="J59" s="7">
        <v>46248</v>
      </c>
    </row>
    <row r="60" spans="1:10">
      <c r="A60" s="33" t="s">
        <v>1967</v>
      </c>
      <c r="B60" s="35">
        <v>46248</v>
      </c>
      <c r="I60" s="11" t="s">
        <v>1701</v>
      </c>
      <c r="J60" s="7">
        <v>46156</v>
      </c>
    </row>
    <row r="61" spans="1:10">
      <c r="A61" s="34" t="s">
        <v>1975</v>
      </c>
      <c r="B61" s="35">
        <v>46248</v>
      </c>
      <c r="I61" s="11" t="s">
        <v>1706</v>
      </c>
      <c r="J61" s="7">
        <v>46248</v>
      </c>
    </row>
    <row r="62" spans="1:10">
      <c r="A62" s="33" t="s">
        <v>1983</v>
      </c>
      <c r="B62" s="35">
        <v>46248</v>
      </c>
      <c r="I62" s="11" t="s">
        <v>1709</v>
      </c>
      <c r="J62" s="7">
        <v>46248</v>
      </c>
    </row>
    <row r="63" spans="1:10">
      <c r="A63" s="34" t="s">
        <v>1994</v>
      </c>
      <c r="B63" s="35">
        <v>46248</v>
      </c>
      <c r="I63" s="11" t="s">
        <v>1710</v>
      </c>
      <c r="J63" s="7">
        <v>46248</v>
      </c>
    </row>
    <row r="64" spans="1:10">
      <c r="A64" s="33" t="s">
        <v>1890</v>
      </c>
      <c r="B64" s="35">
        <v>46248</v>
      </c>
      <c r="I64" s="11" t="s">
        <v>1712</v>
      </c>
      <c r="J64" s="7">
        <v>46248</v>
      </c>
    </row>
    <row r="65" spans="1:10">
      <c r="A65" s="34" t="s">
        <v>1874</v>
      </c>
      <c r="B65" s="35">
        <v>46248</v>
      </c>
      <c r="I65" s="11" t="s">
        <v>1713</v>
      </c>
      <c r="J65" s="7">
        <v>46248</v>
      </c>
    </row>
    <row r="66" spans="1:10">
      <c r="A66" s="33" t="s">
        <v>1681</v>
      </c>
      <c r="B66" s="35">
        <v>46248</v>
      </c>
      <c r="I66" s="11" t="s">
        <v>1715</v>
      </c>
      <c r="J66" s="7">
        <v>46112</v>
      </c>
    </row>
    <row r="67" spans="1:10">
      <c r="A67" s="34" t="s">
        <v>1699</v>
      </c>
      <c r="B67" s="35">
        <v>46248</v>
      </c>
      <c r="I67" s="11" t="s">
        <v>1716</v>
      </c>
      <c r="J67" s="7">
        <v>46248</v>
      </c>
    </row>
    <row r="68" spans="1:10">
      <c r="A68" s="33" t="s">
        <v>1961</v>
      </c>
      <c r="B68" s="35">
        <v>46248</v>
      </c>
      <c r="I68" s="11" t="s">
        <v>1719</v>
      </c>
      <c r="J68" s="7">
        <v>46112</v>
      </c>
    </row>
    <row r="69" spans="1:10">
      <c r="A69" s="34" t="s">
        <v>1893</v>
      </c>
      <c r="B69" s="35">
        <v>46248</v>
      </c>
      <c r="I69" s="11" t="s">
        <v>1721</v>
      </c>
      <c r="J69" s="7">
        <v>46169</v>
      </c>
    </row>
    <row r="70" spans="1:10">
      <c r="A70" s="33" t="s">
        <v>1693</v>
      </c>
      <c r="B70" s="35">
        <v>46248</v>
      </c>
      <c r="I70" s="11" t="s">
        <v>1722</v>
      </c>
      <c r="J70" s="7">
        <v>46254</v>
      </c>
    </row>
    <row r="71" spans="1:10">
      <c r="A71" s="34" t="s">
        <v>1995</v>
      </c>
      <c r="B71" s="35">
        <v>46248</v>
      </c>
      <c r="I71" s="11" t="s">
        <v>1723</v>
      </c>
      <c r="J71" s="7">
        <v>46248</v>
      </c>
    </row>
    <row r="72" spans="1:10">
      <c r="A72" s="33" t="s">
        <v>1954</v>
      </c>
      <c r="B72" s="35">
        <v>46248</v>
      </c>
      <c r="I72" s="11" t="s">
        <v>1724</v>
      </c>
      <c r="J72" s="7">
        <v>46248</v>
      </c>
    </row>
    <row r="73" spans="1:10">
      <c r="A73" s="34" t="s">
        <v>1963</v>
      </c>
      <c r="B73" s="35">
        <v>46248</v>
      </c>
      <c r="I73" s="11" t="s">
        <v>1725</v>
      </c>
      <c r="J73" s="7">
        <v>46248</v>
      </c>
    </row>
    <row r="74" spans="1:10">
      <c r="A74" s="33" t="s">
        <v>1725</v>
      </c>
      <c r="B74" s="35">
        <v>46248</v>
      </c>
      <c r="I74" s="11" t="s">
        <v>1727</v>
      </c>
      <c r="J74" s="7">
        <v>46169</v>
      </c>
    </row>
    <row r="75" spans="1:10">
      <c r="A75" s="34" t="s">
        <v>1706</v>
      </c>
      <c r="B75" s="35">
        <v>46248</v>
      </c>
      <c r="I75" s="11" t="s">
        <v>1729</v>
      </c>
      <c r="J75" s="7">
        <v>46112</v>
      </c>
    </row>
    <row r="76" spans="1:10">
      <c r="A76" s="33" t="s">
        <v>1669</v>
      </c>
      <c r="B76" s="35">
        <v>46248</v>
      </c>
      <c r="I76" s="11" t="s">
        <v>1730</v>
      </c>
      <c r="J76" s="7">
        <v>46248</v>
      </c>
    </row>
    <row r="77" spans="1:10">
      <c r="A77" s="34" t="s">
        <v>1959</v>
      </c>
      <c r="B77" s="35">
        <v>46248</v>
      </c>
      <c r="I77" s="11" t="s">
        <v>1731</v>
      </c>
      <c r="J77" s="7">
        <v>46156</v>
      </c>
    </row>
    <row r="78" spans="1:10">
      <c r="A78" s="33" t="s">
        <v>1943</v>
      </c>
      <c r="B78" s="35">
        <v>46248</v>
      </c>
      <c r="I78" s="11" t="s">
        <v>1732</v>
      </c>
      <c r="J78" s="7">
        <v>46112</v>
      </c>
    </row>
    <row r="79" spans="1:10">
      <c r="A79" s="34" t="s">
        <v>1701</v>
      </c>
      <c r="B79" s="35">
        <v>46248</v>
      </c>
      <c r="I79" s="11" t="s">
        <v>1733</v>
      </c>
      <c r="J79" s="7">
        <v>46248</v>
      </c>
    </row>
    <row r="80" spans="1:10">
      <c r="A80" s="33" t="s">
        <v>1912</v>
      </c>
      <c r="B80" s="35">
        <v>46248</v>
      </c>
      <c r="I80" s="11" t="s">
        <v>1734</v>
      </c>
      <c r="J80" s="7">
        <v>46248</v>
      </c>
    </row>
    <row r="81" spans="1:10">
      <c r="A81" s="34" t="s">
        <v>1729</v>
      </c>
      <c r="B81" s="35">
        <v>46248</v>
      </c>
      <c r="I81" s="11" t="s">
        <v>1736</v>
      </c>
      <c r="J81" s="7">
        <v>46254</v>
      </c>
    </row>
    <row r="82" spans="1:10">
      <c r="A82" s="33" t="s">
        <v>1713</v>
      </c>
      <c r="B82" s="35">
        <v>46248</v>
      </c>
      <c r="I82" s="11" t="s">
        <v>1741</v>
      </c>
      <c r="J82" s="7">
        <v>46254</v>
      </c>
    </row>
    <row r="83" spans="1:10">
      <c r="A83" s="34" t="s">
        <v>1667</v>
      </c>
      <c r="B83" s="35">
        <v>46248</v>
      </c>
      <c r="I83" s="11" t="s">
        <v>1742</v>
      </c>
      <c r="J83" s="7">
        <v>46254</v>
      </c>
    </row>
    <row r="84" spans="1:10">
      <c r="A84" s="33" t="s">
        <v>1712</v>
      </c>
      <c r="B84" s="35">
        <v>46248</v>
      </c>
      <c r="I84" s="11" t="s">
        <v>1747</v>
      </c>
      <c r="J84" s="7">
        <v>46248</v>
      </c>
    </row>
    <row r="85" spans="1:10">
      <c r="A85" s="34" t="s">
        <v>1723</v>
      </c>
      <c r="B85" s="35">
        <v>46248</v>
      </c>
      <c r="I85" s="11" t="s">
        <v>1748</v>
      </c>
      <c r="J85" s="7">
        <v>46248</v>
      </c>
    </row>
    <row r="86" spans="1:10">
      <c r="A86" s="33" t="s">
        <v>1689</v>
      </c>
      <c r="B86" s="35">
        <v>46248</v>
      </c>
      <c r="I86" s="11" t="s">
        <v>1749</v>
      </c>
      <c r="J86" s="7">
        <v>46248</v>
      </c>
    </row>
    <row r="87" spans="1:10">
      <c r="A87" s="34" t="s">
        <v>1716</v>
      </c>
      <c r="B87" s="35">
        <v>46248</v>
      </c>
      <c r="I87" s="11" t="s">
        <v>1752</v>
      </c>
      <c r="J87" s="7">
        <v>46254</v>
      </c>
    </row>
    <row r="88" spans="1:10">
      <c r="A88" s="33" t="s">
        <v>1908</v>
      </c>
      <c r="B88" s="35">
        <v>46248</v>
      </c>
      <c r="I88" s="11" t="s">
        <v>1754</v>
      </c>
      <c r="J88" s="7">
        <v>46254</v>
      </c>
    </row>
    <row r="89" spans="1:10">
      <c r="A89" s="34" t="s">
        <v>1931</v>
      </c>
      <c r="B89" s="35">
        <v>46248</v>
      </c>
      <c r="I89" s="11" t="s">
        <v>1755</v>
      </c>
      <c r="J89" s="7">
        <v>46254</v>
      </c>
    </row>
    <row r="90" spans="1:10">
      <c r="A90" s="33" t="s">
        <v>1966</v>
      </c>
      <c r="B90" s="35">
        <v>46248</v>
      </c>
      <c r="I90" s="11" t="s">
        <v>1756</v>
      </c>
      <c r="J90" s="7">
        <v>46248</v>
      </c>
    </row>
    <row r="91" spans="1:10">
      <c r="A91" s="34" t="s">
        <v>1882</v>
      </c>
      <c r="B91" s="35">
        <v>46248</v>
      </c>
      <c r="I91" s="11" t="s">
        <v>1757</v>
      </c>
      <c r="J91" s="7">
        <v>46156</v>
      </c>
    </row>
    <row r="92" spans="1:10">
      <c r="A92" s="33" t="s">
        <v>1989</v>
      </c>
      <c r="B92" s="35">
        <v>46248</v>
      </c>
      <c r="I92" s="11" t="s">
        <v>1758</v>
      </c>
      <c r="J92" s="7">
        <v>46248</v>
      </c>
    </row>
    <row r="93" spans="1:10">
      <c r="A93" s="34" t="s">
        <v>1947</v>
      </c>
      <c r="B93" s="35">
        <v>46248</v>
      </c>
      <c r="I93" s="11" t="s">
        <v>1759</v>
      </c>
      <c r="J93" s="7">
        <v>46248</v>
      </c>
    </row>
    <row r="94" spans="1:10">
      <c r="A94" s="33" t="s">
        <v>1912</v>
      </c>
      <c r="B94" s="35">
        <v>46248</v>
      </c>
      <c r="I94" s="11" t="s">
        <v>1760</v>
      </c>
      <c r="J94" s="7">
        <v>46248</v>
      </c>
    </row>
    <row r="95" spans="1:10">
      <c r="A95" s="34" t="s">
        <v>1622</v>
      </c>
      <c r="B95" s="35">
        <v>46248</v>
      </c>
      <c r="I95" s="11" t="s">
        <v>1761</v>
      </c>
      <c r="J95" s="7">
        <v>46248</v>
      </c>
    </row>
    <row r="96" spans="1:10">
      <c r="A96" s="33" t="s">
        <v>1602</v>
      </c>
      <c r="B96" s="35">
        <v>46248</v>
      </c>
      <c r="I96" s="11" t="s">
        <v>1762</v>
      </c>
      <c r="J96" s="7">
        <v>46248</v>
      </c>
    </row>
    <row r="97" spans="1:10">
      <c r="A97" s="34" t="s">
        <v>1593</v>
      </c>
      <c r="B97" s="35">
        <v>46248</v>
      </c>
      <c r="I97" s="11" t="s">
        <v>1764</v>
      </c>
      <c r="J97" s="7">
        <v>46248</v>
      </c>
    </row>
    <row r="98" spans="1:10">
      <c r="A98" s="33" t="s">
        <v>1639</v>
      </c>
      <c r="B98" s="35">
        <v>46248</v>
      </c>
      <c r="I98" s="11" t="s">
        <v>1765</v>
      </c>
      <c r="J98" s="7">
        <v>46248</v>
      </c>
    </row>
    <row r="99" spans="1:10">
      <c r="A99" s="34" t="s">
        <v>1840</v>
      </c>
      <c r="B99" s="35">
        <v>46248</v>
      </c>
      <c r="I99" s="11" t="s">
        <v>1766</v>
      </c>
      <c r="J99" s="7">
        <v>46254</v>
      </c>
    </row>
    <row r="100" spans="1:10">
      <c r="A100" s="33" t="s">
        <v>1790</v>
      </c>
      <c r="B100" s="35">
        <v>46248</v>
      </c>
      <c r="I100" s="11" t="s">
        <v>1767</v>
      </c>
      <c r="J100" s="7">
        <v>46248</v>
      </c>
    </row>
    <row r="101" spans="1:10">
      <c r="A101" s="34" t="s">
        <v>1857</v>
      </c>
      <c r="B101" s="35">
        <v>46248</v>
      </c>
      <c r="I101" s="11" t="s">
        <v>1768</v>
      </c>
      <c r="J101" s="7">
        <v>46248</v>
      </c>
    </row>
    <row r="102" spans="1:10">
      <c r="A102" s="33" t="s">
        <v>1777</v>
      </c>
      <c r="B102" s="35">
        <v>46248</v>
      </c>
      <c r="I102" s="11" t="s">
        <v>1769</v>
      </c>
      <c r="J102" s="7">
        <v>46248</v>
      </c>
    </row>
    <row r="103" spans="1:10">
      <c r="A103" s="34" t="s">
        <v>1769</v>
      </c>
      <c r="B103" s="35">
        <v>46248</v>
      </c>
      <c r="I103" s="11" t="s">
        <v>1770</v>
      </c>
      <c r="J103" s="7">
        <v>46248</v>
      </c>
    </row>
    <row r="104" spans="1:10">
      <c r="A104" s="33" t="s">
        <v>1781</v>
      </c>
      <c r="B104" s="35">
        <v>46248</v>
      </c>
      <c r="I104" s="11" t="s">
        <v>1771</v>
      </c>
      <c r="J104" s="7">
        <v>46248</v>
      </c>
    </row>
    <row r="105" spans="1:10">
      <c r="A105" s="34" t="s">
        <v>1786</v>
      </c>
      <c r="B105" s="35">
        <v>46248</v>
      </c>
      <c r="I105" s="11" t="s">
        <v>1772</v>
      </c>
      <c r="J105" s="7">
        <v>46248</v>
      </c>
    </row>
    <row r="106" spans="1:10">
      <c r="A106" s="33" t="s">
        <v>1771</v>
      </c>
      <c r="B106" s="35">
        <v>46248</v>
      </c>
      <c r="I106" s="11" t="s">
        <v>1776</v>
      </c>
      <c r="J106" s="7">
        <v>46169</v>
      </c>
    </row>
    <row r="107" spans="1:10">
      <c r="A107" s="34" t="s">
        <v>1815</v>
      </c>
      <c r="B107" s="35">
        <v>46248</v>
      </c>
      <c r="I107" s="11" t="s">
        <v>1777</v>
      </c>
      <c r="J107" s="7">
        <v>46248</v>
      </c>
    </row>
    <row r="108" spans="1:10">
      <c r="A108" s="33" t="s">
        <v>1694</v>
      </c>
      <c r="B108" s="35">
        <v>46248</v>
      </c>
      <c r="I108" s="11" t="s">
        <v>1778</v>
      </c>
      <c r="J108" s="7">
        <v>46248</v>
      </c>
    </row>
    <row r="109" spans="1:10">
      <c r="A109" s="34" t="s">
        <v>1759</v>
      </c>
      <c r="B109" s="35">
        <v>46248</v>
      </c>
      <c r="I109" s="11" t="s">
        <v>1779</v>
      </c>
      <c r="J109" s="7">
        <v>46248</v>
      </c>
    </row>
    <row r="110" spans="1:10">
      <c r="A110" s="33" t="s">
        <v>1829</v>
      </c>
      <c r="B110" s="35">
        <v>46248</v>
      </c>
      <c r="I110" s="11" t="s">
        <v>1780</v>
      </c>
      <c r="J110" s="7">
        <v>46248</v>
      </c>
    </row>
    <row r="111" spans="1:10">
      <c r="A111" s="34" t="s">
        <v>1597</v>
      </c>
      <c r="B111" s="35">
        <v>46248</v>
      </c>
      <c r="I111" s="11" t="s">
        <v>1781</v>
      </c>
      <c r="J111" s="7">
        <v>46248</v>
      </c>
    </row>
    <row r="112" spans="1:10">
      <c r="A112" s="33" t="s">
        <v>1764</v>
      </c>
      <c r="B112" s="35">
        <v>46248</v>
      </c>
      <c r="I112" s="11" t="s">
        <v>1782</v>
      </c>
      <c r="J112" s="7">
        <v>46248</v>
      </c>
    </row>
    <row r="113" spans="1:10">
      <c r="A113" s="34" t="s">
        <v>1811</v>
      </c>
      <c r="B113" s="35">
        <v>46248</v>
      </c>
      <c r="I113" s="11" t="s">
        <v>1783</v>
      </c>
      <c r="J113" s="7">
        <v>46248</v>
      </c>
    </row>
    <row r="114" spans="1:10">
      <c r="A114" s="33" t="s">
        <v>1749</v>
      </c>
      <c r="B114" s="35">
        <v>46248</v>
      </c>
      <c r="I114" s="11" t="s">
        <v>1784</v>
      </c>
      <c r="J114" s="7">
        <v>46248</v>
      </c>
    </row>
    <row r="115" spans="1:10">
      <c r="A115" s="34" t="s">
        <v>1818</v>
      </c>
      <c r="B115" s="35">
        <v>46248</v>
      </c>
      <c r="I115" s="11" t="s">
        <v>1785</v>
      </c>
      <c r="J115" s="7">
        <v>46248</v>
      </c>
    </row>
    <row r="116" spans="1:10">
      <c r="A116" s="33" t="s">
        <v>1804</v>
      </c>
      <c r="B116" s="35">
        <v>46248</v>
      </c>
      <c r="I116" s="11" t="s">
        <v>1786</v>
      </c>
      <c r="J116" s="7">
        <v>46248</v>
      </c>
    </row>
    <row r="117" spans="1:10">
      <c r="A117" s="34" t="s">
        <v>1836</v>
      </c>
      <c r="B117" s="35">
        <v>46248</v>
      </c>
      <c r="I117" s="11" t="s">
        <v>1788</v>
      </c>
      <c r="J117" s="7">
        <v>46248</v>
      </c>
    </row>
    <row r="118" spans="1:10">
      <c r="A118" s="33" t="s">
        <v>1768</v>
      </c>
      <c r="B118" s="35">
        <v>46248</v>
      </c>
      <c r="I118" s="11" t="s">
        <v>1789</v>
      </c>
      <c r="J118" s="7">
        <v>46248</v>
      </c>
    </row>
    <row r="119" spans="1:10">
      <c r="A119" s="34" t="s">
        <v>1770</v>
      </c>
      <c r="B119" s="35">
        <v>46248</v>
      </c>
      <c r="I119" s="11" t="s">
        <v>1790</v>
      </c>
      <c r="J119" s="7">
        <v>46248</v>
      </c>
    </row>
    <row r="120" spans="1:10">
      <c r="A120" s="33" t="s">
        <v>1859</v>
      </c>
      <c r="B120" s="35">
        <v>46248</v>
      </c>
      <c r="I120" s="11" t="s">
        <v>1792</v>
      </c>
      <c r="J120" s="7">
        <v>46248</v>
      </c>
    </row>
    <row r="121" spans="1:10">
      <c r="A121" s="34" t="s">
        <v>1794</v>
      </c>
      <c r="B121" s="35">
        <v>46248</v>
      </c>
      <c r="I121" s="11" t="s">
        <v>1794</v>
      </c>
      <c r="J121" s="7">
        <v>46248</v>
      </c>
    </row>
    <row r="122" spans="1:10">
      <c r="A122" s="33" t="s">
        <v>1856</v>
      </c>
      <c r="B122" s="35">
        <v>46248</v>
      </c>
      <c r="I122" s="11" t="s">
        <v>1795</v>
      </c>
      <c r="J122" s="7">
        <v>46254</v>
      </c>
    </row>
    <row r="123" spans="1:10">
      <c r="A123" s="34" t="s">
        <v>1747</v>
      </c>
      <c r="B123" s="35">
        <v>46248</v>
      </c>
      <c r="I123" s="11" t="s">
        <v>1796</v>
      </c>
      <c r="J123" s="7">
        <v>46248</v>
      </c>
    </row>
    <row r="124" spans="1:10">
      <c r="A124" s="33" t="s">
        <v>1849</v>
      </c>
      <c r="B124" s="35">
        <v>46248</v>
      </c>
      <c r="I124" s="11" t="s">
        <v>1798</v>
      </c>
      <c r="J124" s="7">
        <v>46248</v>
      </c>
    </row>
    <row r="125" spans="1:10">
      <c r="A125" s="34" t="s">
        <v>1858</v>
      </c>
      <c r="B125" s="35">
        <v>46248</v>
      </c>
      <c r="I125" s="11" t="s">
        <v>1800</v>
      </c>
      <c r="J125" s="7">
        <v>46254</v>
      </c>
    </row>
    <row r="126" spans="1:10">
      <c r="A126" s="33" t="s">
        <v>1845</v>
      </c>
      <c r="B126" s="35">
        <v>46248</v>
      </c>
      <c r="I126" s="11" t="s">
        <v>1801</v>
      </c>
      <c r="J126" s="7">
        <v>46254</v>
      </c>
    </row>
    <row r="127" spans="1:10">
      <c r="A127" s="34" t="s">
        <v>1852</v>
      </c>
      <c r="B127" s="35">
        <v>46248</v>
      </c>
      <c r="I127" s="11" t="s">
        <v>1804</v>
      </c>
      <c r="J127" s="7">
        <v>46248</v>
      </c>
    </row>
    <row r="128" spans="1:10">
      <c r="A128" s="33" t="s">
        <v>1854</v>
      </c>
      <c r="B128" s="35">
        <v>46248</v>
      </c>
      <c r="I128" s="11" t="s">
        <v>1805</v>
      </c>
      <c r="J128" s="7">
        <v>46248</v>
      </c>
    </row>
    <row r="129" spans="1:10">
      <c r="A129" s="34" t="s">
        <v>1832</v>
      </c>
      <c r="B129" s="35">
        <v>46248</v>
      </c>
      <c r="I129" s="11" t="s">
        <v>1806</v>
      </c>
      <c r="J129" s="7">
        <v>46248</v>
      </c>
    </row>
    <row r="130" spans="1:10">
      <c r="A130" s="33" t="s">
        <v>1834</v>
      </c>
      <c r="B130" s="35">
        <v>46248</v>
      </c>
      <c r="I130" s="11" t="s">
        <v>1807</v>
      </c>
      <c r="J130" s="7">
        <v>46248</v>
      </c>
    </row>
    <row r="131" spans="1:10">
      <c r="A131" s="34" t="s">
        <v>1855</v>
      </c>
      <c r="B131" s="35">
        <v>46248</v>
      </c>
      <c r="I131" s="11" t="s">
        <v>1808</v>
      </c>
      <c r="J131" s="7">
        <v>46254</v>
      </c>
    </row>
    <row r="132" spans="1:10">
      <c r="A132" s="33" t="s">
        <v>1867</v>
      </c>
      <c r="B132" s="35">
        <v>46248</v>
      </c>
      <c r="I132" s="11" t="s">
        <v>1810</v>
      </c>
      <c r="J132" s="7">
        <v>46254</v>
      </c>
    </row>
    <row r="133" spans="1:10">
      <c r="A133" s="34" t="s">
        <v>1789</v>
      </c>
      <c r="B133" s="35">
        <v>46248</v>
      </c>
      <c r="I133" s="11" t="s">
        <v>1811</v>
      </c>
      <c r="J133" s="7">
        <v>46248</v>
      </c>
    </row>
    <row r="134" spans="1:10">
      <c r="A134" s="33" t="s">
        <v>1765</v>
      </c>
      <c r="B134" s="35">
        <v>46248</v>
      </c>
      <c r="I134" s="11" t="s">
        <v>1812</v>
      </c>
      <c r="J134" s="7">
        <v>46254</v>
      </c>
    </row>
    <row r="135" spans="1:10">
      <c r="A135" s="34" t="s">
        <v>1772</v>
      </c>
      <c r="B135" s="35">
        <v>46248</v>
      </c>
      <c r="I135" s="11" t="s">
        <v>1813</v>
      </c>
      <c r="J135" s="7">
        <v>46248</v>
      </c>
    </row>
    <row r="136" spans="1:10">
      <c r="A136" s="33" t="s">
        <v>1779</v>
      </c>
      <c r="B136" s="35">
        <v>46248</v>
      </c>
      <c r="I136" s="11" t="s">
        <v>1814</v>
      </c>
      <c r="J136" s="7">
        <v>46248</v>
      </c>
    </row>
    <row r="137" spans="1:10">
      <c r="A137" s="34" t="s">
        <v>1783</v>
      </c>
      <c r="B137" s="35">
        <v>46248</v>
      </c>
      <c r="I137" s="11" t="s">
        <v>1815</v>
      </c>
      <c r="J137" s="7">
        <v>46248</v>
      </c>
    </row>
    <row r="138" spans="1:10">
      <c r="A138" s="33" t="s">
        <v>1784</v>
      </c>
      <c r="B138" s="35">
        <v>46248</v>
      </c>
      <c r="I138" s="11" t="s">
        <v>1816</v>
      </c>
      <c r="J138" s="7">
        <v>46169</v>
      </c>
    </row>
    <row r="139" spans="1:10">
      <c r="A139" s="34" t="s">
        <v>1814</v>
      </c>
      <c r="B139" s="35">
        <v>46248</v>
      </c>
      <c r="I139" s="11" t="s">
        <v>1817</v>
      </c>
      <c r="J139" s="7">
        <v>46248</v>
      </c>
    </row>
    <row r="140" spans="1:10">
      <c r="A140" s="33" t="s">
        <v>1599</v>
      </c>
      <c r="B140" s="35">
        <v>46248</v>
      </c>
      <c r="I140" s="11" t="s">
        <v>1818</v>
      </c>
      <c r="J140" s="7">
        <v>46248</v>
      </c>
    </row>
    <row r="141" spans="1:10">
      <c r="A141" s="34" t="s">
        <v>1757</v>
      </c>
      <c r="B141" s="35">
        <v>46248</v>
      </c>
      <c r="I141" s="11" t="s">
        <v>1819</v>
      </c>
      <c r="J141" s="7">
        <v>46248</v>
      </c>
    </row>
    <row r="142" spans="1:10">
      <c r="A142" s="33" t="s">
        <v>1761</v>
      </c>
      <c r="B142" s="35">
        <v>46248</v>
      </c>
      <c r="I142" s="11" t="s">
        <v>1821</v>
      </c>
      <c r="J142" s="7">
        <v>46169</v>
      </c>
    </row>
    <row r="143" spans="1:10">
      <c r="A143" s="34" t="s">
        <v>1760</v>
      </c>
      <c r="B143" s="35">
        <v>46248</v>
      </c>
      <c r="I143" s="11" t="s">
        <v>1822</v>
      </c>
      <c r="J143" s="7">
        <v>46254</v>
      </c>
    </row>
    <row r="144" spans="1:10">
      <c r="A144" s="33" t="s">
        <v>1807</v>
      </c>
      <c r="B144" s="35">
        <v>46248</v>
      </c>
      <c r="I144" s="11" t="s">
        <v>1824</v>
      </c>
      <c r="J144" s="7">
        <v>46248</v>
      </c>
    </row>
    <row r="145" spans="1:10">
      <c r="A145" s="34" t="s">
        <v>1824</v>
      </c>
      <c r="B145" s="35">
        <v>46248</v>
      </c>
      <c r="I145" s="11" t="s">
        <v>1825</v>
      </c>
      <c r="J145" s="7">
        <v>46254</v>
      </c>
    </row>
    <row r="146" spans="1:10">
      <c r="A146" s="33" t="s">
        <v>1833</v>
      </c>
      <c r="B146" s="35">
        <v>46248</v>
      </c>
      <c r="I146" s="11" t="s">
        <v>1826</v>
      </c>
      <c r="J146" s="7">
        <v>46254</v>
      </c>
    </row>
    <row r="147" spans="1:10">
      <c r="A147" s="34" t="s">
        <v>1805</v>
      </c>
      <c r="B147" s="35">
        <v>46248</v>
      </c>
      <c r="I147" s="11" t="s">
        <v>1827</v>
      </c>
      <c r="J147" s="7">
        <v>46248</v>
      </c>
    </row>
    <row r="148" spans="1:10">
      <c r="A148" s="33" t="s">
        <v>1785</v>
      </c>
      <c r="B148" s="35">
        <v>46248</v>
      </c>
      <c r="I148" s="11" t="s">
        <v>1828</v>
      </c>
      <c r="J148" s="7">
        <v>46254</v>
      </c>
    </row>
    <row r="149" spans="1:10">
      <c r="A149" s="34" t="s">
        <v>1839</v>
      </c>
      <c r="B149" s="35">
        <v>46248</v>
      </c>
      <c r="I149" s="11" t="s">
        <v>1829</v>
      </c>
      <c r="J149" s="7">
        <v>46248</v>
      </c>
    </row>
    <row r="150" spans="1:10">
      <c r="A150" s="33" t="s">
        <v>1796</v>
      </c>
      <c r="B150" s="35">
        <v>46248</v>
      </c>
      <c r="I150" s="11" t="s">
        <v>1830</v>
      </c>
      <c r="J150" s="7">
        <v>46248</v>
      </c>
    </row>
    <row r="151" spans="1:10">
      <c r="A151" s="34" t="s">
        <v>1641</v>
      </c>
      <c r="B151" s="35">
        <v>46248</v>
      </c>
      <c r="I151" s="11" t="s">
        <v>1832</v>
      </c>
      <c r="J151" s="7">
        <v>46248</v>
      </c>
    </row>
    <row r="152" spans="1:10">
      <c r="A152" s="33" t="s">
        <v>1642</v>
      </c>
      <c r="B152" s="35">
        <v>46248</v>
      </c>
      <c r="I152" s="11" t="s">
        <v>1833</v>
      </c>
      <c r="J152" s="7">
        <v>46248</v>
      </c>
    </row>
    <row r="153" spans="1:10">
      <c r="A153" s="34" t="s">
        <v>1792</v>
      </c>
      <c r="B153" s="35">
        <v>46248</v>
      </c>
      <c r="I153" s="11" t="s">
        <v>1834</v>
      </c>
      <c r="J153" s="7">
        <v>46248</v>
      </c>
    </row>
    <row r="154" spans="1:10">
      <c r="A154" s="33" t="s">
        <v>1758</v>
      </c>
      <c r="B154" s="35">
        <v>46248</v>
      </c>
      <c r="I154" s="11" t="s">
        <v>1836</v>
      </c>
      <c r="J154" s="7">
        <v>46248</v>
      </c>
    </row>
    <row r="155" spans="1:10">
      <c r="A155" s="34" t="s">
        <v>1819</v>
      </c>
      <c r="B155" s="35">
        <v>46248</v>
      </c>
      <c r="I155" s="11" t="s">
        <v>1837</v>
      </c>
      <c r="J155" s="7">
        <v>46248</v>
      </c>
    </row>
    <row r="156" spans="1:10">
      <c r="A156" s="33" t="s">
        <v>1864</v>
      </c>
      <c r="B156" s="35">
        <v>46248</v>
      </c>
      <c r="I156" s="11" t="s">
        <v>1838</v>
      </c>
      <c r="J156" s="7">
        <v>46248</v>
      </c>
    </row>
    <row r="157" spans="1:10">
      <c r="A157" s="34" t="s">
        <v>1659</v>
      </c>
      <c r="B157" s="35">
        <v>46248</v>
      </c>
      <c r="I157" s="11" t="s">
        <v>1839</v>
      </c>
      <c r="J157" s="7">
        <v>46248</v>
      </c>
    </row>
    <row r="158" spans="1:10">
      <c r="A158" s="33" t="s">
        <v>1748</v>
      </c>
      <c r="B158" s="35">
        <v>46248</v>
      </c>
      <c r="I158" s="11" t="s">
        <v>1840</v>
      </c>
      <c r="J158" s="7">
        <v>46248</v>
      </c>
    </row>
    <row r="159" spans="1:10">
      <c r="A159" s="34" t="s">
        <v>1813</v>
      </c>
      <c r="B159" s="35">
        <v>46248</v>
      </c>
      <c r="I159" s="11" t="s">
        <v>1841</v>
      </c>
      <c r="J159" s="7">
        <v>46248</v>
      </c>
    </row>
    <row r="160" spans="1:10">
      <c r="A160" s="33" t="s">
        <v>1830</v>
      </c>
      <c r="B160" s="35">
        <v>46248</v>
      </c>
      <c r="I160" s="11" t="s">
        <v>1842</v>
      </c>
      <c r="J160" s="7">
        <v>46248</v>
      </c>
    </row>
    <row r="161" spans="1:10">
      <c r="A161" s="34" t="s">
        <v>1848</v>
      </c>
      <c r="B161" s="35">
        <v>46248</v>
      </c>
      <c r="I161" s="11" t="s">
        <v>1843</v>
      </c>
      <c r="J161" s="7">
        <v>46169</v>
      </c>
    </row>
    <row r="162" spans="1:10">
      <c r="A162" s="33" t="s">
        <v>1615</v>
      </c>
      <c r="B162" s="35">
        <v>46248</v>
      </c>
      <c r="I162" s="11" t="s">
        <v>1845</v>
      </c>
      <c r="J162" s="7">
        <v>46248</v>
      </c>
    </row>
    <row r="163" spans="1:10">
      <c r="A163" s="34" t="s">
        <v>1623</v>
      </c>
      <c r="B163" s="35">
        <v>46248</v>
      </c>
      <c r="I163" s="11" t="s">
        <v>1847</v>
      </c>
      <c r="J163" s="7">
        <v>46248</v>
      </c>
    </row>
    <row r="164" spans="1:10">
      <c r="A164" s="33" t="s">
        <v>1612</v>
      </c>
      <c r="B164" s="35">
        <v>46248</v>
      </c>
      <c r="I164" s="11" t="s">
        <v>1848</v>
      </c>
      <c r="J164" s="7">
        <v>46248</v>
      </c>
    </row>
    <row r="165" spans="1:10">
      <c r="A165" s="34" t="s">
        <v>1590</v>
      </c>
      <c r="B165" s="35">
        <v>46248</v>
      </c>
      <c r="I165" s="11" t="s">
        <v>1849</v>
      </c>
      <c r="J165" s="7">
        <v>46248</v>
      </c>
    </row>
    <row r="166" spans="1:10">
      <c r="A166" s="33" t="s">
        <v>1865</v>
      </c>
      <c r="B166" s="35">
        <v>46248</v>
      </c>
      <c r="I166" s="11" t="s">
        <v>1850</v>
      </c>
      <c r="J166" s="7">
        <v>46254</v>
      </c>
    </row>
    <row r="167" spans="1:10">
      <c r="A167" s="34" t="s">
        <v>1837</v>
      </c>
      <c r="B167" s="35">
        <v>46248</v>
      </c>
      <c r="I167" s="11" t="s">
        <v>1852</v>
      </c>
      <c r="J167" s="7">
        <v>46248</v>
      </c>
    </row>
    <row r="168" spans="1:10">
      <c r="A168" s="33" t="s">
        <v>1806</v>
      </c>
      <c r="B168" s="35">
        <v>46248</v>
      </c>
      <c r="I168" s="11" t="s">
        <v>1853</v>
      </c>
      <c r="J168" s="7">
        <v>46248</v>
      </c>
    </row>
    <row r="169" spans="1:10">
      <c r="A169" s="34" t="s">
        <v>1866</v>
      </c>
      <c r="B169" s="35">
        <v>46248</v>
      </c>
      <c r="I169" s="11" t="s">
        <v>1854</v>
      </c>
      <c r="J169" s="7">
        <v>46248</v>
      </c>
    </row>
    <row r="170" spans="1:10">
      <c r="A170" s="33" t="s">
        <v>1778</v>
      </c>
      <c r="B170" s="35">
        <v>46248</v>
      </c>
      <c r="I170" s="11" t="s">
        <v>1855</v>
      </c>
      <c r="J170" s="7">
        <v>46248</v>
      </c>
    </row>
    <row r="171" spans="1:10">
      <c r="A171" s="34" t="s">
        <v>1853</v>
      </c>
      <c r="B171" s="35">
        <v>46248</v>
      </c>
      <c r="I171" s="11" t="s">
        <v>1856</v>
      </c>
      <c r="J171" s="7">
        <v>46248</v>
      </c>
    </row>
    <row r="172" spans="1:10">
      <c r="A172" s="33" t="s">
        <v>1780</v>
      </c>
      <c r="B172" s="35">
        <v>46248</v>
      </c>
      <c r="I172" s="11" t="s">
        <v>1857</v>
      </c>
      <c r="J172" s="7">
        <v>46248</v>
      </c>
    </row>
    <row r="173" spans="1:10">
      <c r="A173" s="34" t="s">
        <v>1782</v>
      </c>
      <c r="B173" s="35">
        <v>46248</v>
      </c>
      <c r="I173" s="11" t="s">
        <v>1858</v>
      </c>
      <c r="J173" s="7">
        <v>46248</v>
      </c>
    </row>
    <row r="174" spans="1:10">
      <c r="A174" s="33" t="s">
        <v>1847</v>
      </c>
      <c r="B174" s="35">
        <v>46248</v>
      </c>
      <c r="I174" s="11" t="s">
        <v>1859</v>
      </c>
      <c r="J174" s="7">
        <v>46248</v>
      </c>
    </row>
    <row r="175" spans="1:10">
      <c r="A175" s="34" t="s">
        <v>1827</v>
      </c>
      <c r="B175" s="35">
        <v>46248</v>
      </c>
      <c r="I175" s="11" t="s">
        <v>1861</v>
      </c>
      <c r="J175" s="7">
        <v>46254</v>
      </c>
    </row>
    <row r="176" spans="1:10">
      <c r="A176" s="33" t="s">
        <v>1788</v>
      </c>
      <c r="B176" s="35">
        <v>46248</v>
      </c>
      <c r="I176" s="11" t="s">
        <v>1862</v>
      </c>
      <c r="J176" s="7">
        <v>46248</v>
      </c>
    </row>
    <row r="177" spans="1:10">
      <c r="A177" s="34" t="s">
        <v>1838</v>
      </c>
      <c r="B177" s="35">
        <v>46248</v>
      </c>
      <c r="I177" s="11" t="s">
        <v>1864</v>
      </c>
      <c r="J177" s="7">
        <v>46248</v>
      </c>
    </row>
    <row r="178" spans="1:10">
      <c r="A178" s="33" t="s">
        <v>1841</v>
      </c>
      <c r="B178" s="35">
        <v>46248</v>
      </c>
      <c r="I178" s="11" t="s">
        <v>1865</v>
      </c>
      <c r="J178" s="7">
        <v>46248</v>
      </c>
    </row>
    <row r="179" spans="1:10">
      <c r="A179" s="34" t="s">
        <v>1862</v>
      </c>
      <c r="B179" s="35">
        <v>46248</v>
      </c>
      <c r="I179" s="11" t="s">
        <v>1866</v>
      </c>
      <c r="J179" s="7">
        <v>46248</v>
      </c>
    </row>
    <row r="180" spans="1:10">
      <c r="A180" s="33" t="s">
        <v>1798</v>
      </c>
      <c r="B180" s="35">
        <v>46248</v>
      </c>
      <c r="I180" s="11" t="s">
        <v>1867</v>
      </c>
      <c r="J180" s="7">
        <v>46248</v>
      </c>
    </row>
    <row r="181" spans="1:10">
      <c r="A181" s="34" t="s">
        <v>1842</v>
      </c>
      <c r="B181" s="35">
        <v>46248</v>
      </c>
      <c r="I181" s="11" t="s">
        <v>1868</v>
      </c>
      <c r="J181" s="7">
        <v>46248</v>
      </c>
    </row>
    <row r="182" spans="1:10">
      <c r="A182" s="33" t="s">
        <v>1613</v>
      </c>
      <c r="B182" s="35">
        <v>46248</v>
      </c>
      <c r="I182" s="11" t="s">
        <v>1869</v>
      </c>
      <c r="J182" s="7">
        <v>46119</v>
      </c>
    </row>
    <row r="183" spans="1:10">
      <c r="A183" s="34" t="s">
        <v>1817</v>
      </c>
      <c r="B183" s="35">
        <v>46248</v>
      </c>
      <c r="I183" s="11" t="s">
        <v>1870</v>
      </c>
      <c r="J183" s="7">
        <v>46248</v>
      </c>
    </row>
    <row r="184" spans="1:10">
      <c r="A184" s="33" t="s">
        <v>1611</v>
      </c>
      <c r="B184" s="35">
        <v>46248</v>
      </c>
      <c r="I184" s="11" t="s">
        <v>1871</v>
      </c>
      <c r="J184" s="7">
        <v>46248</v>
      </c>
    </row>
    <row r="185" spans="1:10">
      <c r="A185" s="34" t="s">
        <v>1620</v>
      </c>
      <c r="B185" s="35">
        <v>46248</v>
      </c>
      <c r="I185" s="11" t="s">
        <v>1873</v>
      </c>
      <c r="J185" s="7">
        <v>46248</v>
      </c>
    </row>
    <row r="186" spans="1:10">
      <c r="A186" s="33" t="s">
        <v>1610</v>
      </c>
      <c r="B186" s="35">
        <v>46248</v>
      </c>
      <c r="I186" s="11" t="s">
        <v>1874</v>
      </c>
      <c r="J186" s="7">
        <v>46248</v>
      </c>
    </row>
    <row r="187" spans="1:10">
      <c r="A187" s="34" t="s">
        <v>1767</v>
      </c>
      <c r="B187" s="35">
        <v>46248</v>
      </c>
      <c r="I187" s="11" t="s">
        <v>1875</v>
      </c>
      <c r="J187" s="7">
        <v>46248</v>
      </c>
    </row>
    <row r="188" spans="1:10">
      <c r="A188" s="33" t="s">
        <v>1762</v>
      </c>
      <c r="B188" s="35">
        <v>46248</v>
      </c>
      <c r="I188" s="11" t="s">
        <v>1876</v>
      </c>
      <c r="J188" s="7">
        <v>46119</v>
      </c>
    </row>
    <row r="189" spans="1:10">
      <c r="A189" s="34" t="s">
        <v>1756</v>
      </c>
      <c r="B189" s="35">
        <v>46248</v>
      </c>
      <c r="I189" s="11" t="s">
        <v>1879</v>
      </c>
      <c r="J189" s="7">
        <v>46119</v>
      </c>
    </row>
    <row r="190" spans="1:10">
      <c r="A190" s="33" t="s">
        <v>1606</v>
      </c>
      <c r="B190" s="35">
        <v>46248</v>
      </c>
      <c r="I190" s="11" t="s">
        <v>1880</v>
      </c>
      <c r="J190" s="7">
        <v>46248</v>
      </c>
    </row>
    <row r="191" spans="1:10">
      <c r="A191" s="34" t="s">
        <v>1923</v>
      </c>
      <c r="B191" s="35">
        <v>46254</v>
      </c>
      <c r="I191" s="11" t="s">
        <v>1882</v>
      </c>
      <c r="J191" s="7">
        <v>46248</v>
      </c>
    </row>
    <row r="192" spans="1:10">
      <c r="A192" s="33" t="s">
        <v>1926</v>
      </c>
      <c r="B192" s="35">
        <v>46254</v>
      </c>
      <c r="I192" s="11" t="s">
        <v>1884</v>
      </c>
      <c r="J192" s="7">
        <v>46254</v>
      </c>
    </row>
    <row r="193" spans="1:10">
      <c r="A193" s="34" t="s">
        <v>1955</v>
      </c>
      <c r="B193" s="35">
        <v>46254</v>
      </c>
      <c r="I193" s="11" t="s">
        <v>1885</v>
      </c>
      <c r="J193" s="7">
        <v>46248</v>
      </c>
    </row>
    <row r="194" spans="1:10">
      <c r="A194" s="33" t="s">
        <v>1948</v>
      </c>
      <c r="B194" s="35">
        <v>46254</v>
      </c>
      <c r="I194" s="11" t="s">
        <v>1886</v>
      </c>
      <c r="J194" s="7">
        <v>46254</v>
      </c>
    </row>
    <row r="195" spans="1:10">
      <c r="A195" s="34" t="s">
        <v>1945</v>
      </c>
      <c r="B195" s="35">
        <v>46254</v>
      </c>
      <c r="I195" s="11" t="s">
        <v>1887</v>
      </c>
      <c r="J195" s="7">
        <v>46254</v>
      </c>
    </row>
    <row r="196" spans="1:10">
      <c r="A196" s="33" t="s">
        <v>1952</v>
      </c>
      <c r="B196" s="35">
        <v>46254</v>
      </c>
      <c r="I196" s="11" t="s">
        <v>1889</v>
      </c>
      <c r="J196" s="7">
        <v>46119</v>
      </c>
    </row>
    <row r="197" spans="1:10">
      <c r="A197" s="34" t="s">
        <v>1998</v>
      </c>
      <c r="B197" s="35">
        <v>46254</v>
      </c>
      <c r="I197" s="11" t="s">
        <v>1890</v>
      </c>
      <c r="J197" s="7">
        <v>46248</v>
      </c>
    </row>
    <row r="198" spans="1:10">
      <c r="A198" s="33" t="s">
        <v>1887</v>
      </c>
      <c r="B198" s="35">
        <v>46254</v>
      </c>
      <c r="I198" s="11" t="s">
        <v>1892</v>
      </c>
      <c r="J198" s="7">
        <v>46248</v>
      </c>
    </row>
    <row r="199" spans="1:10">
      <c r="A199" s="34" t="s">
        <v>1722</v>
      </c>
      <c r="B199" s="35">
        <v>46254</v>
      </c>
      <c r="I199" s="11" t="s">
        <v>1893</v>
      </c>
      <c r="J199" s="7">
        <v>46248</v>
      </c>
    </row>
    <row r="200" spans="1:10">
      <c r="A200" s="33" t="s">
        <v>1917</v>
      </c>
      <c r="B200" s="35">
        <v>46254</v>
      </c>
      <c r="I200" s="11" t="s">
        <v>1894</v>
      </c>
      <c r="J200" s="7">
        <v>46248</v>
      </c>
    </row>
    <row r="201" spans="1:10">
      <c r="A201" s="34" t="s">
        <v>1914</v>
      </c>
      <c r="B201" s="35">
        <v>46254</v>
      </c>
      <c r="I201" s="11" t="s">
        <v>1895</v>
      </c>
      <c r="J201" s="7">
        <v>46119</v>
      </c>
    </row>
    <row r="202" spans="1:10">
      <c r="A202" s="33" t="s">
        <v>1990</v>
      </c>
      <c r="B202" s="35">
        <v>46254</v>
      </c>
      <c r="I202" s="11" t="s">
        <v>1898</v>
      </c>
      <c r="J202" s="7">
        <v>46248</v>
      </c>
    </row>
    <row r="203" spans="1:10">
      <c r="A203" s="34" t="s">
        <v>1886</v>
      </c>
      <c r="B203" s="35">
        <v>46254</v>
      </c>
      <c r="I203" s="11" t="s">
        <v>1900</v>
      </c>
      <c r="J203" s="7">
        <v>46169</v>
      </c>
    </row>
    <row r="204" spans="1:10">
      <c r="A204" s="33" t="s">
        <v>1958</v>
      </c>
      <c r="B204" s="35">
        <v>46254</v>
      </c>
      <c r="I204" s="11" t="s">
        <v>1902</v>
      </c>
      <c r="J204" s="7">
        <v>46248</v>
      </c>
    </row>
    <row r="205" spans="1:10">
      <c r="A205" s="34" t="s">
        <v>1884</v>
      </c>
      <c r="B205" s="35">
        <v>46254</v>
      </c>
      <c r="I205" s="11" t="s">
        <v>1906</v>
      </c>
      <c r="J205" s="7">
        <v>46248</v>
      </c>
    </row>
    <row r="206" spans="1:10">
      <c r="A206" s="33" t="s">
        <v>1949</v>
      </c>
      <c r="B206" s="35">
        <v>46254</v>
      </c>
      <c r="I206" s="11" t="s">
        <v>1907</v>
      </c>
      <c r="J206" s="7">
        <v>46248</v>
      </c>
    </row>
    <row r="207" spans="1:10">
      <c r="A207" s="34" t="s">
        <v>1970</v>
      </c>
      <c r="B207" s="35">
        <v>46254</v>
      </c>
      <c r="I207" s="11" t="s">
        <v>1908</v>
      </c>
      <c r="J207" s="7">
        <v>46248</v>
      </c>
    </row>
    <row r="208" spans="1:10">
      <c r="A208" s="33" t="s">
        <v>1969</v>
      </c>
      <c r="B208" s="35">
        <v>46254</v>
      </c>
      <c r="I208" s="11" t="s">
        <v>1912</v>
      </c>
      <c r="J208" s="7">
        <v>46248</v>
      </c>
    </row>
    <row r="209" spans="1:10">
      <c r="A209" s="34" t="s">
        <v>1919</v>
      </c>
      <c r="B209" s="35">
        <v>46254</v>
      </c>
      <c r="I209" s="11" t="s">
        <v>1913</v>
      </c>
      <c r="J209" s="7">
        <v>46248</v>
      </c>
    </row>
    <row r="210" spans="1:10">
      <c r="A210" s="33" t="s">
        <v>1956</v>
      </c>
      <c r="B210" s="35">
        <v>46254</v>
      </c>
      <c r="I210" s="11" t="s">
        <v>1914</v>
      </c>
      <c r="J210" s="7">
        <v>46254</v>
      </c>
    </row>
    <row r="211" spans="1:10">
      <c r="A211" s="34" t="s">
        <v>1808</v>
      </c>
      <c r="B211" s="35">
        <v>46254</v>
      </c>
      <c r="I211" s="11" t="s">
        <v>1917</v>
      </c>
      <c r="J211" s="7">
        <v>46254</v>
      </c>
    </row>
    <row r="212" spans="1:10">
      <c r="A212" s="33" t="s">
        <v>1861</v>
      </c>
      <c r="B212" s="35">
        <v>46254</v>
      </c>
      <c r="I212" s="11" t="s">
        <v>1919</v>
      </c>
      <c r="J212" s="7">
        <v>46254</v>
      </c>
    </row>
    <row r="213" spans="1:10">
      <c r="A213" s="34" t="s">
        <v>1810</v>
      </c>
      <c r="B213" s="35">
        <v>46254</v>
      </c>
      <c r="I213" s="11" t="s">
        <v>1921</v>
      </c>
      <c r="J213" s="7">
        <v>46248</v>
      </c>
    </row>
    <row r="214" spans="1:10">
      <c r="A214" s="33" t="s">
        <v>1972</v>
      </c>
      <c r="B214" s="35">
        <v>46254</v>
      </c>
      <c r="I214" s="11" t="s">
        <v>1923</v>
      </c>
      <c r="J214" s="7">
        <v>46254</v>
      </c>
    </row>
    <row r="215" spans="1:10">
      <c r="A215" s="34" t="s">
        <v>1800</v>
      </c>
      <c r="B215" s="35">
        <v>46254</v>
      </c>
      <c r="I215" s="11" t="s">
        <v>1926</v>
      </c>
      <c r="J215" s="7">
        <v>46254</v>
      </c>
    </row>
    <row r="216" spans="1:10">
      <c r="A216" s="33" t="s">
        <v>1822</v>
      </c>
      <c r="B216" s="35">
        <v>46254</v>
      </c>
      <c r="I216" s="11" t="s">
        <v>1931</v>
      </c>
      <c r="J216" s="7">
        <v>46248</v>
      </c>
    </row>
    <row r="217" spans="1:10">
      <c r="A217" s="34" t="s">
        <v>1754</v>
      </c>
      <c r="B217" s="35">
        <v>46254</v>
      </c>
      <c r="I217" s="11" t="s">
        <v>1941</v>
      </c>
      <c r="J217" s="7">
        <v>46248</v>
      </c>
    </row>
    <row r="218" spans="1:10">
      <c r="A218" s="33" t="s">
        <v>1766</v>
      </c>
      <c r="B218" s="35">
        <v>46254</v>
      </c>
      <c r="I218" s="11" t="s">
        <v>1943</v>
      </c>
      <c r="J218" s="7">
        <v>46248</v>
      </c>
    </row>
    <row r="219" spans="1:10">
      <c r="A219" s="34" t="s">
        <v>1795</v>
      </c>
      <c r="B219" s="35">
        <v>46254</v>
      </c>
      <c r="I219" s="11" t="s">
        <v>1944</v>
      </c>
      <c r="J219" s="7">
        <v>46248</v>
      </c>
    </row>
    <row r="220" spans="1:10">
      <c r="A220" s="33" t="s">
        <v>1736</v>
      </c>
      <c r="B220" s="35">
        <v>46254</v>
      </c>
      <c r="I220" s="11" t="s">
        <v>1945</v>
      </c>
      <c r="J220" s="7">
        <v>46254</v>
      </c>
    </row>
    <row r="221" spans="1:10">
      <c r="A221" s="34" t="s">
        <v>1812</v>
      </c>
      <c r="B221" s="35">
        <v>46254</v>
      </c>
      <c r="I221" s="11" t="s">
        <v>1947</v>
      </c>
      <c r="J221" s="7">
        <v>46248</v>
      </c>
    </row>
    <row r="222" spans="1:10">
      <c r="A222" s="33" t="s">
        <v>1825</v>
      </c>
      <c r="B222" s="35">
        <v>46254</v>
      </c>
      <c r="I222" s="11" t="s">
        <v>1948</v>
      </c>
      <c r="J222" s="7">
        <v>46254</v>
      </c>
    </row>
    <row r="223" spans="1:10">
      <c r="A223" s="34" t="s">
        <v>1752</v>
      </c>
      <c r="B223" s="35">
        <v>46254</v>
      </c>
      <c r="I223" s="11" t="s">
        <v>1949</v>
      </c>
      <c r="J223" s="7">
        <v>46254</v>
      </c>
    </row>
    <row r="224" spans="1:10">
      <c r="A224" s="33" t="s">
        <v>1755</v>
      </c>
      <c r="B224" s="35">
        <v>46254</v>
      </c>
      <c r="I224" s="11" t="s">
        <v>1952</v>
      </c>
      <c r="J224" s="7">
        <v>46254</v>
      </c>
    </row>
    <row r="225" spans="1:10">
      <c r="A225" s="34" t="s">
        <v>1850</v>
      </c>
      <c r="B225" s="35">
        <v>46254</v>
      </c>
      <c r="I225" s="11" t="s">
        <v>1954</v>
      </c>
      <c r="J225" s="7">
        <v>46248</v>
      </c>
    </row>
    <row r="226" spans="1:10">
      <c r="A226" s="33" t="s">
        <v>1801</v>
      </c>
      <c r="B226" s="35">
        <v>46254</v>
      </c>
      <c r="I226" s="11" t="s">
        <v>1955</v>
      </c>
      <c r="J226" s="7">
        <v>46254</v>
      </c>
    </row>
    <row r="227" spans="1:10">
      <c r="A227" s="34" t="s">
        <v>1741</v>
      </c>
      <c r="B227" s="35">
        <v>46254</v>
      </c>
      <c r="I227" s="11" t="s">
        <v>1956</v>
      </c>
      <c r="J227" s="7">
        <v>46254</v>
      </c>
    </row>
    <row r="228" spans="1:10">
      <c r="A228" s="33" t="s">
        <v>1742</v>
      </c>
      <c r="B228" s="35">
        <v>46254</v>
      </c>
      <c r="I228" s="11" t="s">
        <v>1958</v>
      </c>
      <c r="J228" s="7">
        <v>46254</v>
      </c>
    </row>
    <row r="229" spans="1:10">
      <c r="A229" s="34" t="s">
        <v>1828</v>
      </c>
      <c r="B229" s="35">
        <v>46254</v>
      </c>
      <c r="I229" s="11" t="s">
        <v>1959</v>
      </c>
      <c r="J229" s="7">
        <v>46248</v>
      </c>
    </row>
    <row r="230" spans="1:10">
      <c r="A230" s="33" t="s">
        <v>1826</v>
      </c>
      <c r="B230" s="35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3439</v>
      </c>
      <c r="J524" s="7">
        <v>46253</v>
      </c>
    </row>
    <row r="525" spans="9:10">
      <c r="I525" s="11" t="s">
        <v>3440</v>
      </c>
      <c r="J525" s="7">
        <v>46253</v>
      </c>
    </row>
    <row r="526" spans="9:10">
      <c r="I526" s="11" t="s">
        <v>3441</v>
      </c>
      <c r="J526" s="7">
        <v>46253</v>
      </c>
    </row>
    <row r="527" spans="9:10">
      <c r="I527" s="11" t="s">
        <v>3442</v>
      </c>
      <c r="J527" s="7">
        <v>46253</v>
      </c>
    </row>
    <row r="528" spans="9:10">
      <c r="I528" s="11" t="s">
        <v>3443</v>
      </c>
      <c r="J528" s="7">
        <v>46253</v>
      </c>
    </row>
    <row r="529" spans="9:10">
      <c r="I529" s="11" t="s">
        <v>3444</v>
      </c>
      <c r="J529" s="7">
        <v>46253</v>
      </c>
    </row>
    <row r="530" spans="9:10">
      <c r="I530" s="11" t="s">
        <v>3445</v>
      </c>
      <c r="J530" s="7">
        <v>46253</v>
      </c>
    </row>
    <row r="531" spans="9:10">
      <c r="I531" s="11" t="s">
        <v>3446</v>
      </c>
      <c r="J531" s="7">
        <v>46253</v>
      </c>
    </row>
    <row r="532" spans="9:10">
      <c r="I532" s="11" t="s">
        <v>3447</v>
      </c>
      <c r="J532" s="7">
        <v>46253</v>
      </c>
    </row>
    <row r="533" spans="9:10">
      <c r="I533" s="11" t="s">
        <v>3448</v>
      </c>
      <c r="J533" s="7">
        <v>46253</v>
      </c>
    </row>
    <row r="534" spans="9:10">
      <c r="I534" s="11" t="s">
        <v>3449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8" t="s">
        <v>1270</v>
      </c>
      <c r="J575" s="7">
        <v>46266</v>
      </c>
    </row>
    <row r="576" spans="9:10">
      <c r="I576" s="38" t="s">
        <v>3762</v>
      </c>
      <c r="J576" s="7">
        <v>46267</v>
      </c>
    </row>
    <row r="577" spans="9:10">
      <c r="I577" s="38" t="s">
        <v>3764</v>
      </c>
      <c r="J577" s="7">
        <v>46267</v>
      </c>
    </row>
    <row r="578" spans="9:10">
      <c r="I578" s="38" t="s">
        <v>3832</v>
      </c>
      <c r="J578" s="7">
        <v>46267</v>
      </c>
    </row>
    <row r="579" spans="9:10">
      <c r="I579" s="38" t="s">
        <v>1252</v>
      </c>
      <c r="J579" s="7">
        <v>46269</v>
      </c>
    </row>
    <row r="580" spans="9:10">
      <c r="I580" s="38" t="s">
        <v>3437</v>
      </c>
      <c r="J580" s="7">
        <v>46269</v>
      </c>
    </row>
    <row r="581" spans="9:10">
      <c r="I581" s="38" t="s">
        <v>3835</v>
      </c>
      <c r="J581" s="7">
        <v>46269</v>
      </c>
    </row>
    <row r="582" spans="9:10">
      <c r="I582" t="s">
        <v>2098</v>
      </c>
      <c r="J582" s="7">
        <v>46273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R68"/>
  <sheetViews>
    <sheetView tabSelected="1" workbookViewId="0">
      <pane ySplit="1" topLeftCell="A2" activePane="bottomLeft" state="frozen"/>
      <selection pane="bottomLeft" activeCell="A56" sqref="A56"/>
    </sheetView>
  </sheetViews>
  <sheetFormatPr defaultColWidth="9.140625" defaultRowHeight="15"/>
  <cols>
    <col min="1" max="1" width="13.85546875" style="11" bestFit="1" customWidth="1"/>
    <col min="2" max="2" width="11.5703125" style="11" hidden="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4043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4043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3949</v>
      </c>
      <c r="L35" s="11" t="s">
        <v>3953</v>
      </c>
    </row>
    <row r="36" spans="1:14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3895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3823</v>
      </c>
      <c r="M38" s="21" t="s">
        <v>3773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3952</v>
      </c>
      <c r="L42" s="21" t="s">
        <v>3954</v>
      </c>
      <c r="M42" s="21"/>
    </row>
    <row r="43" spans="1:14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3821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3822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3820</v>
      </c>
    </row>
    <row r="46" spans="1:14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3948</v>
      </c>
      <c r="L50" s="27" t="s">
        <v>3510</v>
      </c>
      <c r="M50" s="21" t="s">
        <v>3773</v>
      </c>
    </row>
    <row r="51" spans="1:13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3813</v>
      </c>
      <c r="I52" s="11">
        <v>6</v>
      </c>
      <c r="J52" s="11">
        <v>51</v>
      </c>
      <c r="L52" s="21" t="s">
        <v>4042</v>
      </c>
      <c r="M52" s="21" t="s">
        <v>3819</v>
      </c>
    </row>
    <row r="53" spans="1:13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3950</v>
      </c>
      <c r="L53" s="21" t="s">
        <v>3955</v>
      </c>
    </row>
    <row r="54" spans="1:13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3995</v>
      </c>
      <c r="L54" s="21" t="s">
        <v>3806</v>
      </c>
    </row>
    <row r="55" spans="1:13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>
      <c r="A56" s="11" t="s">
        <v>3807</v>
      </c>
      <c r="B56" s="11" t="str">
        <f t="shared" si="0"/>
        <v>156G84.10</v>
      </c>
      <c r="C56" s="9" t="s">
        <v>3824</v>
      </c>
      <c r="E56" s="11" t="s">
        <v>3741</v>
      </c>
      <c r="F56" s="11" t="s">
        <v>3742</v>
      </c>
      <c r="J56" s="11">
        <v>55</v>
      </c>
      <c r="L56" s="11" t="s">
        <v>3959</v>
      </c>
      <c r="M56" s="11" t="s">
        <v>2184</v>
      </c>
    </row>
    <row r="57" spans="1:13">
      <c r="A57" s="11" t="s">
        <v>3808</v>
      </c>
      <c r="B57" s="11" t="str">
        <f t="shared" si="0"/>
        <v>156G85.00</v>
      </c>
      <c r="C57" s="9" t="s">
        <v>3825</v>
      </c>
      <c r="E57" s="11" t="s">
        <v>3741</v>
      </c>
      <c r="F57" s="11" t="s">
        <v>3779</v>
      </c>
      <c r="J57" s="11">
        <v>56</v>
      </c>
      <c r="K57" s="11" t="s">
        <v>3947</v>
      </c>
      <c r="L57" s="11" t="s">
        <v>4044</v>
      </c>
      <c r="M57" s="11" t="s">
        <v>2184</v>
      </c>
    </row>
    <row r="58" spans="1:13">
      <c r="A58" s="13" t="s">
        <v>3759</v>
      </c>
      <c r="B58" s="11" t="str">
        <f t="shared" si="0"/>
        <v>20LA42.00</v>
      </c>
      <c r="C58" s="30" t="s">
        <v>3967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7" t="s">
        <v>3945</v>
      </c>
      <c r="L58" s="13" t="s">
        <v>3960</v>
      </c>
      <c r="M58" s="57" t="s">
        <v>3946</v>
      </c>
    </row>
    <row r="59" spans="1:13">
      <c r="C59" s="11" t="s">
        <v>4045</v>
      </c>
      <c r="E59" s="11" t="s">
        <v>3741</v>
      </c>
      <c r="F59" s="11" t="s">
        <v>4043</v>
      </c>
    </row>
    <row r="63" spans="1:13">
      <c r="I63" s="11">
        <f>I58-I30</f>
        <v>37</v>
      </c>
    </row>
    <row r="68" spans="12:12" ht="21.75">
      <c r="L68" s="39"/>
    </row>
  </sheetData>
  <autoFilter ref="A1:R59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L17" sqref="A13:L17"/>
    </sheetView>
  </sheetViews>
  <sheetFormatPr defaultRowHeight="1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>
      <c r="A1" s="11" t="s">
        <v>3804</v>
      </c>
      <c r="D1" s="11" t="s">
        <v>3816</v>
      </c>
      <c r="E1" s="11" t="s">
        <v>67</v>
      </c>
      <c r="F1" s="11" t="s">
        <v>3</v>
      </c>
      <c r="Q1" s="11"/>
      <c r="R1" s="11"/>
    </row>
    <row r="2" spans="1:18" s="11" customFormat="1">
      <c r="A2" s="41" t="s">
        <v>1434</v>
      </c>
      <c r="B2" s="41" t="s">
        <v>87</v>
      </c>
      <c r="C2" s="41" t="s">
        <v>3977</v>
      </c>
      <c r="D2" s="41" t="s">
        <v>3816</v>
      </c>
      <c r="E2" s="41" t="s">
        <v>67</v>
      </c>
      <c r="F2" s="41" t="s">
        <v>3978</v>
      </c>
      <c r="G2" s="41" t="s">
        <v>68</v>
      </c>
      <c r="H2" s="42" t="s">
        <v>3983</v>
      </c>
      <c r="I2" s="42" t="s">
        <v>3984</v>
      </c>
      <c r="J2" s="42" t="s">
        <v>3985</v>
      </c>
    </row>
    <row r="3" spans="1:18">
      <c r="A3" s="41" t="s">
        <v>2224</v>
      </c>
      <c r="B3" s="41" t="s">
        <v>3976</v>
      </c>
      <c r="C3" s="41" t="s">
        <v>3963</v>
      </c>
      <c r="D3" s="41" t="s">
        <v>3972</v>
      </c>
      <c r="E3" s="41" t="s">
        <v>3507</v>
      </c>
      <c r="F3" s="41">
        <v>8</v>
      </c>
      <c r="G3" s="41" t="s">
        <v>3973</v>
      </c>
      <c r="H3" s="41" t="s">
        <v>3980</v>
      </c>
      <c r="I3" s="41">
        <v>10</v>
      </c>
      <c r="J3" s="41">
        <f>F3*I3</f>
        <v>80</v>
      </c>
      <c r="P3" s="40"/>
    </row>
    <row r="4" spans="1:18">
      <c r="A4" s="41" t="s">
        <v>2156</v>
      </c>
      <c r="B4" s="41" t="s">
        <v>3975</v>
      </c>
      <c r="C4" s="41" t="s">
        <v>3962</v>
      </c>
      <c r="D4" s="41" t="s">
        <v>3971</v>
      </c>
      <c r="E4" s="41" t="s">
        <v>3506</v>
      </c>
      <c r="F4" s="41">
        <v>56</v>
      </c>
      <c r="G4" s="41" t="s">
        <v>3207</v>
      </c>
      <c r="H4" s="42" t="s">
        <v>3981</v>
      </c>
      <c r="I4" s="42">
        <f>10+20</f>
        <v>30</v>
      </c>
      <c r="J4" s="41">
        <f>F4*I4</f>
        <v>1680</v>
      </c>
    </row>
    <row r="5" spans="1:18">
      <c r="A5" s="41" t="s">
        <v>3968</v>
      </c>
      <c r="B5" s="41" t="s">
        <v>3975</v>
      </c>
      <c r="C5" s="41" t="s">
        <v>3965</v>
      </c>
      <c r="D5" s="41" t="s">
        <v>3969</v>
      </c>
      <c r="E5" s="41" t="s">
        <v>3970</v>
      </c>
      <c r="F5" s="41">
        <v>52</v>
      </c>
      <c r="G5" s="41" t="s">
        <v>3979</v>
      </c>
      <c r="H5" s="42"/>
      <c r="I5" s="42">
        <f>10+20</f>
        <v>30</v>
      </c>
      <c r="J5" s="41">
        <f>F5*I5</f>
        <v>1560</v>
      </c>
      <c r="O5" s="11"/>
    </row>
    <row r="6" spans="1:18">
      <c r="A6" s="41" t="s">
        <v>3968</v>
      </c>
      <c r="B6" s="41" t="s">
        <v>3975</v>
      </c>
      <c r="C6" s="41" t="s">
        <v>3965</v>
      </c>
      <c r="D6" s="41" t="s">
        <v>3949</v>
      </c>
      <c r="E6" s="41" t="s">
        <v>3974</v>
      </c>
      <c r="F6" s="41">
        <v>16</v>
      </c>
      <c r="G6" s="41" t="s">
        <v>3979</v>
      </c>
      <c r="H6" s="42" t="s">
        <v>3982</v>
      </c>
      <c r="I6" s="41">
        <v>30</v>
      </c>
      <c r="J6" s="41">
        <f>(4*30)+(12*10)</f>
        <v>240</v>
      </c>
      <c r="O6" s="11"/>
    </row>
    <row r="7" spans="1:18">
      <c r="A7" s="41"/>
      <c r="B7" s="41"/>
      <c r="C7" s="41"/>
      <c r="D7" s="41"/>
      <c r="E7" s="41"/>
      <c r="F7" s="41"/>
      <c r="G7" s="41"/>
      <c r="H7" s="41"/>
      <c r="I7" s="41"/>
      <c r="J7" s="43">
        <f>SUM(J3:J6)</f>
        <v>3560</v>
      </c>
    </row>
    <row r="13" spans="1:18">
      <c r="A13" s="44" t="s">
        <v>1434</v>
      </c>
      <c r="B13" s="44" t="s">
        <v>87</v>
      </c>
      <c r="C13" s="44" t="s">
        <v>3977</v>
      </c>
      <c r="D13" s="44" t="s">
        <v>3816</v>
      </c>
      <c r="E13" s="44" t="s">
        <v>67</v>
      </c>
      <c r="F13" s="44" t="s">
        <v>3978</v>
      </c>
      <c r="G13" s="44" t="s">
        <v>68</v>
      </c>
      <c r="H13" s="44" t="s">
        <v>3983</v>
      </c>
      <c r="I13" s="44"/>
      <c r="J13" s="45" t="s">
        <v>3990</v>
      </c>
      <c r="K13" s="45" t="s">
        <v>3991</v>
      </c>
      <c r="L13" s="45" t="s">
        <v>3992</v>
      </c>
    </row>
    <row r="14" spans="1:18">
      <c r="A14" s="44" t="s">
        <v>2224</v>
      </c>
      <c r="B14" s="44" t="s">
        <v>3986</v>
      </c>
      <c r="C14" s="44" t="s">
        <v>3963</v>
      </c>
      <c r="D14" s="44" t="s">
        <v>3972</v>
      </c>
      <c r="E14" s="44" t="s">
        <v>3507</v>
      </c>
      <c r="F14" s="46">
        <v>8</v>
      </c>
      <c r="G14" s="44" t="s">
        <v>3973</v>
      </c>
      <c r="H14" s="44" t="s">
        <v>3980</v>
      </c>
      <c r="I14" s="46">
        <v>10</v>
      </c>
      <c r="J14" s="41">
        <v>80</v>
      </c>
      <c r="K14" s="41">
        <v>0</v>
      </c>
      <c r="L14" s="41">
        <f>J14+K14</f>
        <v>80</v>
      </c>
    </row>
    <row r="15" spans="1:18">
      <c r="A15" s="44" t="s">
        <v>2156</v>
      </c>
      <c r="B15" s="44" t="s">
        <v>3975</v>
      </c>
      <c r="C15" s="44" t="s">
        <v>3962</v>
      </c>
      <c r="D15" s="44" t="s">
        <v>3971</v>
      </c>
      <c r="E15" s="44" t="s">
        <v>3506</v>
      </c>
      <c r="F15" s="46">
        <v>56</v>
      </c>
      <c r="G15" s="44" t="s">
        <v>3207</v>
      </c>
      <c r="H15" s="44" t="s">
        <v>3981</v>
      </c>
      <c r="I15" s="46">
        <v>10</v>
      </c>
      <c r="J15" s="41">
        <v>560</v>
      </c>
      <c r="K15" s="41">
        <v>200</v>
      </c>
      <c r="L15" s="41">
        <f t="shared" ref="L15:L17" si="0">J15+K15</f>
        <v>760</v>
      </c>
      <c r="M15" s="11" t="s">
        <v>3993</v>
      </c>
    </row>
    <row r="16" spans="1:18">
      <c r="A16" s="44" t="s">
        <v>3987</v>
      </c>
      <c r="B16" s="44" t="s">
        <v>3975</v>
      </c>
      <c r="C16" s="44" t="s">
        <v>3965</v>
      </c>
      <c r="D16" s="44" t="s">
        <v>3969</v>
      </c>
      <c r="E16" s="44" t="s">
        <v>3970</v>
      </c>
      <c r="F16" s="46">
        <v>52</v>
      </c>
      <c r="G16" s="44" t="s">
        <v>3979</v>
      </c>
      <c r="H16" s="44"/>
      <c r="I16" s="46">
        <v>10</v>
      </c>
      <c r="J16" s="41">
        <v>520</v>
      </c>
      <c r="K16" s="41">
        <v>0</v>
      </c>
      <c r="L16" s="41">
        <f t="shared" si="0"/>
        <v>520</v>
      </c>
    </row>
    <row r="17" spans="1:13" ht="45">
      <c r="A17" s="44" t="s">
        <v>3987</v>
      </c>
      <c r="B17" s="47" t="s">
        <v>3988</v>
      </c>
      <c r="C17" s="44" t="s">
        <v>3965</v>
      </c>
      <c r="D17" s="44" t="s">
        <v>3949</v>
      </c>
      <c r="E17" s="44" t="s">
        <v>3974</v>
      </c>
      <c r="F17" s="46">
        <v>16</v>
      </c>
      <c r="G17" s="44" t="s">
        <v>3979</v>
      </c>
      <c r="H17" s="44" t="s">
        <v>3989</v>
      </c>
      <c r="I17" s="46">
        <v>10</v>
      </c>
      <c r="J17" s="41">
        <v>160</v>
      </c>
      <c r="K17" s="41">
        <v>80</v>
      </c>
      <c r="L17" s="41">
        <f t="shared" si="0"/>
        <v>240</v>
      </c>
      <c r="M17" s="11" t="s">
        <v>3994</v>
      </c>
    </row>
    <row r="18" spans="1:13">
      <c r="A18" s="44"/>
      <c r="B18" s="44"/>
      <c r="C18" s="44"/>
      <c r="D18" s="44"/>
      <c r="E18" s="44"/>
      <c r="F18" s="44"/>
      <c r="G18" s="44"/>
      <c r="H18" s="44"/>
      <c r="I18" s="44"/>
      <c r="J18" s="41">
        <v>1320</v>
      </c>
      <c r="K18" s="41">
        <v>280</v>
      </c>
      <c r="L18" s="42">
        <f>SUM(L14:L17)</f>
        <v>1600</v>
      </c>
    </row>
    <row r="26" spans="1:13">
      <c r="A26" s="48" t="s">
        <v>1434</v>
      </c>
      <c r="B26" s="48" t="s">
        <v>87</v>
      </c>
      <c r="C26" s="48" t="s">
        <v>3977</v>
      </c>
      <c r="D26" s="48" t="s">
        <v>3816</v>
      </c>
      <c r="E26" s="48" t="s">
        <v>67</v>
      </c>
      <c r="F26" s="48" t="s">
        <v>3978</v>
      </c>
      <c r="G26" s="48"/>
      <c r="H26" s="48" t="s">
        <v>68</v>
      </c>
      <c r="I26" s="48" t="s">
        <v>3983</v>
      </c>
      <c r="J26" s="49" t="s">
        <v>3990</v>
      </c>
      <c r="K26" s="49" t="s">
        <v>3991</v>
      </c>
      <c r="L26" s="49" t="s">
        <v>3992</v>
      </c>
      <c r="M26" s="25"/>
    </row>
    <row r="27" spans="1:13">
      <c r="A27" s="48" t="s">
        <v>2224</v>
      </c>
      <c r="B27" s="48" t="s">
        <v>3986</v>
      </c>
      <c r="C27" s="48" t="s">
        <v>3963</v>
      </c>
      <c r="D27" s="48" t="s">
        <v>3972</v>
      </c>
      <c r="E27" s="48" t="s">
        <v>3507</v>
      </c>
      <c r="F27" s="46">
        <v>8</v>
      </c>
      <c r="G27" s="46">
        <v>8</v>
      </c>
      <c r="H27" s="48" t="s">
        <v>3973</v>
      </c>
      <c r="I27" s="48" t="s">
        <v>3980</v>
      </c>
      <c r="J27" s="50">
        <v>80</v>
      </c>
      <c r="K27" s="50">
        <v>0</v>
      </c>
      <c r="L27" s="50">
        <f>J27+K27</f>
        <v>80</v>
      </c>
      <c r="M27" s="25"/>
    </row>
    <row r="28" spans="1:13">
      <c r="A28" s="48" t="s">
        <v>2156</v>
      </c>
      <c r="B28" s="48" t="s">
        <v>3975</v>
      </c>
      <c r="C28" s="48" t="s">
        <v>3962</v>
      </c>
      <c r="D28" s="48" t="s">
        <v>3971</v>
      </c>
      <c r="E28" s="48" t="s">
        <v>3506</v>
      </c>
      <c r="F28" s="46">
        <v>56</v>
      </c>
      <c r="G28" s="46"/>
      <c r="H28" s="48" t="s">
        <v>3207</v>
      </c>
      <c r="I28" s="48" t="s">
        <v>3981</v>
      </c>
      <c r="J28" s="50">
        <v>560</v>
      </c>
      <c r="K28" s="50">
        <v>200</v>
      </c>
      <c r="L28" s="50">
        <f>J28+K28</f>
        <v>760</v>
      </c>
      <c r="M28" s="25" t="s">
        <v>3993</v>
      </c>
    </row>
    <row r="29" spans="1:13">
      <c r="A29" s="48" t="s">
        <v>3987</v>
      </c>
      <c r="B29" s="48" t="s">
        <v>3975</v>
      </c>
      <c r="C29" s="48" t="s">
        <v>3965</v>
      </c>
      <c r="D29" s="48" t="s">
        <v>3969</v>
      </c>
      <c r="E29" s="48" t="s">
        <v>3970</v>
      </c>
      <c r="F29" s="46">
        <v>52</v>
      </c>
      <c r="G29" s="11"/>
      <c r="H29" s="48" t="s">
        <v>3979</v>
      </c>
      <c r="I29" s="48"/>
      <c r="J29" s="50">
        <v>520</v>
      </c>
      <c r="K29" s="50">
        <v>0</v>
      </c>
      <c r="L29" s="50">
        <f>J29+K29</f>
        <v>520</v>
      </c>
      <c r="M29" s="25"/>
    </row>
    <row r="30" spans="1:13">
      <c r="A30" s="48" t="s">
        <v>3987</v>
      </c>
      <c r="B30" s="48" t="s">
        <v>3988</v>
      </c>
      <c r="C30" s="48" t="s">
        <v>3965</v>
      </c>
      <c r="D30" s="48" t="s">
        <v>3949</v>
      </c>
      <c r="E30" s="48" t="s">
        <v>3974</v>
      </c>
      <c r="F30" s="46">
        <v>16</v>
      </c>
      <c r="G30" s="46">
        <v>16</v>
      </c>
      <c r="H30" s="48" t="s">
        <v>3979</v>
      </c>
      <c r="I30" s="48" t="s">
        <v>3989</v>
      </c>
      <c r="J30" s="50">
        <v>160</v>
      </c>
      <c r="K30" s="50">
        <v>80</v>
      </c>
      <c r="L30" s="50">
        <f>J30+K30</f>
        <v>240</v>
      </c>
      <c r="M30" s="25" t="s">
        <v>3994</v>
      </c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  <c r="J31" s="50">
        <v>1320</v>
      </c>
      <c r="K31" s="50">
        <v>280</v>
      </c>
      <c r="L31" s="51">
        <f>SUM(L27:L30)</f>
        <v>1600</v>
      </c>
      <c r="M31" s="25"/>
    </row>
    <row r="32" spans="1:13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2026-09-11T14:58:21Z</dcterms:modified>
</cp:coreProperties>
</file>
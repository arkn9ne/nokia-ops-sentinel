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5"/>
  </bookViews>
  <sheets>
    <sheet name="Shop Order" sheetId="1" r:id="rId1"/>
    <sheet name="Sheet15" sheetId="109" r:id="rId2"/>
    <sheet name="Sheet17" sheetId="111" r:id="rId3"/>
    <sheet name="Sheet18" sheetId="112" r:id="rId4"/>
    <sheet name="Summary" sheetId="3" r:id="rId5"/>
    <sheet name="Sheet2" sheetId="5" r:id="rId6"/>
    <sheet name="Sheet14" sheetId="108" r:id="rId7"/>
  </sheets>
  <externalReferences>
    <externalReference r:id="rId8"/>
  </externalReferences>
  <definedNames>
    <definedName name="_xlnm._FilterDatabase" localSheetId="6" hidden="1">Sheet14!$A$1556:$F$1585</definedName>
    <definedName name="_xlnm._FilterDatabase" localSheetId="5" hidden="1">Sheet2!$A$1:$K$39</definedName>
    <definedName name="_xlnm._FilterDatabase" localSheetId="0" hidden="1">'Shop Order'!$A$1:$L$1811</definedName>
  </definedNames>
  <calcPr calcId="125725"/>
  <pivotCaches>
    <pivotCache cacheId="63" r:id="rId9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2"/>
  <c r="F14" i="5" l="1"/>
  <c r="F21"/>
  <c r="F33"/>
  <c r="F22"/>
  <c r="F3"/>
  <c r="F2"/>
  <c r="F28"/>
  <c r="F16"/>
  <c r="F4"/>
  <c r="F15"/>
  <c r="F29"/>
  <c r="F17"/>
  <c r="F5"/>
  <c r="F39"/>
  <c r="F27"/>
  <c r="F30"/>
  <c r="F18"/>
  <c r="F6"/>
  <c r="F7"/>
  <c r="F31"/>
  <c r="F19"/>
  <c r="F32"/>
  <c r="F20"/>
  <c r="F8"/>
  <c r="F9"/>
  <c r="F10"/>
  <c r="F11"/>
  <c r="F34"/>
  <c r="F35"/>
  <c r="F24"/>
  <c r="F12"/>
  <c r="F37"/>
  <c r="F25"/>
  <c r="F13"/>
  <c r="F23"/>
  <c r="F38"/>
  <c r="F26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2"/>
  <c r="C32" l="1"/>
  <c r="C33"/>
  <c r="C35"/>
  <c r="D39" l="1"/>
  <c r="D38" l="1"/>
  <c r="I55" i="3"/>
  <c r="D37" i="5" l="1"/>
  <c r="D36"/>
  <c r="D3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C3" i="5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D21" l="1"/>
  <c r="C2"/>
  <c r="D34"/>
  <c r="D33"/>
  <c r="D32"/>
  <c r="D31"/>
  <c r="D30"/>
  <c r="D24"/>
</calcChain>
</file>

<file path=xl/sharedStrings.xml><?xml version="1.0" encoding="utf-8"?>
<sst xmlns="http://schemas.openxmlformats.org/spreadsheetml/2006/main" count="25921" uniqueCount="2011">
  <si>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</si>
  <si>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</si>
  <si>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</si>
  <si>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</si>
  <si>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</si>
  <si>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</si>
  <si>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</si>
  <si>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</si>
  <si>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</si>
  <si>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</si>
  <si>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</si>
  <si>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</si>
  <si>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</si>
  <si>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</si>
  <si>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</si>
  <si>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</si>
  <si>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</si>
  <si>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</si>
  <si>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</si>
  <si>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</si>
  <si>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</si>
  <si>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</si>
  <si>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</si>
  <si>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</si>
  <si>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</si>
  <si>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</si>
  <si>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</si>
  <si>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</si>
  <si>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</si>
  <si>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</si>
  <si>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</si>
  <si>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</si>
  <si>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</si>
  <si>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</si>
  <si>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</si>
  <si>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</si>
  <si>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</si>
  <si>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</si>
  <si>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</si>
  <si>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</si>
  <si>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</si>
  <si>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</si>
  <si>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</si>
  <si>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</si>
  <si>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</si>
  <si>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</si>
  <si>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</si>
  <si>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</si>
  <si>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</si>
  <si>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</si>
  <si>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</si>
  <si>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</si>
  <si>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</si>
  <si>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</si>
  <si>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</si>
  <si>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</si>
  <si>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</si>
  <si>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</si>
  <si>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</si>
  <si>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</si>
  <si>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</si>
  <si>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</si>
  <si>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</si>
  <si>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</si>
  <si>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</si>
  <si>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</si>
  <si>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</si>
  <si>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</si>
  <si>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</si>
  <si>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</si>
  <si>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</si>
  <si>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</si>
  <si>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</si>
  <si>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</si>
  <si>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</si>
  <si>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</si>
  <si>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</si>
  <si>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</si>
  <si>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</si>
  <si>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</si>
  <si>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</si>
  <si>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</si>
  <si>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</si>
  <si>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</si>
  <si>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</si>
  <si>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</si>
  <si>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</si>
  <si>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</si>
  <si>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</si>
  <si>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</si>
  <si>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</si>
  <si>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</si>
  <si>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</si>
  <si>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</si>
  <si>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</si>
  <si>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</si>
  <si>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</si>
  <si>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</si>
  <si>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</si>
  <si>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</si>
  <si>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</si>
  <si>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</si>
  <si>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</si>
  <si>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</si>
  <si>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</si>
  <si>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</si>
  <si>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</si>
  <si>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</si>
  <si>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</si>
  <si>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</si>
  <si>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</si>
  <si>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</si>
  <si>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</si>
  <si>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</si>
  <si>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</si>
  <si>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</si>
  <si>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</si>
  <si>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</si>
  <si>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</si>
  <si>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</si>
  <si>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</si>
  <si>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</si>
  <si>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</si>
  <si>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</si>
  <si>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</si>
  <si>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</si>
  <si>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</si>
  <si>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</si>
  <si>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</si>
  <si>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</si>
  <si>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</si>
  <si>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</si>
  <si>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</si>
  <si>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</si>
  <si>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</si>
  <si>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</si>
  <si>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</si>
  <si>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</si>
  <si>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</si>
  <si>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</si>
  <si>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</si>
  <si>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</si>
  <si>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</si>
  <si>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</si>
  <si>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</si>
  <si>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</si>
  <si>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</si>
  <si>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</si>
  <si>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</si>
  <si>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</si>
  <si>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</si>
  <si>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</si>
  <si>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</si>
  <si>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</si>
  <si>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</si>
  <si>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</si>
  <si>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</si>
  <si>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</si>
  <si>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</si>
  <si>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</si>
  <si>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</si>
  <si>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</si>
  <si>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</si>
  <si>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</si>
  <si>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</si>
  <si>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</si>
  <si>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</si>
  <si>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</si>
  <si>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</si>
  <si>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</si>
  <si>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</si>
  <si>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</si>
  <si>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</si>
  <si>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</si>
  <si>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</si>
  <si>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</si>
  <si>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</si>
  <si>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</si>
  <si>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</si>
  <si>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</si>
  <si>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</si>
  <si>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</si>
  <si>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</si>
  <si>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</si>
  <si>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</si>
  <si>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</si>
  <si>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</si>
  <si>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</si>
  <si>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</si>
  <si>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</si>
  <si>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</si>
  <si>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</si>
  <si>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</si>
  <si>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</si>
  <si>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</si>
  <si>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</si>
  <si>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</si>
  <si>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</si>
  <si>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</si>
  <si>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</si>
  <si>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</si>
  <si>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</si>
  <si>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</si>
  <si>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</si>
  <si>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</si>
  <si>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</si>
  <si>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</si>
  <si>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</si>
  <si>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</si>
  <si>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</si>
  <si>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</si>
  <si>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</si>
  <si>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</si>
  <si>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</si>
  <si>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</si>
  <si>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</si>
  <si>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</si>
  <si>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</si>
  <si>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</si>
  <si>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</si>
  <si>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</si>
  <si>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</si>
  <si>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</si>
  <si>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</si>
  <si>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</si>
  <si>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</si>
  <si>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</si>
  <si>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</si>
  <si>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</si>
  <si>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</si>
  <si>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</si>
  <si>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</si>
  <si>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</si>
  <si>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</si>
  <si>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</si>
  <si>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</si>
  <si>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</si>
  <si>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</si>
  <si>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</si>
  <si>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</si>
  <si>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</si>
  <si>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</si>
  <si>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</si>
  <si>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</si>
  <si>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</si>
  <si>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</si>
  <si>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</si>
  <si>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</si>
  <si>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</si>
  <si>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</si>
  <si>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</si>
  <si>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</si>
  <si>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</si>
  <si>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</si>
  <si>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</si>
  <si>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</si>
  <si>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</si>
  <si>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</si>
  <si>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</si>
  <si>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</si>
  <si>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</si>
  <si>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</si>
  <si>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</si>
  <si>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</si>
  <si>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</si>
  <si>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</si>
  <si>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</si>
  <si>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</si>
  <si>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</si>
  <si>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</si>
  <si>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</si>
  <si>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</si>
  <si>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</si>
  <si>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</si>
  <si>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</si>
  <si>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</si>
  <si>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</si>
  <si>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</si>
  <si>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</si>
  <si>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</si>
  <si>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</si>
  <si>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</si>
  <si>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</si>
  <si>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</si>
  <si>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</si>
  <si>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</si>
  <si>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</si>
  <si>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</si>
  <si>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</si>
  <si>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</si>
  <si>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</si>
  <si>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</si>
  <si>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</si>
  <si>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</si>
  <si>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</si>
  <si>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</si>
  <si>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</si>
  <si>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</si>
  <si>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</si>
  <si>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</si>
  <si>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</si>
  <si>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</si>
  <si>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</si>
  <si>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</si>
  <si>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</si>
  <si>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</si>
  <si>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</si>
  <si>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</si>
  <si>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</si>
  <si>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</si>
  <si>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</si>
  <si>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</si>
  <si>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</si>
  <si>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</si>
  <si>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</si>
  <si>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</si>
  <si>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</si>
  <si>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</si>
  <si>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</si>
  <si>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</si>
  <si>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</si>
  <si>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</si>
  <si>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</si>
  <si>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</si>
  <si>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</si>
  <si>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</si>
  <si>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</si>
  <si>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</si>
  <si>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</si>
  <si>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</si>
  <si>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</si>
  <si>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</si>
  <si>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</si>
  <si>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</si>
  <si>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</si>
  <si>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</si>
  <si>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</si>
  <si>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</si>
  <si>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</si>
  <si>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</si>
  <si>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</si>
  <si>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</si>
  <si>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</si>
  <si>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</si>
  <si>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</si>
  <si>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</si>
  <si>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</si>
  <si>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</si>
  <si>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</si>
  <si>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</si>
  <si>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</si>
  <si>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</si>
  <si>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</si>
  <si>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</si>
  <si>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</si>
  <si>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</si>
  <si>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</si>
  <si>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</si>
  <si>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</si>
  <si>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</si>
  <si>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</si>
  <si>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</si>
  <si>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</si>
  <si>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</si>
  <si>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</si>
  <si>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</si>
  <si>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</si>
  <si>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</si>
  <si>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</si>
  <si>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</si>
  <si>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</si>
  <si>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</si>
  <si>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</si>
  <si>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</si>
  <si>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</si>
  <si>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</si>
  <si>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</si>
  <si>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</si>
  <si>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</si>
  <si>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</si>
  <si>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</si>
  <si>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</si>
  <si>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</si>
  <si>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</si>
  <si>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</si>
  <si>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</si>
  <si>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</si>
  <si>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</si>
  <si>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</si>
  <si>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</si>
  <si>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</si>
  <si>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</si>
  <si>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</si>
  <si>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</si>
  <si>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</si>
  <si>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</si>
  <si>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</si>
  <si>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</si>
  <si>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</si>
  <si>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</si>
  <si>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</si>
  <si>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</si>
  <si>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</si>
  <si>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</si>
  <si>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</si>
  <si>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</si>
  <si>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</si>
  <si>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</si>
  <si>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</si>
  <si>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</si>
  <si>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</si>
  <si>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</si>
  <si>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</si>
  <si>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</si>
  <si>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</si>
  <si>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</si>
  <si>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</si>
  <si>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</si>
  <si>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</si>
  <si>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</si>
  <si>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</si>
  <si>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</si>
  <si>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</si>
  <si>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</si>
  <si>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</si>
  <si>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</si>
  <si>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</si>
  <si>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</si>
  <si>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</si>
  <si>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</si>
  <si>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</si>
  <si>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</si>
  <si>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</si>
  <si>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</si>
  <si>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</si>
  <si>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</si>
  <si>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</si>
  <si>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</si>
  <si>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</si>
  <si>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</si>
  <si>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</si>
  <si>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</si>
  <si>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</si>
  <si>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</si>
  <si>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</si>
  <si>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</si>
  <si>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</si>
  <si>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</si>
  <si>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</si>
  <si>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</si>
  <si>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</si>
  <si>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</si>
  <si>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</si>
  <si>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</si>
  <si>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</si>
  <si>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</si>
  <si>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</si>
  <si>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</si>
  <si>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</si>
  <si>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</si>
  <si>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</si>
  <si>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</si>
  <si>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</si>
  <si>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</si>
  <si>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</si>
  <si>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</si>
  <si>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</si>
  <si>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</si>
  <si>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</si>
  <si>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</si>
  <si>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</si>
  <si>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</si>
  <si>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</si>
  <si>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</si>
  <si>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</si>
  <si>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</si>
  <si>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</si>
  <si>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</si>
  <si>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</si>
  <si>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</si>
  <si>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</si>
  <si>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</si>
  <si>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</si>
  <si>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</si>
  <si>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</si>
  <si>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</si>
  <si>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</si>
  <si>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</si>
  <si>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</si>
  <si>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</si>
  <si>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</si>
  <si>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</si>
  <si>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</si>
  <si>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</si>
  <si>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</si>
  <si>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</si>
  <si>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</si>
  <si>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</si>
  <si>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</si>
  <si>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</si>
  <si>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</si>
  <si>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</si>
  <si>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</si>
  <si>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</si>
  <si>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</si>
  <si>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</si>
  <si>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</si>
  <si>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</si>
  <si>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</si>
  <si>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</si>
  <si>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</si>
  <si>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</si>
  <si>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</si>
  <si>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</si>
  <si>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</si>
  <si>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</si>
  <si>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</si>
  <si>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</si>
  <si>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</si>
  <si>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</si>
  <si>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</si>
  <si>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</si>
  <si>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</si>
  <si>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</si>
  <si>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</si>
  <si>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</si>
  <si>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</si>
  <si>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</si>
  <si>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</si>
  <si>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</si>
  <si>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</si>
  <si>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</si>
  <si>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</si>
  <si>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</si>
  <si>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</si>
  <si>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</si>
  <si>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</si>
  <si>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</si>
  <si>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</si>
  <si>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</si>
  <si>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</si>
  <si>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</si>
  <si>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</si>
  <si>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</si>
  <si>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</si>
  <si>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</si>
  <si>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</si>
  <si>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</si>
  <si>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</si>
  <si>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</si>
  <si>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</si>
  <si>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</si>
  <si>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</si>
  <si>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</si>
  <si>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</si>
  <si>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</si>
  <si>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</si>
  <si>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</si>
  <si>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</si>
  <si>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</si>
  <si>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</si>
  <si>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</si>
  <si>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</si>
  <si>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</si>
  <si>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</si>
  <si>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</si>
  <si>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</si>
  <si>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</si>
  <si>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</si>
  <si>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</si>
  <si>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</si>
  <si>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</si>
  <si>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</si>
  <si>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</si>
  <si>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</si>
  <si>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</si>
  <si>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</si>
  <si>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</si>
  <si>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</si>
  <si>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</si>
  <si>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</si>
  <si>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</si>
  <si>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</si>
  <si>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</si>
  <si>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</si>
  <si>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</si>
  <si>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</si>
  <si>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</si>
  <si>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</si>
  <si>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</si>
  <si>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</si>
  <si>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</si>
  <si>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</si>
  <si>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</si>
  <si>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</si>
  <si>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</si>
  <si>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</si>
  <si>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</si>
  <si>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</si>
  <si>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</si>
  <si>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</si>
  <si>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</si>
  <si>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</si>
  <si>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</si>
  <si>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</si>
  <si>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</si>
  <si>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</si>
  <si>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</si>
  <si>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</si>
  <si>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</si>
  <si>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</si>
  <si>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</si>
  <si>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</si>
  <si>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</si>
  <si>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</si>
  <si>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</si>
  <si>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</si>
  <si>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</si>
  <si>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</si>
  <si>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</si>
  <si>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</si>
  <si>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</si>
  <si>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</si>
  <si>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</si>
  <si>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</si>
  <si>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</si>
  <si>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</si>
  <si>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</si>
  <si>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</si>
  <si>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</si>
  <si>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</si>
  <si>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</si>
  <si>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</si>
  <si>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</si>
  <si>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</si>
  <si>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</si>
  <si>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</si>
  <si>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</si>
  <si>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</si>
  <si>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</si>
  <si>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</si>
  <si>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</si>
  <si>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</si>
  <si>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</si>
  <si>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</si>
  <si>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</si>
  <si>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</si>
  <si>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</si>
  <si>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</si>
  <si>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</si>
  <si>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</si>
  <si>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</si>
  <si>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</si>
  <si>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</si>
  <si>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</si>
  <si>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</si>
  <si>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</si>
  <si>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</si>
  <si>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</si>
  <si>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</si>
  <si>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</si>
  <si>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</si>
  <si>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</si>
  <si>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</si>
  <si>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</si>
  <si>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</si>
  <si>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</si>
  <si>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</si>
  <si>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</si>
  <si>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</si>
  <si>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</si>
  <si>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</si>
  <si>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</si>
  <si>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</si>
  <si>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</si>
  <si>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</si>
  <si>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</si>
  <si>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</si>
  <si>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</si>
  <si>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</si>
  <si>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</si>
  <si>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</si>
  <si>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</si>
  <si>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</si>
  <si>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</si>
  <si>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</si>
  <si>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</si>
  <si>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</si>
  <si>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</si>
  <si>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</si>
  <si>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</si>
  <si>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</si>
  <si>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</si>
  <si>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</si>
  <si>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</si>
  <si>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</si>
  <si>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</si>
  <si>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</si>
  <si>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</si>
  <si>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</si>
  <si>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</si>
  <si>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</si>
  <si>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</si>
  <si>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</si>
  <si>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</si>
  <si>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</si>
  <si>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</si>
  <si>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</si>
  <si>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</si>
  <si>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</si>
  <si>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</si>
  <si>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</si>
  <si>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</si>
  <si>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</si>
  <si>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</si>
  <si>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</si>
  <si>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</si>
  <si>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</si>
  <si>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</si>
  <si>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</si>
  <si>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</si>
  <si>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</si>
  <si>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</si>
  <si>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</si>
  <si>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</si>
  <si>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</si>
  <si>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</si>
  <si>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</si>
  <si>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</si>
  <si>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</si>
  <si>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</si>
  <si>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</si>
  <si>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</si>
  <si>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</si>
  <si>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</si>
  <si>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</si>
  <si>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</si>
  <si>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</si>
  <si>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</si>
  <si>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</si>
  <si>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</si>
  <si>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</si>
  <si>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</si>
  <si>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</si>
  <si>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</si>
  <si>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</si>
  <si>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</si>
  <si>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</si>
  <si>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</si>
  <si>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</si>
  <si>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</si>
  <si>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</si>
  <si>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</si>
  <si>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</si>
  <si>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</si>
  <si>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</si>
  <si>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</si>
  <si>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</si>
  <si>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</si>
  <si>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</si>
  <si>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</si>
  <si>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</si>
  <si>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</si>
  <si>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</si>
  <si>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</si>
  <si>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</si>
  <si>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</si>
  <si>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</si>
  <si>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</si>
  <si>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</si>
  <si>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</si>
  <si>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</si>
  <si>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</si>
  <si>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</si>
  <si>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</si>
  <si>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</si>
  <si>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</si>
  <si>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</si>
  <si>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</si>
  <si>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</si>
  <si>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</si>
  <si>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</si>
  <si>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</si>
  <si>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</si>
  <si>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</si>
  <si>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</si>
  <si>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</si>
  <si>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</si>
  <si>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</si>
  <si>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</si>
  <si>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</si>
  <si>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</si>
  <si>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</si>
  <si>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</si>
  <si>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</si>
  <si>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</si>
  <si>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</si>
  <si>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</si>
  <si>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</si>
  <si>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</si>
  <si>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</si>
  <si>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</si>
  <si>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</si>
  <si>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</si>
  <si>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</si>
  <si>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</si>
  <si>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</si>
  <si>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</si>
  <si>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</si>
  <si>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</si>
  <si>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</si>
  <si>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</si>
  <si>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</si>
  <si>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</si>
  <si>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</si>
  <si>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</si>
  <si>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</si>
  <si>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</si>
  <si>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</si>
  <si>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</si>
  <si>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</si>
  <si>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</si>
  <si>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</si>
  <si>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</si>
  <si>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</si>
  <si>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</si>
  <si>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</si>
  <si>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</si>
  <si>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</si>
  <si>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</si>
  <si>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</si>
  <si>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</si>
  <si>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</si>
  <si>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</si>
  <si>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</si>
  <si>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</si>
  <si>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</si>
  <si>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</si>
  <si>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</si>
  <si>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</si>
  <si>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</si>
  <si>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</si>
  <si>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</si>
  <si>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</si>
  <si>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</si>
  <si>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</si>
  <si>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</si>
  <si>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</si>
  <si>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</si>
  <si>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</si>
  <si>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</si>
  <si>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</si>
  <si>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</si>
  <si>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</si>
  <si>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</si>
  <si>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</si>
  <si>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</si>
  <si>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</si>
  <si>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</si>
  <si>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</si>
  <si>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</si>
  <si>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</si>
  <si>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</si>
  <si>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</si>
  <si>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</si>
  <si>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</si>
  <si>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</si>
  <si>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</si>
  <si>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</si>
  <si>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</si>
  <si>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</si>
  <si>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</si>
  <si>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</si>
  <si>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</si>
  <si>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</si>
  <si>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</si>
  <si>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</si>
  <si>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</si>
  <si>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</si>
  <si>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</si>
  <si>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</si>
  <si>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</si>
  <si>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</si>
  <si>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</si>
  <si>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</si>
  <si>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</si>
  <si>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</si>
  <si>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</si>
  <si>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</si>
  <si>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</si>
  <si>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</si>
  <si>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</si>
  <si>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</si>
  <si>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</si>
  <si>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</si>
  <si>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</si>
  <si>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</si>
  <si>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</si>
  <si>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</si>
  <si>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</si>
  <si>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</si>
  <si>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</si>
  <si>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</si>
  <si>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</si>
  <si>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</si>
  <si>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</si>
  <si>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</si>
  <si>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</si>
  <si>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</si>
  <si>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</si>
  <si>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</si>
  <si>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</si>
  <si>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</si>
  <si>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</si>
  <si>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</si>
  <si>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</si>
  <si>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</si>
  <si>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</si>
  <si>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</si>
  <si>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</si>
  <si>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</si>
  <si>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</si>
  <si>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</si>
  <si>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</si>
  <si>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</si>
  <si>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</si>
  <si>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</si>
  <si>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</si>
  <si>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</si>
  <si>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</si>
  <si>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</si>
  <si>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</si>
  <si>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</si>
  <si>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</si>
  <si>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</si>
  <si>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</si>
  <si>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</si>
  <si>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</si>
  <si>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</si>
  <si>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</si>
  <si>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</si>
  <si>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</si>
  <si>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</si>
  <si>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</si>
  <si>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</si>
  <si>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</si>
  <si>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</si>
  <si>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</si>
  <si>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</si>
  <si>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</si>
  <si>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</si>
  <si>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</si>
  <si>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</si>
  <si>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</si>
  <si>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</si>
  <si>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</si>
  <si>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</si>
  <si>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</si>
  <si>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</si>
  <si>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</si>
  <si>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</si>
  <si>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</si>
  <si>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</si>
  <si>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</si>
  <si>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</si>
  <si>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</si>
  <si>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</si>
  <si>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</si>
  <si>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</si>
  <si>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</si>
  <si>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</si>
  <si>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</si>
  <si>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</si>
  <si>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</si>
  <si>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</si>
  <si>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</si>
  <si>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</si>
  <si>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</si>
  <si>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</si>
  <si>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</si>
  <si>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</si>
  <si>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</si>
  <si>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</si>
  <si>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</si>
  <si>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</si>
  <si>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</si>
  <si>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</si>
  <si>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</si>
  <si>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</si>
  <si>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</si>
  <si>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</si>
  <si>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</si>
  <si>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</si>
  <si>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</si>
  <si>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</si>
  <si>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</si>
  <si>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</si>
  <si>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</si>
  <si>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</si>
  <si>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</si>
  <si>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</si>
  <si>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</si>
  <si>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</si>
  <si>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</si>
  <si>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</si>
  <si>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</si>
  <si>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</si>
  <si>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</si>
  <si>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</si>
  <si>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</si>
  <si>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</si>
  <si>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</si>
  <si>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</si>
  <si>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</si>
  <si>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</si>
  <si>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</si>
  <si>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</si>
  <si>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</si>
  <si>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</si>
  <si>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</si>
  <si>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</si>
  <si>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</si>
  <si>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</si>
  <si>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</si>
  <si>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</si>
  <si>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</si>
  <si>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</si>
  <si>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</si>
  <si>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</si>
  <si>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</si>
  <si>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</si>
  <si>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</si>
  <si>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</si>
  <si>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</si>
  <si>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</si>
  <si>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</si>
  <si>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</si>
  <si>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</si>
  <si>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</si>
  <si>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</si>
  <si>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</si>
  <si>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</si>
  <si>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</si>
  <si>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</si>
  <si>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</si>
  <si>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</si>
  <si>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</si>
  <si>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</si>
  <si>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</si>
  <si>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</si>
  <si>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</si>
  <si>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</si>
  <si>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</si>
  <si>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</si>
  <si>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</si>
  <si>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</si>
  <si>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</si>
  <si>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</si>
  <si>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</si>
  <si>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</si>
  <si>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</si>
  <si>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</si>
  <si>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</si>
  <si>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</si>
  <si>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</si>
  <si>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</si>
  <si>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</si>
  <si>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</si>
  <si>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</si>
  <si>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</si>
  <si>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</si>
  <si>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</si>
  <si>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</si>
  <si>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</si>
  <si>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</si>
  <si>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</si>
  <si>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</si>
  <si>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</si>
  <si>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</si>
  <si>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</si>
  <si>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</si>
  <si>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</si>
  <si>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</si>
  <si>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</si>
  <si>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</si>
  <si>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</si>
  <si>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</si>
  <si>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</si>
  <si>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</si>
  <si>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</si>
  <si>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</si>
  <si>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</si>
  <si>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</si>
  <si>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</si>
  <si>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</si>
  <si>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</si>
  <si>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</si>
  <si>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</si>
  <si>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</si>
  <si>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</si>
  <si>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</si>
  <si>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</si>
  <si>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</si>
  <si>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</si>
  <si>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</si>
  <si>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</si>
  <si>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</si>
  <si>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</si>
  <si>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</si>
  <si>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</si>
  <si>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</si>
  <si>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</si>
  <si>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</si>
  <si>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</si>
  <si>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</si>
  <si>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</si>
  <si>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</si>
  <si>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</si>
  <si>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</si>
  <si>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</si>
  <si>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</si>
  <si>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</si>
  <si>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</si>
  <si>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</si>
  <si>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</si>
  <si>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</si>
  <si>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</si>
  <si>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</si>
  <si>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</si>
  <si>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</si>
  <si>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</si>
  <si>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</si>
  <si>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</si>
  <si>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</si>
  <si>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</si>
  <si>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</si>
  <si>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</si>
  <si>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</si>
  <si>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</si>
  <si>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</si>
  <si>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</si>
  <si>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</si>
  <si>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</si>
  <si>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</si>
  <si>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</si>
  <si>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</si>
  <si>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</si>
  <si>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</si>
  <si>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</si>
  <si>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</si>
  <si>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</si>
  <si>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</si>
  <si>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</si>
  <si>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</si>
  <si>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</si>
  <si>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</si>
  <si>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</si>
  <si>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</si>
  <si>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</si>
  <si>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</si>
  <si>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</si>
  <si>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</si>
  <si>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</si>
  <si>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</si>
  <si>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</si>
  <si>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</si>
  <si>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</si>
  <si>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</si>
  <si>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</si>
  <si>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</si>
  <si>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</si>
  <si>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</si>
  <si>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</si>
  <si>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</si>
  <si>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</si>
  <si>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</si>
  <si>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</si>
  <si>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</si>
  <si>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</si>
  <si>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</si>
  <si>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</si>
  <si>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</si>
  <si>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</si>
  <si>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</si>
  <si>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</si>
  <si>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</si>
  <si>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</si>
  <si>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</si>
  <si>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</si>
  <si>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</si>
  <si>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</si>
  <si>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</si>
  <si>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</si>
  <si>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</si>
  <si>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</si>
  <si>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</si>
  <si>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</si>
  <si>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</si>
  <si>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</si>
  <si>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</si>
  <si>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</si>
  <si>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</si>
  <si>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</si>
  <si>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</si>
  <si>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</si>
  <si>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</si>
  <si>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</si>
  <si>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</si>
  <si>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</si>
  <si>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</si>
  <si>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</si>
  <si>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</si>
  <si>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</si>
  <si>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</si>
  <si>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</si>
  <si>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</si>
  <si>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</si>
  <si>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</si>
  <si>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</si>
  <si>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</si>
  <si>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</si>
  <si>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</si>
  <si>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</si>
  <si>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</si>
  <si>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</si>
  <si>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</si>
  <si>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</si>
  <si>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</si>
  <si>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</si>
  <si>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</si>
  <si>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</si>
  <si>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</si>
  <si>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</si>
  <si>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</si>
  <si>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</si>
  <si>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</si>
  <si>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</si>
  <si>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</si>
  <si>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</si>
  <si>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</si>
  <si>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</si>
  <si>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</si>
  <si>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</si>
  <si>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</si>
  <si>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</si>
  <si>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</si>
  <si>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</si>
  <si>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</si>
  <si>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</si>
  <si>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</si>
  <si>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</si>
  <si>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</si>
  <si>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</si>
  <si>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</si>
  <si>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</si>
  <si>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</si>
  <si>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</si>
  <si>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</si>
  <si>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</si>
  <si>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</si>
  <si>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</si>
  <si>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</si>
  <si>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</si>
  <si>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</si>
  <si>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</si>
  <si>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</si>
  <si>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</si>
  <si>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</si>
  <si>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</si>
  <si>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</si>
  <si>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</si>
  <si>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</si>
  <si>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</si>
  <si>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</si>
  <si>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</si>
  <si>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</si>
  <si>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</si>
  <si>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</si>
  <si>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</si>
  <si>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</si>
  <si>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</si>
  <si>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</si>
  <si>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</si>
  <si>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</si>
  <si>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</si>
  <si>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</si>
  <si>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</si>
  <si>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</si>
  <si>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</si>
  <si>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</si>
  <si>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</si>
  <si>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</si>
  <si>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</si>
  <si>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</si>
  <si>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</si>
  <si>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</si>
  <si>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</si>
  <si>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</si>
  <si>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</si>
  <si>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</si>
  <si>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</si>
  <si>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</si>
  <si>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</si>
  <si>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</si>
  <si>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</si>
  <si>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</si>
  <si>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</si>
  <si>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</si>
  <si>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</si>
  <si>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</si>
  <si>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</si>
  <si>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</si>
  <si>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</si>
  <si>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</si>
  <si>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</si>
  <si>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</si>
  <si>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</si>
  <si>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</si>
  <si>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</si>
  <si>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</si>
  <si>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</si>
  <si>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</si>
  <si>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</si>
  <si>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</si>
  <si>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</si>
  <si>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</si>
  <si>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</si>
  <si>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</si>
  <si>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</si>
  <si>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</si>
  <si>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</si>
  <si>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</si>
  <si>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</si>
  <si>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</si>
  <si>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</si>
  <si>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</si>
  <si>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</si>
  <si>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</si>
  <si>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</si>
  <si>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</si>
  <si>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</si>
  <si>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</si>
  <si>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</si>
  <si>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</si>
  <si>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</si>
  <si>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</si>
  <si>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</si>
  <si>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</si>
  <si>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</si>
  <si>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</si>
  <si>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</si>
  <si>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</si>
  <si>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</si>
  <si>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</si>
  <si>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</si>
  <si>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</si>
  <si>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</si>
  <si>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</si>
  <si>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</si>
  <si>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</si>
  <si>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</si>
  <si>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</si>
  <si>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</si>
  <si>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</si>
  <si>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</si>
  <si>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</si>
  <si>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</si>
  <si>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</si>
  <si>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</si>
  <si>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</si>
  <si>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</si>
  <si>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</si>
  <si>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</si>
  <si>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</si>
  <si>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</si>
  <si>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</si>
  <si>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</si>
  <si>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</si>
  <si>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</si>
  <si>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</si>
  <si>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</si>
  <si>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</si>
  <si>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</si>
  <si>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</si>
  <si>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</si>
  <si>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</si>
  <si>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</si>
  <si>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</si>
  <si>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</si>
  <si>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</si>
  <si>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</si>
  <si>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</si>
  <si>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</si>
  <si>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</si>
  <si>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</si>
  <si>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</si>
  <si>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</si>
  <si>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</si>
  <si>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</si>
  <si>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</si>
  <si>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</si>
  <si>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</si>
  <si>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</si>
  <si>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</si>
  <si>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</si>
  <si>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</si>
  <si>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</si>
  <si>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</si>
  <si>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</si>
  <si>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</si>
  <si>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</si>
  <si>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</si>
  <si>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</si>
  <si>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</si>
  <si>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</si>
  <si>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</si>
  <si>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</si>
  <si>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</si>
  <si>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</si>
  <si>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</si>
  <si>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</si>
  <si>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</si>
  <si>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</si>
  <si>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</si>
  <si>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</si>
  <si>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</si>
  <si>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</si>
  <si>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</si>
  <si>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</si>
  <si>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</si>
  <si>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</si>
  <si>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</si>
  <si>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</si>
  <si>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</si>
  <si>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</si>
  <si>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</si>
  <si>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</si>
  <si>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</si>
  <si>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</si>
  <si>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</si>
  <si>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</si>
  <si>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</si>
  <si>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</si>
  <si>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</si>
  <si>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</si>
  <si>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</si>
  <si>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</si>
  <si>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</si>
  <si>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</si>
  <si>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</si>
  <si>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</si>
  <si>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</si>
  <si>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</si>
  <si>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</si>
  <si>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</si>
  <si>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</si>
  <si>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</si>
  <si>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</si>
  <si>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</si>
  <si>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</si>
  <si>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</si>
  <si>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</si>
  <si>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</si>
  <si>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</si>
  <si>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</si>
  <si>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</si>
  <si>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</si>
  <si>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</si>
  <si>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</si>
  <si>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</si>
  <si>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</si>
  <si>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</si>
  <si>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</si>
  <si>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</si>
  <si>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</si>
  <si>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</si>
  <si>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</si>
  <si>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</si>
  <si>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</si>
  <si>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</si>
  <si>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</si>
  <si>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</si>
  <si>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</si>
  <si>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</si>
  <si>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</si>
  <si>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</si>
  <si>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</si>
  <si>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</si>
  <si>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</si>
  <si>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</si>
  <si>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</si>
  <si>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</si>
  <si>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</si>
  <si>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</si>
  <si>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</si>
  <si>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</si>
  <si>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</si>
  <si>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</si>
  <si>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</si>
  <si>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</si>
  <si>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</si>
  <si>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</si>
  <si>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</si>
  <si>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</si>
  <si>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</si>
  <si>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</si>
  <si>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</si>
  <si>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</si>
  <si>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</si>
  <si>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</si>
  <si>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</si>
  <si>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</si>
  <si>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</si>
  <si>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</si>
  <si>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</si>
  <si>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</si>
  <si>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</si>
  <si>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</si>
  <si>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</si>
  <si>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</si>
  <si>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</si>
  <si>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</si>
  <si>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</si>
  <si>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</si>
  <si>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</si>
  <si>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</si>
  <si>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</si>
  <si>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</si>
  <si>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</si>
  <si>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</si>
  <si>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</si>
  <si>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</si>
  <si>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</si>
  <si>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</si>
  <si>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</si>
  <si>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</si>
  <si>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</si>
  <si>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</si>
  <si>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</si>
  <si>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</si>
  <si>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</si>
  <si>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</si>
  <si>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</si>
  <si>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</si>
  <si>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</si>
  <si>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</si>
  <si>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</si>
  <si>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</si>
  <si>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</si>
  <si>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</si>
  <si>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</si>
  <si>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</si>
  <si>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</si>
  <si>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</si>
  <si>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</si>
  <si>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</si>
  <si>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</si>
  <si>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</si>
  <si>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</si>
  <si>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</si>
  <si>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</si>
  <si>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</si>
  <si>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</si>
  <si>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</si>
  <si>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</si>
  <si>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</si>
  <si>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</si>
  <si>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</si>
  <si>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</si>
  <si>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</si>
  <si>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</si>
  <si>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</si>
  <si>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</si>
  <si>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</si>
  <si>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</si>
  <si>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</si>
  <si>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</si>
  <si>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</si>
  <si>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</si>
  <si>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</si>
  <si>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</si>
  <si>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</si>
  <si>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</si>
  <si>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</si>
  <si>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</si>
  <si>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</si>
  <si>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</si>
  <si>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</si>
  <si>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</si>
  <si>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</si>
  <si>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</si>
  <si>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</si>
  <si>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</si>
  <si>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</si>
  <si>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</si>
  <si>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</si>
  <si>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</si>
  <si>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</si>
  <si>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</si>
  <si>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</si>
  <si>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</si>
  <si>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</si>
  <si>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</si>
  <si>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</si>
  <si>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</si>
  <si>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</si>
  <si>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</si>
  <si>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</si>
  <si>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</si>
  <si>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</si>
  <si>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</si>
  <si>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</si>
  <si>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</si>
  <si>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</si>
  <si>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</si>
  <si>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</si>
  <si>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</si>
  <si>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</si>
  <si>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</si>
  <si>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</si>
  <si>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</si>
  <si>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</si>
  <si>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</si>
  <si>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</si>
  <si>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</si>
  <si>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</si>
  <si>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</si>
  <si>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</si>
  <si>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</si>
  <si>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</si>
  <si>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</si>
  <si>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</si>
  <si>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</si>
  <si>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</si>
  <si>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</si>
  <si>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</si>
  <si>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</si>
  <si>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</si>
  <si>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</si>
  <si>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</si>
  <si>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</si>
  <si>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</si>
  <si>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</si>
  <si>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</si>
  <si>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</si>
  <si>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</si>
  <si>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</si>
  <si>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</si>
  <si>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</si>
  <si>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</si>
  <si>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</si>
  <si>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</si>
  <si>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</si>
  <si>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</si>
  <si>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</si>
  <si>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</si>
  <si>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</si>
  <si>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</si>
  <si>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</si>
  <si>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</si>
  <si>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</si>
  <si>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</si>
  <si>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</si>
  <si>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</si>
  <si>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</si>
  <si>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</si>
  <si>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</si>
  <si>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</si>
  <si>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</si>
  <si>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</si>
  <si>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</si>
  <si>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</si>
  <si>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</si>
  <si>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</si>
  <si>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</si>
  <si>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</si>
  <si>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</si>
  <si>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</si>
  <si>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</si>
  <si>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</si>
  <si>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</si>
  <si>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</si>
  <si>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</si>
  <si>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</si>
  <si>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</si>
  <si>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</si>
  <si>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</si>
  <si>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</si>
  <si>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</si>
  <si>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</si>
  <si>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</si>
  <si>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</si>
  <si>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</si>
  <si>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</si>
  <si>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</si>
  <si>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</si>
  <si>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</si>
  <si>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</si>
  <si>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</si>
  <si>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</si>
  <si>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</si>
  <si>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</si>
  <si>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</si>
  <si>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</si>
  <si>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</si>
  <si>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</si>
  <si>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</si>
  <si>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</si>
  <si>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</si>
  <si>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</si>
  <si>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</si>
  <si>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</si>
  <si>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</si>
  <si>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</si>
  <si>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</si>
  <si>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</si>
  <si>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</si>
  <si>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</si>
  <si>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</si>
  <si>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</si>
  <si>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</si>
  <si>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</si>
  <si>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</si>
  <si>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</si>
  <si>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</si>
  <si>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</si>
  <si>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</si>
  <si>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</si>
  <si>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</si>
  <si>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</si>
  <si>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</si>
  <si>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</si>
  <si>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</si>
  <si>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</si>
  <si>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</si>
  <si>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</si>
  <si>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</si>
  <si>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</si>
  <si>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</si>
  <si>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</si>
  <si>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</si>
  <si>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</si>
  <si>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</si>
  <si>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</si>
  <si>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</si>
  <si>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</si>
  <si>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</si>
  <si>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</si>
  <si>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</si>
  <si>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</si>
  <si>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</si>
  <si>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</si>
  <si>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</si>
  <si>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</si>
  <si>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</si>
  <si>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</si>
  <si>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</si>
  <si>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</si>
  <si>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</si>
  <si>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</si>
  <si>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</si>
  <si>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</si>
  <si>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 xml:space="preserve">Quote avialable 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</si>
  <si>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</si>
  <si>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</si>
  <si>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</si>
  <si>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</si>
  <si>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</si>
  <si>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</si>
  <si>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</si>
  <si>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</si>
  <si>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</si>
  <si>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</si>
  <si>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</si>
  <si>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</si>
  <si>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</si>
  <si>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</si>
  <si>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</si>
  <si>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</si>
  <si>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</si>
  <si>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</si>
  <si>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</si>
  <si>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</si>
  <si>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</si>
  <si>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</si>
  <si>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</si>
  <si>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</si>
  <si>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</si>
  <si>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</si>
  <si>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</si>
  <si>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</si>
  <si>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</si>
  <si>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</si>
  <si>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</si>
  <si>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</si>
  <si>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</si>
  <si>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</si>
  <si>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</si>
  <si>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</si>
  <si>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</si>
  <si>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</si>
  <si>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</si>
  <si>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</si>
  <si>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</si>
  <si>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</si>
  <si>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</si>
  <si>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</si>
  <si>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</si>
  <si>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</si>
  <si>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</si>
  <si>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</si>
  <si>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</si>
  <si>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</si>
  <si>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</si>
  <si>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</si>
  <si>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</si>
  <si>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</si>
  <si>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</si>
  <si>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</si>
  <si>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</si>
  <si>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</si>
  <si>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</si>
  <si>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</si>
  <si>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</si>
  <si>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</si>
  <si>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</si>
  <si>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</si>
  <si>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</si>
  <si>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</si>
  <si>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</si>
  <si>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</si>
  <si>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</si>
  <si>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</si>
  <si>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</si>
  <si>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</si>
  <si>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</si>
  <si>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</si>
  <si>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</si>
  <si>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</si>
  <si>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</si>
  <si>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</si>
  <si>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</si>
  <si>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</si>
  <si>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</si>
  <si>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</si>
  <si>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</si>
  <si>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</si>
  <si>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</si>
  <si>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</si>
  <si>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</si>
  <si>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</si>
  <si>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</si>
  <si>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</si>
  <si>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</si>
  <si>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</si>
  <si>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</si>
  <si>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</si>
  <si>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</si>
  <si>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</si>
  <si>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</si>
  <si>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</si>
  <si>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</si>
  <si>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</si>
  <si>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</si>
  <si>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</si>
  <si>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</si>
  <si>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</si>
  <si>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</si>
  <si>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</si>
  <si>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</si>
  <si>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</si>
  <si>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</si>
  <si>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</si>
  <si>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</si>
  <si>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</si>
  <si>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</si>
  <si>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</si>
  <si>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</si>
  <si>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</si>
  <si>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</si>
  <si>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</si>
  <si>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</si>
  <si>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</si>
  <si>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</si>
  <si>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>1DBG Debug Test</t>
  </si>
  <si>
    <t>Debug Test-1</t>
  </si>
  <si>
    <t xml:space="preserve">QT17IA14.70 </t>
  </si>
  <si>
    <t>PE54409 - Released 29-May-26_ need to release work order- Relased 15-Jun-26</t>
  </si>
  <si>
    <t>YK262101096- Finland Unit - In Shipping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</si>
  <si>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</si>
  <si>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</si>
  <si>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</si>
  <si>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</si>
  <si>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</si>
  <si>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</si>
  <si>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</si>
  <si>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</si>
  <si>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</si>
  <si>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</si>
  <si>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</si>
  <si>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</si>
  <si>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</si>
  <si>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</si>
  <si>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</si>
  <si>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</si>
  <si>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</si>
  <si>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</si>
  <si>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</si>
  <si>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</si>
  <si>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</si>
  <si>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</si>
  <si>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</si>
  <si>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</si>
  <si>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</si>
  <si>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</si>
  <si>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</si>
  <si>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</si>
  <si>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</si>
  <si>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</si>
  <si>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</si>
  <si>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YK262500331</t>
  </si>
  <si>
    <t>YK262500332</t>
  </si>
  <si>
    <t>YK262500333</t>
  </si>
  <si>
    <t>YK262500334</t>
  </si>
  <si>
    <t>YK262500335</t>
  </si>
  <si>
    <t>YK262500336</t>
  </si>
  <si>
    <t>YK262500337</t>
  </si>
  <si>
    <t>YK262500338</t>
  </si>
  <si>
    <t>YK262500339</t>
  </si>
  <si>
    <t>YK262500340</t>
  </si>
  <si>
    <t>YK262500341</t>
  </si>
  <si>
    <t>YK262500342</t>
  </si>
  <si>
    <t>YK262500343</t>
  </si>
  <si>
    <t>YK262500344</t>
  </si>
  <si>
    <t>YK262500345</t>
  </si>
  <si>
    <t>YK262500346</t>
  </si>
  <si>
    <t>YK262500347</t>
  </si>
  <si>
    <t>YK262500348</t>
  </si>
  <si>
    <t>YK262500349</t>
  </si>
  <si>
    <t>YK262500350</t>
  </si>
  <si>
    <t>YK262500351</t>
  </si>
  <si>
    <t>YK262500352</t>
  </si>
  <si>
    <t>YK262500353</t>
  </si>
  <si>
    <t>YK262500354</t>
  </si>
  <si>
    <t>YK262500355</t>
  </si>
  <si>
    <t>YK262500356</t>
  </si>
  <si>
    <t>YK262500357</t>
  </si>
  <si>
    <t>YK262500358</t>
  </si>
  <si>
    <t>YK262500359</t>
  </si>
  <si>
    <t>YK262500360</t>
  </si>
  <si>
    <t>YK262500361</t>
  </si>
  <si>
    <t>YK262500362</t>
  </si>
  <si>
    <t>YK262500363</t>
  </si>
  <si>
    <t>YK262500364</t>
  </si>
  <si>
    <t>YK262500365</t>
  </si>
  <si>
    <t>YK262500366</t>
  </si>
  <si>
    <t>YK262500367</t>
  </si>
  <si>
    <t>YK262500368</t>
  </si>
  <si>
    <t>YK262500369</t>
  </si>
  <si>
    <t>YK262500370</t>
  </si>
  <si>
    <t>YK262500371</t>
  </si>
  <si>
    <t>YK262500372</t>
  </si>
  <si>
    <t>YK262500373</t>
  </si>
  <si>
    <t>YK262500374</t>
  </si>
  <si>
    <t>YK262500375</t>
  </si>
  <si>
    <t>YK262500376</t>
  </si>
  <si>
    <t>YK262500377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</si>
  <si>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</si>
  <si>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</si>
  <si>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</si>
  <si>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</si>
  <si>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</si>
  <si>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</si>
  <si>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</si>
  <si>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</si>
  <si>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</si>
  <si>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</si>
  <si>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YK262101094- India Shipment- Approved ship wiaitng on OTM</t>
  </si>
  <si>
    <t>Quote</t>
  </si>
  <si>
    <t>Update to shipped</t>
  </si>
  <si>
    <t>QT20LA22.00</t>
  </si>
  <si>
    <t>QTNSN095803A.X03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</si>
  <si>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</t>
    </r>
  </si>
  <si>
    <t>MATLNOB476795A.P03</t>
  </si>
  <si>
    <t>DUT1 Test</t>
  </si>
  <si>
    <t>DUT1</t>
  </si>
  <si>
    <t>Released</t>
  </si>
  <si>
    <t>Passed according to Nokia</t>
  </si>
  <si>
    <t>Shop Order: QT17IA14.00</t>
  </si>
  <si>
    <t>Status: Released</t>
  </si>
  <si>
    <t>Part Number: QTNSN095288A.X03</t>
  </si>
  <si>
    <t>Status Change: 2/3/2026 7:33:59 AM</t>
  </si>
  <si>
    <t>Revision: X03</t>
  </si>
  <si>
    <t>Project: mes_e35_01</t>
  </si>
  <si>
    <t>Board/Panel: 1</t>
  </si>
  <si>
    <t>Customer: Nokia</t>
  </si>
  <si>
    <t>Qty: 70</t>
  </si>
  <si>
    <t>ASY1 T/L Assembly</t>
  </si>
  <si>
    <t>Xfr to T/L Assembly</t>
  </si>
  <si>
    <t>No ESTI_ Nokia checking -06/16 | Chassis and Filter check stock | ESTI to be released PE54770</t>
  </si>
  <si>
    <t xml:space="preserve">We need 1 Radio built as soon as TRX is availabel </t>
  </si>
  <si>
    <t>Relased 06/12- Critical components | 2 pcs Skipping FT</t>
  </si>
  <si>
    <t>PE54718 | PE54609 | PE54651  - Jose Stencils- Clean released 24-Jun-26</t>
  </si>
  <si>
    <t xml:space="preserve"> PE54719, PE54667 ,PE54611 STI- Jose Stencils- 3 shortages- not clean- 2 MTRs to Oulu, 1 Po from Distro</t>
  </si>
  <si>
    <t>Sent to Paula</t>
  </si>
  <si>
    <t>1 component dif from the 804A.X11 Build | STI PE54748 - released today</t>
  </si>
  <si>
    <t>Shortages</t>
  </si>
  <si>
    <t>PWB X6 | PE54313 to be cp'd rpleace P7000738 with P67 | AOI and Xray data &amp; Dage available -Send data ASAP | PE54792 - Released 25-Jun-26</t>
  </si>
  <si>
    <t>CTB- ESTI PE54470 | WO release today 03-Jun-26- Followed up on ESTI | TRX rework need to look at material</t>
  </si>
  <si>
    <t>TNSN095289A.X11</t>
  </si>
  <si>
    <t xml:space="preserve">Bom being updated- 06/16 | 2 Boards to be built without fixtures | P399539- STI to skip saw filter &amp; one more STI to be released tooling PE54722-Jose Stencils| Oven profile needed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</si>
</sst>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b/>
      <sz val="11"/>
      <color rgb="FFFFFFFF"/>
      <name val="roboto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22" fontId="0" fillId="0" borderId="0" xfId="0" applyNumberForma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5" borderId="0" xfId="0" applyFill="1" applyAlignment="1">
      <alignment horizontal="left"/>
    </xf>
    <xf numFmtId="0" fontId="0" fillId="0" borderId="0" xfId="0" applyAlignment="1">
      <alignment wrapText="1"/>
    </xf>
    <xf numFmtId="0" fontId="7" fillId="0" borderId="0" xfId="0" applyFont="1" applyFill="1"/>
    <xf numFmtId="0" fontId="0" fillId="7" borderId="0" xfId="0" applyFill="1"/>
    <xf numFmtId="0" fontId="0" fillId="0" borderId="0" xfId="0"/>
    <xf numFmtId="0" fontId="0" fillId="0" borderId="0" xfId="0" applyAlignment="1">
      <alignment horizontal="right"/>
    </xf>
    <xf numFmtId="0" fontId="9" fillId="2" borderId="0" xfId="0" applyFont="1" applyFill="1" applyAlignment="1">
      <alignment horizontal="center" vertical="center"/>
    </xf>
    <xf numFmtId="0" fontId="2" fillId="7" borderId="0" xfId="0" applyFont="1" applyFill="1"/>
    <xf numFmtId="0" fontId="0" fillId="8" borderId="0" xfId="0" applyFill="1"/>
  </cellXfs>
  <cellStyles count="1">
    <cellStyle name="Normal" xfId="0" builtinId="0"/>
  </cellStyles>
  <dxfs count="13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</row>
        <row r="12">
          <cell r="C12" t="str">
            <v>QT17IA24.10</v>
          </cell>
          <cell r="E12" t="str">
            <v>AXFIA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</row>
        <row r="16">
          <cell r="C16" t="str">
            <v>QT20LA21.00</v>
          </cell>
          <cell r="E16" t="str">
            <v>AXOLA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</row>
        <row r="19">
          <cell r="C19" t="str">
            <v>QT17IA45.40</v>
          </cell>
          <cell r="D19" t="str">
            <v>FF2</v>
          </cell>
          <cell r="E19" t="str">
            <v>AXFIA</v>
          </cell>
        </row>
        <row r="20">
          <cell r="C20" t="str">
            <v>QT17IA25.30</v>
          </cell>
          <cell r="E20" t="str">
            <v>AXFIA</v>
          </cell>
        </row>
        <row r="21">
          <cell r="C21" t="str">
            <v>QT20LA12.00</v>
          </cell>
          <cell r="D21" t="str">
            <v>B71</v>
          </cell>
          <cell r="E21" t="str">
            <v>AXOLA</v>
          </cell>
        </row>
        <row r="22">
          <cell r="C22" t="str">
            <v>QT20LA12.10</v>
          </cell>
          <cell r="D22" t="str">
            <v>B85</v>
          </cell>
          <cell r="E22" t="str">
            <v>AXOLA</v>
          </cell>
        </row>
        <row r="23">
          <cell r="C23" t="str">
            <v>QT17IA44.10</v>
          </cell>
          <cell r="D23" t="str">
            <v>FF2</v>
          </cell>
          <cell r="E23" t="str">
            <v>AXFIA</v>
          </cell>
        </row>
        <row r="24">
          <cell r="C24" t="str">
            <v>QT19BA21.00</v>
          </cell>
          <cell r="E24" t="str">
            <v>AXOLBA</v>
          </cell>
        </row>
        <row r="25">
          <cell r="C25" t="str">
            <v>QT19BA12.20</v>
          </cell>
          <cell r="D25" t="str">
            <v>B71</v>
          </cell>
          <cell r="E25" t="str">
            <v>AXOLBA</v>
          </cell>
        </row>
        <row r="26">
          <cell r="C26" t="str">
            <v>QT20LA41.00</v>
          </cell>
          <cell r="E26" t="str">
            <v>AXOLA</v>
          </cell>
        </row>
        <row r="27">
          <cell r="C27" t="str">
            <v>QT17IA15.70</v>
          </cell>
          <cell r="D27" t="str">
            <v>B25</v>
          </cell>
          <cell r="E27" t="str">
            <v>AXFIA</v>
          </cell>
        </row>
        <row r="28">
          <cell r="C28" t="str">
            <v>QT19BA12.30</v>
          </cell>
          <cell r="D28" t="str">
            <v>B85/14</v>
          </cell>
          <cell r="E28" t="str">
            <v>AXOLBA</v>
          </cell>
        </row>
        <row r="29">
          <cell r="C29" t="str">
            <v>QT17IA15.60</v>
          </cell>
          <cell r="D29" t="str">
            <v>B66</v>
          </cell>
          <cell r="E29" t="str">
            <v>AXFIA</v>
          </cell>
        </row>
        <row r="30">
          <cell r="C30" t="str">
            <v>QT17IA24.20</v>
          </cell>
          <cell r="E30" t="str">
            <v>AXFIA</v>
          </cell>
        </row>
        <row r="31">
          <cell r="C31" t="str">
            <v>QT19BA41.00</v>
          </cell>
          <cell r="D31" t="str">
            <v>FF2</v>
          </cell>
          <cell r="E31" t="str">
            <v>AXOLBA</v>
          </cell>
        </row>
        <row r="32">
          <cell r="C32" t="str">
            <v>QT17IA14.70</v>
          </cell>
          <cell r="D32" t="str">
            <v>B25</v>
          </cell>
          <cell r="E32" t="str">
            <v>AXFIA</v>
          </cell>
        </row>
        <row r="33">
          <cell r="C33" t="str">
            <v>QT17IA45.30</v>
          </cell>
          <cell r="D33" t="str">
            <v>FF2</v>
          </cell>
          <cell r="E33" t="str">
            <v>AXFIA</v>
          </cell>
        </row>
        <row r="34">
          <cell r="C34" t="str">
            <v>QT17IA14.60</v>
          </cell>
          <cell r="D34" t="str">
            <v>B66</v>
          </cell>
          <cell r="E34" t="str">
            <v>AXFIA</v>
          </cell>
        </row>
        <row r="35">
          <cell r="C35" t="str">
            <v>QT18OA21.00</v>
          </cell>
          <cell r="E35" t="str">
            <v>AXOA</v>
          </cell>
        </row>
        <row r="36">
          <cell r="C36" t="str">
            <v>QT</v>
          </cell>
        </row>
        <row r="37">
          <cell r="C37" t="str">
            <v>QT19BA22.00</v>
          </cell>
          <cell r="E37" t="str">
            <v>AXOLBA</v>
          </cell>
        </row>
        <row r="38">
          <cell r="C38" t="str">
            <v>QT19BA13.00</v>
          </cell>
          <cell r="D38" t="str">
            <v>B71</v>
          </cell>
          <cell r="E38" t="str">
            <v>AXOLBA</v>
          </cell>
        </row>
        <row r="39">
          <cell r="C39" t="str">
            <v>QT20LA15.93</v>
          </cell>
          <cell r="D39" t="str">
            <v>B71</v>
          </cell>
          <cell r="E39" t="str">
            <v>AXOLA</v>
          </cell>
        </row>
        <row r="40">
          <cell r="C40" t="str">
            <v>QT20LA15.94</v>
          </cell>
          <cell r="D40" t="str">
            <v>B71</v>
          </cell>
          <cell r="E40" t="str">
            <v>AXOLA</v>
          </cell>
        </row>
        <row r="41">
          <cell r="C41" t="str">
            <v>QT20LA15.00</v>
          </cell>
          <cell r="D41" t="str">
            <v>B71</v>
          </cell>
          <cell r="E41" t="str">
            <v>AXOLA</v>
          </cell>
        </row>
        <row r="42">
          <cell r="C42" t="str">
            <v>QT19BA14.10</v>
          </cell>
          <cell r="D42" t="str">
            <v>B85/14</v>
          </cell>
          <cell r="E42" t="str">
            <v>AXOLBA</v>
          </cell>
        </row>
        <row r="43">
          <cell r="C43" t="str">
            <v>QT20LA15.95</v>
          </cell>
          <cell r="D43" t="str">
            <v>B85</v>
          </cell>
          <cell r="E43" t="str">
            <v>AXOLA</v>
          </cell>
        </row>
        <row r="44">
          <cell r="C44" t="str">
            <v>QT20LA15.96</v>
          </cell>
          <cell r="D44" t="str">
            <v>B85</v>
          </cell>
          <cell r="E44" t="str">
            <v>AXOLA</v>
          </cell>
        </row>
        <row r="45">
          <cell r="C45" t="str">
            <v>QT20LA13.00</v>
          </cell>
          <cell r="D45" t="str">
            <v>B85</v>
          </cell>
          <cell r="E45" t="str">
            <v>AXOLA</v>
          </cell>
        </row>
        <row r="46">
          <cell r="C46" t="str">
            <v>QT19BA42.00</v>
          </cell>
          <cell r="D46" t="str">
            <v>FF2</v>
          </cell>
          <cell r="E46" t="str">
            <v>AXOLBA</v>
          </cell>
        </row>
        <row r="47">
          <cell r="C47" t="str">
            <v>QT17IA44.20</v>
          </cell>
          <cell r="D47" t="str">
            <v>FF2</v>
          </cell>
          <cell r="E47" t="str">
            <v>AXFIA</v>
          </cell>
        </row>
        <row r="48">
          <cell r="C48" t="str">
            <v>QT18OA12.00</v>
          </cell>
          <cell r="D48" t="str">
            <v>B71</v>
          </cell>
          <cell r="E48" t="str">
            <v>AXOA</v>
          </cell>
        </row>
        <row r="49">
          <cell r="C49" t="str">
            <v>QT20LA22.00</v>
          </cell>
          <cell r="E49" t="str">
            <v>AXOLA</v>
          </cell>
        </row>
        <row r="50">
          <cell r="C50" t="str">
            <v>QT20LA23.00</v>
          </cell>
          <cell r="E50" t="str">
            <v>AXOLA</v>
          </cell>
        </row>
        <row r="51">
          <cell r="C51" t="str">
            <v>QT20LA42.00</v>
          </cell>
          <cell r="D51" t="str">
            <v>FF2</v>
          </cell>
          <cell r="E51" t="str">
            <v>AXOLA</v>
          </cell>
        </row>
        <row r="52">
          <cell r="C52" t="str">
            <v>QT18OA41.00</v>
          </cell>
          <cell r="D52" t="str">
            <v>FF3</v>
          </cell>
          <cell r="E52" t="str">
            <v>AXOA</v>
          </cell>
        </row>
        <row r="53">
          <cell r="C53" t="str">
            <v>QT17IA24.30</v>
          </cell>
          <cell r="E53" t="str">
            <v>AXFIA</v>
          </cell>
        </row>
        <row r="54">
          <cell r="C54" t="str">
            <v>QT17IA14.90</v>
          </cell>
          <cell r="D54" t="str">
            <v>B25</v>
          </cell>
          <cell r="E54" t="str">
            <v>AXFIA</v>
          </cell>
        </row>
        <row r="55">
          <cell r="C55" t="str">
            <v>QT17IA14.80</v>
          </cell>
          <cell r="D55" t="str">
            <v>B66</v>
          </cell>
          <cell r="E55" t="str">
            <v>AXFIA</v>
          </cell>
        </row>
        <row r="56">
          <cell r="C56" t="str">
            <v>QT17IA44.30</v>
          </cell>
          <cell r="D56" t="str">
            <v>FF2</v>
          </cell>
          <cell r="E56" t="str">
            <v>AXFIA</v>
          </cell>
        </row>
        <row r="57">
          <cell r="C57" t="str">
            <v>QT17IA19.00</v>
          </cell>
          <cell r="D57" t="str">
            <v>B66</v>
          </cell>
          <cell r="E57" t="str">
            <v>AXFIA</v>
          </cell>
        </row>
        <row r="58">
          <cell r="C58" t="str">
            <v>QT17IA14.91</v>
          </cell>
          <cell r="D58" t="str">
            <v>B66</v>
          </cell>
          <cell r="E58" t="str">
            <v>AXFIA</v>
          </cell>
        </row>
        <row r="59">
          <cell r="C59" t="str">
            <v>QT17IA24.31</v>
          </cell>
          <cell r="E59" t="str">
            <v>AXFIA</v>
          </cell>
        </row>
        <row r="60">
          <cell r="C60" t="str">
            <v>QT17IA14.92</v>
          </cell>
          <cell r="D60" t="str">
            <v>B25</v>
          </cell>
          <cell r="E60" t="str">
            <v>AXFIA</v>
          </cell>
        </row>
        <row r="61">
          <cell r="C61" t="str">
            <v>QT156G84.10</v>
          </cell>
          <cell r="E61" t="str">
            <v>Chewy</v>
          </cell>
        </row>
        <row r="62">
          <cell r="C62" t="str">
            <v>QT156G85.00</v>
          </cell>
          <cell r="E62" t="str">
            <v>Chewy</v>
          </cell>
        </row>
        <row r="63">
          <cell r="C63" t="str">
            <v>QT156G45.00</v>
          </cell>
          <cell r="E63" t="str">
            <v>Chewy</v>
          </cell>
        </row>
        <row r="64">
          <cell r="C64" t="str">
            <v>QT4ADoC83.00</v>
          </cell>
          <cell r="E64" t="str">
            <v>NRoC</v>
          </cell>
        </row>
        <row r="65">
          <cell r="C65" t="str">
            <v>QT4ADoC41.00</v>
          </cell>
          <cell r="E65" t="str">
            <v>NRoC</v>
          </cell>
        </row>
        <row r="66">
          <cell r="C66" t="str">
            <v>QT21CA21.00</v>
          </cell>
          <cell r="E66" t="str">
            <v>AXBCA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</row>
        <row r="70">
          <cell r="C70" t="str">
            <v>QT21CA22.00</v>
          </cell>
          <cell r="E70" t="str">
            <v>AXBCA</v>
          </cell>
        </row>
        <row r="71">
          <cell r="C71" t="str">
            <v>QT21CA23.00</v>
          </cell>
          <cell r="E71" t="str">
            <v>AXBCA</v>
          </cell>
        </row>
        <row r="72">
          <cell r="C72" t="str">
            <v>QT21CA12.00</v>
          </cell>
          <cell r="D72" t="str">
            <v>B13</v>
          </cell>
          <cell r="E72" t="str">
            <v>AXBCA</v>
          </cell>
        </row>
        <row r="73">
          <cell r="C73" t="str">
            <v>QT21CA13.00</v>
          </cell>
          <cell r="D73" t="str">
            <v>B13</v>
          </cell>
          <cell r="E73" t="str">
            <v>AXBCA</v>
          </cell>
        </row>
        <row r="74">
          <cell r="C74" t="str">
            <v>QT21CA12.10</v>
          </cell>
          <cell r="D74" t="str">
            <v>B5</v>
          </cell>
          <cell r="E74" t="str">
            <v>AXBCA</v>
          </cell>
        </row>
        <row r="75">
          <cell r="C75" t="str">
            <v>QT21CA13.10</v>
          </cell>
          <cell r="D75" t="str">
            <v>B5</v>
          </cell>
          <cell r="E75" t="str">
            <v>AXBCA</v>
          </cell>
        </row>
        <row r="76">
          <cell r="C76" t="str">
            <v>QT21CA14.10</v>
          </cell>
          <cell r="D76" t="str">
            <v>B5</v>
          </cell>
          <cell r="E76" t="str">
            <v>AXBCA</v>
          </cell>
        </row>
        <row r="77">
          <cell r="C77" t="str">
            <v>QT21CA14.00</v>
          </cell>
          <cell r="D77" t="str">
            <v>B13</v>
          </cell>
          <cell r="E77" t="str">
            <v>AXBCA</v>
          </cell>
        </row>
        <row r="78">
          <cell r="C78" t="str">
            <v>QTAXBCA</v>
          </cell>
          <cell r="E78" t="str">
            <v>AXBCA</v>
          </cell>
        </row>
        <row r="79">
          <cell r="C79" t="str">
            <v>QT17IA25.50</v>
          </cell>
          <cell r="E79" t="str">
            <v>AXFIA</v>
          </cell>
        </row>
        <row r="80">
          <cell r="C80" t="str">
            <v>QTAXBCA</v>
          </cell>
          <cell r="E80" t="str">
            <v>AXBCA</v>
          </cell>
        </row>
        <row r="81">
          <cell r="C81" t="str">
            <v>QT17IA15.91</v>
          </cell>
          <cell r="D81" t="str">
            <v>B25</v>
          </cell>
          <cell r="E81" t="str">
            <v>AXFIA</v>
          </cell>
        </row>
        <row r="82">
          <cell r="C82" t="str">
            <v>QT17IA15.92</v>
          </cell>
          <cell r="D82" t="str">
            <v>B66</v>
          </cell>
          <cell r="E82" t="str">
            <v>AXFIA</v>
          </cell>
        </row>
        <row r="83">
          <cell r="C83" t="str">
            <v>QT17IA15.94</v>
          </cell>
          <cell r="D83" t="str">
            <v>B66</v>
          </cell>
          <cell r="E83" t="str">
            <v>AXFIA</v>
          </cell>
        </row>
        <row r="84">
          <cell r="C84" t="str">
            <v>QT17IA45.50</v>
          </cell>
          <cell r="D84" t="str">
            <v>FF2</v>
          </cell>
          <cell r="E84" t="str">
            <v>AXFIA</v>
          </cell>
        </row>
        <row r="85">
          <cell r="C85" t="str">
            <v>QT19BA24.00</v>
          </cell>
          <cell r="E85" t="str">
            <v>AXOLBA</v>
          </cell>
        </row>
        <row r="86">
          <cell r="C86" t="str">
            <v>QT19BA15.10</v>
          </cell>
          <cell r="D86" t="str">
            <v>B71</v>
          </cell>
          <cell r="E86" t="str">
            <v>AXOLBA</v>
          </cell>
        </row>
        <row r="87">
          <cell r="C87" t="str">
            <v>QT19BA15.30</v>
          </cell>
          <cell r="D87" t="str">
            <v>B85/14</v>
          </cell>
          <cell r="E87" t="str">
            <v>AXOLBA</v>
          </cell>
        </row>
        <row r="88">
          <cell r="C88" t="str">
            <v>QT17IA45.60</v>
          </cell>
          <cell r="D88" t="str">
            <v>FF2</v>
          </cell>
          <cell r="E88" t="str">
            <v>AXFIA</v>
          </cell>
        </row>
        <row r="89">
          <cell r="C89" t="str">
            <v>QT20LA15.60</v>
          </cell>
          <cell r="D89" t="str">
            <v>B71</v>
          </cell>
          <cell r="E89" t="str">
            <v>AXOLA</v>
          </cell>
        </row>
        <row r="90">
          <cell r="C90" t="str">
            <v>QT20LA15.91</v>
          </cell>
          <cell r="D90" t="str">
            <v>B71</v>
          </cell>
          <cell r="E90" t="str">
            <v>AXOLA</v>
          </cell>
        </row>
        <row r="91">
          <cell r="C91" t="str">
            <v>QT20LA15.90</v>
          </cell>
          <cell r="D91" t="str">
            <v>B85</v>
          </cell>
          <cell r="E91" t="str">
            <v>AXOLA</v>
          </cell>
        </row>
        <row r="92">
          <cell r="C92" t="str">
            <v>QT20LA15.50</v>
          </cell>
          <cell r="D92" t="str">
            <v>B85</v>
          </cell>
          <cell r="E92" t="str">
            <v>AXOLA</v>
          </cell>
        </row>
        <row r="93">
          <cell r="C93" t="str">
            <v>QT20LA25.40</v>
          </cell>
          <cell r="E93" t="str">
            <v>AXOLA</v>
          </cell>
        </row>
        <row r="94">
          <cell r="C94" t="str">
            <v>QT17IA15.93</v>
          </cell>
          <cell r="D94" t="str">
            <v>B25</v>
          </cell>
          <cell r="E94" t="str">
            <v>AXFIA</v>
          </cell>
        </row>
        <row r="95">
          <cell r="C95" t="str">
            <v>QT18OA23.00</v>
          </cell>
          <cell r="E95" t="str">
            <v>AXOA</v>
          </cell>
        </row>
        <row r="96">
          <cell r="C96" t="str">
            <v>QT18OA14.00</v>
          </cell>
          <cell r="D96" t="str">
            <v>B71</v>
          </cell>
          <cell r="E96" t="str">
            <v>AXOA</v>
          </cell>
        </row>
        <row r="97">
          <cell r="C97" t="str">
            <v>QT18OA14.10</v>
          </cell>
          <cell r="D97" t="str">
            <v>B71</v>
          </cell>
          <cell r="E97" t="str">
            <v>AXOA</v>
          </cell>
        </row>
        <row r="98">
          <cell r="C98" t="str">
            <v>QT17IA25.60</v>
          </cell>
          <cell r="E98" t="str">
            <v>AXFIA</v>
          </cell>
        </row>
        <row r="99">
          <cell r="C99" t="str">
            <v>QT19BA43.00</v>
          </cell>
          <cell r="D99" t="str">
            <v>FF2</v>
          </cell>
          <cell r="E99" t="str">
            <v>AXOLBA</v>
          </cell>
        </row>
        <row r="100">
          <cell r="C100" t="str">
            <v>QT20LA45.40</v>
          </cell>
          <cell r="D100" t="str">
            <v>FF2</v>
          </cell>
          <cell r="E100" t="str">
            <v>AXOLA</v>
          </cell>
        </row>
        <row r="101">
          <cell r="C101" t="str">
            <v>QT18OA43.00</v>
          </cell>
          <cell r="D101" t="str">
            <v>FF3</v>
          </cell>
          <cell r="E101" t="str">
            <v>AXOA</v>
          </cell>
        </row>
        <row r="102">
          <cell r="C102" t="str">
            <v>QT21CA24.00</v>
          </cell>
          <cell r="E102" t="str">
            <v>AXBCA</v>
          </cell>
        </row>
        <row r="103">
          <cell r="C103" t="str">
            <v>QT21CA15.40</v>
          </cell>
          <cell r="D103" t="str">
            <v>B5</v>
          </cell>
          <cell r="E103" t="str">
            <v>AXBCA</v>
          </cell>
        </row>
        <row r="104">
          <cell r="C104" t="str">
            <v>QT21CA15.50</v>
          </cell>
          <cell r="D104" t="str">
            <v>B5</v>
          </cell>
          <cell r="E104" t="str">
            <v>AXBCA</v>
          </cell>
        </row>
        <row r="105">
          <cell r="C105" t="str">
            <v>QT21CA15.00</v>
          </cell>
          <cell r="D105" t="str">
            <v>B13</v>
          </cell>
          <cell r="E105" t="str">
            <v>AXBCA</v>
          </cell>
        </row>
        <row r="106">
          <cell r="C106" t="str">
            <v>QT21CA15.10</v>
          </cell>
          <cell r="D106" t="str">
            <v>B13</v>
          </cell>
          <cell r="E106" t="str">
            <v>AXBCA</v>
          </cell>
        </row>
        <row r="107">
          <cell r="C107" t="str">
            <v>QTAXBCA</v>
          </cell>
          <cell r="E107" t="str">
            <v>AXBCA</v>
          </cell>
        </row>
        <row r="108">
          <cell r="C108" t="str">
            <v>QT17IA25.00</v>
          </cell>
          <cell r="E108" t="str">
            <v>AXFIA</v>
          </cell>
        </row>
        <row r="109">
          <cell r="C109" t="str">
            <v>QT17IA15.10</v>
          </cell>
          <cell r="D109" t="str">
            <v>B25</v>
          </cell>
          <cell r="E109" t="str">
            <v>AXFIA</v>
          </cell>
        </row>
        <row r="110">
          <cell r="C110" t="str">
            <v>QT17IA15.00</v>
          </cell>
          <cell r="D110" t="str">
            <v>B66</v>
          </cell>
          <cell r="E110" t="str">
            <v>AXFIA</v>
          </cell>
        </row>
        <row r="111">
          <cell r="C111" t="str">
            <v>QT20LA24.00</v>
          </cell>
          <cell r="E111" t="str">
            <v>AXOLA</v>
          </cell>
        </row>
        <row r="112">
          <cell r="C112" t="str">
            <v>QT20LA15.30</v>
          </cell>
          <cell r="D112" t="str">
            <v>B71</v>
          </cell>
          <cell r="E112" t="str">
            <v>AXOLA</v>
          </cell>
        </row>
        <row r="113">
          <cell r="C113" t="str">
            <v>QT20LA15.40</v>
          </cell>
          <cell r="D113" t="str">
            <v>B85</v>
          </cell>
          <cell r="E113" t="str">
            <v>AXOLA</v>
          </cell>
        </row>
        <row r="114">
          <cell r="C114" t="str">
            <v>QT17IA45.00</v>
          </cell>
          <cell r="D114" t="str">
            <v>FF2</v>
          </cell>
          <cell r="E114" t="str">
            <v>AXFIA</v>
          </cell>
        </row>
        <row r="115">
          <cell r="C115" t="str">
            <v>QT20LA44.00</v>
          </cell>
          <cell r="D115" t="str">
            <v>FF2</v>
          </cell>
          <cell r="E115" t="str">
            <v>AXOLA</v>
          </cell>
        </row>
        <row r="116">
          <cell r="C116" t="str">
            <v>QT20LA25.30</v>
          </cell>
          <cell r="E116" t="str">
            <v>AXOLA</v>
          </cell>
        </row>
        <row r="117">
          <cell r="C117" t="str">
            <v>QT20LA15.99</v>
          </cell>
          <cell r="D117" t="str">
            <v>B71</v>
          </cell>
          <cell r="E117" t="str">
            <v>AXOLA</v>
          </cell>
        </row>
        <row r="118">
          <cell r="C118" t="str">
            <v>QT20LA15.101</v>
          </cell>
          <cell r="D118" t="str">
            <v>B71</v>
          </cell>
          <cell r="E118" t="str">
            <v>AXOLA</v>
          </cell>
        </row>
        <row r="119">
          <cell r="C119" t="str">
            <v>QT20LA15.100</v>
          </cell>
          <cell r="D119" t="str">
            <v>B85</v>
          </cell>
          <cell r="E119" t="str">
            <v>AXOLA</v>
          </cell>
        </row>
        <row r="120">
          <cell r="C120" t="str">
            <v>QT20LA15.102</v>
          </cell>
          <cell r="D120" t="str">
            <v>B85</v>
          </cell>
          <cell r="E120" t="str">
            <v>AXOLA</v>
          </cell>
        </row>
        <row r="121">
          <cell r="C121" t="str">
            <v>QT17IA15.30</v>
          </cell>
          <cell r="D121" t="str">
            <v>B25</v>
          </cell>
          <cell r="E121" t="str">
            <v>AXFIA</v>
          </cell>
        </row>
        <row r="122">
          <cell r="C122" t="str">
            <v>QT20LA45.30</v>
          </cell>
          <cell r="D122" t="str">
            <v>FF2</v>
          </cell>
          <cell r="E122" t="str">
            <v>AXOLA</v>
          </cell>
        </row>
        <row r="123">
          <cell r="C123" t="str">
            <v>QT19BA25.00</v>
          </cell>
          <cell r="E123" t="str">
            <v>AXOLBA</v>
          </cell>
        </row>
        <row r="124">
          <cell r="C124" t="str">
            <v>QT19BA15.50</v>
          </cell>
          <cell r="D124" t="str">
            <v>B71</v>
          </cell>
          <cell r="E124" t="str">
            <v>AXOLBA</v>
          </cell>
        </row>
        <row r="125">
          <cell r="C125" t="str">
            <v>QT19BA15.60</v>
          </cell>
          <cell r="D125" t="str">
            <v>B85/14</v>
          </cell>
          <cell r="E125" t="str">
            <v>AXOLBA</v>
          </cell>
        </row>
        <row r="126">
          <cell r="C126" t="str">
            <v>QT18OA24.00</v>
          </cell>
          <cell r="E126" t="str">
            <v>AXOA</v>
          </cell>
        </row>
        <row r="127">
          <cell r="C127" t="str">
            <v>QT18OA15.00</v>
          </cell>
          <cell r="D127" t="str">
            <v>B71</v>
          </cell>
          <cell r="E127" t="str">
            <v>AXOA</v>
          </cell>
        </row>
        <row r="128">
          <cell r="C128" t="str">
            <v>QT18OA15.20</v>
          </cell>
          <cell r="D128" t="str">
            <v>B71</v>
          </cell>
          <cell r="E128" t="str">
            <v>AXOA</v>
          </cell>
        </row>
        <row r="129">
          <cell r="C129" t="str">
            <v>QT17IA15.20</v>
          </cell>
          <cell r="D129" t="str">
            <v>B66</v>
          </cell>
          <cell r="E129" t="str">
            <v>AXFIA</v>
          </cell>
        </row>
        <row r="130">
          <cell r="C130" t="str">
            <v>QT18OA44.00</v>
          </cell>
          <cell r="D130" t="str">
            <v>FF3</v>
          </cell>
          <cell r="E130" t="str">
            <v>AXOA</v>
          </cell>
        </row>
        <row r="131">
          <cell r="C131" t="str">
            <v>QT17IA25.10</v>
          </cell>
          <cell r="E131" t="str">
            <v>AXFIA</v>
          </cell>
        </row>
        <row r="132">
          <cell r="C132" t="str">
            <v>QT20LA25.00</v>
          </cell>
          <cell r="E132" t="str">
            <v>AXOLA</v>
          </cell>
        </row>
        <row r="133">
          <cell r="C133" t="str">
            <v>QT19BA44.00</v>
          </cell>
          <cell r="D133" t="str">
            <v>FF2</v>
          </cell>
          <cell r="E133" t="str">
            <v>AXOLBA</v>
          </cell>
        </row>
        <row r="134">
          <cell r="C134" t="str">
            <v>QT20LA15.70</v>
          </cell>
          <cell r="D134" t="str">
            <v>B71</v>
          </cell>
          <cell r="E134" t="str">
            <v>AXOLA</v>
          </cell>
        </row>
        <row r="135">
          <cell r="C135" t="str">
            <v>QT17IA45.10</v>
          </cell>
          <cell r="D135" t="str">
            <v>FF2</v>
          </cell>
          <cell r="E135" t="str">
            <v>AXFIA</v>
          </cell>
        </row>
        <row r="136">
          <cell r="C136" t="str">
            <v>QT20LA15.80</v>
          </cell>
          <cell r="D136" t="str">
            <v>B85</v>
          </cell>
          <cell r="E136" t="str">
            <v>AXOLA</v>
          </cell>
        </row>
        <row r="137">
          <cell r="C137" t="str">
            <v>QT20LA45.00</v>
          </cell>
          <cell r="D137" t="str">
            <v>FF2</v>
          </cell>
          <cell r="E137" t="str">
            <v>AXOLA</v>
          </cell>
        </row>
        <row r="138">
          <cell r="C138" t="str">
            <v>QT20LA25.10</v>
          </cell>
          <cell r="E138" t="str">
            <v>AXOLA</v>
          </cell>
        </row>
        <row r="139">
          <cell r="C139" t="str">
            <v>QT18OA25.00</v>
          </cell>
          <cell r="E139" t="str">
            <v>AXOA</v>
          </cell>
        </row>
        <row r="140">
          <cell r="C140" t="str">
            <v>QT20LA15.103</v>
          </cell>
          <cell r="D140" t="str">
            <v>B71</v>
          </cell>
          <cell r="E140" t="str">
            <v>AXOLA</v>
          </cell>
        </row>
        <row r="141">
          <cell r="C141" t="str">
            <v>QT18OA15.10</v>
          </cell>
          <cell r="D141" t="str">
            <v>B71</v>
          </cell>
          <cell r="E141" t="str">
            <v>AXOA</v>
          </cell>
        </row>
        <row r="142">
          <cell r="C142" t="str">
            <v>QT20LA15.97</v>
          </cell>
          <cell r="D142" t="str">
            <v>B85</v>
          </cell>
          <cell r="E142" t="str">
            <v>AXOLA</v>
          </cell>
        </row>
        <row r="143">
          <cell r="C143" t="str">
            <v>QT21CA25.00</v>
          </cell>
          <cell r="E143" t="str">
            <v>AXBCA</v>
          </cell>
        </row>
        <row r="144">
          <cell r="C144" t="str">
            <v>QT21CA15.60</v>
          </cell>
          <cell r="D144" t="str">
            <v>B5</v>
          </cell>
          <cell r="E144" t="str">
            <v>AXBCA</v>
          </cell>
        </row>
        <row r="145">
          <cell r="C145" t="str">
            <v>QT21CA15.70</v>
          </cell>
          <cell r="D145" t="str">
            <v>B5</v>
          </cell>
          <cell r="E145" t="str">
            <v>AXBCA</v>
          </cell>
        </row>
        <row r="146">
          <cell r="C146" t="str">
            <v>QT21CA15.20</v>
          </cell>
          <cell r="D146" t="str">
            <v>B13</v>
          </cell>
          <cell r="E146" t="str">
            <v>AXBCA</v>
          </cell>
        </row>
        <row r="147">
          <cell r="C147" t="str">
            <v>QT21CA15.30</v>
          </cell>
          <cell r="D147" t="str">
            <v>B13</v>
          </cell>
          <cell r="E147" t="str">
            <v>AXBCA</v>
          </cell>
        </row>
        <row r="148">
          <cell r="C148" t="str">
            <v>QT17IA25.20</v>
          </cell>
          <cell r="E148" t="str">
            <v>AXFIA</v>
          </cell>
        </row>
        <row r="149">
          <cell r="C149" t="str">
            <v>QT18OA45.00</v>
          </cell>
          <cell r="D149" t="str">
            <v>FF3</v>
          </cell>
          <cell r="E149" t="str">
            <v>AXOA</v>
          </cell>
        </row>
        <row r="150">
          <cell r="C150" t="str">
            <v>QT20LA45.10</v>
          </cell>
          <cell r="D150" t="str">
            <v>FF2</v>
          </cell>
          <cell r="E150" t="str">
            <v>AXOLA</v>
          </cell>
        </row>
        <row r="151">
          <cell r="C151" t="str">
            <v>QT20LA25.20</v>
          </cell>
          <cell r="E151" t="str">
            <v>AXOLA</v>
          </cell>
        </row>
        <row r="152">
          <cell r="C152" t="str">
            <v>QTAXBCA</v>
          </cell>
          <cell r="E152" t="str">
            <v>AXBCA</v>
          </cell>
        </row>
        <row r="153">
          <cell r="C153" t="str">
            <v>QT18OA15.30</v>
          </cell>
          <cell r="D153" t="str">
            <v>B71</v>
          </cell>
          <cell r="E153" t="str">
            <v>AXOA</v>
          </cell>
        </row>
        <row r="154">
          <cell r="C154" t="str">
            <v>QT17IA15.40</v>
          </cell>
          <cell r="D154" t="str">
            <v>B25</v>
          </cell>
          <cell r="E154" t="str">
            <v>AXFIA</v>
          </cell>
        </row>
        <row r="155">
          <cell r="C155" t="str">
            <v>QT20LA15.98</v>
          </cell>
          <cell r="D155" t="str">
            <v>B71</v>
          </cell>
          <cell r="E155" t="str">
            <v>AXOLA</v>
          </cell>
        </row>
        <row r="156">
          <cell r="C156" t="str">
            <v>QT17IA15.50</v>
          </cell>
          <cell r="D156" t="str">
            <v>B66</v>
          </cell>
          <cell r="E156" t="str">
            <v>AXFIA</v>
          </cell>
        </row>
        <row r="157">
          <cell r="C157" t="str">
            <v>QT20LA15.92</v>
          </cell>
          <cell r="D157" t="str">
            <v>B85</v>
          </cell>
          <cell r="E157" t="str">
            <v>AXOLA</v>
          </cell>
        </row>
        <row r="158">
          <cell r="C158" t="str">
            <v>QT18OA25.10</v>
          </cell>
          <cell r="E158" t="str">
            <v>AXOA</v>
          </cell>
        </row>
        <row r="159">
          <cell r="C159" t="str">
            <v>QT17IA45.20</v>
          </cell>
          <cell r="D159" t="str">
            <v>FF2</v>
          </cell>
          <cell r="E159" t="str">
            <v>AXFIA</v>
          </cell>
        </row>
        <row r="160">
          <cell r="C160" t="str">
            <v>QT18OA45.10</v>
          </cell>
          <cell r="D160" t="str">
            <v>FF3</v>
          </cell>
          <cell r="E160" t="str">
            <v>AXOA</v>
          </cell>
        </row>
        <row r="161">
          <cell r="C161" t="str">
            <v>QT20LA45.20</v>
          </cell>
          <cell r="D161" t="str">
            <v>FF2</v>
          </cell>
          <cell r="E161" t="str">
            <v>AXOLA</v>
          </cell>
        </row>
        <row r="162">
          <cell r="C162" t="str">
            <v>QT17IA25.40</v>
          </cell>
          <cell r="E162" t="str">
            <v>AXFIA</v>
          </cell>
        </row>
        <row r="163">
          <cell r="C163" t="str">
            <v>QT17IA15.100</v>
          </cell>
          <cell r="D163" t="str">
            <v>B25</v>
          </cell>
          <cell r="E163" t="str">
            <v>AXFIA</v>
          </cell>
        </row>
        <row r="164">
          <cell r="C164" t="str">
            <v>QT18OA25.20</v>
          </cell>
          <cell r="E164" t="str">
            <v>AXOA</v>
          </cell>
        </row>
        <row r="165">
          <cell r="C165" t="str">
            <v>QT17IA15.101</v>
          </cell>
          <cell r="D165" t="str">
            <v>B66</v>
          </cell>
          <cell r="E165" t="str">
            <v>AXFIA</v>
          </cell>
        </row>
        <row r="166">
          <cell r="C166" t="str">
            <v>QT18OA15.40</v>
          </cell>
          <cell r="D166" t="str">
            <v>B71</v>
          </cell>
          <cell r="E166" t="str">
            <v>AXOA</v>
          </cell>
        </row>
        <row r="167">
          <cell r="C167" t="str">
            <v>QT17IA45.70</v>
          </cell>
          <cell r="D167" t="str">
            <v>FF2</v>
          </cell>
          <cell r="E167" t="str">
            <v>AXFIA</v>
          </cell>
        </row>
        <row r="168">
          <cell r="C168" t="str">
            <v>QT19BA25.20</v>
          </cell>
          <cell r="E168" t="str">
            <v>AXOLBA</v>
          </cell>
        </row>
        <row r="169">
          <cell r="C169" t="str">
            <v>QT17IA25.70</v>
          </cell>
          <cell r="E169" t="str">
            <v>AXFIA</v>
          </cell>
        </row>
        <row r="170">
          <cell r="C170" t="str">
            <v>QT18OA45.20</v>
          </cell>
          <cell r="D170" t="str">
            <v>FF3</v>
          </cell>
          <cell r="E170" t="str">
            <v>AXOA</v>
          </cell>
        </row>
        <row r="171">
          <cell r="C171" t="str">
            <v>QT19BA15.93</v>
          </cell>
          <cell r="D171" t="str">
            <v>B85/14</v>
          </cell>
          <cell r="E171" t="str">
            <v>AXOLBA</v>
          </cell>
        </row>
        <row r="172">
          <cell r="C172" t="str">
            <v>QT17IA15.102</v>
          </cell>
          <cell r="D172" t="str">
            <v>B25</v>
          </cell>
          <cell r="E172" t="str">
            <v>AXFIA</v>
          </cell>
        </row>
        <row r="173">
          <cell r="C173" t="str">
            <v>QT19BA15.92</v>
          </cell>
          <cell r="D173" t="str">
            <v>B71</v>
          </cell>
          <cell r="E173" t="str">
            <v>AXOLBA</v>
          </cell>
        </row>
        <row r="174">
          <cell r="C174" t="str">
            <v>QT17IA15.103</v>
          </cell>
          <cell r="D174" t="str">
            <v>B66</v>
          </cell>
          <cell r="E174" t="str">
            <v>AXFIA</v>
          </cell>
        </row>
        <row r="175">
          <cell r="C175" t="str">
            <v>QT19BA45.10</v>
          </cell>
          <cell r="D175" t="str">
            <v>FF2</v>
          </cell>
          <cell r="E175" t="str">
            <v>AXOLBA</v>
          </cell>
        </row>
        <row r="176">
          <cell r="C176" t="str">
            <v>QT17IA45.80</v>
          </cell>
          <cell r="D176" t="str">
            <v>FF2</v>
          </cell>
          <cell r="E176" t="str">
            <v>AXFIA</v>
          </cell>
        </row>
        <row r="177">
          <cell r="C177" t="str">
            <v>QT19BA25.30</v>
          </cell>
          <cell r="E177" t="str">
            <v>AXOLBA</v>
          </cell>
        </row>
        <row r="178">
          <cell r="C178" t="str">
            <v>QT19BA15.95</v>
          </cell>
          <cell r="D178" t="str">
            <v>B85/14</v>
          </cell>
          <cell r="E178" t="str">
            <v>AXOLBA</v>
          </cell>
        </row>
        <row r="179">
          <cell r="C179" t="str">
            <v>QT19BA15.94</v>
          </cell>
          <cell r="D179" t="str">
            <v>B71</v>
          </cell>
          <cell r="E179" t="str">
            <v>AXOLBA</v>
          </cell>
        </row>
        <row r="180">
          <cell r="C180" t="str">
            <v>QT19BA45.20</v>
          </cell>
          <cell r="D180" t="str">
            <v>FF2</v>
          </cell>
          <cell r="E180" t="str">
            <v>AXOLBA</v>
          </cell>
        </row>
        <row r="181">
          <cell r="C181" t="str">
            <v>QT19BA25.40</v>
          </cell>
          <cell r="E181" t="str">
            <v>AXOLBA</v>
          </cell>
        </row>
        <row r="182">
          <cell r="C182" t="str">
            <v>QT19BA15.97</v>
          </cell>
          <cell r="D182" t="str">
            <v>B85/14</v>
          </cell>
          <cell r="E182" t="str">
            <v>AXOLBA</v>
          </cell>
        </row>
        <row r="183">
          <cell r="C183" t="str">
            <v>QT19BA15.96</v>
          </cell>
          <cell r="D183" t="str">
            <v>B71</v>
          </cell>
          <cell r="E183" t="str">
            <v>AXOLBA</v>
          </cell>
        </row>
        <row r="184">
          <cell r="C184" t="str">
            <v>QT19BA45.30</v>
          </cell>
          <cell r="D184" t="str">
            <v>FF2</v>
          </cell>
          <cell r="E184" t="str">
            <v>AXOLBA</v>
          </cell>
        </row>
        <row r="185">
          <cell r="C185" t="str">
            <v>QT19BA25.50</v>
          </cell>
          <cell r="E185" t="str">
            <v>AXOLBA</v>
          </cell>
        </row>
        <row r="186">
          <cell r="C186" t="str">
            <v>QT19BA15.99</v>
          </cell>
          <cell r="D186" t="str">
            <v>B85/14</v>
          </cell>
          <cell r="E186" t="str">
            <v>AXOLBA</v>
          </cell>
        </row>
        <row r="187">
          <cell r="C187" t="str">
            <v>QT19BA15.98</v>
          </cell>
          <cell r="D187" t="str">
            <v>B71</v>
          </cell>
          <cell r="E187" t="str">
            <v>AXOLBA</v>
          </cell>
        </row>
        <row r="188">
          <cell r="C188" t="str">
            <v>QT19BA45.40</v>
          </cell>
          <cell r="D188" t="str">
            <v>FF2</v>
          </cell>
          <cell r="E188" t="str">
            <v>AXOLBA</v>
          </cell>
        </row>
        <row r="189">
          <cell r="C189" t="str">
            <v>QT19BA25.60</v>
          </cell>
          <cell r="E189" t="str">
            <v>AXOLBA</v>
          </cell>
        </row>
        <row r="190">
          <cell r="C190" t="str">
            <v>QT19BA15.101</v>
          </cell>
          <cell r="D190" t="str">
            <v>B85/14</v>
          </cell>
          <cell r="E190" t="str">
            <v>AXOLBA</v>
          </cell>
        </row>
        <row r="191">
          <cell r="C191" t="str">
            <v>QT19BA15.100</v>
          </cell>
          <cell r="D191" t="str">
            <v>B71</v>
          </cell>
          <cell r="E191" t="str">
            <v>AXOLBA</v>
          </cell>
        </row>
        <row r="192">
          <cell r="C192" t="str">
            <v>QT19BA45.50</v>
          </cell>
          <cell r="D192" t="str">
            <v>FF2</v>
          </cell>
          <cell r="E192" t="str">
            <v>AXOLBA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98.382729513891" createdVersion="3" refreshedVersion="3" minRefreshableVersion="3" recordCount="1810">
  <cacheSource type="worksheet">
    <worksheetSource ref="A1:L1811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5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AOI  Inspect"/>
        <s v="DUT1"/>
        <s v="Packout"/>
        <s v="Debug Test-1"/>
        <s v="Xfr to T/L Assembly"/>
        <s v="XRAY DAGE"/>
        <s v="RWK 5DX"/>
        <s v="Inspection 3" u="1"/>
        <s v="Assembly 1-1B" u="1"/>
        <s v="AOR2 AOI Repair S2" u="1"/>
        <s v="Assembly 1-1B3" u="1"/>
        <s v="AOI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25T07:51:20"/>
    </cacheField>
    <cacheField name="Work order" numFmtId="0">
      <sharedItems count="30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9BA11.00"/>
        <s v="QT19BA11.10"/>
        <s v="QT20LA12.00"/>
        <s v="QT20LA12.10"/>
        <s v="QT20LA21.00"/>
        <s v="QT20LA41.00"/>
      </sharedItems>
    </cacheField>
    <cacheField name="Part number" numFmtId="0">
      <sharedItems count="18">
        <s v="QTNSN095288A.X03"/>
        <s v="QTNSN095289A.X03"/>
        <s v="QTNSN095289A.X11"/>
        <s v="QTNSN095288A.X11"/>
        <s v="TNSN095289A.X1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290A.X02"/>
        <s v="QTNSN095291A.X02"/>
        <s v="QTNSN095286A.X02"/>
        <s v="QTNSN476797A.X11"/>
      </sharedItems>
    </cacheField>
    <cacheField name="Priority" numFmtId="0">
      <sharedItems containsSemiMixedTypes="0" containsString="0" containsNumber="1" containsInteger="1" minValue="1" maxValue="37" count="30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37"/>
        <n v="22"/>
        <n v="4"/>
        <n v="10"/>
        <n v="14"/>
        <n v="25"/>
        <n v="26"/>
        <n v="19"/>
        <n v="20"/>
        <n v="29"/>
        <n v="30"/>
        <n v="21"/>
        <n v="3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6-23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0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4"/>
    <x v="6"/>
    <m/>
    <m/>
    <m/>
  </r>
  <r>
    <s v="YK261600002"/>
    <s v="NOT-IN-PROCESS"/>
    <x v="0"/>
    <s v="1"/>
    <x v="0"/>
    <d v="2026-05-08T11:13:30"/>
    <x v="6"/>
    <x v="4"/>
    <x v="6"/>
    <m/>
    <m/>
    <m/>
  </r>
  <r>
    <s v="YK261600003"/>
    <s v="NOT-IN-PROCESS"/>
    <x v="0"/>
    <s v="1"/>
    <x v="0"/>
    <d v="2026-05-07T13:27:03"/>
    <x v="6"/>
    <x v="4"/>
    <x v="6"/>
    <m/>
    <m/>
    <m/>
  </r>
  <r>
    <s v="YK261600004"/>
    <s v="NOT-IN-PROCESS"/>
    <x v="0"/>
    <s v="1"/>
    <x v="0"/>
    <d v="2026-05-08T11:12:50"/>
    <x v="6"/>
    <x v="4"/>
    <x v="6"/>
    <m/>
    <m/>
    <m/>
  </r>
  <r>
    <s v="YK261600005"/>
    <s v="NOT-IN-PROCESS"/>
    <x v="0"/>
    <s v="1"/>
    <x v="0"/>
    <d v="2026-05-08T11:13:07"/>
    <x v="6"/>
    <x v="4"/>
    <x v="6"/>
    <m/>
    <m/>
    <m/>
  </r>
  <r>
    <s v="YK261600006"/>
    <s v="FUN1 Func Test"/>
    <x v="3"/>
    <s v="1"/>
    <x v="3"/>
    <d v="2026-04-25T10:33:54"/>
    <x v="6"/>
    <x v="4"/>
    <x v="6"/>
    <m/>
    <m/>
    <m/>
  </r>
  <r>
    <s v="YK261600007"/>
    <s v="FUN1 Func Test"/>
    <x v="3"/>
    <s v="1"/>
    <x v="3"/>
    <d v="2026-04-25T10:36:18"/>
    <x v="6"/>
    <x v="4"/>
    <x v="6"/>
    <m/>
    <m/>
    <m/>
  </r>
  <r>
    <s v="YK261600008"/>
    <s v="NOT-IN-PROCESS"/>
    <x v="0"/>
    <s v="1"/>
    <x v="0"/>
    <d v="2026-05-07T13:26:25"/>
    <x v="6"/>
    <x v="4"/>
    <x v="6"/>
    <m/>
    <m/>
    <m/>
  </r>
  <r>
    <s v="YK261600009"/>
    <s v="NOT-IN-PROCESS"/>
    <x v="0"/>
    <s v="1"/>
    <x v="0"/>
    <d v="2026-05-05T08:58:24"/>
    <x v="6"/>
    <x v="4"/>
    <x v="6"/>
    <m/>
    <m/>
    <m/>
  </r>
  <r>
    <s v="YK261600010"/>
    <s v="NOT-IN-PROCESS"/>
    <x v="0"/>
    <s v="1"/>
    <x v="0"/>
    <d v="2026-05-06T10:40:23"/>
    <x v="6"/>
    <x v="4"/>
    <x v="6"/>
    <m/>
    <m/>
    <m/>
  </r>
  <r>
    <s v="YK261600011"/>
    <s v="NOT-IN-PROCESS"/>
    <x v="0"/>
    <s v="1"/>
    <x v="0"/>
    <d v="2026-05-06T10:40:18"/>
    <x v="6"/>
    <x v="4"/>
    <x v="6"/>
    <m/>
    <m/>
    <m/>
  </r>
  <r>
    <s v="YK261600012"/>
    <s v="RWK2 Repair Test"/>
    <x v="8"/>
    <s v="1"/>
    <x v="4"/>
    <d v="2026-04-29T14:20:22"/>
    <x v="6"/>
    <x v="4"/>
    <x v="6"/>
    <m/>
    <m/>
    <m/>
  </r>
  <r>
    <s v="YK261600013"/>
    <s v="CMP1 Complete"/>
    <x v="6"/>
    <s v="1"/>
    <x v="5"/>
    <d v="2026-05-04T11:28:28"/>
    <x v="6"/>
    <x v="4"/>
    <x v="6"/>
    <m/>
    <m/>
    <m/>
  </r>
  <r>
    <s v="YK261600014"/>
    <s v="CMP1 Complete"/>
    <x v="6"/>
    <s v="1"/>
    <x v="5"/>
    <d v="2026-05-04T11:27:42"/>
    <x v="6"/>
    <x v="4"/>
    <x v="6"/>
    <m/>
    <m/>
    <m/>
  </r>
  <r>
    <s v="YK261600015"/>
    <s v="NOT-IN-PROCESS"/>
    <x v="0"/>
    <s v="1"/>
    <x v="0"/>
    <d v="2026-05-06T11:16:31"/>
    <x v="6"/>
    <x v="4"/>
    <x v="6"/>
    <m/>
    <m/>
    <m/>
  </r>
  <r>
    <s v="YK261600016"/>
    <s v="NOT-IN-PROCESS"/>
    <x v="0"/>
    <s v="1"/>
    <x v="0"/>
    <d v="2026-05-11T07:07:30"/>
    <x v="6"/>
    <x v="4"/>
    <x v="6"/>
    <m/>
    <m/>
    <m/>
  </r>
  <r>
    <s v="YK261600017"/>
    <s v="FUN1 Func Test"/>
    <x v="3"/>
    <s v="1"/>
    <x v="3"/>
    <d v="2026-04-24T10:17:40"/>
    <x v="6"/>
    <x v="4"/>
    <x v="6"/>
    <m/>
    <m/>
    <m/>
  </r>
  <r>
    <s v="YK261600018"/>
    <s v="NOT-IN-PROCESS"/>
    <x v="0"/>
    <s v="1"/>
    <x v="0"/>
    <d v="2026-05-05T08:58:43"/>
    <x v="6"/>
    <x v="4"/>
    <x v="6"/>
    <m/>
    <m/>
    <m/>
  </r>
  <r>
    <s v="YK261600019"/>
    <s v="FUN1 Func Test"/>
    <x v="3"/>
    <s v="1"/>
    <x v="3"/>
    <d v="2026-04-24T10:05:54"/>
    <x v="6"/>
    <x v="4"/>
    <x v="6"/>
    <m/>
    <m/>
    <m/>
  </r>
  <r>
    <s v="YK261600020"/>
    <s v="FUN1 Func Test"/>
    <x v="3"/>
    <s v="1"/>
    <x v="3"/>
    <d v="2026-04-24T09:44:30"/>
    <x v="6"/>
    <x v="4"/>
    <x v="6"/>
    <m/>
    <m/>
    <m/>
  </r>
  <r>
    <s v="YK261600021"/>
    <s v="FUN1 Func Test"/>
    <x v="3"/>
    <s v="1"/>
    <x v="3"/>
    <d v="2026-04-25T10:36:27"/>
    <x v="6"/>
    <x v="4"/>
    <x v="6"/>
    <m/>
    <m/>
    <m/>
  </r>
  <r>
    <s v="YK261600022"/>
    <s v="SHIP Shipping"/>
    <x v="1"/>
    <s v="1"/>
    <x v="1"/>
    <d v="2026-05-12T08:52:25"/>
    <x v="6"/>
    <x v="4"/>
    <x v="6"/>
    <m/>
    <d v="2026-05-14T00:00:00"/>
    <m/>
  </r>
  <r>
    <s v="YK261600023"/>
    <s v="CMP1 Complete"/>
    <x v="6"/>
    <s v="1"/>
    <x v="5"/>
    <d v="2026-05-12T09:20:57"/>
    <x v="6"/>
    <x v="4"/>
    <x v="6"/>
    <m/>
    <m/>
    <m/>
  </r>
  <r>
    <s v="YK261600024"/>
    <s v="FUN1 Func Test"/>
    <x v="3"/>
    <s v="1"/>
    <x v="3"/>
    <d v="2026-04-24T09:42:19"/>
    <x v="6"/>
    <x v="4"/>
    <x v="6"/>
    <m/>
    <m/>
    <m/>
  </r>
  <r>
    <s v="YK261600025"/>
    <s v="RWK2 Repair Test"/>
    <x v="8"/>
    <s v="1"/>
    <x v="4"/>
    <d v="2026-04-24T07:18:02"/>
    <x v="6"/>
    <x v="4"/>
    <x v="6"/>
    <m/>
    <m/>
    <m/>
  </r>
  <r>
    <s v="YK261600026"/>
    <s v="RWK2 Repair Test"/>
    <x v="8"/>
    <s v="1"/>
    <x v="4"/>
    <d v="2026-04-24T07:18:29"/>
    <x v="6"/>
    <x v="4"/>
    <x v="6"/>
    <m/>
    <m/>
    <m/>
  </r>
  <r>
    <s v="YK261600027"/>
    <s v="FUN1 Func Test"/>
    <x v="3"/>
    <s v="1"/>
    <x v="3"/>
    <d v="2026-04-24T09:38:25"/>
    <x v="6"/>
    <x v="4"/>
    <x v="6"/>
    <m/>
    <m/>
    <m/>
  </r>
  <r>
    <s v="YK261600028"/>
    <s v="NOT-IN-PROCESS"/>
    <x v="0"/>
    <s v="1"/>
    <x v="0"/>
    <d v="2026-05-11T10:25:37"/>
    <x v="6"/>
    <x v="4"/>
    <x v="6"/>
    <m/>
    <m/>
    <m/>
  </r>
  <r>
    <s v="YK261600029"/>
    <s v="ASY2 T/L Assembly"/>
    <x v="9"/>
    <s v="1"/>
    <x v="6"/>
    <d v="2026-05-15T10:26:11"/>
    <x v="6"/>
    <x v="4"/>
    <x v="6"/>
    <m/>
    <m/>
    <m/>
  </r>
  <r>
    <s v="YK261600030"/>
    <s v="RWK2 Repair Test"/>
    <x v="8"/>
    <s v="1"/>
    <x v="4"/>
    <d v="2026-04-27T11:40:23"/>
    <x v="6"/>
    <x v="4"/>
    <x v="6"/>
    <m/>
    <m/>
    <m/>
  </r>
  <r>
    <s v="YK261600031"/>
    <s v="FUN1 Func Test"/>
    <x v="3"/>
    <s v="1"/>
    <x v="3"/>
    <d v="2026-04-24T10:02:35"/>
    <x v="6"/>
    <x v="4"/>
    <x v="6"/>
    <m/>
    <m/>
    <m/>
  </r>
  <r>
    <s v="YK261600032"/>
    <s v="FUN1 Func Test"/>
    <x v="3"/>
    <s v="1"/>
    <x v="3"/>
    <d v="2026-04-24T10:05:01"/>
    <x v="6"/>
    <x v="4"/>
    <x v="6"/>
    <m/>
    <m/>
    <m/>
  </r>
  <r>
    <s v="YK261600033"/>
    <s v="RWK2 Repair Test"/>
    <x v="8"/>
    <s v="1"/>
    <x v="4"/>
    <d v="2026-04-25T13:41:03"/>
    <x v="6"/>
    <x v="4"/>
    <x v="6"/>
    <m/>
    <m/>
    <m/>
  </r>
  <r>
    <s v="YK261600034"/>
    <s v="RWK2 Repair Test"/>
    <x v="8"/>
    <s v="1"/>
    <x v="4"/>
    <d v="2026-04-25T13:46:10"/>
    <x v="6"/>
    <x v="4"/>
    <x v="6"/>
    <m/>
    <m/>
    <m/>
  </r>
  <r>
    <s v="YK261600035"/>
    <s v="RWK2 Repair Test"/>
    <x v="8"/>
    <s v="1"/>
    <x v="4"/>
    <d v="2026-04-25T13:43:43"/>
    <x v="6"/>
    <x v="4"/>
    <x v="6"/>
    <m/>
    <m/>
    <m/>
  </r>
  <r>
    <s v="YK261600036"/>
    <s v="RWK2 Repair Test"/>
    <x v="8"/>
    <s v="1"/>
    <x v="4"/>
    <d v="2026-04-25T13:44:54"/>
    <x v="6"/>
    <x v="4"/>
    <x v="6"/>
    <m/>
    <m/>
    <m/>
  </r>
  <r>
    <s v="YK261600037"/>
    <s v="RWK2 Repair Test"/>
    <x v="8"/>
    <s v="1"/>
    <x v="4"/>
    <d v="2026-04-27T14:48:11"/>
    <x v="6"/>
    <x v="4"/>
    <x v="6"/>
    <m/>
    <m/>
    <m/>
  </r>
  <r>
    <s v="YK261600038"/>
    <s v="NOT-IN-PROCESS"/>
    <x v="0"/>
    <s v="1"/>
    <x v="0"/>
    <d v="2026-05-15T12:20:01"/>
    <x v="6"/>
    <x v="4"/>
    <x v="6"/>
    <m/>
    <m/>
    <m/>
  </r>
  <r>
    <s v="YK261600039"/>
    <s v="NOT-IN-PROCESS"/>
    <x v="0"/>
    <s v="1"/>
    <x v="0"/>
    <d v="2026-05-08T07:45:21"/>
    <x v="6"/>
    <x v="4"/>
    <x v="6"/>
    <m/>
    <m/>
    <m/>
  </r>
  <r>
    <s v="YK261600040"/>
    <s v="NOT-IN-PROCESS"/>
    <x v="0"/>
    <s v="1"/>
    <x v="0"/>
    <d v="2026-05-05T09:27:28"/>
    <x v="6"/>
    <x v="4"/>
    <x v="6"/>
    <m/>
    <m/>
    <m/>
  </r>
  <r>
    <s v="YK261600041"/>
    <s v="CMP1 Complete"/>
    <x v="6"/>
    <s v="1"/>
    <x v="5"/>
    <d v="2026-05-12T07:51:32"/>
    <x v="6"/>
    <x v="4"/>
    <x v="6"/>
    <s v="Update to shipped"/>
    <d v="2026-05-27T00:00:00"/>
    <m/>
  </r>
  <r>
    <s v="YK261600042"/>
    <s v="RWK2 Repair Test"/>
    <x v="8"/>
    <s v="1"/>
    <x v="4"/>
    <d v="2026-04-24T10:32:43"/>
    <x v="6"/>
    <x v="4"/>
    <x v="6"/>
    <m/>
    <m/>
    <m/>
  </r>
  <r>
    <s v="YK261600043"/>
    <s v="FUN1 Func Test"/>
    <x v="3"/>
    <s v="1"/>
    <x v="3"/>
    <d v="2026-04-29T07:22:16"/>
    <x v="6"/>
    <x v="4"/>
    <x v="6"/>
    <m/>
    <m/>
    <m/>
  </r>
  <r>
    <s v="YK261600044"/>
    <s v="RWK2 Repair Test"/>
    <x v="8"/>
    <s v="1"/>
    <x v="4"/>
    <d v="2026-04-27T14:47:39"/>
    <x v="6"/>
    <x v="4"/>
    <x v="6"/>
    <m/>
    <m/>
    <m/>
  </r>
  <r>
    <s v="YK261600045"/>
    <s v="FUN1 Func Test"/>
    <x v="3"/>
    <s v="1"/>
    <x v="3"/>
    <d v="2026-04-29T07:21:40"/>
    <x v="6"/>
    <x v="4"/>
    <x v="6"/>
    <m/>
    <m/>
    <m/>
  </r>
  <r>
    <s v="YK261600046"/>
    <s v="RWK2 Repair Test"/>
    <x v="8"/>
    <s v="1"/>
    <x v="4"/>
    <d v="2026-04-25T13:37:58"/>
    <x v="6"/>
    <x v="4"/>
    <x v="6"/>
    <m/>
    <m/>
    <m/>
  </r>
  <r>
    <s v="YK261600047"/>
    <s v="FUN1 Func Test"/>
    <x v="3"/>
    <s v="1"/>
    <x v="3"/>
    <d v="2026-04-29T07:21:22"/>
    <x v="6"/>
    <x v="4"/>
    <x v="6"/>
    <m/>
    <m/>
    <m/>
  </r>
  <r>
    <s v="YK261600048"/>
    <s v="RWK2 Repair Test"/>
    <x v="8"/>
    <s v="1"/>
    <x v="4"/>
    <d v="2026-04-27T15:18:36"/>
    <x v="6"/>
    <x v="4"/>
    <x v="6"/>
    <m/>
    <m/>
    <m/>
  </r>
  <r>
    <s v="YK261600049"/>
    <s v="RWK2 Repair Test"/>
    <x v="8"/>
    <s v="1"/>
    <x v="4"/>
    <d v="2026-04-27T15:19:02"/>
    <x v="6"/>
    <x v="4"/>
    <x v="6"/>
    <m/>
    <m/>
    <m/>
  </r>
  <r>
    <s v="YK261600050"/>
    <s v="CMP1 Complete"/>
    <x v="6"/>
    <s v="1"/>
    <x v="5"/>
    <d v="2026-05-12T09:04:10"/>
    <x v="6"/>
    <x v="4"/>
    <x v="6"/>
    <m/>
    <m/>
    <m/>
  </r>
  <r>
    <s v="YK261600051"/>
    <s v="RWK2 Repair Test"/>
    <x v="8"/>
    <s v="1"/>
    <x v="4"/>
    <d v="2026-04-25T13:39:37"/>
    <x v="6"/>
    <x v="4"/>
    <x v="6"/>
    <m/>
    <m/>
    <m/>
  </r>
  <r>
    <s v="YK261600052"/>
    <s v="NOT-IN-PROCESS"/>
    <x v="0"/>
    <s v="1"/>
    <x v="0"/>
    <d v="2026-05-07T08:50:43"/>
    <x v="6"/>
    <x v="4"/>
    <x v="6"/>
    <m/>
    <m/>
    <m/>
  </r>
  <r>
    <s v="YK261600053"/>
    <s v="FUN1 Func Test"/>
    <x v="3"/>
    <s v="1"/>
    <x v="3"/>
    <d v="2026-04-25T10:57:58"/>
    <x v="6"/>
    <x v="4"/>
    <x v="6"/>
    <m/>
    <m/>
    <m/>
  </r>
  <r>
    <s v="YK261600054"/>
    <s v="RWK2 Repair Test"/>
    <x v="8"/>
    <s v="1"/>
    <x v="4"/>
    <d v="2026-04-27T11:38:59"/>
    <x v="6"/>
    <x v="4"/>
    <x v="6"/>
    <m/>
    <m/>
    <m/>
  </r>
  <r>
    <s v="YK261600055"/>
    <s v="RWK2 Repair Test"/>
    <x v="8"/>
    <s v="1"/>
    <x v="4"/>
    <d v="2026-04-24T10:33:03"/>
    <x v="6"/>
    <x v="4"/>
    <x v="6"/>
    <m/>
    <m/>
    <m/>
  </r>
  <r>
    <s v="YK261600056"/>
    <s v="NOT-IN-PROCESS"/>
    <x v="0"/>
    <s v="1"/>
    <x v="0"/>
    <d v="2026-05-07T13:26:45"/>
    <x v="6"/>
    <x v="4"/>
    <x v="6"/>
    <m/>
    <m/>
    <m/>
  </r>
  <r>
    <s v="YK261600057"/>
    <s v="DBG1 Debug Test"/>
    <x v="2"/>
    <s v="1"/>
    <x v="2"/>
    <d v="2026-05-07T11:02:54"/>
    <x v="6"/>
    <x v="4"/>
    <x v="6"/>
    <m/>
    <m/>
    <m/>
  </r>
  <r>
    <s v="YK261600058"/>
    <s v="NOT-IN-PROCESS"/>
    <x v="0"/>
    <s v="1"/>
    <x v="0"/>
    <d v="2026-05-05T08:59:09"/>
    <x v="6"/>
    <x v="4"/>
    <x v="6"/>
    <m/>
    <m/>
    <m/>
  </r>
  <r>
    <s v="YK261600059"/>
    <s v="RWK2 Repair Test"/>
    <x v="8"/>
    <s v="1"/>
    <x v="4"/>
    <d v="2026-04-29T07:21:39"/>
    <x v="6"/>
    <x v="4"/>
    <x v="6"/>
    <m/>
    <m/>
    <m/>
  </r>
  <r>
    <s v="YK261600060"/>
    <s v="FUN1 Func Test"/>
    <x v="3"/>
    <s v="1"/>
    <x v="3"/>
    <d v="2026-04-24T08:58:49"/>
    <x v="6"/>
    <x v="4"/>
    <x v="6"/>
    <m/>
    <m/>
    <m/>
  </r>
  <r>
    <s v="YK261600061"/>
    <s v="CMP1 Complete"/>
    <x v="6"/>
    <s v="1"/>
    <x v="5"/>
    <d v="2026-05-12T08:48:09"/>
    <x v="6"/>
    <x v="4"/>
    <x v="6"/>
    <m/>
    <m/>
    <m/>
  </r>
  <r>
    <s v="YK261600062"/>
    <s v="NOT-IN-PROCESS"/>
    <x v="0"/>
    <s v="1"/>
    <x v="0"/>
    <d v="2026-05-08T07:45:39"/>
    <x v="6"/>
    <x v="4"/>
    <x v="6"/>
    <m/>
    <m/>
    <m/>
  </r>
  <r>
    <s v="YK261600063"/>
    <s v="FUN1 Func Test"/>
    <x v="3"/>
    <s v="1"/>
    <x v="3"/>
    <d v="2026-04-24T08:28:34"/>
    <x v="6"/>
    <x v="4"/>
    <x v="6"/>
    <m/>
    <m/>
    <m/>
  </r>
  <r>
    <s v="YK261600064"/>
    <s v="NOT-IN-PROCESS"/>
    <x v="0"/>
    <s v="1"/>
    <x v="0"/>
    <d v="2026-05-11T07:08:09"/>
    <x v="6"/>
    <x v="4"/>
    <x v="6"/>
    <m/>
    <m/>
    <m/>
  </r>
  <r>
    <s v="YK261600065"/>
    <s v="FUN1 Func Test"/>
    <x v="3"/>
    <s v="1"/>
    <x v="3"/>
    <d v="2026-04-24T08:55:05"/>
    <x v="6"/>
    <x v="4"/>
    <x v="6"/>
    <m/>
    <m/>
    <m/>
  </r>
  <r>
    <s v="YK261600066"/>
    <s v="FUN1 Func Test"/>
    <x v="3"/>
    <s v="1"/>
    <x v="3"/>
    <d v="2026-04-25T10:31:31"/>
    <x v="6"/>
    <x v="4"/>
    <x v="6"/>
    <m/>
    <m/>
    <m/>
  </r>
  <r>
    <s v="YK261600067"/>
    <s v="NOT-IN-PROCESS"/>
    <x v="0"/>
    <s v="1"/>
    <x v="0"/>
    <d v="2026-05-07T08:49:53"/>
    <x v="6"/>
    <x v="4"/>
    <x v="6"/>
    <m/>
    <m/>
    <m/>
  </r>
  <r>
    <s v="YK261600068"/>
    <s v="NOT-IN-PROCESS"/>
    <x v="0"/>
    <s v="1"/>
    <x v="0"/>
    <d v="2026-05-11T10:26:37"/>
    <x v="6"/>
    <x v="4"/>
    <x v="6"/>
    <m/>
    <m/>
    <m/>
  </r>
  <r>
    <s v="YK261600069"/>
    <s v="FUN1 Func Test"/>
    <x v="3"/>
    <s v="1"/>
    <x v="3"/>
    <d v="2026-04-29T07:13:56"/>
    <x v="6"/>
    <x v="4"/>
    <x v="6"/>
    <m/>
    <m/>
    <m/>
  </r>
  <r>
    <s v="YK261600070"/>
    <s v="DBG1 Debug Test"/>
    <x v="2"/>
    <s v="1"/>
    <x v="2"/>
    <d v="2026-05-07T11:47:56"/>
    <x v="6"/>
    <x v="4"/>
    <x v="6"/>
    <m/>
    <m/>
    <m/>
  </r>
  <r>
    <s v="YK261600071"/>
    <s v="FUN1 Func Test"/>
    <x v="3"/>
    <s v="1"/>
    <x v="3"/>
    <d v="2026-04-29T07:22:46"/>
    <x v="6"/>
    <x v="4"/>
    <x v="6"/>
    <m/>
    <m/>
    <m/>
  </r>
  <r>
    <s v="YK261600072"/>
    <s v="FUN1 Func Test"/>
    <x v="3"/>
    <s v="1"/>
    <x v="3"/>
    <d v="2026-05-06T16:12:58"/>
    <x v="6"/>
    <x v="4"/>
    <x v="6"/>
    <m/>
    <m/>
    <m/>
  </r>
  <r>
    <s v="YK261600073"/>
    <s v="FUN1 Func Test"/>
    <x v="3"/>
    <s v="1"/>
    <x v="3"/>
    <d v="2026-04-24T09:02:37"/>
    <x v="6"/>
    <x v="4"/>
    <x v="6"/>
    <m/>
    <m/>
    <m/>
  </r>
  <r>
    <s v="YK261600074"/>
    <s v="NOT-IN-PROCESS"/>
    <x v="0"/>
    <s v="1"/>
    <x v="0"/>
    <d v="2026-05-11T09:32:33"/>
    <x v="6"/>
    <x v="4"/>
    <x v="6"/>
    <m/>
    <m/>
    <m/>
  </r>
  <r>
    <s v="YK261600075"/>
    <s v="FUN1 Func Test"/>
    <x v="3"/>
    <s v="1"/>
    <x v="3"/>
    <d v="2026-04-24T08:25:07"/>
    <x v="6"/>
    <x v="4"/>
    <x v="6"/>
    <m/>
    <m/>
    <m/>
  </r>
  <r>
    <s v="YK261600076"/>
    <s v="FUN1 Func Test"/>
    <x v="3"/>
    <s v="1"/>
    <x v="3"/>
    <d v="2026-04-29T07:20:16"/>
    <x v="6"/>
    <x v="4"/>
    <x v="6"/>
    <m/>
    <m/>
    <m/>
  </r>
  <r>
    <s v="YK261600077"/>
    <s v="FUN1 Func Test"/>
    <x v="3"/>
    <s v="1"/>
    <x v="3"/>
    <d v="2026-04-24T08:53:13"/>
    <x v="6"/>
    <x v="4"/>
    <x v="6"/>
    <m/>
    <m/>
    <m/>
  </r>
  <r>
    <s v="YK261600078"/>
    <s v="CMP1 Complete"/>
    <x v="6"/>
    <s v="1"/>
    <x v="5"/>
    <d v="2026-05-04T11:27:24"/>
    <x v="6"/>
    <x v="4"/>
    <x v="6"/>
    <m/>
    <m/>
    <m/>
  </r>
  <r>
    <s v="YK261600079"/>
    <s v="RWK2 Repair Test"/>
    <x v="8"/>
    <s v="1"/>
    <x v="4"/>
    <d v="2026-04-28T06:42:53"/>
    <x v="6"/>
    <x v="4"/>
    <x v="6"/>
    <m/>
    <m/>
    <m/>
  </r>
  <r>
    <s v="YK261600080"/>
    <s v="RWK2 Repair Test"/>
    <x v="8"/>
    <s v="1"/>
    <x v="4"/>
    <d v="2026-04-25T13:42:14"/>
    <x v="6"/>
    <x v="4"/>
    <x v="6"/>
    <m/>
    <m/>
    <m/>
  </r>
  <r>
    <s v="YK261600081"/>
    <s v="CMP1 Complete"/>
    <x v="6"/>
    <s v="1"/>
    <x v="5"/>
    <d v="2026-05-12T08:58:51"/>
    <x v="6"/>
    <x v="4"/>
    <x v="6"/>
    <s v="Update to shipped"/>
    <d v="2026-05-27T00:00:00"/>
    <m/>
  </r>
  <r>
    <s v="YK261600082"/>
    <s v="FUN1 Func Test"/>
    <x v="3"/>
    <s v="1"/>
    <x v="3"/>
    <d v="2026-04-29T07:20:48"/>
    <x v="6"/>
    <x v="4"/>
    <x v="6"/>
    <m/>
    <m/>
    <m/>
  </r>
  <r>
    <s v="YK261600083"/>
    <s v="CMP1 Complete"/>
    <x v="6"/>
    <s v="1"/>
    <x v="5"/>
    <d v="2026-05-04T11:28:02"/>
    <x v="6"/>
    <x v="4"/>
    <x v="6"/>
    <m/>
    <m/>
    <m/>
  </r>
  <r>
    <s v="YK261600084"/>
    <s v="DBG1 Debug Test"/>
    <x v="2"/>
    <s v="1"/>
    <x v="2"/>
    <d v="2026-05-12T12:30:31"/>
    <x v="6"/>
    <x v="4"/>
    <x v="6"/>
    <m/>
    <m/>
    <m/>
  </r>
  <r>
    <s v="YK261600085"/>
    <s v="NOT-IN-PROCESS"/>
    <x v="0"/>
    <s v="1"/>
    <x v="0"/>
    <d v="2026-05-11T07:07:49"/>
    <x v="6"/>
    <x v="4"/>
    <x v="6"/>
    <m/>
    <m/>
    <m/>
  </r>
  <r>
    <s v="YK261600086"/>
    <s v="CMP1 Complete"/>
    <x v="6"/>
    <s v="1"/>
    <x v="5"/>
    <d v="2026-05-12T07:45:32"/>
    <x v="6"/>
    <x v="4"/>
    <x v="6"/>
    <s v="Update to shipped"/>
    <d v="2026-05-27T00:00:00"/>
    <m/>
  </r>
  <r>
    <s v="YK261600087"/>
    <s v="FUN1 Func Test"/>
    <x v="3"/>
    <s v="1"/>
    <x v="3"/>
    <d v="2026-04-24T07:56:19"/>
    <x v="6"/>
    <x v="4"/>
    <x v="6"/>
    <m/>
    <m/>
    <m/>
  </r>
  <r>
    <s v="YK261600088"/>
    <s v="NOT-IN-PROCESS"/>
    <x v="0"/>
    <s v="1"/>
    <x v="0"/>
    <d v="2026-05-08T07:46:03"/>
    <x v="6"/>
    <x v="4"/>
    <x v="6"/>
    <m/>
    <m/>
    <m/>
  </r>
  <r>
    <s v="YK261600089"/>
    <s v="CMP1 Complete"/>
    <x v="6"/>
    <s v="1"/>
    <x v="5"/>
    <d v="2026-05-12T09:32:23"/>
    <x v="6"/>
    <x v="4"/>
    <x v="6"/>
    <m/>
    <m/>
    <m/>
  </r>
  <r>
    <s v="YK261600090"/>
    <s v="FUN1 Func Test"/>
    <x v="3"/>
    <s v="1"/>
    <x v="3"/>
    <d v="2026-04-24T08:35:24"/>
    <x v="6"/>
    <x v="4"/>
    <x v="6"/>
    <m/>
    <m/>
    <m/>
  </r>
  <r>
    <s v="YK261600091"/>
    <s v="FUN1 Func Test"/>
    <x v="3"/>
    <s v="1"/>
    <x v="3"/>
    <d v="2026-04-25T10:31:41"/>
    <x v="6"/>
    <x v="4"/>
    <x v="6"/>
    <m/>
    <m/>
    <m/>
  </r>
  <r>
    <s v="YK261600092"/>
    <s v="FUN1 Func Test"/>
    <x v="3"/>
    <s v="1"/>
    <x v="3"/>
    <d v="2026-04-29T07:21:03"/>
    <x v="6"/>
    <x v="4"/>
    <x v="6"/>
    <m/>
    <m/>
    <m/>
  </r>
  <r>
    <s v="YK261600093"/>
    <s v="FUN1 Func Test"/>
    <x v="3"/>
    <s v="1"/>
    <x v="3"/>
    <d v="2026-04-25T10:29:15"/>
    <x v="6"/>
    <x v="4"/>
    <x v="6"/>
    <m/>
    <m/>
    <m/>
  </r>
  <r>
    <s v="YK261600094"/>
    <s v="FUN1 Func Test"/>
    <x v="3"/>
    <s v="1"/>
    <x v="3"/>
    <d v="2026-04-29T07:20:33"/>
    <x v="6"/>
    <x v="4"/>
    <x v="6"/>
    <m/>
    <m/>
    <m/>
  </r>
  <r>
    <s v="YK261600095"/>
    <s v="FUN1 Func Test"/>
    <x v="3"/>
    <s v="1"/>
    <x v="3"/>
    <d v="2026-04-29T07:23:45"/>
    <x v="6"/>
    <x v="4"/>
    <x v="6"/>
    <m/>
    <m/>
    <m/>
  </r>
  <r>
    <s v="YK261600096"/>
    <s v="NOT-IN-PROCESS"/>
    <x v="0"/>
    <s v="1"/>
    <x v="0"/>
    <d v="2026-05-05T08:59:35"/>
    <x v="6"/>
    <x v="4"/>
    <x v="6"/>
    <m/>
    <m/>
    <m/>
  </r>
  <r>
    <s v="YK261600097"/>
    <s v="RWK2 Repair Test"/>
    <x v="8"/>
    <s v="1"/>
    <x v="4"/>
    <d v="2026-04-28T09:59:56"/>
    <x v="6"/>
    <x v="4"/>
    <x v="6"/>
    <m/>
    <m/>
    <m/>
  </r>
  <r>
    <s v="YK261600098"/>
    <s v="DBG1 Debug Test"/>
    <x v="2"/>
    <s v="1"/>
    <x v="2"/>
    <d v="2026-05-06T07:07:42"/>
    <x v="6"/>
    <x v="4"/>
    <x v="6"/>
    <m/>
    <m/>
    <m/>
  </r>
  <r>
    <s v="YK261600099"/>
    <s v="RWK2 Repair Test"/>
    <x v="8"/>
    <s v="1"/>
    <x v="4"/>
    <d v="2026-04-28T14:22:12"/>
    <x v="6"/>
    <x v="4"/>
    <x v="6"/>
    <m/>
    <m/>
    <m/>
  </r>
  <r>
    <s v="YK261600100"/>
    <s v="NOT-IN-PROCESS"/>
    <x v="0"/>
    <s v="1"/>
    <x v="0"/>
    <d v="2026-05-06T10:40:14"/>
    <x v="6"/>
    <x v="4"/>
    <x v="6"/>
    <m/>
    <m/>
    <m/>
  </r>
  <r>
    <s v="YK261600101"/>
    <s v="FUN1 Func Test"/>
    <x v="3"/>
    <s v="1"/>
    <x v="3"/>
    <d v="2026-04-29T07:19:56"/>
    <x v="6"/>
    <x v="4"/>
    <x v="6"/>
    <m/>
    <m/>
    <m/>
  </r>
  <r>
    <s v="YK261600102"/>
    <s v="FUN1 Func Test"/>
    <x v="3"/>
    <s v="1"/>
    <x v="3"/>
    <d v="2026-04-29T07:23:17"/>
    <x v="6"/>
    <x v="4"/>
    <x v="6"/>
    <m/>
    <m/>
    <m/>
  </r>
  <r>
    <s v="YK261600103"/>
    <s v="FUN1 Func Test"/>
    <x v="3"/>
    <s v="1"/>
    <x v="3"/>
    <d v="2026-04-25T10:58:34"/>
    <x v="6"/>
    <x v="4"/>
    <x v="6"/>
    <m/>
    <m/>
    <m/>
  </r>
  <r>
    <s v="YK261600104"/>
    <s v="CMP1 Complete"/>
    <x v="6"/>
    <s v="1"/>
    <x v="5"/>
    <d v="2026-05-12T08:23:42"/>
    <x v="6"/>
    <x v="4"/>
    <x v="6"/>
    <m/>
    <m/>
    <m/>
  </r>
  <r>
    <s v="YK261600105"/>
    <s v="RWK2 Repair Test"/>
    <x v="8"/>
    <s v="1"/>
    <x v="4"/>
    <d v="2026-04-24T10:32:20"/>
    <x v="6"/>
    <x v="4"/>
    <x v="6"/>
    <m/>
    <m/>
    <m/>
  </r>
  <r>
    <s v="YK261600106"/>
    <s v="FUN1 Func Test"/>
    <x v="3"/>
    <s v="1"/>
    <x v="3"/>
    <d v="2026-04-24T08:19:04"/>
    <x v="6"/>
    <x v="4"/>
    <x v="6"/>
    <m/>
    <m/>
    <m/>
  </r>
  <r>
    <s v="YK261600107"/>
    <s v="FUN1 Func Test"/>
    <x v="3"/>
    <s v="1"/>
    <x v="3"/>
    <d v="2026-04-24T08:32:25"/>
    <x v="6"/>
    <x v="4"/>
    <x v="6"/>
    <m/>
    <m/>
    <m/>
  </r>
  <r>
    <s v="YK261600108"/>
    <s v="CMP1 Complete"/>
    <x v="6"/>
    <s v="1"/>
    <x v="5"/>
    <d v="2026-05-12T07:39:31"/>
    <x v="6"/>
    <x v="4"/>
    <x v="6"/>
    <s v="Update to shipped"/>
    <d v="2026-05-27T00:00:00"/>
    <m/>
  </r>
  <r>
    <s v="YK261600109"/>
    <s v="NOT-IN-PROCESS"/>
    <x v="0"/>
    <s v="1"/>
    <x v="0"/>
    <d v="2026-05-07T08:49:17"/>
    <x v="6"/>
    <x v="4"/>
    <x v="6"/>
    <m/>
    <m/>
    <m/>
  </r>
  <r>
    <s v="YK261600110"/>
    <s v="RWK2 Repair Test"/>
    <x v="8"/>
    <s v="1"/>
    <x v="4"/>
    <d v="2026-04-28T06:43:20"/>
    <x v="6"/>
    <x v="4"/>
    <x v="6"/>
    <m/>
    <m/>
    <m/>
  </r>
  <r>
    <s v="YK261600111"/>
    <s v="NOT-IN-PROCESS"/>
    <x v="0"/>
    <s v="1"/>
    <x v="0"/>
    <d v="2026-05-07T08:50:23"/>
    <x v="6"/>
    <x v="4"/>
    <x v="6"/>
    <m/>
    <m/>
    <m/>
  </r>
  <r>
    <s v="YK261600112"/>
    <s v="FUN1 Func Test"/>
    <x v="3"/>
    <s v="1"/>
    <x v="3"/>
    <d v="2026-04-25T10:57:04"/>
    <x v="6"/>
    <x v="4"/>
    <x v="6"/>
    <m/>
    <m/>
    <m/>
  </r>
  <r>
    <s v="YK261600113"/>
    <s v="FUN1 Func Test"/>
    <x v="3"/>
    <s v="1"/>
    <x v="3"/>
    <d v="2026-04-29T07:23:31"/>
    <x v="6"/>
    <x v="4"/>
    <x v="6"/>
    <m/>
    <m/>
    <m/>
  </r>
  <r>
    <s v="YK261600114"/>
    <s v="CMP1 Complete"/>
    <x v="6"/>
    <s v="1"/>
    <x v="5"/>
    <d v="2026-05-12T08:42:26"/>
    <x v="6"/>
    <x v="4"/>
    <x v="6"/>
    <m/>
    <m/>
    <m/>
  </r>
  <r>
    <s v="YK261600115"/>
    <s v="FUN1 Func Test"/>
    <x v="3"/>
    <s v="1"/>
    <x v="3"/>
    <d v="2026-04-24T10:15:18"/>
    <x v="6"/>
    <x v="4"/>
    <x v="6"/>
    <m/>
    <m/>
    <m/>
  </r>
  <r>
    <s v="YK261600116"/>
    <s v="NOT-IN-PROCESS"/>
    <x v="0"/>
    <s v="1"/>
    <x v="0"/>
    <d v="2026-05-05T09:27:13"/>
    <x v="6"/>
    <x v="4"/>
    <x v="6"/>
    <m/>
    <m/>
    <m/>
  </r>
  <r>
    <s v="YK261600117"/>
    <s v="RWK2 Repair Test"/>
    <x v="8"/>
    <s v="1"/>
    <x v="4"/>
    <d v="2026-04-28T07:31:29"/>
    <x v="6"/>
    <x v="4"/>
    <x v="6"/>
    <m/>
    <m/>
    <m/>
  </r>
  <r>
    <s v="YK261600118"/>
    <s v="FUN1 Func Test"/>
    <x v="3"/>
    <s v="1"/>
    <x v="3"/>
    <d v="2026-04-29T07:21:57"/>
    <x v="6"/>
    <x v="4"/>
    <x v="6"/>
    <m/>
    <m/>
    <m/>
  </r>
  <r>
    <s v="YK261600119"/>
    <s v="RWK2 Repair Test"/>
    <x v="8"/>
    <s v="1"/>
    <x v="4"/>
    <d v="2026-04-28T07:31:54"/>
    <x v="6"/>
    <x v="4"/>
    <x v="6"/>
    <m/>
    <m/>
    <m/>
  </r>
  <r>
    <s v="YK261600120"/>
    <s v="RWK2 Repair Test"/>
    <x v="8"/>
    <s v="1"/>
    <x v="4"/>
    <d v="2026-04-29T07:22:11"/>
    <x v="6"/>
    <x v="4"/>
    <x v="6"/>
    <m/>
    <m/>
    <m/>
  </r>
  <r>
    <s v="YK261600121"/>
    <s v="RWK2 Repair Test"/>
    <x v="8"/>
    <s v="1"/>
    <x v="4"/>
    <d v="2026-04-29T12:11:18"/>
    <x v="6"/>
    <x v="4"/>
    <x v="6"/>
    <m/>
    <m/>
    <m/>
  </r>
  <r>
    <s v="YK261600122"/>
    <s v="RWK2 Repair Test"/>
    <x v="8"/>
    <s v="1"/>
    <x v="4"/>
    <d v="2026-04-23T15:09:57"/>
    <x v="6"/>
    <x v="4"/>
    <x v="6"/>
    <m/>
    <m/>
    <m/>
  </r>
  <r>
    <s v="YK261600123"/>
    <s v="CMP1 Complete"/>
    <x v="6"/>
    <s v="1"/>
    <x v="5"/>
    <d v="2026-05-13T08:28:18"/>
    <x v="6"/>
    <x v="4"/>
    <x v="6"/>
    <m/>
    <m/>
    <m/>
  </r>
  <r>
    <s v="YK261600124"/>
    <s v="RWK2 Repair Test"/>
    <x v="8"/>
    <s v="1"/>
    <x v="4"/>
    <d v="2026-04-23T15:10:24"/>
    <x v="6"/>
    <x v="4"/>
    <x v="6"/>
    <m/>
    <m/>
    <m/>
  </r>
  <r>
    <s v="YK261600125"/>
    <s v="NOT-IN-PROCESS"/>
    <x v="0"/>
    <s v="1"/>
    <x v="0"/>
    <d v="2026-05-11T07:08:28"/>
    <x v="6"/>
    <x v="4"/>
    <x v="6"/>
    <m/>
    <m/>
    <m/>
  </r>
  <r>
    <s v="YK261600126"/>
    <s v="FUN1 Func Test"/>
    <x v="3"/>
    <s v="1"/>
    <x v="3"/>
    <d v="2026-04-24T08:40:17"/>
    <x v="6"/>
    <x v="4"/>
    <x v="6"/>
    <m/>
    <m/>
    <m/>
  </r>
  <r>
    <s v="YK261600127"/>
    <s v="FUN1 Func Test"/>
    <x v="3"/>
    <s v="1"/>
    <x v="3"/>
    <d v="2026-04-24T08:38:33"/>
    <x v="6"/>
    <x v="4"/>
    <x v="6"/>
    <m/>
    <m/>
    <m/>
  </r>
  <r>
    <s v="YK261600128"/>
    <s v="NOT-IN-PROCESS"/>
    <x v="0"/>
    <s v="1"/>
    <x v="0"/>
    <d v="2026-05-12T12:31:19"/>
    <x v="6"/>
    <x v="4"/>
    <x v="6"/>
    <m/>
    <m/>
    <m/>
  </r>
  <r>
    <s v="YK261600129"/>
    <s v="CMP1 Complete"/>
    <x v="6"/>
    <s v="1"/>
    <x v="5"/>
    <d v="2026-05-12T08:30:45"/>
    <x v="6"/>
    <x v="4"/>
    <x v="6"/>
    <m/>
    <m/>
    <m/>
  </r>
  <r>
    <s v="YK261600130"/>
    <s v="FUN1 Func Test"/>
    <x v="3"/>
    <s v="1"/>
    <x v="3"/>
    <d v="2026-04-29T07:22:59"/>
    <x v="6"/>
    <x v="4"/>
    <x v="6"/>
    <m/>
    <m/>
    <m/>
  </r>
  <r>
    <s v="YK261600131"/>
    <s v="FUN1 Func Test"/>
    <x v="3"/>
    <s v="1"/>
    <x v="3"/>
    <d v="2026-04-29T07:22:32"/>
    <x v="6"/>
    <x v="4"/>
    <x v="6"/>
    <m/>
    <m/>
    <m/>
  </r>
  <r>
    <s v="YK261600132"/>
    <s v="RWK2 Repair Test"/>
    <x v="8"/>
    <s v="1"/>
    <x v="4"/>
    <d v="2026-04-28T14:22:34"/>
    <x v="6"/>
    <x v="4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5DX1 SMT 5DX"/>
    <x v="12"/>
    <s v="1"/>
    <x v="3"/>
    <d v="2026-06-12T14:13:55"/>
    <x v="8"/>
    <x v="5"/>
    <x v="8"/>
    <m/>
    <m/>
    <m/>
  </r>
  <r>
    <s v="YK262300190"/>
    <s v="5DX1 SMT 5DX"/>
    <x v="12"/>
    <s v="1"/>
    <x v="3"/>
    <d v="2026-06-12T14:19:49"/>
    <x v="8"/>
    <x v="5"/>
    <x v="8"/>
    <m/>
    <m/>
    <m/>
  </r>
  <r>
    <s v="YK262300191"/>
    <s v="5DX1 SMT 5DX"/>
    <x v="12"/>
    <s v="1"/>
    <x v="3"/>
    <d v="2026-06-16T10:00:08"/>
    <x v="8"/>
    <x v="5"/>
    <x v="8"/>
    <m/>
    <m/>
    <m/>
  </r>
  <r>
    <s v="YK262300192"/>
    <s v="5DX1 SMT 5DX"/>
    <x v="12"/>
    <s v="1"/>
    <x v="3"/>
    <d v="2026-06-16T10:43:11"/>
    <x v="8"/>
    <x v="5"/>
    <x v="8"/>
    <m/>
    <m/>
    <m/>
  </r>
  <r>
    <s v="YK262300193"/>
    <s v="5DX1 SMT 5DX"/>
    <x v="12"/>
    <s v="1"/>
    <x v="3"/>
    <d v="2026-06-16T10:20:12"/>
    <x v="8"/>
    <x v="5"/>
    <x v="8"/>
    <m/>
    <m/>
    <m/>
  </r>
  <r>
    <s v="YK262300194"/>
    <s v="5DX1 SMT 5DX"/>
    <x v="12"/>
    <s v="1"/>
    <x v="3"/>
    <d v="2026-06-12T11:49:28"/>
    <x v="8"/>
    <x v="5"/>
    <x v="8"/>
    <m/>
    <m/>
    <m/>
  </r>
  <r>
    <s v="YK262300195"/>
    <s v="5DX1 SMT 5DX"/>
    <x v="12"/>
    <s v="1"/>
    <x v="3"/>
    <d v="2026-06-12T11:56:19"/>
    <x v="8"/>
    <x v="5"/>
    <x v="8"/>
    <m/>
    <m/>
    <m/>
  </r>
  <r>
    <s v="YK262300196"/>
    <s v="5DX1 SMT 5DX"/>
    <x v="12"/>
    <s v="1"/>
    <x v="3"/>
    <d v="2026-06-16T10:23:28"/>
    <x v="8"/>
    <x v="5"/>
    <x v="8"/>
    <m/>
    <m/>
    <m/>
  </r>
  <r>
    <s v="YK262300197"/>
    <s v="5DX1 SMT 5DX"/>
    <x v="12"/>
    <s v="1"/>
    <x v="3"/>
    <d v="2026-06-16T10:28:23"/>
    <x v="8"/>
    <x v="5"/>
    <x v="8"/>
    <m/>
    <m/>
    <m/>
  </r>
  <r>
    <s v="YK262300198"/>
    <s v="5DX1 SMT 5DX"/>
    <x v="12"/>
    <s v="1"/>
    <x v="3"/>
    <d v="2026-06-16T10:31:04"/>
    <x v="8"/>
    <x v="5"/>
    <x v="8"/>
    <m/>
    <m/>
    <m/>
  </r>
  <r>
    <s v="YK262300199"/>
    <s v="5DX1 SMT 5DX"/>
    <x v="12"/>
    <s v="1"/>
    <x v="3"/>
    <d v="2026-06-16T09:55:52"/>
    <x v="8"/>
    <x v="5"/>
    <x v="8"/>
    <m/>
    <m/>
    <m/>
  </r>
  <r>
    <s v="YK262300200"/>
    <s v="5DX1 SMT 5DX"/>
    <x v="12"/>
    <s v="1"/>
    <x v="3"/>
    <d v="2026-06-12T12:25:12"/>
    <x v="8"/>
    <x v="5"/>
    <x v="8"/>
    <m/>
    <m/>
    <m/>
  </r>
  <r>
    <s v="YK262300201"/>
    <s v="5DX1 SMT 5DX"/>
    <x v="12"/>
    <s v="1"/>
    <x v="3"/>
    <d v="2026-06-16T09:29:54"/>
    <x v="8"/>
    <x v="5"/>
    <x v="8"/>
    <m/>
    <m/>
    <m/>
  </r>
  <r>
    <s v="YK262300202"/>
    <s v="5DX1 SMT 5DX"/>
    <x v="12"/>
    <s v="1"/>
    <x v="3"/>
    <d v="2026-06-16T09:41:19"/>
    <x v="8"/>
    <x v="5"/>
    <x v="8"/>
    <m/>
    <m/>
    <m/>
  </r>
  <r>
    <s v="YK262300203"/>
    <s v="5DX1 SMT 5DX"/>
    <x v="12"/>
    <s v="1"/>
    <x v="3"/>
    <d v="2026-06-13T07:18:18"/>
    <x v="8"/>
    <x v="5"/>
    <x v="8"/>
    <m/>
    <m/>
    <m/>
  </r>
  <r>
    <s v="YK262300204"/>
    <s v="5DX1 SMT 5DX"/>
    <x v="12"/>
    <s v="1"/>
    <x v="3"/>
    <d v="2026-06-16T09:32:28"/>
    <x v="8"/>
    <x v="5"/>
    <x v="8"/>
    <m/>
    <m/>
    <m/>
  </r>
  <r>
    <s v="YK262300205"/>
    <s v="5DX1 SMT 5DX"/>
    <x v="12"/>
    <s v="1"/>
    <x v="3"/>
    <d v="2026-06-13T06:54:25"/>
    <x v="8"/>
    <x v="5"/>
    <x v="8"/>
    <m/>
    <m/>
    <m/>
  </r>
  <r>
    <s v="YK262300206"/>
    <s v="5DX1 SMT 5DX"/>
    <x v="12"/>
    <s v="1"/>
    <x v="3"/>
    <d v="2026-06-16T09:24:08"/>
    <x v="8"/>
    <x v="5"/>
    <x v="8"/>
    <m/>
    <m/>
    <m/>
  </r>
  <r>
    <s v="YK262300207"/>
    <s v="5DX1 SMT 5DX"/>
    <x v="12"/>
    <s v="1"/>
    <x v="3"/>
    <d v="2026-06-16T10:58:42"/>
    <x v="8"/>
    <x v="5"/>
    <x v="8"/>
    <m/>
    <m/>
    <m/>
  </r>
  <r>
    <s v="YK262300208"/>
    <s v="5DX1 SMT 5DX"/>
    <x v="12"/>
    <s v="1"/>
    <x v="3"/>
    <d v="2026-06-16T09:12:04"/>
    <x v="8"/>
    <x v="5"/>
    <x v="8"/>
    <m/>
    <m/>
    <m/>
  </r>
  <r>
    <s v="YK262300209"/>
    <s v="5DX1 SMT 5DX"/>
    <x v="12"/>
    <s v="1"/>
    <x v="3"/>
    <d v="2026-06-16T09:39:13"/>
    <x v="8"/>
    <x v="5"/>
    <x v="8"/>
    <m/>
    <m/>
    <m/>
  </r>
  <r>
    <s v="YK262300210"/>
    <s v="5DX1 SMT 5DX"/>
    <x v="12"/>
    <s v="1"/>
    <x v="3"/>
    <d v="2026-06-16T09:06:41"/>
    <x v="8"/>
    <x v="5"/>
    <x v="8"/>
    <m/>
    <m/>
    <m/>
  </r>
  <r>
    <s v="YK262300211"/>
    <s v="5DX1 SMT 5DX"/>
    <x v="12"/>
    <s v="1"/>
    <x v="3"/>
    <d v="2026-06-13T06:37:39"/>
    <x v="8"/>
    <x v="5"/>
    <x v="8"/>
    <m/>
    <m/>
    <m/>
  </r>
  <r>
    <s v="YK262300212"/>
    <s v="5DX1 SMT 5DX"/>
    <x v="12"/>
    <s v="1"/>
    <x v="3"/>
    <d v="2026-06-13T06:41:04"/>
    <x v="8"/>
    <x v="5"/>
    <x v="8"/>
    <m/>
    <m/>
    <m/>
  </r>
  <r>
    <s v="YK262300213"/>
    <s v="5DX1 SMT 5DX"/>
    <x v="12"/>
    <s v="1"/>
    <x v="3"/>
    <d v="2026-06-16T09:37:11"/>
    <x v="8"/>
    <x v="5"/>
    <x v="8"/>
    <m/>
    <m/>
    <m/>
  </r>
  <r>
    <s v="YK262300214"/>
    <s v="5DX1 SMT 5DX"/>
    <x v="12"/>
    <s v="1"/>
    <x v="3"/>
    <d v="2026-06-16T09:21:46"/>
    <x v="8"/>
    <x v="5"/>
    <x v="8"/>
    <m/>
    <m/>
    <m/>
  </r>
  <r>
    <s v="YK262300215"/>
    <s v="5DX1 SMT 5DX"/>
    <x v="12"/>
    <s v="1"/>
    <x v="3"/>
    <d v="2026-06-16T11:03:27"/>
    <x v="8"/>
    <x v="5"/>
    <x v="8"/>
    <m/>
    <m/>
    <m/>
  </r>
  <r>
    <s v="YK262300216"/>
    <s v="5DX1 SMT 5DX"/>
    <x v="12"/>
    <s v="1"/>
    <x v="3"/>
    <d v="2026-06-16T11:01:03"/>
    <x v="8"/>
    <x v="5"/>
    <x v="8"/>
    <m/>
    <m/>
    <m/>
  </r>
  <r>
    <s v="YK262300217"/>
    <s v="5DX1 SMT 5DX"/>
    <x v="12"/>
    <s v="1"/>
    <x v="3"/>
    <d v="2026-06-12T15:22:59"/>
    <x v="8"/>
    <x v="5"/>
    <x v="8"/>
    <m/>
    <m/>
    <m/>
  </r>
  <r>
    <s v="YK262300218"/>
    <s v="5DX1 SMT 5DX"/>
    <x v="12"/>
    <s v="1"/>
    <x v="3"/>
    <d v="2026-06-12T15:27:55"/>
    <x v="8"/>
    <x v="5"/>
    <x v="8"/>
    <m/>
    <m/>
    <m/>
  </r>
  <r>
    <s v="YK262300219"/>
    <s v="AOI1 AOI Inspect S1"/>
    <x v="13"/>
    <s v="1"/>
    <x v="3"/>
    <d v="2026-06-16T11:06:10"/>
    <x v="8"/>
    <x v="5"/>
    <x v="8"/>
    <m/>
    <m/>
    <m/>
  </r>
  <r>
    <s v="YK262300220"/>
    <s v="5DX1 SMT 5DX"/>
    <x v="12"/>
    <s v="1"/>
    <x v="3"/>
    <d v="2026-06-15T08:30:23"/>
    <x v="8"/>
    <x v="5"/>
    <x v="8"/>
    <m/>
    <m/>
    <m/>
  </r>
  <r>
    <s v="YK262300221"/>
    <s v="5DX1 SMT 5DX"/>
    <x v="12"/>
    <s v="1"/>
    <x v="3"/>
    <d v="2026-06-13T08:08:53"/>
    <x v="8"/>
    <x v="5"/>
    <x v="8"/>
    <m/>
    <m/>
    <m/>
  </r>
  <r>
    <s v="YK262300222"/>
    <s v="5DX1 SMT 5DX"/>
    <x v="12"/>
    <s v="1"/>
    <x v="3"/>
    <d v="2026-06-16T11:43:59"/>
    <x v="8"/>
    <x v="5"/>
    <x v="8"/>
    <m/>
    <m/>
    <m/>
  </r>
  <r>
    <s v="YK262300223"/>
    <s v="5DX1 SMT 5DX"/>
    <x v="12"/>
    <s v="1"/>
    <x v="3"/>
    <d v="2026-06-16T09:26:26"/>
    <x v="8"/>
    <x v="5"/>
    <x v="8"/>
    <m/>
    <m/>
    <m/>
  </r>
  <r>
    <s v="YK262300224"/>
    <s v="5DX1 SMT 5DX"/>
    <x v="12"/>
    <s v="1"/>
    <x v="3"/>
    <d v="2026-06-15T09:11:19"/>
    <x v="8"/>
    <x v="5"/>
    <x v="8"/>
    <m/>
    <m/>
    <m/>
  </r>
  <r>
    <s v="YK262300225"/>
    <s v="5DX1 SMT 5DX"/>
    <x v="12"/>
    <s v="1"/>
    <x v="3"/>
    <d v="2026-06-16T08:36:33"/>
    <x v="8"/>
    <x v="5"/>
    <x v="8"/>
    <m/>
    <m/>
    <m/>
  </r>
  <r>
    <s v="YK262300226"/>
    <s v="5DX1 SMT 5DX"/>
    <x v="12"/>
    <s v="1"/>
    <x v="3"/>
    <d v="2026-06-13T07:49:12"/>
    <x v="8"/>
    <x v="5"/>
    <x v="8"/>
    <m/>
    <m/>
    <m/>
  </r>
  <r>
    <s v="YK262300227"/>
    <s v="5DX1 SMT 5DX"/>
    <x v="12"/>
    <s v="1"/>
    <x v="3"/>
    <d v="2026-06-16T09:44:24"/>
    <x v="8"/>
    <x v="5"/>
    <x v="8"/>
    <m/>
    <m/>
    <m/>
  </r>
  <r>
    <s v="YK262300228"/>
    <s v="5DX1 SMT 5DX"/>
    <x v="12"/>
    <s v="1"/>
    <x v="3"/>
    <d v="2026-06-16T09:03:47"/>
    <x v="8"/>
    <x v="5"/>
    <x v="8"/>
    <m/>
    <m/>
    <m/>
  </r>
  <r>
    <s v="YK262300229"/>
    <s v="5DX1 SMT 5DX"/>
    <x v="12"/>
    <s v="1"/>
    <x v="3"/>
    <d v="2026-06-13T07:38:21"/>
    <x v="8"/>
    <x v="5"/>
    <x v="8"/>
    <m/>
    <m/>
    <m/>
  </r>
  <r>
    <s v="YK262300230"/>
    <s v="5DX1 SMT 5DX"/>
    <x v="12"/>
    <s v="1"/>
    <x v="3"/>
    <d v="2026-06-16T09:34:44"/>
    <x v="8"/>
    <x v="5"/>
    <x v="8"/>
    <m/>
    <m/>
    <m/>
  </r>
  <r>
    <s v="YK262300231"/>
    <s v="5DX1 SMT 5DX"/>
    <x v="12"/>
    <s v="1"/>
    <x v="3"/>
    <d v="2026-06-16T09:09:47"/>
    <x v="8"/>
    <x v="5"/>
    <x v="8"/>
    <m/>
    <m/>
    <m/>
  </r>
  <r>
    <s v="YK262300232"/>
    <s v="5DX1 SMT 5DX"/>
    <x v="12"/>
    <s v="1"/>
    <x v="3"/>
    <d v="2026-06-15T07:50:10"/>
    <x v="8"/>
    <x v="5"/>
    <x v="8"/>
    <m/>
    <m/>
    <m/>
  </r>
  <r>
    <s v="YK262300233"/>
    <s v="5DX1 SMT 5DX"/>
    <x v="12"/>
    <s v="1"/>
    <x v="3"/>
    <d v="2026-06-16T10:50:11"/>
    <x v="8"/>
    <x v="5"/>
    <x v="8"/>
    <m/>
    <m/>
    <m/>
  </r>
  <r>
    <s v="YK262300234"/>
    <s v="5DX1 SMT 5DX"/>
    <x v="12"/>
    <s v="1"/>
    <x v="3"/>
    <d v="2026-06-12T15:04:45"/>
    <x v="8"/>
    <x v="5"/>
    <x v="8"/>
    <m/>
    <m/>
    <m/>
  </r>
  <r>
    <s v="YK262300235"/>
    <s v="5DX1 SMT 5DX"/>
    <x v="12"/>
    <s v="1"/>
    <x v="3"/>
    <d v="2026-06-16T11:11:26"/>
    <x v="8"/>
    <x v="5"/>
    <x v="8"/>
    <m/>
    <m/>
    <m/>
  </r>
  <r>
    <s v="YK262300236"/>
    <s v="AOI1 AOI Inspect S1"/>
    <x v="13"/>
    <s v="1"/>
    <x v="3"/>
    <d v="2026-06-16T11:08:17"/>
    <x v="8"/>
    <x v="5"/>
    <x v="8"/>
    <m/>
    <m/>
    <m/>
  </r>
  <r>
    <s v="YK262300237"/>
    <s v="5DX1 SMT 5DX"/>
    <x v="12"/>
    <s v="1"/>
    <x v="3"/>
    <d v="2026-06-16T11:16:37"/>
    <x v="8"/>
    <x v="5"/>
    <x v="8"/>
    <m/>
    <m/>
    <m/>
  </r>
  <r>
    <s v="YK262300238"/>
    <s v="5DX1 SMT 5DX"/>
    <x v="12"/>
    <s v="1"/>
    <x v="3"/>
    <d v="2026-06-16T11:13:18"/>
    <x v="8"/>
    <x v="5"/>
    <x v="8"/>
    <m/>
    <m/>
    <m/>
  </r>
  <r>
    <s v="YK262300239"/>
    <s v="5DX1 SMT 5DX"/>
    <x v="12"/>
    <s v="1"/>
    <x v="3"/>
    <d v="2026-06-16T08:55:52"/>
    <x v="8"/>
    <x v="5"/>
    <x v="8"/>
    <m/>
    <m/>
    <m/>
  </r>
  <r>
    <s v="YK262300240"/>
    <s v="5DX1 SMT 5DX"/>
    <x v="12"/>
    <s v="1"/>
    <x v="3"/>
    <d v="2026-06-16T08:53:28"/>
    <x v="8"/>
    <x v="5"/>
    <x v="8"/>
    <m/>
    <m/>
    <m/>
  </r>
  <r>
    <s v="YK262300241"/>
    <s v="5DX1 SMT 5DX"/>
    <x v="12"/>
    <s v="1"/>
    <x v="3"/>
    <d v="2026-06-15T09:15:47"/>
    <x v="8"/>
    <x v="5"/>
    <x v="8"/>
    <m/>
    <m/>
    <m/>
  </r>
  <r>
    <s v="YK262300242"/>
    <s v="5DX1 SMT 5DX"/>
    <x v="12"/>
    <s v="1"/>
    <x v="3"/>
    <d v="2026-06-16T10:55:07"/>
    <x v="8"/>
    <x v="5"/>
    <x v="8"/>
    <m/>
    <m/>
    <m/>
  </r>
  <r>
    <s v="YK262300243"/>
    <s v="5DX1 SMT 5DX"/>
    <x v="12"/>
    <s v="1"/>
    <x v="3"/>
    <d v="2026-06-16T10:33:30"/>
    <x v="8"/>
    <x v="5"/>
    <x v="8"/>
    <m/>
    <m/>
    <m/>
  </r>
  <r>
    <s v="YK262300244"/>
    <s v="5DX1 SMT 5DX"/>
    <x v="12"/>
    <s v="1"/>
    <x v="3"/>
    <d v="2026-06-16T10:52:45"/>
    <x v="8"/>
    <x v="5"/>
    <x v="8"/>
    <m/>
    <m/>
    <m/>
  </r>
  <r>
    <s v="YK262300245"/>
    <s v="5DX1 SMT 5DX"/>
    <x v="12"/>
    <s v="1"/>
    <x v="3"/>
    <d v="2026-06-16T10:35:31"/>
    <x v="8"/>
    <x v="5"/>
    <x v="8"/>
    <m/>
    <m/>
    <m/>
  </r>
  <r>
    <s v="YK262300246"/>
    <s v="5DX1 SMT 5DX"/>
    <x v="12"/>
    <s v="1"/>
    <x v="3"/>
    <d v="2026-06-16T10:45:15"/>
    <x v="8"/>
    <x v="5"/>
    <x v="8"/>
    <m/>
    <m/>
    <m/>
  </r>
  <r>
    <s v="YK262300247"/>
    <s v="5DX1 SMT 5DX"/>
    <x v="12"/>
    <s v="1"/>
    <x v="3"/>
    <d v="2026-06-12T12:18:26"/>
    <x v="8"/>
    <x v="5"/>
    <x v="8"/>
    <m/>
    <m/>
    <m/>
  </r>
  <r>
    <s v="YK262300248"/>
    <s v="5DX1 SMT 5DX"/>
    <x v="12"/>
    <s v="1"/>
    <x v="3"/>
    <d v="2026-06-15T07:52:50"/>
    <x v="8"/>
    <x v="5"/>
    <x v="8"/>
    <m/>
    <m/>
    <m/>
  </r>
  <r>
    <s v="YK262300249"/>
    <s v="5DX1 SMT 5DX"/>
    <x v="12"/>
    <s v="1"/>
    <x v="3"/>
    <d v="2026-06-16T08:45:50"/>
    <x v="8"/>
    <x v="5"/>
    <x v="8"/>
    <m/>
    <m/>
    <m/>
  </r>
  <r>
    <s v="YK262300250"/>
    <s v="5DX1 SMT 5DX"/>
    <x v="12"/>
    <s v="1"/>
    <x v="3"/>
    <d v="2026-06-16T11:39:36"/>
    <x v="8"/>
    <x v="5"/>
    <x v="8"/>
    <m/>
    <m/>
    <m/>
  </r>
  <r>
    <s v="YK262300251"/>
    <s v="5DX1 SMT 5DX"/>
    <x v="12"/>
    <s v="1"/>
    <x v="3"/>
    <d v="2026-06-13T09:05:38"/>
    <x v="8"/>
    <x v="5"/>
    <x v="8"/>
    <m/>
    <m/>
    <m/>
  </r>
  <r>
    <s v="YK262300252"/>
    <s v="5DX1 SMT 5DX"/>
    <x v="12"/>
    <s v="1"/>
    <x v="3"/>
    <d v="2026-06-16T08:58:26"/>
    <x v="8"/>
    <x v="5"/>
    <x v="8"/>
    <m/>
    <m/>
    <m/>
  </r>
  <r>
    <s v="YK262300253"/>
    <s v="5DX1 SMT 5DX"/>
    <x v="12"/>
    <s v="1"/>
    <x v="3"/>
    <d v="2026-06-16T08:48:32"/>
    <x v="8"/>
    <x v="5"/>
    <x v="8"/>
    <m/>
    <m/>
    <m/>
  </r>
  <r>
    <s v="YK262300254"/>
    <s v="5DX1 SMT 5DX"/>
    <x v="12"/>
    <s v="1"/>
    <x v="3"/>
    <d v="2026-06-16T08:51:04"/>
    <x v="8"/>
    <x v="5"/>
    <x v="8"/>
    <m/>
    <m/>
    <m/>
  </r>
  <r>
    <s v="YK262300255"/>
    <s v="5DX1 SMT 5DX"/>
    <x v="12"/>
    <s v="1"/>
    <x v="3"/>
    <d v="2026-06-16T08:42:19"/>
    <x v="8"/>
    <x v="5"/>
    <x v="8"/>
    <m/>
    <m/>
    <m/>
  </r>
  <r>
    <s v="YK262300256"/>
    <s v="5DX1 SMT 5DX"/>
    <x v="12"/>
    <s v="1"/>
    <x v="3"/>
    <d v="2026-06-16T08:34:14"/>
    <x v="8"/>
    <x v="5"/>
    <x v="8"/>
    <m/>
    <m/>
    <m/>
  </r>
  <r>
    <s v="YK262300257"/>
    <s v="NOT-IN-PROCESS"/>
    <x v="0"/>
    <s v="1"/>
    <x v="7"/>
    <d v="2026-06-01T11:12:53"/>
    <x v="8"/>
    <x v="5"/>
    <x v="8"/>
    <m/>
    <m/>
    <m/>
  </r>
  <r>
    <s v="YK262300258"/>
    <s v="NOT-IN-PROCESS"/>
    <x v="0"/>
    <s v="1"/>
    <x v="7"/>
    <d v="2026-06-01T11:12:53"/>
    <x v="8"/>
    <x v="5"/>
    <x v="8"/>
    <m/>
    <m/>
    <m/>
  </r>
  <r>
    <s v="YK262300259"/>
    <s v="NOT-IN-PROCESS"/>
    <x v="0"/>
    <s v="1"/>
    <x v="7"/>
    <d v="2026-06-01T11:12:53"/>
    <x v="8"/>
    <x v="5"/>
    <x v="8"/>
    <m/>
    <m/>
    <m/>
  </r>
  <r>
    <s v="YK262300260"/>
    <s v="NOT-IN-PROCESS"/>
    <x v="0"/>
    <s v="1"/>
    <x v="7"/>
    <d v="2026-06-01T11:12:53"/>
    <x v="8"/>
    <x v="5"/>
    <x v="8"/>
    <m/>
    <m/>
    <m/>
  </r>
  <r>
    <s v="YK262300261"/>
    <s v="NOT-IN-PROCESS"/>
    <x v="0"/>
    <s v="1"/>
    <x v="7"/>
    <d v="2026-06-01T11:12:53"/>
    <x v="8"/>
    <x v="5"/>
    <x v="8"/>
    <m/>
    <m/>
    <m/>
  </r>
  <r>
    <s v="YK262300262"/>
    <s v="NOT-IN-PROCESS"/>
    <x v="0"/>
    <s v="1"/>
    <x v="7"/>
    <d v="2026-06-01T11:12:53"/>
    <x v="8"/>
    <x v="5"/>
    <x v="8"/>
    <m/>
    <m/>
    <m/>
  </r>
  <r>
    <s v="YK262300263"/>
    <s v="NOT-IN-PROCESS"/>
    <x v="0"/>
    <s v="1"/>
    <x v="7"/>
    <d v="2026-06-01T11:12:53"/>
    <x v="8"/>
    <x v="5"/>
    <x v="8"/>
    <m/>
    <m/>
    <m/>
  </r>
  <r>
    <s v="YK262300264"/>
    <s v="NOT-IN-PROCESS"/>
    <x v="0"/>
    <s v="1"/>
    <x v="7"/>
    <d v="2026-06-01T11:12:53"/>
    <x v="8"/>
    <x v="5"/>
    <x v="8"/>
    <m/>
    <m/>
    <m/>
  </r>
  <r>
    <s v="YK262300265"/>
    <s v="NOT-IN-PROCESS"/>
    <x v="0"/>
    <s v="1"/>
    <x v="7"/>
    <d v="2026-06-01T11:12:53"/>
    <x v="8"/>
    <x v="5"/>
    <x v="8"/>
    <m/>
    <m/>
    <m/>
  </r>
  <r>
    <s v="YK262300266"/>
    <s v="NOT-IN-PROCESS"/>
    <x v="0"/>
    <s v="1"/>
    <x v="7"/>
    <d v="2026-06-01T11:12:53"/>
    <x v="8"/>
    <x v="5"/>
    <x v="8"/>
    <m/>
    <m/>
    <m/>
  </r>
  <r>
    <s v="YK262300267"/>
    <s v="NOT-IN-PROCESS"/>
    <x v="0"/>
    <s v="1"/>
    <x v="7"/>
    <d v="2026-06-01T11:12:53"/>
    <x v="8"/>
    <x v="5"/>
    <x v="8"/>
    <m/>
    <m/>
    <m/>
  </r>
  <r>
    <s v="YK262300268"/>
    <s v="NOT-IN-PROCESS"/>
    <x v="0"/>
    <s v="1"/>
    <x v="7"/>
    <d v="2026-06-01T11:12:53"/>
    <x v="8"/>
    <x v="5"/>
    <x v="8"/>
    <m/>
    <m/>
    <m/>
  </r>
  <r>
    <s v="YK262300269"/>
    <s v="NOT-IN-PROCESS"/>
    <x v="0"/>
    <s v="1"/>
    <x v="7"/>
    <d v="2026-06-01T11:12:53"/>
    <x v="8"/>
    <x v="5"/>
    <x v="8"/>
    <m/>
    <m/>
    <m/>
  </r>
  <r>
    <s v="YK262300270"/>
    <s v="NOT-IN-PROCESS"/>
    <x v="0"/>
    <s v="1"/>
    <x v="7"/>
    <d v="2026-06-01T11:12:53"/>
    <x v="8"/>
    <x v="5"/>
    <x v="8"/>
    <m/>
    <m/>
    <m/>
  </r>
  <r>
    <s v="YK262300271"/>
    <s v="NOT-IN-PROCESS"/>
    <x v="0"/>
    <s v="1"/>
    <x v="7"/>
    <d v="2026-06-01T11:12:53"/>
    <x v="8"/>
    <x v="5"/>
    <x v="8"/>
    <m/>
    <m/>
    <m/>
  </r>
  <r>
    <s v="YK262300272"/>
    <s v="NOT-IN-PROCESS"/>
    <x v="0"/>
    <s v="1"/>
    <x v="7"/>
    <d v="2026-06-01T11:12:53"/>
    <x v="8"/>
    <x v="5"/>
    <x v="8"/>
    <m/>
    <m/>
    <m/>
  </r>
  <r>
    <s v="YK262300273"/>
    <s v="NOT-IN-PROCESS"/>
    <x v="0"/>
    <s v="1"/>
    <x v="7"/>
    <d v="2026-06-01T11:12:53"/>
    <x v="8"/>
    <x v="5"/>
    <x v="8"/>
    <m/>
    <m/>
    <m/>
  </r>
  <r>
    <s v="YK262300274"/>
    <s v="NOT-IN-PROCESS"/>
    <x v="0"/>
    <s v="1"/>
    <x v="7"/>
    <d v="2026-06-01T11:12:53"/>
    <x v="8"/>
    <x v="5"/>
    <x v="8"/>
    <m/>
    <m/>
    <m/>
  </r>
  <r>
    <s v="YK262300275"/>
    <s v="NOT-IN-PROCESS"/>
    <x v="0"/>
    <s v="1"/>
    <x v="7"/>
    <d v="2026-06-01T11:12:53"/>
    <x v="8"/>
    <x v="5"/>
    <x v="8"/>
    <m/>
    <m/>
    <m/>
  </r>
  <r>
    <s v="YK262300276"/>
    <s v="NOT-IN-PROCESS"/>
    <x v="0"/>
    <s v="1"/>
    <x v="7"/>
    <d v="2026-06-01T11:12:53"/>
    <x v="8"/>
    <x v="5"/>
    <x v="8"/>
    <m/>
    <m/>
    <m/>
  </r>
  <r>
    <s v="YK262300277"/>
    <s v="NOT-IN-PROCESS"/>
    <x v="0"/>
    <s v="1"/>
    <x v="7"/>
    <d v="2026-06-01T11:12:53"/>
    <x v="8"/>
    <x v="5"/>
    <x v="8"/>
    <m/>
    <m/>
    <m/>
  </r>
  <r>
    <s v="YK262300278"/>
    <s v="NOT-IN-PROCESS"/>
    <x v="0"/>
    <s v="1"/>
    <x v="7"/>
    <d v="2026-06-01T11:12:53"/>
    <x v="8"/>
    <x v="5"/>
    <x v="8"/>
    <m/>
    <m/>
    <m/>
  </r>
  <r>
    <s v="YK262300279"/>
    <s v="NOT-IN-PROCESS"/>
    <x v="0"/>
    <s v="1"/>
    <x v="7"/>
    <d v="2026-06-01T11:12:53"/>
    <x v="8"/>
    <x v="5"/>
    <x v="8"/>
    <m/>
    <m/>
    <m/>
  </r>
  <r>
    <s v="YK262300280"/>
    <s v="NOT-IN-PROCESS"/>
    <x v="0"/>
    <s v="1"/>
    <x v="7"/>
    <d v="2026-06-01T11:12:53"/>
    <x v="8"/>
    <x v="5"/>
    <x v="8"/>
    <m/>
    <m/>
    <m/>
  </r>
  <r>
    <s v="YK262300281"/>
    <s v="NOT-IN-PROCESS"/>
    <x v="0"/>
    <s v="1"/>
    <x v="7"/>
    <d v="2026-06-01T11:12:53"/>
    <x v="8"/>
    <x v="5"/>
    <x v="8"/>
    <m/>
    <m/>
    <m/>
  </r>
  <r>
    <s v="YK262300282"/>
    <s v="NOT-IN-PROCESS"/>
    <x v="0"/>
    <s v="1"/>
    <x v="7"/>
    <d v="2026-06-01T11:12:53"/>
    <x v="8"/>
    <x v="5"/>
    <x v="8"/>
    <m/>
    <m/>
    <m/>
  </r>
  <r>
    <s v="YK262300283"/>
    <s v="NOT-IN-PROCESS"/>
    <x v="0"/>
    <s v="1"/>
    <x v="7"/>
    <d v="2026-06-01T11:12:53"/>
    <x v="8"/>
    <x v="5"/>
    <x v="8"/>
    <m/>
    <m/>
    <m/>
  </r>
  <r>
    <s v="YK262300284"/>
    <s v="NOT-IN-PROCESS"/>
    <x v="0"/>
    <s v="1"/>
    <x v="7"/>
    <d v="2026-06-01T11:12:53"/>
    <x v="8"/>
    <x v="5"/>
    <x v="8"/>
    <m/>
    <m/>
    <m/>
  </r>
  <r>
    <s v="YK262300285"/>
    <s v="NOT-IN-PROCESS"/>
    <x v="0"/>
    <s v="1"/>
    <x v="7"/>
    <d v="2026-06-01T11:12:53"/>
    <x v="8"/>
    <x v="5"/>
    <x v="8"/>
    <m/>
    <m/>
    <m/>
  </r>
  <r>
    <s v="YK262300286"/>
    <s v="NOT-IN-PROCESS"/>
    <x v="0"/>
    <s v="1"/>
    <x v="7"/>
    <d v="2026-06-01T11:12:53"/>
    <x v="8"/>
    <x v="5"/>
    <x v="8"/>
    <m/>
    <m/>
    <m/>
  </r>
  <r>
    <s v="YK262300287"/>
    <s v="NOT-IN-PROCESS"/>
    <x v="0"/>
    <s v="1"/>
    <x v="7"/>
    <d v="2026-06-01T11:12:53"/>
    <x v="8"/>
    <x v="5"/>
    <x v="8"/>
    <m/>
    <m/>
    <m/>
  </r>
  <r>
    <s v="YK262300288"/>
    <s v="NOT-IN-PROCESS"/>
    <x v="0"/>
    <s v="1"/>
    <x v="7"/>
    <d v="2026-06-01T11:12:53"/>
    <x v="8"/>
    <x v="5"/>
    <x v="8"/>
    <m/>
    <m/>
    <m/>
  </r>
  <r>
    <s v="YK262300289"/>
    <s v="NOT-IN-PROCESS"/>
    <x v="0"/>
    <s v="1"/>
    <x v="7"/>
    <d v="2026-06-01T11:12:53"/>
    <x v="8"/>
    <x v="5"/>
    <x v="8"/>
    <m/>
    <m/>
    <m/>
  </r>
  <r>
    <s v="YK262300290"/>
    <s v="NOT-IN-PROCESS"/>
    <x v="0"/>
    <s v="1"/>
    <x v="7"/>
    <d v="2026-06-01T11:12:53"/>
    <x v="8"/>
    <x v="5"/>
    <x v="8"/>
    <m/>
    <m/>
    <m/>
  </r>
  <r>
    <s v="YK262300291"/>
    <s v="NOT-IN-PROCESS"/>
    <x v="0"/>
    <s v="1"/>
    <x v="7"/>
    <d v="2026-06-01T11:12:53"/>
    <x v="8"/>
    <x v="5"/>
    <x v="8"/>
    <m/>
    <m/>
    <m/>
  </r>
  <r>
    <s v="YK262300292"/>
    <s v="NOT-IN-PROCESS"/>
    <x v="0"/>
    <s v="1"/>
    <x v="7"/>
    <d v="2026-06-01T11:12:53"/>
    <x v="8"/>
    <x v="5"/>
    <x v="8"/>
    <m/>
    <m/>
    <m/>
  </r>
  <r>
    <s v="YK262300293"/>
    <s v="NOT-IN-PROCESS"/>
    <x v="0"/>
    <s v="1"/>
    <x v="7"/>
    <d v="2026-06-01T11:12:53"/>
    <x v="8"/>
    <x v="5"/>
    <x v="8"/>
    <m/>
    <m/>
    <m/>
  </r>
  <r>
    <s v="YK262300294"/>
    <s v="NOT-IN-PROCESS"/>
    <x v="0"/>
    <s v="1"/>
    <x v="7"/>
    <d v="2026-06-01T11:12:53"/>
    <x v="8"/>
    <x v="5"/>
    <x v="8"/>
    <m/>
    <m/>
    <m/>
  </r>
  <r>
    <s v="YK262300295"/>
    <s v="NOT-IN-PROCESS"/>
    <x v="0"/>
    <s v="1"/>
    <x v="7"/>
    <d v="2026-06-01T11:12:53"/>
    <x v="8"/>
    <x v="5"/>
    <x v="8"/>
    <m/>
    <m/>
    <m/>
  </r>
  <r>
    <s v="YK262300296"/>
    <s v="NOT-IN-PROCESS"/>
    <x v="0"/>
    <s v="1"/>
    <x v="7"/>
    <d v="2026-06-01T11:12:53"/>
    <x v="8"/>
    <x v="5"/>
    <x v="8"/>
    <m/>
    <m/>
    <m/>
  </r>
  <r>
    <s v="YK262300297"/>
    <s v="NOT-IN-PROCESS"/>
    <x v="0"/>
    <s v="1"/>
    <x v="7"/>
    <d v="2026-06-01T11:12:53"/>
    <x v="8"/>
    <x v="5"/>
    <x v="8"/>
    <m/>
    <m/>
    <m/>
  </r>
  <r>
    <s v="YK262300298"/>
    <s v="NOT-IN-PROCESS"/>
    <x v="0"/>
    <s v="1"/>
    <x v="7"/>
    <d v="2026-06-01T11:12:53"/>
    <x v="8"/>
    <x v="5"/>
    <x v="8"/>
    <m/>
    <m/>
    <m/>
  </r>
  <r>
    <s v="YK262300299"/>
    <s v="NOT-IN-PROCESS"/>
    <x v="0"/>
    <s v="1"/>
    <x v="7"/>
    <d v="2026-06-01T11:12:53"/>
    <x v="8"/>
    <x v="5"/>
    <x v="8"/>
    <m/>
    <m/>
    <m/>
  </r>
  <r>
    <s v="YK262300300"/>
    <s v="NOT-IN-PROCESS"/>
    <x v="0"/>
    <s v="1"/>
    <x v="7"/>
    <d v="2026-06-01T11:12:53"/>
    <x v="8"/>
    <x v="5"/>
    <x v="8"/>
    <m/>
    <m/>
    <m/>
  </r>
  <r>
    <s v="YK262300301"/>
    <s v="NOT-IN-PROCESS"/>
    <x v="0"/>
    <s v="1"/>
    <x v="7"/>
    <d v="2026-06-01T11:12:53"/>
    <x v="8"/>
    <x v="5"/>
    <x v="8"/>
    <m/>
    <m/>
    <m/>
  </r>
  <r>
    <s v="YK262300302"/>
    <s v="NOT-IN-PROCESS"/>
    <x v="0"/>
    <s v="1"/>
    <x v="7"/>
    <d v="2026-06-01T11:12:53"/>
    <x v="8"/>
    <x v="5"/>
    <x v="8"/>
    <m/>
    <m/>
    <m/>
  </r>
  <r>
    <s v="YK262300303"/>
    <s v="NOT-IN-PROCESS"/>
    <x v="0"/>
    <s v="1"/>
    <x v="7"/>
    <d v="2026-06-01T11:12:53"/>
    <x v="8"/>
    <x v="5"/>
    <x v="8"/>
    <m/>
    <m/>
    <m/>
  </r>
  <r>
    <s v="YK262300304"/>
    <s v="NOT-IN-PROCESS"/>
    <x v="0"/>
    <s v="1"/>
    <x v="7"/>
    <d v="2026-06-01T11:12:53"/>
    <x v="8"/>
    <x v="5"/>
    <x v="8"/>
    <m/>
    <m/>
    <m/>
  </r>
  <r>
    <s v="YK262300305"/>
    <s v="NOT-IN-PROCESS"/>
    <x v="0"/>
    <s v="1"/>
    <x v="7"/>
    <d v="2026-06-01T11:12:53"/>
    <x v="8"/>
    <x v="5"/>
    <x v="8"/>
    <m/>
    <m/>
    <m/>
  </r>
  <r>
    <s v="YK262300306"/>
    <s v="NOT-IN-PROCESS"/>
    <x v="0"/>
    <s v="1"/>
    <x v="7"/>
    <d v="2026-06-01T11:12:53"/>
    <x v="8"/>
    <x v="5"/>
    <x v="8"/>
    <m/>
    <m/>
    <m/>
  </r>
  <r>
    <s v="YK262300307"/>
    <s v="NOT-IN-PROCESS"/>
    <x v="0"/>
    <s v="1"/>
    <x v="7"/>
    <d v="2026-06-01T11:12:53"/>
    <x v="8"/>
    <x v="5"/>
    <x v="8"/>
    <m/>
    <m/>
    <m/>
  </r>
  <r>
    <s v="YK262300308"/>
    <s v="NOT-IN-PROCESS"/>
    <x v="0"/>
    <s v="1"/>
    <x v="7"/>
    <d v="2026-06-01T11:12:53"/>
    <x v="8"/>
    <x v="5"/>
    <x v="8"/>
    <m/>
    <m/>
    <m/>
  </r>
  <r>
    <s v="YK262300309"/>
    <s v="NOT-IN-PROCESS"/>
    <x v="0"/>
    <s v="1"/>
    <x v="7"/>
    <d v="2026-06-01T11:12:53"/>
    <x v="8"/>
    <x v="5"/>
    <x v="8"/>
    <m/>
    <m/>
    <m/>
  </r>
  <r>
    <s v="YK262300310"/>
    <s v="NOT-IN-PROCESS"/>
    <x v="0"/>
    <s v="1"/>
    <x v="7"/>
    <d v="2026-06-01T11:12:53"/>
    <x v="8"/>
    <x v="5"/>
    <x v="8"/>
    <m/>
    <m/>
    <m/>
  </r>
  <r>
    <s v="YK262300311"/>
    <s v="NOT-IN-PROCESS"/>
    <x v="0"/>
    <s v="1"/>
    <x v="7"/>
    <d v="2026-06-01T11:12:53"/>
    <x v="8"/>
    <x v="5"/>
    <x v="8"/>
    <m/>
    <m/>
    <m/>
  </r>
  <r>
    <s v="YK262300312"/>
    <s v="NOT-IN-PROCESS"/>
    <x v="0"/>
    <s v="1"/>
    <x v="7"/>
    <d v="2026-06-01T11:12:53"/>
    <x v="8"/>
    <x v="5"/>
    <x v="8"/>
    <m/>
    <m/>
    <m/>
  </r>
  <r>
    <s v="YK262300313"/>
    <s v="NOT-IN-PROCESS"/>
    <x v="0"/>
    <s v="1"/>
    <x v="7"/>
    <d v="2026-06-01T11:12:53"/>
    <x v="8"/>
    <x v="5"/>
    <x v="8"/>
    <m/>
    <m/>
    <m/>
  </r>
  <r>
    <s v="YK262300314"/>
    <s v="NOT-IN-PROCESS"/>
    <x v="0"/>
    <s v="1"/>
    <x v="7"/>
    <d v="2026-06-01T11:12:53"/>
    <x v="8"/>
    <x v="5"/>
    <x v="8"/>
    <m/>
    <m/>
    <m/>
  </r>
  <r>
    <s v="YK262300315"/>
    <s v="NOT-IN-PROCESS"/>
    <x v="0"/>
    <s v="1"/>
    <x v="7"/>
    <d v="2026-06-01T11:12:53"/>
    <x v="8"/>
    <x v="5"/>
    <x v="8"/>
    <m/>
    <m/>
    <m/>
  </r>
  <r>
    <s v="YK262300316"/>
    <s v="NOT-IN-PROCESS"/>
    <x v="0"/>
    <s v="1"/>
    <x v="7"/>
    <d v="2026-06-01T11:12:53"/>
    <x v="8"/>
    <x v="5"/>
    <x v="8"/>
    <m/>
    <m/>
    <m/>
  </r>
  <r>
    <s v="YK262300317"/>
    <s v="NOT-IN-PROCESS"/>
    <x v="0"/>
    <s v="1"/>
    <x v="7"/>
    <d v="2026-06-01T11:12:53"/>
    <x v="8"/>
    <x v="5"/>
    <x v="8"/>
    <m/>
    <m/>
    <m/>
  </r>
  <r>
    <s v="YK262300318"/>
    <s v="NOT-IN-PROCESS"/>
    <x v="0"/>
    <s v="1"/>
    <x v="7"/>
    <d v="2026-06-01T11:12:53"/>
    <x v="8"/>
    <x v="5"/>
    <x v="8"/>
    <m/>
    <m/>
    <m/>
  </r>
  <r>
    <s v="YK262300319"/>
    <s v="NOT-IN-PROCESS"/>
    <x v="0"/>
    <s v="1"/>
    <x v="7"/>
    <d v="2026-06-01T11:12:53"/>
    <x v="8"/>
    <x v="5"/>
    <x v="8"/>
    <m/>
    <m/>
    <m/>
  </r>
  <r>
    <s v="YK262300320"/>
    <s v="NOT-IN-PROCESS"/>
    <x v="0"/>
    <s v="1"/>
    <x v="7"/>
    <d v="2026-06-01T11:12:53"/>
    <x v="8"/>
    <x v="5"/>
    <x v="8"/>
    <m/>
    <m/>
    <m/>
  </r>
  <r>
    <s v="YK262300321"/>
    <s v="NOT-IN-PROCESS"/>
    <x v="0"/>
    <s v="1"/>
    <x v="7"/>
    <d v="2026-06-01T11:12:53"/>
    <x v="8"/>
    <x v="5"/>
    <x v="8"/>
    <m/>
    <m/>
    <m/>
  </r>
  <r>
    <s v="YK262300322"/>
    <s v="NOT-IN-PROCESS"/>
    <x v="0"/>
    <s v="1"/>
    <x v="7"/>
    <d v="2026-06-01T11:12:53"/>
    <x v="8"/>
    <x v="5"/>
    <x v="8"/>
    <m/>
    <m/>
    <m/>
  </r>
  <r>
    <s v="YK262300323"/>
    <s v="NOT-IN-PROCESS"/>
    <x v="0"/>
    <s v="1"/>
    <x v="7"/>
    <d v="2026-06-01T11:12:53"/>
    <x v="8"/>
    <x v="5"/>
    <x v="8"/>
    <m/>
    <m/>
    <m/>
  </r>
  <r>
    <s v="YK262300324"/>
    <s v="NOT-IN-PROCESS"/>
    <x v="0"/>
    <s v="1"/>
    <x v="7"/>
    <d v="2026-06-01T11:12:53"/>
    <x v="8"/>
    <x v="5"/>
    <x v="8"/>
    <m/>
    <m/>
    <m/>
  </r>
  <r>
    <s v="YK262300325"/>
    <s v="NOT-IN-PROCESS"/>
    <x v="0"/>
    <s v="1"/>
    <x v="7"/>
    <d v="2026-06-01T11:12:53"/>
    <x v="8"/>
    <x v="5"/>
    <x v="8"/>
    <m/>
    <m/>
    <m/>
  </r>
  <r>
    <s v="YK262300326"/>
    <s v="NOT-IN-PROCESS"/>
    <x v="0"/>
    <s v="1"/>
    <x v="7"/>
    <d v="2026-06-01T11:12:53"/>
    <x v="8"/>
    <x v="5"/>
    <x v="8"/>
    <m/>
    <m/>
    <m/>
  </r>
  <r>
    <s v="YK262300327"/>
    <s v="NOT-IN-PROCESS"/>
    <x v="0"/>
    <s v="1"/>
    <x v="7"/>
    <d v="2026-06-01T11:12:53"/>
    <x v="8"/>
    <x v="5"/>
    <x v="8"/>
    <m/>
    <m/>
    <m/>
  </r>
  <r>
    <s v="YK262300328"/>
    <s v="NOT-IN-PROCESS"/>
    <x v="0"/>
    <s v="1"/>
    <x v="7"/>
    <d v="2026-06-01T11:12:53"/>
    <x v="8"/>
    <x v="5"/>
    <x v="8"/>
    <m/>
    <m/>
    <m/>
  </r>
  <r>
    <s v="YK262300329"/>
    <s v="NOT-IN-PROCESS"/>
    <x v="0"/>
    <s v="1"/>
    <x v="7"/>
    <d v="2026-06-01T11:12:53"/>
    <x v="8"/>
    <x v="5"/>
    <x v="8"/>
    <m/>
    <m/>
    <m/>
  </r>
  <r>
    <s v="YK262300330"/>
    <s v="NOT-IN-PROCESS"/>
    <x v="0"/>
    <s v="1"/>
    <x v="7"/>
    <d v="2026-06-01T11:12:53"/>
    <x v="8"/>
    <x v="5"/>
    <x v="8"/>
    <m/>
    <m/>
    <m/>
  </r>
  <r>
    <s v="YK262300331"/>
    <s v="NOT-IN-PROCESS"/>
    <x v="0"/>
    <s v="1"/>
    <x v="7"/>
    <d v="2026-06-01T11:12:53"/>
    <x v="8"/>
    <x v="5"/>
    <x v="8"/>
    <m/>
    <m/>
    <m/>
  </r>
  <r>
    <s v="YK262300332"/>
    <s v="NOT-IN-PROCESS"/>
    <x v="0"/>
    <s v="1"/>
    <x v="7"/>
    <d v="2026-06-01T11:12:53"/>
    <x v="8"/>
    <x v="5"/>
    <x v="8"/>
    <m/>
    <m/>
    <m/>
  </r>
  <r>
    <s v="YK262300333"/>
    <s v="NOT-IN-PROCESS"/>
    <x v="0"/>
    <s v="1"/>
    <x v="7"/>
    <d v="2026-06-01T11:12:53"/>
    <x v="8"/>
    <x v="5"/>
    <x v="8"/>
    <m/>
    <m/>
    <m/>
  </r>
  <r>
    <s v="YK262300334"/>
    <s v="NOT-IN-PROCESS"/>
    <x v="0"/>
    <s v="1"/>
    <x v="7"/>
    <d v="2026-06-01T11:12:53"/>
    <x v="8"/>
    <x v="5"/>
    <x v="8"/>
    <m/>
    <m/>
    <m/>
  </r>
  <r>
    <s v="YK262300335"/>
    <s v="NOT-IN-PROCESS"/>
    <x v="0"/>
    <s v="1"/>
    <x v="7"/>
    <d v="2026-06-01T11:12:53"/>
    <x v="8"/>
    <x v="5"/>
    <x v="8"/>
    <m/>
    <m/>
    <m/>
  </r>
  <r>
    <s v="YK262300336"/>
    <s v="NOT-IN-PROCESS"/>
    <x v="0"/>
    <s v="1"/>
    <x v="7"/>
    <d v="2026-06-01T11:12:53"/>
    <x v="8"/>
    <x v="5"/>
    <x v="8"/>
    <m/>
    <m/>
    <m/>
  </r>
  <r>
    <s v="YK262300337"/>
    <s v="NOT-IN-PROCESS"/>
    <x v="0"/>
    <s v="1"/>
    <x v="7"/>
    <d v="2026-06-01T11:12:53"/>
    <x v="8"/>
    <x v="5"/>
    <x v="8"/>
    <m/>
    <m/>
    <m/>
  </r>
  <r>
    <s v="YK262300338"/>
    <s v="NOT-IN-PROCESS"/>
    <x v="0"/>
    <s v="1"/>
    <x v="7"/>
    <d v="2026-06-01T11:12:53"/>
    <x v="8"/>
    <x v="5"/>
    <x v="8"/>
    <m/>
    <m/>
    <m/>
  </r>
  <r>
    <s v="YK262300339"/>
    <s v="NOT-IN-PROCESS"/>
    <x v="0"/>
    <s v="1"/>
    <x v="7"/>
    <d v="2026-06-01T11:12:53"/>
    <x v="8"/>
    <x v="5"/>
    <x v="8"/>
    <m/>
    <m/>
    <m/>
  </r>
  <r>
    <s v="YK262300340"/>
    <s v="NOT-IN-PROCESS"/>
    <x v="0"/>
    <s v="1"/>
    <x v="7"/>
    <d v="2026-06-01T11:12:53"/>
    <x v="8"/>
    <x v="5"/>
    <x v="8"/>
    <m/>
    <m/>
    <m/>
  </r>
  <r>
    <s v="YK262300341"/>
    <s v="NOT-IN-PROCESS"/>
    <x v="0"/>
    <s v="1"/>
    <x v="7"/>
    <d v="2026-06-01T11:12:53"/>
    <x v="8"/>
    <x v="5"/>
    <x v="8"/>
    <m/>
    <m/>
    <m/>
  </r>
  <r>
    <s v="YK262300342"/>
    <s v="NOT-IN-PROCESS"/>
    <x v="0"/>
    <s v="1"/>
    <x v="7"/>
    <d v="2026-06-01T11:12:53"/>
    <x v="8"/>
    <x v="5"/>
    <x v="8"/>
    <m/>
    <m/>
    <m/>
  </r>
  <r>
    <s v="YK262300343"/>
    <s v="NOT-IN-PROCESS"/>
    <x v="0"/>
    <s v="1"/>
    <x v="7"/>
    <d v="2026-06-01T11:12:53"/>
    <x v="8"/>
    <x v="5"/>
    <x v="8"/>
    <m/>
    <m/>
    <m/>
  </r>
  <r>
    <s v="YK262300344"/>
    <s v="NOT-IN-PROCESS"/>
    <x v="0"/>
    <s v="1"/>
    <x v="7"/>
    <d v="2026-06-01T11:12:53"/>
    <x v="8"/>
    <x v="5"/>
    <x v="8"/>
    <m/>
    <m/>
    <m/>
  </r>
  <r>
    <s v="YK262300345"/>
    <s v="NOT-IN-PROCESS"/>
    <x v="0"/>
    <s v="1"/>
    <x v="7"/>
    <d v="2026-06-01T11:12:53"/>
    <x v="8"/>
    <x v="5"/>
    <x v="8"/>
    <m/>
    <m/>
    <m/>
  </r>
  <r>
    <s v="YK262300346"/>
    <s v="NOT-IN-PROCESS"/>
    <x v="0"/>
    <s v="1"/>
    <x v="7"/>
    <d v="2026-06-01T11:12:53"/>
    <x v="8"/>
    <x v="5"/>
    <x v="8"/>
    <m/>
    <m/>
    <m/>
  </r>
  <r>
    <s v="YK262300347"/>
    <s v="NOT-IN-PROCESS"/>
    <x v="0"/>
    <s v="1"/>
    <x v="7"/>
    <d v="2026-06-01T11:12:53"/>
    <x v="8"/>
    <x v="5"/>
    <x v="8"/>
    <m/>
    <m/>
    <m/>
  </r>
  <r>
    <s v="YK262300348"/>
    <s v="NOT-IN-PROCESS"/>
    <x v="0"/>
    <s v="1"/>
    <x v="7"/>
    <d v="2026-06-01T11:12:53"/>
    <x v="8"/>
    <x v="5"/>
    <x v="8"/>
    <m/>
    <m/>
    <m/>
  </r>
  <r>
    <s v="YK262300349"/>
    <s v="NOT-IN-PROCESS"/>
    <x v="0"/>
    <s v="1"/>
    <x v="7"/>
    <d v="2026-06-01T11:12:53"/>
    <x v="8"/>
    <x v="5"/>
    <x v="8"/>
    <m/>
    <m/>
    <m/>
  </r>
  <r>
    <s v="YK262300350"/>
    <s v="NOT-IN-PROCESS"/>
    <x v="0"/>
    <s v="1"/>
    <x v="7"/>
    <d v="2026-06-01T11:12:53"/>
    <x v="8"/>
    <x v="5"/>
    <x v="8"/>
    <m/>
    <m/>
    <m/>
  </r>
  <r>
    <s v="YK262300351"/>
    <s v="NOT-IN-PROCESS"/>
    <x v="0"/>
    <s v="1"/>
    <x v="7"/>
    <d v="2026-06-01T11:12:53"/>
    <x v="8"/>
    <x v="5"/>
    <x v="8"/>
    <m/>
    <m/>
    <m/>
  </r>
  <r>
    <s v="YK262300352"/>
    <s v="NOT-IN-PROCESS"/>
    <x v="0"/>
    <s v="1"/>
    <x v="7"/>
    <d v="2026-06-01T11:12:53"/>
    <x v="8"/>
    <x v="5"/>
    <x v="8"/>
    <m/>
    <m/>
    <m/>
  </r>
  <r>
    <s v="YK262300353"/>
    <s v="NOT-IN-PROCESS"/>
    <x v="0"/>
    <s v="1"/>
    <x v="7"/>
    <d v="2026-06-01T11:12:53"/>
    <x v="8"/>
    <x v="5"/>
    <x v="8"/>
    <m/>
    <m/>
    <m/>
  </r>
  <r>
    <s v="YK262300354"/>
    <s v="NOT-IN-PROCESS"/>
    <x v="0"/>
    <s v="1"/>
    <x v="7"/>
    <d v="2026-06-01T11:12:53"/>
    <x v="8"/>
    <x v="5"/>
    <x v="8"/>
    <m/>
    <m/>
    <m/>
  </r>
  <r>
    <s v="YK262300355"/>
    <s v="NOT-IN-PROCESS"/>
    <x v="0"/>
    <s v="1"/>
    <x v="7"/>
    <d v="2026-06-01T11:12:53"/>
    <x v="8"/>
    <x v="5"/>
    <x v="8"/>
    <m/>
    <m/>
    <m/>
  </r>
  <r>
    <s v="YK262300356"/>
    <s v="NOT-IN-PROCESS"/>
    <x v="0"/>
    <s v="1"/>
    <x v="7"/>
    <d v="2026-06-01T11:12:53"/>
    <x v="8"/>
    <x v="5"/>
    <x v="8"/>
    <m/>
    <m/>
    <m/>
  </r>
  <r>
    <s v="YK262300357"/>
    <s v="NOT-IN-PROCESS"/>
    <x v="0"/>
    <s v="1"/>
    <x v="7"/>
    <d v="2026-06-01T11:12:53"/>
    <x v="8"/>
    <x v="5"/>
    <x v="8"/>
    <m/>
    <m/>
    <m/>
  </r>
  <r>
    <s v="YK262300358"/>
    <s v="NOT-IN-PROCESS"/>
    <x v="0"/>
    <s v="1"/>
    <x v="7"/>
    <d v="2026-06-01T11:12:53"/>
    <x v="8"/>
    <x v="5"/>
    <x v="8"/>
    <m/>
    <m/>
    <m/>
  </r>
  <r>
    <s v="YK262300359"/>
    <s v="NOT-IN-PROCESS"/>
    <x v="0"/>
    <s v="1"/>
    <x v="7"/>
    <d v="2026-06-01T11:12:53"/>
    <x v="8"/>
    <x v="5"/>
    <x v="8"/>
    <m/>
    <m/>
    <m/>
  </r>
  <r>
    <s v="YK262300360"/>
    <s v="NOT-IN-PROCESS"/>
    <x v="0"/>
    <s v="1"/>
    <x v="7"/>
    <d v="2026-06-01T11:12:53"/>
    <x v="8"/>
    <x v="5"/>
    <x v="8"/>
    <m/>
    <m/>
    <m/>
  </r>
  <r>
    <s v="YK262300361"/>
    <s v="NOT-IN-PROCESS"/>
    <x v="0"/>
    <s v="1"/>
    <x v="7"/>
    <d v="2026-06-01T11:12:53"/>
    <x v="8"/>
    <x v="5"/>
    <x v="8"/>
    <m/>
    <m/>
    <m/>
  </r>
  <r>
    <s v="YK262300362"/>
    <s v="NOT-IN-PROCESS"/>
    <x v="0"/>
    <s v="1"/>
    <x v="7"/>
    <d v="2026-06-01T11:12:53"/>
    <x v="8"/>
    <x v="5"/>
    <x v="8"/>
    <m/>
    <m/>
    <m/>
  </r>
  <r>
    <s v="YK262300363"/>
    <s v="NOT-IN-PROCESS"/>
    <x v="0"/>
    <s v="1"/>
    <x v="7"/>
    <d v="2026-06-01T11:12:53"/>
    <x v="8"/>
    <x v="5"/>
    <x v="8"/>
    <m/>
    <m/>
    <m/>
  </r>
  <r>
    <s v="YK262300364"/>
    <s v="NOT-IN-PROCESS"/>
    <x v="0"/>
    <s v="1"/>
    <x v="7"/>
    <d v="2026-06-01T11:12:53"/>
    <x v="8"/>
    <x v="5"/>
    <x v="8"/>
    <m/>
    <m/>
    <m/>
  </r>
  <r>
    <s v="YK262300365"/>
    <s v="NOT-IN-PROCESS"/>
    <x v="0"/>
    <s v="1"/>
    <x v="7"/>
    <d v="2026-06-01T11:12:53"/>
    <x v="8"/>
    <x v="5"/>
    <x v="8"/>
    <m/>
    <m/>
    <m/>
  </r>
  <r>
    <s v="YK262300366"/>
    <s v="NOT-IN-PROCESS"/>
    <x v="0"/>
    <s v="1"/>
    <x v="7"/>
    <d v="2026-06-01T11:12:53"/>
    <x v="8"/>
    <x v="5"/>
    <x v="8"/>
    <m/>
    <m/>
    <m/>
  </r>
  <r>
    <s v="YK262300367"/>
    <s v="NOT-IN-PROCESS"/>
    <x v="0"/>
    <s v="1"/>
    <x v="7"/>
    <d v="2026-06-01T11:12:53"/>
    <x v="8"/>
    <x v="5"/>
    <x v="8"/>
    <m/>
    <m/>
    <m/>
  </r>
  <r>
    <s v="YK262300368"/>
    <s v="NOT-IN-PROCESS"/>
    <x v="0"/>
    <s v="1"/>
    <x v="7"/>
    <d v="2026-06-01T11:12:53"/>
    <x v="8"/>
    <x v="5"/>
    <x v="8"/>
    <m/>
    <m/>
    <m/>
  </r>
  <r>
    <s v="YK262300369"/>
    <s v="NOT-IN-PROCESS"/>
    <x v="0"/>
    <s v="1"/>
    <x v="7"/>
    <d v="2026-06-01T11:12:53"/>
    <x v="8"/>
    <x v="5"/>
    <x v="8"/>
    <m/>
    <m/>
    <m/>
  </r>
  <r>
    <s v="YK262300370"/>
    <s v="NOT-IN-PROCESS"/>
    <x v="0"/>
    <s v="1"/>
    <x v="7"/>
    <d v="2026-06-01T11:12:53"/>
    <x v="8"/>
    <x v="5"/>
    <x v="8"/>
    <m/>
    <m/>
    <m/>
  </r>
  <r>
    <s v="YK262300371"/>
    <s v="NOT-IN-PROCESS"/>
    <x v="0"/>
    <s v="1"/>
    <x v="7"/>
    <d v="2026-06-01T11:12:53"/>
    <x v="8"/>
    <x v="5"/>
    <x v="8"/>
    <m/>
    <m/>
    <m/>
  </r>
  <r>
    <s v="YK262300372"/>
    <s v="NOT-IN-PROCESS"/>
    <x v="0"/>
    <s v="1"/>
    <x v="7"/>
    <d v="2026-06-01T11:12:53"/>
    <x v="8"/>
    <x v="5"/>
    <x v="8"/>
    <m/>
    <m/>
    <m/>
  </r>
  <r>
    <s v="YK262300373"/>
    <s v="NOT-IN-PROCESS"/>
    <x v="0"/>
    <s v="1"/>
    <x v="7"/>
    <d v="2026-06-01T11:12:53"/>
    <x v="8"/>
    <x v="5"/>
    <x v="8"/>
    <m/>
    <m/>
    <m/>
  </r>
  <r>
    <s v="YK262300374"/>
    <s v="NOT-IN-PROCESS"/>
    <x v="0"/>
    <s v="1"/>
    <x v="7"/>
    <d v="2026-06-01T11:12:53"/>
    <x v="8"/>
    <x v="5"/>
    <x v="8"/>
    <m/>
    <m/>
    <m/>
  </r>
  <r>
    <s v="YK262300375"/>
    <s v="NOT-IN-PROCESS"/>
    <x v="0"/>
    <s v="1"/>
    <x v="7"/>
    <d v="2026-06-01T11:12:53"/>
    <x v="8"/>
    <x v="5"/>
    <x v="8"/>
    <m/>
    <m/>
    <m/>
  </r>
  <r>
    <s v="YK262300376"/>
    <s v="NOT-IN-PROCESS"/>
    <x v="0"/>
    <s v="1"/>
    <x v="7"/>
    <d v="2026-06-01T11:12:53"/>
    <x v="8"/>
    <x v="5"/>
    <x v="8"/>
    <m/>
    <m/>
    <m/>
  </r>
  <r>
    <s v="YK262300001"/>
    <s v="5DX1 SMT 5DX"/>
    <x v="12"/>
    <s v="1"/>
    <x v="3"/>
    <d v="2026-06-18T06:54:38"/>
    <x v="9"/>
    <x v="6"/>
    <x v="9"/>
    <m/>
    <m/>
    <m/>
  </r>
  <r>
    <s v="YK262300002"/>
    <s v="5DX1 SMT 5DX"/>
    <x v="12"/>
    <s v="1"/>
    <x v="3"/>
    <d v="2026-06-13T13:21:06"/>
    <x v="9"/>
    <x v="6"/>
    <x v="9"/>
    <m/>
    <m/>
    <m/>
  </r>
  <r>
    <s v="YK262300003"/>
    <s v="5DX1 SMT 5DX"/>
    <x v="12"/>
    <s v="1"/>
    <x v="3"/>
    <d v="2026-06-13T13:21:42"/>
    <x v="9"/>
    <x v="6"/>
    <x v="9"/>
    <m/>
    <m/>
    <m/>
  </r>
  <r>
    <s v="YK262300004"/>
    <s v="PBAI Inspect"/>
    <x v="10"/>
    <s v="1"/>
    <x v="3"/>
    <d v="2026-06-15T09:33:22"/>
    <x v="9"/>
    <x v="6"/>
    <x v="9"/>
    <m/>
    <m/>
    <m/>
  </r>
  <r>
    <s v="YK262300005"/>
    <s v="5DX1 SMT 5DX"/>
    <x v="12"/>
    <s v="1"/>
    <x v="3"/>
    <d v="2026-06-15T07:42:43"/>
    <x v="9"/>
    <x v="6"/>
    <x v="9"/>
    <m/>
    <m/>
    <m/>
  </r>
  <r>
    <s v="YK262300006"/>
    <s v="5DX1 SMT 5DX"/>
    <x v="12"/>
    <s v="1"/>
    <x v="3"/>
    <d v="2026-06-16T06:54:59"/>
    <x v="9"/>
    <x v="6"/>
    <x v="9"/>
    <m/>
    <m/>
    <m/>
  </r>
  <r>
    <s v="YK262300007"/>
    <s v="5DX1 SMT 5DX"/>
    <x v="12"/>
    <s v="1"/>
    <x v="3"/>
    <d v="2026-06-15T08:04:56"/>
    <x v="9"/>
    <x v="6"/>
    <x v="9"/>
    <m/>
    <m/>
    <m/>
  </r>
  <r>
    <s v="YK262300008"/>
    <s v="5DX1 SMT 5DX"/>
    <x v="12"/>
    <s v="1"/>
    <x v="3"/>
    <d v="2026-06-15T08:07:15"/>
    <x v="9"/>
    <x v="6"/>
    <x v="9"/>
    <m/>
    <m/>
    <m/>
  </r>
  <r>
    <s v="YK262300009"/>
    <s v="5DX1 SMT 5DX"/>
    <x v="12"/>
    <s v="1"/>
    <x v="3"/>
    <d v="2026-06-15T08:10:16"/>
    <x v="9"/>
    <x v="6"/>
    <x v="9"/>
    <m/>
    <m/>
    <m/>
  </r>
  <r>
    <s v="YK262300010"/>
    <s v="5DX1 SMT 5DX"/>
    <x v="12"/>
    <s v="1"/>
    <x v="3"/>
    <d v="2026-06-18T06:51:29"/>
    <x v="9"/>
    <x v="6"/>
    <x v="9"/>
    <m/>
    <m/>
    <m/>
  </r>
  <r>
    <s v="YK262300011"/>
    <s v="5DX1 SMT 5DX"/>
    <x v="12"/>
    <s v="1"/>
    <x v="3"/>
    <d v="2026-06-15T19:50:04"/>
    <x v="9"/>
    <x v="6"/>
    <x v="9"/>
    <m/>
    <m/>
    <m/>
  </r>
  <r>
    <s v="YK262300012"/>
    <s v="5DX1 SMT 5DX"/>
    <x v="12"/>
    <s v="1"/>
    <x v="3"/>
    <d v="2026-06-15T19:55:16"/>
    <x v="9"/>
    <x v="6"/>
    <x v="9"/>
    <m/>
    <m/>
    <m/>
  </r>
  <r>
    <s v="YK262300013"/>
    <s v="5DX1 SMT 5DX"/>
    <x v="12"/>
    <s v="1"/>
    <x v="3"/>
    <d v="2026-06-15T19:52:50"/>
    <x v="9"/>
    <x v="6"/>
    <x v="9"/>
    <m/>
    <m/>
    <m/>
  </r>
  <r>
    <s v="YK262300014"/>
    <s v="5DX1 SMT 5DX"/>
    <x v="12"/>
    <s v="1"/>
    <x v="3"/>
    <d v="2026-06-15T19:57:47"/>
    <x v="9"/>
    <x v="6"/>
    <x v="9"/>
    <m/>
    <m/>
    <m/>
  </r>
  <r>
    <s v="YK262300015"/>
    <s v="5DX1 SMT 5DX"/>
    <x v="12"/>
    <s v="1"/>
    <x v="3"/>
    <d v="2026-06-15T20:41:44"/>
    <x v="9"/>
    <x v="6"/>
    <x v="9"/>
    <m/>
    <m/>
    <m/>
  </r>
  <r>
    <s v="YK262300016"/>
    <s v="5DX1 SMT 5DX"/>
    <x v="12"/>
    <s v="1"/>
    <x v="3"/>
    <d v="2026-06-15T19:47:06"/>
    <x v="9"/>
    <x v="6"/>
    <x v="9"/>
    <m/>
    <m/>
    <m/>
  </r>
  <r>
    <s v="YK262300017"/>
    <s v="5DX1 SMT 5DX"/>
    <x v="12"/>
    <s v="1"/>
    <x v="3"/>
    <d v="2026-06-15T20:44:22"/>
    <x v="9"/>
    <x v="6"/>
    <x v="9"/>
    <m/>
    <m/>
    <m/>
  </r>
  <r>
    <s v="YK262300018"/>
    <s v="5DX1 SMT 5DX"/>
    <x v="12"/>
    <s v="1"/>
    <x v="3"/>
    <d v="2026-06-15T20:50:41"/>
    <x v="9"/>
    <x v="6"/>
    <x v="9"/>
    <m/>
    <m/>
    <m/>
  </r>
  <r>
    <s v="YK262300019"/>
    <s v="5DX1 SMT 5DX"/>
    <x v="12"/>
    <s v="1"/>
    <x v="3"/>
    <d v="2026-06-15T20:54:58"/>
    <x v="9"/>
    <x v="6"/>
    <x v="9"/>
    <m/>
    <m/>
    <m/>
  </r>
  <r>
    <s v="YK262300020"/>
    <s v="5DX1 SMT 5DX"/>
    <x v="12"/>
    <s v="1"/>
    <x v="3"/>
    <d v="2026-06-17T11:50:28"/>
    <x v="9"/>
    <x v="6"/>
    <x v="9"/>
    <m/>
    <m/>
    <m/>
  </r>
  <r>
    <s v="YK262300021"/>
    <s v="5DX1 SMT 5DX"/>
    <x v="12"/>
    <s v="1"/>
    <x v="3"/>
    <d v="2026-06-16T07:59:25"/>
    <x v="9"/>
    <x v="6"/>
    <x v="9"/>
    <m/>
    <m/>
    <m/>
  </r>
  <r>
    <s v="YK262300022"/>
    <s v="5DX1 SMT 5DX"/>
    <x v="12"/>
    <s v="1"/>
    <x v="3"/>
    <d v="2026-06-15T22:35:01"/>
    <x v="9"/>
    <x v="6"/>
    <x v="9"/>
    <m/>
    <m/>
    <m/>
  </r>
  <r>
    <s v="YK262300023"/>
    <s v="5DX1 SMT 5DX"/>
    <x v="12"/>
    <s v="1"/>
    <x v="3"/>
    <d v="2026-06-15T22:38:07"/>
    <x v="9"/>
    <x v="6"/>
    <x v="9"/>
    <m/>
    <m/>
    <m/>
  </r>
  <r>
    <s v="YK262300024"/>
    <s v="5DX1 SMT 5DX"/>
    <x v="12"/>
    <s v="1"/>
    <x v="3"/>
    <d v="2026-06-15T22:40:24"/>
    <x v="9"/>
    <x v="6"/>
    <x v="9"/>
    <m/>
    <m/>
    <m/>
  </r>
  <r>
    <s v="YK262300025"/>
    <s v="5DX1 SMT 5DX"/>
    <x v="12"/>
    <s v="1"/>
    <x v="3"/>
    <d v="2026-06-15T22:20:43"/>
    <x v="9"/>
    <x v="6"/>
    <x v="9"/>
    <m/>
    <m/>
    <m/>
  </r>
  <r>
    <s v="YK262300026"/>
    <s v="5DX1 SMT 5DX"/>
    <x v="12"/>
    <s v="1"/>
    <x v="3"/>
    <d v="2026-06-15T22:27:07"/>
    <x v="9"/>
    <x v="6"/>
    <x v="9"/>
    <m/>
    <m/>
    <m/>
  </r>
  <r>
    <s v="YK262300027"/>
    <s v="5DX1 SMT 5DX"/>
    <x v="12"/>
    <s v="1"/>
    <x v="3"/>
    <d v="2026-06-15T22:32:58"/>
    <x v="9"/>
    <x v="6"/>
    <x v="9"/>
    <m/>
    <m/>
    <m/>
  </r>
  <r>
    <s v="YK262300028"/>
    <s v="5DX1 SMT 5DX"/>
    <x v="12"/>
    <s v="1"/>
    <x v="3"/>
    <d v="2026-06-15T22:13:17"/>
    <x v="9"/>
    <x v="6"/>
    <x v="9"/>
    <m/>
    <m/>
    <m/>
  </r>
  <r>
    <s v="YK262300029"/>
    <s v="5DX1 SMT 5DX"/>
    <x v="12"/>
    <s v="1"/>
    <x v="3"/>
    <d v="2026-06-15T22:15:36"/>
    <x v="9"/>
    <x v="6"/>
    <x v="9"/>
    <m/>
    <m/>
    <m/>
  </r>
  <r>
    <s v="YK262300030"/>
    <s v="5DX1 SMT 5DX"/>
    <x v="12"/>
    <s v="1"/>
    <x v="3"/>
    <d v="2026-06-15T21:34:50"/>
    <x v="9"/>
    <x v="6"/>
    <x v="9"/>
    <m/>
    <m/>
    <m/>
  </r>
  <r>
    <s v="YK262300031"/>
    <s v="5DX1 SMT 5DX"/>
    <x v="12"/>
    <s v="1"/>
    <x v="3"/>
    <d v="2026-06-18T05:42:57"/>
    <x v="9"/>
    <x v="6"/>
    <x v="9"/>
    <m/>
    <m/>
    <m/>
  </r>
  <r>
    <s v="YK262300032"/>
    <s v="5DX1 SMT 5DX"/>
    <x v="12"/>
    <s v="1"/>
    <x v="3"/>
    <d v="2026-06-15T08:23:04"/>
    <x v="9"/>
    <x v="6"/>
    <x v="9"/>
    <m/>
    <m/>
    <m/>
  </r>
  <r>
    <s v="YK262300033"/>
    <s v="5DX1 SMT 5DX"/>
    <x v="12"/>
    <s v="1"/>
    <x v="3"/>
    <d v="2026-06-15T08:59:07"/>
    <x v="9"/>
    <x v="6"/>
    <x v="9"/>
    <m/>
    <m/>
    <m/>
  </r>
  <r>
    <s v="YK262300034"/>
    <s v="5DX1 SMT 5DX"/>
    <x v="12"/>
    <s v="1"/>
    <x v="3"/>
    <d v="2026-06-18T07:29:24"/>
    <x v="9"/>
    <x v="6"/>
    <x v="9"/>
    <m/>
    <m/>
    <m/>
  </r>
  <r>
    <s v="YK262300035"/>
    <s v="5DX1 SMT 5DX"/>
    <x v="12"/>
    <s v="1"/>
    <x v="3"/>
    <d v="2026-06-15T09:19:48"/>
    <x v="9"/>
    <x v="6"/>
    <x v="9"/>
    <m/>
    <m/>
    <m/>
  </r>
  <r>
    <s v="YK262300036"/>
    <s v="5DX1 SMT 5DX"/>
    <x v="12"/>
    <s v="1"/>
    <x v="3"/>
    <d v="2026-06-15T09:25:11"/>
    <x v="9"/>
    <x v="6"/>
    <x v="9"/>
    <m/>
    <m/>
    <m/>
  </r>
  <r>
    <s v="YK262300037"/>
    <s v="5DX1 SMT 5DX"/>
    <x v="12"/>
    <s v="1"/>
    <x v="3"/>
    <d v="2026-06-15T09:29:49"/>
    <x v="9"/>
    <x v="6"/>
    <x v="9"/>
    <m/>
    <m/>
    <m/>
  </r>
  <r>
    <s v="YK262300038"/>
    <s v="5DX1 SMT 5DX"/>
    <x v="12"/>
    <s v="1"/>
    <x v="3"/>
    <d v="2026-06-15T09:27:28"/>
    <x v="9"/>
    <x v="6"/>
    <x v="9"/>
    <m/>
    <m/>
    <m/>
  </r>
  <r>
    <s v="YK262300039"/>
    <s v="5DX1 SMT 5DX"/>
    <x v="12"/>
    <s v="1"/>
    <x v="3"/>
    <d v="2026-06-15T09:38:52"/>
    <x v="9"/>
    <x v="6"/>
    <x v="9"/>
    <m/>
    <m/>
    <m/>
  </r>
  <r>
    <s v="YK262300040"/>
    <s v="5DX1 SMT 5DX"/>
    <x v="12"/>
    <s v="1"/>
    <x v="3"/>
    <d v="2026-06-15T09:45:03"/>
    <x v="9"/>
    <x v="6"/>
    <x v="9"/>
    <m/>
    <m/>
    <m/>
  </r>
  <r>
    <s v="YK262300041"/>
    <s v="5DX1 SMT 5DX"/>
    <x v="12"/>
    <s v="1"/>
    <x v="3"/>
    <d v="2026-06-15T09:49:26"/>
    <x v="9"/>
    <x v="6"/>
    <x v="9"/>
    <m/>
    <m/>
    <m/>
  </r>
  <r>
    <s v="YK262300042"/>
    <s v="5DX1 SMT 5DX"/>
    <x v="12"/>
    <s v="1"/>
    <x v="3"/>
    <d v="2026-06-15T13:15:50"/>
    <x v="9"/>
    <x v="6"/>
    <x v="9"/>
    <m/>
    <m/>
    <m/>
  </r>
  <r>
    <s v="YK262300043"/>
    <s v="5DX1 SMT 5DX"/>
    <x v="12"/>
    <s v="1"/>
    <x v="3"/>
    <d v="2026-06-15T13:22:18"/>
    <x v="9"/>
    <x v="6"/>
    <x v="9"/>
    <m/>
    <m/>
    <m/>
  </r>
  <r>
    <s v="YK262300044"/>
    <s v="5DX1 SMT 5DX"/>
    <x v="12"/>
    <s v="1"/>
    <x v="3"/>
    <d v="2026-06-15T13:31:04"/>
    <x v="9"/>
    <x v="6"/>
    <x v="9"/>
    <m/>
    <m/>
    <m/>
  </r>
  <r>
    <s v="YK262300045"/>
    <s v="5DX1 SMT 5DX"/>
    <x v="12"/>
    <s v="1"/>
    <x v="3"/>
    <d v="2026-06-15T13:35:04"/>
    <x v="9"/>
    <x v="6"/>
    <x v="9"/>
    <m/>
    <m/>
    <m/>
  </r>
  <r>
    <s v="YK262300046"/>
    <s v="5DX1 SMT 5DX"/>
    <x v="12"/>
    <s v="1"/>
    <x v="3"/>
    <d v="2026-06-15T13:38:09"/>
    <x v="9"/>
    <x v="6"/>
    <x v="9"/>
    <m/>
    <m/>
    <m/>
  </r>
  <r>
    <s v="YK262300047"/>
    <s v="5DX1 SMT 5DX"/>
    <x v="12"/>
    <s v="1"/>
    <x v="3"/>
    <d v="2026-06-15T13:48:06"/>
    <x v="9"/>
    <x v="6"/>
    <x v="9"/>
    <m/>
    <m/>
    <m/>
  </r>
  <r>
    <s v="YK262300048"/>
    <s v="5DX1 SMT 5DX"/>
    <x v="12"/>
    <s v="1"/>
    <x v="3"/>
    <d v="2026-06-15T14:09:17"/>
    <x v="9"/>
    <x v="6"/>
    <x v="9"/>
    <m/>
    <m/>
    <m/>
  </r>
  <r>
    <s v="YK262300049"/>
    <s v="5DX1 SMT 5DX"/>
    <x v="12"/>
    <s v="1"/>
    <x v="3"/>
    <d v="2026-06-15T14:09:22"/>
    <x v="9"/>
    <x v="6"/>
    <x v="9"/>
    <m/>
    <m/>
    <m/>
  </r>
  <r>
    <s v="YK262300050"/>
    <s v="5DX1 SMT 5DX"/>
    <x v="12"/>
    <s v="1"/>
    <x v="3"/>
    <d v="2026-06-15T14:09:36"/>
    <x v="9"/>
    <x v="6"/>
    <x v="9"/>
    <m/>
    <m/>
    <m/>
  </r>
  <r>
    <s v="YK262300051"/>
    <s v="5DX1 SMT 5DX"/>
    <x v="12"/>
    <s v="1"/>
    <x v="3"/>
    <d v="2026-06-15T14:10:06"/>
    <x v="9"/>
    <x v="6"/>
    <x v="9"/>
    <m/>
    <m/>
    <m/>
  </r>
  <r>
    <s v="YK262300052"/>
    <s v="5DX1 SMT 5DX"/>
    <x v="12"/>
    <s v="1"/>
    <x v="3"/>
    <d v="2026-06-15T11:41:29"/>
    <x v="9"/>
    <x v="6"/>
    <x v="9"/>
    <m/>
    <m/>
    <m/>
  </r>
  <r>
    <s v="YK262300053"/>
    <s v="5DX1 SMT 5DX"/>
    <x v="12"/>
    <s v="1"/>
    <x v="3"/>
    <d v="2026-06-15T11:44:21"/>
    <x v="9"/>
    <x v="6"/>
    <x v="9"/>
    <m/>
    <m/>
    <m/>
  </r>
  <r>
    <s v="YK262300054"/>
    <s v="5DX1 SMT 5DX"/>
    <x v="12"/>
    <s v="1"/>
    <x v="3"/>
    <d v="2026-06-15T11:47:53"/>
    <x v="9"/>
    <x v="6"/>
    <x v="9"/>
    <m/>
    <m/>
    <m/>
  </r>
  <r>
    <s v="YK262300055"/>
    <s v="5DX1 SMT 5DX"/>
    <x v="12"/>
    <s v="1"/>
    <x v="3"/>
    <d v="2026-06-15T12:02:49"/>
    <x v="9"/>
    <x v="6"/>
    <x v="9"/>
    <m/>
    <m/>
    <m/>
  </r>
  <r>
    <s v="YK262300056"/>
    <s v="5DX1 SMT 5DX"/>
    <x v="12"/>
    <s v="1"/>
    <x v="3"/>
    <d v="2026-06-18T05:50:26"/>
    <x v="9"/>
    <x v="6"/>
    <x v="9"/>
    <m/>
    <m/>
    <m/>
  </r>
  <r>
    <s v="YK262300057"/>
    <s v="5DX1 SMT 5DX"/>
    <x v="12"/>
    <s v="1"/>
    <x v="3"/>
    <d v="2026-06-15T12:31:14"/>
    <x v="9"/>
    <x v="6"/>
    <x v="9"/>
    <m/>
    <m/>
    <m/>
  </r>
  <r>
    <s v="YK262300058"/>
    <s v="5DX1 SMT 5DX"/>
    <x v="12"/>
    <s v="1"/>
    <x v="3"/>
    <d v="2026-06-15T11:50:38"/>
    <x v="9"/>
    <x v="6"/>
    <x v="9"/>
    <m/>
    <m/>
    <m/>
  </r>
  <r>
    <s v="YK262300059"/>
    <s v="5DX1 SMT 5DX"/>
    <x v="12"/>
    <s v="1"/>
    <x v="3"/>
    <d v="2026-06-18T07:31:16"/>
    <x v="9"/>
    <x v="6"/>
    <x v="9"/>
    <m/>
    <m/>
    <m/>
  </r>
  <r>
    <s v="YK262300060"/>
    <s v="5DX1 SMT 5DX"/>
    <x v="12"/>
    <s v="1"/>
    <x v="3"/>
    <d v="2026-06-15T12:05:48"/>
    <x v="9"/>
    <x v="6"/>
    <x v="9"/>
    <m/>
    <m/>
    <m/>
  </r>
  <r>
    <s v="YK262300061"/>
    <s v="5DX1 SMT 5DX"/>
    <x v="12"/>
    <s v="1"/>
    <x v="3"/>
    <d v="2026-06-18T07:00:11"/>
    <x v="9"/>
    <x v="6"/>
    <x v="9"/>
    <m/>
    <m/>
    <m/>
  </r>
  <r>
    <s v="YK262300062"/>
    <s v="5DX1 SMT 5DX"/>
    <x v="12"/>
    <s v="1"/>
    <x v="3"/>
    <d v="2026-06-16T07:32:17"/>
    <x v="9"/>
    <x v="6"/>
    <x v="9"/>
    <m/>
    <m/>
    <m/>
  </r>
  <r>
    <s v="YK262300063"/>
    <s v="5DX1 SMT 5DX"/>
    <x v="12"/>
    <s v="1"/>
    <x v="3"/>
    <d v="2026-06-16T07:29:19"/>
    <x v="9"/>
    <x v="6"/>
    <x v="9"/>
    <m/>
    <m/>
    <m/>
  </r>
  <r>
    <s v="YK262300064"/>
    <s v="5DX1 SMT 5DX"/>
    <x v="12"/>
    <s v="1"/>
    <x v="3"/>
    <d v="2026-06-16T07:25:18"/>
    <x v="9"/>
    <x v="6"/>
    <x v="9"/>
    <m/>
    <m/>
    <m/>
  </r>
  <r>
    <s v="YK262300065"/>
    <s v="5DX1 SMT 5DX"/>
    <x v="12"/>
    <s v="1"/>
    <x v="3"/>
    <d v="2026-06-16T07:15:22"/>
    <x v="9"/>
    <x v="6"/>
    <x v="9"/>
    <m/>
    <m/>
    <m/>
  </r>
  <r>
    <s v="YK262300066"/>
    <s v="5DX1 SMT 5DX"/>
    <x v="12"/>
    <s v="1"/>
    <x v="3"/>
    <d v="2026-06-18T05:56:02"/>
    <x v="9"/>
    <x v="6"/>
    <x v="9"/>
    <m/>
    <m/>
    <m/>
  </r>
  <r>
    <s v="YK262300067"/>
    <s v="5DX1 SMT 5DX"/>
    <x v="12"/>
    <s v="1"/>
    <x v="3"/>
    <d v="2026-06-16T07:07:44"/>
    <x v="9"/>
    <x v="6"/>
    <x v="9"/>
    <m/>
    <m/>
    <m/>
  </r>
  <r>
    <s v="YK262300068"/>
    <s v="5DX1 SMT 5DX"/>
    <x v="12"/>
    <s v="1"/>
    <x v="3"/>
    <d v="2026-06-18T05:47:22"/>
    <x v="9"/>
    <x v="6"/>
    <x v="9"/>
    <m/>
    <m/>
    <m/>
  </r>
  <r>
    <s v="YK262300069"/>
    <s v="5DX1 SMT 5DX"/>
    <x v="12"/>
    <s v="1"/>
    <x v="3"/>
    <d v="2026-06-16T07:27:23"/>
    <x v="9"/>
    <x v="6"/>
    <x v="9"/>
    <m/>
    <m/>
    <m/>
  </r>
  <r>
    <s v="YK262300070"/>
    <s v="5DX1 SMT 5DX"/>
    <x v="12"/>
    <s v="1"/>
    <x v="3"/>
    <d v="2026-06-16T15:19:35"/>
    <x v="9"/>
    <x v="6"/>
    <x v="9"/>
    <m/>
    <m/>
    <m/>
  </r>
  <r>
    <s v="YK262300071"/>
    <s v="5DX1 SMT 5DX"/>
    <x v="12"/>
    <s v="1"/>
    <x v="3"/>
    <d v="2026-06-17T11:23:40"/>
    <x v="9"/>
    <x v="6"/>
    <x v="9"/>
    <m/>
    <m/>
    <m/>
  </r>
  <r>
    <s v="YK262300072"/>
    <s v="5DX1 SMT 5DX"/>
    <x v="12"/>
    <s v="1"/>
    <x v="3"/>
    <d v="2026-06-15T09:52:58"/>
    <x v="9"/>
    <x v="6"/>
    <x v="9"/>
    <m/>
    <m/>
    <m/>
  </r>
  <r>
    <s v="YK262300073"/>
    <s v="5DX1 SMT 5DX"/>
    <x v="12"/>
    <s v="1"/>
    <x v="3"/>
    <d v="2026-06-18T07:36:05"/>
    <x v="9"/>
    <x v="6"/>
    <x v="9"/>
    <m/>
    <m/>
    <m/>
  </r>
  <r>
    <s v="YK262300074"/>
    <s v="5DX1 SMT 5DX"/>
    <x v="12"/>
    <s v="1"/>
    <x v="3"/>
    <d v="2026-06-15T10:01:31"/>
    <x v="9"/>
    <x v="6"/>
    <x v="9"/>
    <m/>
    <m/>
    <m/>
  </r>
  <r>
    <s v="YK262300075"/>
    <s v="5DX1 SMT 5DX"/>
    <x v="12"/>
    <s v="1"/>
    <x v="3"/>
    <d v="2026-06-18T07:37:52"/>
    <x v="9"/>
    <x v="6"/>
    <x v="9"/>
    <m/>
    <m/>
    <m/>
  </r>
  <r>
    <s v="YK262300076"/>
    <s v="5DX1 SMT 5DX"/>
    <x v="12"/>
    <s v="1"/>
    <x v="3"/>
    <d v="2026-06-18T07:33:38"/>
    <x v="9"/>
    <x v="6"/>
    <x v="9"/>
    <m/>
    <m/>
    <m/>
  </r>
  <r>
    <s v="YK262300077"/>
    <s v="5DX1 SMT 5DX"/>
    <x v="12"/>
    <s v="1"/>
    <x v="3"/>
    <d v="2026-06-15T10:14:53"/>
    <x v="9"/>
    <x v="6"/>
    <x v="9"/>
    <m/>
    <m/>
    <m/>
  </r>
  <r>
    <s v="YK262300078"/>
    <s v="5DX1 SMT 5DX"/>
    <x v="12"/>
    <s v="1"/>
    <x v="3"/>
    <d v="2026-06-15T10:18:30"/>
    <x v="9"/>
    <x v="6"/>
    <x v="9"/>
    <m/>
    <m/>
    <m/>
  </r>
  <r>
    <s v="YK262300079"/>
    <s v="5DX1 SMT 5DX"/>
    <x v="12"/>
    <s v="1"/>
    <x v="3"/>
    <d v="2026-06-15T10:20:53"/>
    <x v="9"/>
    <x v="6"/>
    <x v="9"/>
    <m/>
    <m/>
    <m/>
  </r>
  <r>
    <s v="YK262300080"/>
    <s v="5DX1 SMT 5DX"/>
    <x v="12"/>
    <s v="1"/>
    <x v="3"/>
    <d v="2026-06-15T10:24:58"/>
    <x v="9"/>
    <x v="6"/>
    <x v="9"/>
    <m/>
    <m/>
    <m/>
  </r>
  <r>
    <s v="YK262300081"/>
    <s v="5DX1 SMT 5DX"/>
    <x v="12"/>
    <s v="1"/>
    <x v="3"/>
    <d v="2026-06-15T10:28:34"/>
    <x v="9"/>
    <x v="6"/>
    <x v="9"/>
    <m/>
    <m/>
    <m/>
  </r>
  <r>
    <s v="YK262300082"/>
    <s v="5DX1 SMT 5DX"/>
    <x v="12"/>
    <s v="1"/>
    <x v="3"/>
    <d v="2026-06-15T12:28:47"/>
    <x v="9"/>
    <x v="6"/>
    <x v="9"/>
    <m/>
    <m/>
    <m/>
  </r>
  <r>
    <s v="YK262300083"/>
    <s v="5DX1 SMT 5DX"/>
    <x v="12"/>
    <s v="1"/>
    <x v="3"/>
    <d v="2026-06-15T12:45:48"/>
    <x v="9"/>
    <x v="6"/>
    <x v="9"/>
    <m/>
    <m/>
    <m/>
  </r>
  <r>
    <s v="YK262300084"/>
    <s v="5DX1 SMT 5DX"/>
    <x v="12"/>
    <s v="1"/>
    <x v="3"/>
    <d v="2026-06-18T07:46:05"/>
    <x v="9"/>
    <x v="6"/>
    <x v="9"/>
    <m/>
    <m/>
    <m/>
  </r>
  <r>
    <s v="YK262300085"/>
    <s v="5DX1 SMT 5DX"/>
    <x v="12"/>
    <s v="1"/>
    <x v="3"/>
    <d v="2026-06-15T13:06:59"/>
    <x v="9"/>
    <x v="6"/>
    <x v="9"/>
    <m/>
    <m/>
    <m/>
  </r>
  <r>
    <s v="YK262300086"/>
    <s v="5DX1 SMT 5DX"/>
    <x v="12"/>
    <s v="1"/>
    <x v="3"/>
    <d v="2026-06-15T13:07:12"/>
    <x v="9"/>
    <x v="6"/>
    <x v="9"/>
    <m/>
    <m/>
    <m/>
  </r>
  <r>
    <s v="YK262300087"/>
    <s v="5DX1 SMT 5DX"/>
    <x v="12"/>
    <s v="1"/>
    <x v="3"/>
    <d v="2026-06-15T13:07:42"/>
    <x v="9"/>
    <x v="6"/>
    <x v="9"/>
    <m/>
    <m/>
    <m/>
  </r>
  <r>
    <s v="YK262300088"/>
    <s v="5DX1 SMT 5DX"/>
    <x v="12"/>
    <s v="1"/>
    <x v="3"/>
    <d v="2026-06-15T13:07:05"/>
    <x v="9"/>
    <x v="6"/>
    <x v="9"/>
    <m/>
    <m/>
    <m/>
  </r>
  <r>
    <s v="YK262300089"/>
    <s v="5DX1 SMT 5DX"/>
    <x v="12"/>
    <s v="1"/>
    <x v="3"/>
    <d v="2026-06-15T13:07:18"/>
    <x v="9"/>
    <x v="6"/>
    <x v="9"/>
    <m/>
    <m/>
    <m/>
  </r>
  <r>
    <s v="YK262300090"/>
    <s v="5DX1 SMT 5DX"/>
    <x v="12"/>
    <s v="1"/>
    <x v="3"/>
    <d v="2026-06-15T13:07:26"/>
    <x v="9"/>
    <x v="6"/>
    <x v="9"/>
    <m/>
    <m/>
    <m/>
  </r>
  <r>
    <s v="YK262300091"/>
    <s v="5DX1 SMT 5DX"/>
    <x v="12"/>
    <s v="1"/>
    <x v="3"/>
    <d v="2026-06-15T13:07:35"/>
    <x v="9"/>
    <x v="6"/>
    <x v="9"/>
    <m/>
    <m/>
    <m/>
  </r>
  <r>
    <s v="YK262300092"/>
    <s v="5DX1 SMT 5DX"/>
    <x v="12"/>
    <s v="1"/>
    <x v="3"/>
    <d v="2026-06-17T11:17:36"/>
    <x v="9"/>
    <x v="6"/>
    <x v="9"/>
    <m/>
    <m/>
    <m/>
  </r>
  <r>
    <s v="YK262300093"/>
    <s v="5DX1 SMT 5DX"/>
    <x v="12"/>
    <s v="1"/>
    <x v="3"/>
    <d v="2026-06-15T14:14:15"/>
    <x v="9"/>
    <x v="6"/>
    <x v="9"/>
    <m/>
    <m/>
    <m/>
  </r>
  <r>
    <s v="YK262300094"/>
    <s v="5DX1 SMT 5DX"/>
    <x v="12"/>
    <s v="1"/>
    <x v="3"/>
    <d v="2026-06-15T14:15:57"/>
    <x v="9"/>
    <x v="6"/>
    <x v="9"/>
    <m/>
    <m/>
    <m/>
  </r>
  <r>
    <s v="YK262300095"/>
    <s v="5DX1 SMT 5DX"/>
    <x v="12"/>
    <s v="1"/>
    <x v="3"/>
    <d v="2026-06-15T16:08:32"/>
    <x v="9"/>
    <x v="6"/>
    <x v="9"/>
    <m/>
    <m/>
    <m/>
  </r>
  <r>
    <s v="YK262300096"/>
    <s v="5DX1 SMT 5DX"/>
    <x v="12"/>
    <s v="1"/>
    <x v="3"/>
    <d v="2026-06-17T12:21:15"/>
    <x v="9"/>
    <x v="6"/>
    <x v="9"/>
    <m/>
    <m/>
    <m/>
  </r>
  <r>
    <s v="YK262300097"/>
    <s v="5DX1 SMT 5DX"/>
    <x v="12"/>
    <s v="1"/>
    <x v="3"/>
    <d v="2026-06-15T16:04:49"/>
    <x v="9"/>
    <x v="6"/>
    <x v="9"/>
    <m/>
    <m/>
    <m/>
  </r>
  <r>
    <s v="YK262300098"/>
    <s v="5DX1 SMT 5DX"/>
    <x v="12"/>
    <s v="1"/>
    <x v="3"/>
    <d v="2026-06-15T16:01:05"/>
    <x v="9"/>
    <x v="6"/>
    <x v="9"/>
    <m/>
    <m/>
    <m/>
  </r>
  <r>
    <s v="YK262300099"/>
    <s v="5DX1 SMT 5DX"/>
    <x v="12"/>
    <s v="1"/>
    <x v="3"/>
    <d v="2026-06-17T12:12:43"/>
    <x v="9"/>
    <x v="6"/>
    <x v="9"/>
    <m/>
    <m/>
    <m/>
  </r>
  <r>
    <s v="YK262300100"/>
    <s v="5DX1 SMT 5DX"/>
    <x v="12"/>
    <s v="1"/>
    <x v="3"/>
    <d v="2026-06-15T17:06:46"/>
    <x v="9"/>
    <x v="6"/>
    <x v="9"/>
    <m/>
    <m/>
    <m/>
  </r>
  <r>
    <s v="YK262300101"/>
    <s v="5DX1 SMT 5DX"/>
    <x v="12"/>
    <s v="1"/>
    <x v="3"/>
    <d v="2026-06-15T17:03:44"/>
    <x v="9"/>
    <x v="6"/>
    <x v="9"/>
    <m/>
    <m/>
    <m/>
  </r>
  <r>
    <s v="YK262300102"/>
    <s v="5DX1 SMT 5DX"/>
    <x v="12"/>
    <s v="1"/>
    <x v="3"/>
    <d v="2026-06-18T05:53:06"/>
    <x v="9"/>
    <x v="6"/>
    <x v="9"/>
    <m/>
    <m/>
    <m/>
  </r>
  <r>
    <s v="YK262300103"/>
    <s v="5DX1 SMT 5DX"/>
    <x v="12"/>
    <s v="1"/>
    <x v="3"/>
    <d v="2026-06-17T12:23:22"/>
    <x v="9"/>
    <x v="6"/>
    <x v="9"/>
    <m/>
    <m/>
    <m/>
  </r>
  <r>
    <s v="YK262300104"/>
    <s v="5DX1 SMT 5DX"/>
    <x v="12"/>
    <s v="1"/>
    <x v="3"/>
    <d v="2026-06-15T17:26:16"/>
    <x v="9"/>
    <x v="6"/>
    <x v="9"/>
    <m/>
    <m/>
    <m/>
  </r>
  <r>
    <s v="YK262300105"/>
    <s v="5DX1 SMT 5DX"/>
    <x v="12"/>
    <s v="1"/>
    <x v="3"/>
    <d v="2026-06-15T17:30:05"/>
    <x v="9"/>
    <x v="6"/>
    <x v="9"/>
    <m/>
    <m/>
    <m/>
  </r>
  <r>
    <s v="YK262300106"/>
    <s v="5DX1 SMT 5DX"/>
    <x v="12"/>
    <s v="1"/>
    <x v="3"/>
    <d v="2026-06-17T11:46:16"/>
    <x v="9"/>
    <x v="6"/>
    <x v="9"/>
    <m/>
    <m/>
    <m/>
  </r>
  <r>
    <s v="YK262300107"/>
    <s v="5DX1 SMT 5DX"/>
    <x v="12"/>
    <s v="1"/>
    <x v="3"/>
    <d v="2026-06-15T17:00:58"/>
    <x v="9"/>
    <x v="6"/>
    <x v="9"/>
    <m/>
    <m/>
    <m/>
  </r>
  <r>
    <s v="YK262300108"/>
    <s v="5DX1 SMT 5DX"/>
    <x v="12"/>
    <s v="1"/>
    <x v="3"/>
    <d v="2026-06-15T16:25:41"/>
    <x v="9"/>
    <x v="6"/>
    <x v="9"/>
    <m/>
    <m/>
    <m/>
  </r>
  <r>
    <s v="YK262300109"/>
    <s v="5DX1 SMT 5DX"/>
    <x v="12"/>
    <s v="1"/>
    <x v="3"/>
    <d v="2026-06-15T16:49:28"/>
    <x v="9"/>
    <x v="6"/>
    <x v="9"/>
    <m/>
    <m/>
    <m/>
  </r>
  <r>
    <s v="YK262300110"/>
    <s v="5DX1 SMT 5DX"/>
    <x v="12"/>
    <s v="1"/>
    <x v="3"/>
    <d v="2026-06-15T16:53:25"/>
    <x v="9"/>
    <x v="6"/>
    <x v="9"/>
    <m/>
    <m/>
    <m/>
  </r>
  <r>
    <s v="YK262300111"/>
    <s v="AOI1 AOI Inspect S1"/>
    <x v="13"/>
    <s v="1"/>
    <x v="3"/>
    <d v="2026-06-15T15:44:15"/>
    <x v="9"/>
    <x v="6"/>
    <x v="9"/>
    <m/>
    <m/>
    <m/>
  </r>
  <r>
    <s v="YK262300112"/>
    <s v="5DX1 SMT 5DX"/>
    <x v="12"/>
    <s v="1"/>
    <x v="3"/>
    <d v="2026-06-15T19:19:17"/>
    <x v="9"/>
    <x v="6"/>
    <x v="9"/>
    <m/>
    <m/>
    <m/>
  </r>
  <r>
    <s v="YK262300113"/>
    <s v="5DX1 SMT 5DX"/>
    <x v="12"/>
    <s v="1"/>
    <x v="3"/>
    <d v="2026-06-15T19:27:29"/>
    <x v="9"/>
    <x v="6"/>
    <x v="9"/>
    <m/>
    <m/>
    <m/>
  </r>
  <r>
    <s v="YK262300114"/>
    <s v="5DX1 SMT 5DX"/>
    <x v="12"/>
    <s v="1"/>
    <x v="3"/>
    <d v="2026-06-15T19:30:03"/>
    <x v="9"/>
    <x v="6"/>
    <x v="9"/>
    <m/>
    <m/>
    <m/>
  </r>
  <r>
    <s v="YK262300115"/>
    <s v="5DX1 SMT 5DX"/>
    <x v="12"/>
    <s v="1"/>
    <x v="3"/>
    <d v="2026-06-15T19:33:21"/>
    <x v="9"/>
    <x v="6"/>
    <x v="9"/>
    <m/>
    <m/>
    <m/>
  </r>
  <r>
    <s v="YK262300116"/>
    <s v="5DX1 SMT 5DX"/>
    <x v="12"/>
    <s v="1"/>
    <x v="3"/>
    <d v="2026-06-15T19:36:02"/>
    <x v="9"/>
    <x v="6"/>
    <x v="9"/>
    <m/>
    <m/>
    <m/>
  </r>
  <r>
    <s v="YK262300117"/>
    <s v="5DX1 SMT 5DX"/>
    <x v="12"/>
    <s v="1"/>
    <x v="3"/>
    <d v="2026-06-15T19:40:29"/>
    <x v="9"/>
    <x v="6"/>
    <x v="9"/>
    <m/>
    <m/>
    <m/>
  </r>
  <r>
    <s v="YK262300118"/>
    <s v="5DX1 SMT 5DX"/>
    <x v="12"/>
    <s v="1"/>
    <x v="3"/>
    <d v="2026-06-15T19:43:55"/>
    <x v="9"/>
    <x v="6"/>
    <x v="9"/>
    <m/>
    <m/>
    <m/>
  </r>
  <r>
    <s v="YK262300119"/>
    <s v="5DX1 SMT 5DX"/>
    <x v="12"/>
    <s v="1"/>
    <x v="3"/>
    <d v="2026-06-15T20:47:32"/>
    <x v="9"/>
    <x v="6"/>
    <x v="9"/>
    <m/>
    <m/>
    <m/>
  </r>
  <r>
    <s v="YK262300120"/>
    <s v="AOI1 AOI Inspect S1"/>
    <x v="13"/>
    <s v="1"/>
    <x v="3"/>
    <d v="2026-06-15T16:52:01"/>
    <x v="9"/>
    <x v="6"/>
    <x v="9"/>
    <m/>
    <m/>
    <m/>
  </r>
  <r>
    <s v="YK262300121"/>
    <s v="5DX1 SMT 5DX"/>
    <x v="12"/>
    <s v="1"/>
    <x v="3"/>
    <d v="2026-06-15T18:01:06"/>
    <x v="9"/>
    <x v="6"/>
    <x v="9"/>
    <m/>
    <m/>
    <m/>
  </r>
  <r>
    <s v="YK262300122"/>
    <s v="5DX1 SMT 5DX"/>
    <x v="12"/>
    <s v="1"/>
    <x v="3"/>
    <d v="2026-06-17T11:55:30"/>
    <x v="9"/>
    <x v="6"/>
    <x v="9"/>
    <m/>
    <m/>
    <m/>
  </r>
  <r>
    <s v="YK262300123"/>
    <s v="5DX1 SMT 5DX"/>
    <x v="12"/>
    <s v="1"/>
    <x v="3"/>
    <d v="2026-06-16T14:33:03"/>
    <x v="9"/>
    <x v="6"/>
    <x v="9"/>
    <m/>
    <m/>
    <m/>
  </r>
  <r>
    <s v="YK262300124"/>
    <s v="5DX1 SMT 5DX"/>
    <x v="12"/>
    <s v="1"/>
    <x v="3"/>
    <d v="2026-06-17T12:07:14"/>
    <x v="9"/>
    <x v="6"/>
    <x v="9"/>
    <m/>
    <m/>
    <m/>
  </r>
  <r>
    <s v="YK262300125"/>
    <s v="5DX1 SMT 5DX"/>
    <x v="12"/>
    <s v="1"/>
    <x v="3"/>
    <d v="2026-06-16T14:57:48"/>
    <x v="9"/>
    <x v="6"/>
    <x v="9"/>
    <m/>
    <m/>
    <m/>
  </r>
  <r>
    <s v="YK262300126"/>
    <s v="5DX1 SMT 5DX"/>
    <x v="12"/>
    <s v="1"/>
    <x v="3"/>
    <d v="2026-06-16T14:57:42"/>
    <x v="9"/>
    <x v="6"/>
    <x v="9"/>
    <m/>
    <m/>
    <m/>
  </r>
  <r>
    <s v="YK262300127"/>
    <s v="5DX1 SMT 5DX"/>
    <x v="12"/>
    <s v="1"/>
    <x v="3"/>
    <d v="2026-06-16T14:57:58"/>
    <x v="9"/>
    <x v="6"/>
    <x v="9"/>
    <m/>
    <m/>
    <m/>
  </r>
  <r>
    <s v="YK262300128"/>
    <s v="5DX1 SMT 5DX"/>
    <x v="12"/>
    <s v="1"/>
    <x v="3"/>
    <d v="2026-06-17T11:32:32"/>
    <x v="9"/>
    <x v="6"/>
    <x v="9"/>
    <m/>
    <m/>
    <m/>
  </r>
  <r>
    <s v="YK262300129"/>
    <s v="5DX1 SMT 5DX"/>
    <x v="12"/>
    <s v="1"/>
    <x v="3"/>
    <d v="2026-06-16T14:59:19"/>
    <x v="9"/>
    <x v="6"/>
    <x v="9"/>
    <m/>
    <m/>
    <m/>
  </r>
  <r>
    <s v="YK262300130"/>
    <s v="5DX1 SMT 5DX"/>
    <x v="12"/>
    <s v="1"/>
    <x v="3"/>
    <d v="2026-06-17T11:44:00"/>
    <x v="9"/>
    <x v="6"/>
    <x v="9"/>
    <m/>
    <m/>
    <m/>
  </r>
  <r>
    <s v="YK262300131"/>
    <s v="5DX1 SMT 5DX"/>
    <x v="12"/>
    <s v="1"/>
    <x v="3"/>
    <d v="2026-06-16T15:24:07"/>
    <x v="9"/>
    <x v="6"/>
    <x v="9"/>
    <m/>
    <m/>
    <m/>
  </r>
  <r>
    <s v="YK262300132"/>
    <s v="5DX1 SMT 5DX"/>
    <x v="12"/>
    <s v="1"/>
    <x v="3"/>
    <d v="2026-06-15T21:32:04"/>
    <x v="9"/>
    <x v="6"/>
    <x v="9"/>
    <m/>
    <m/>
    <m/>
  </r>
  <r>
    <s v="YK262300133"/>
    <s v="5DX1 SMT 5DX"/>
    <x v="12"/>
    <s v="1"/>
    <x v="3"/>
    <d v="2026-06-17T11:53:06"/>
    <x v="9"/>
    <x v="6"/>
    <x v="9"/>
    <m/>
    <m/>
    <m/>
  </r>
  <r>
    <s v="YK262300134"/>
    <s v="5DX1 SMT 5DX"/>
    <x v="12"/>
    <s v="1"/>
    <x v="3"/>
    <d v="2026-06-15T22:01:49"/>
    <x v="9"/>
    <x v="6"/>
    <x v="9"/>
    <m/>
    <m/>
    <m/>
  </r>
  <r>
    <s v="YK262300135"/>
    <s v="5DX1 SMT 5DX"/>
    <x v="12"/>
    <s v="1"/>
    <x v="3"/>
    <d v="2026-06-15T22:07:39"/>
    <x v="9"/>
    <x v="6"/>
    <x v="9"/>
    <m/>
    <m/>
    <m/>
  </r>
  <r>
    <s v="YK262300136"/>
    <s v="AOI1 AOI Inspect S1"/>
    <x v="13"/>
    <s v="1"/>
    <x v="3"/>
    <d v="2026-06-15T20:41:51"/>
    <x v="9"/>
    <x v="6"/>
    <x v="9"/>
    <m/>
    <m/>
    <m/>
  </r>
  <r>
    <s v="YK262300137"/>
    <s v="5DX1 SMT 5DX"/>
    <x v="12"/>
    <s v="1"/>
    <x v="3"/>
    <d v="2026-06-15T21:21:18"/>
    <x v="9"/>
    <x v="6"/>
    <x v="9"/>
    <m/>
    <m/>
    <m/>
  </r>
  <r>
    <s v="YK262300138"/>
    <s v="5DX1 SMT 5DX"/>
    <x v="12"/>
    <s v="1"/>
    <x v="3"/>
    <d v="2026-06-15T21:17:32"/>
    <x v="9"/>
    <x v="6"/>
    <x v="9"/>
    <m/>
    <m/>
    <m/>
  </r>
  <r>
    <s v="YK262300139"/>
    <s v="5DX1 SMT 5DX"/>
    <x v="12"/>
    <s v="1"/>
    <x v="3"/>
    <d v="2026-06-15T21:24:45"/>
    <x v="9"/>
    <x v="6"/>
    <x v="9"/>
    <m/>
    <m/>
    <m/>
  </r>
  <r>
    <s v="YK262300140"/>
    <s v="5DX1 SMT 5DX"/>
    <x v="12"/>
    <s v="1"/>
    <x v="3"/>
    <d v="2026-06-15T21:28:23"/>
    <x v="9"/>
    <x v="6"/>
    <x v="9"/>
    <m/>
    <m/>
    <m/>
  </r>
  <r>
    <s v="YK262300141"/>
    <s v="5DX1 SMT 5DX"/>
    <x v="12"/>
    <s v="1"/>
    <x v="3"/>
    <d v="2026-06-15T21:14:21"/>
    <x v="9"/>
    <x v="6"/>
    <x v="9"/>
    <m/>
    <m/>
    <m/>
  </r>
  <r>
    <s v="YK262300142"/>
    <s v="5DX1 SMT 5DX"/>
    <x v="12"/>
    <s v="1"/>
    <x v="3"/>
    <d v="2026-06-16T17:06:58"/>
    <x v="9"/>
    <x v="6"/>
    <x v="9"/>
    <m/>
    <m/>
    <m/>
  </r>
  <r>
    <s v="YK262300143"/>
    <s v="AOI1 AOI Inspect S1"/>
    <x v="13"/>
    <s v="1"/>
    <x v="3"/>
    <d v="2026-06-16T16:58:53"/>
    <x v="9"/>
    <x v="6"/>
    <x v="9"/>
    <m/>
    <m/>
    <m/>
  </r>
  <r>
    <s v="YK262300144"/>
    <s v="AOI1 AOI Inspect S1"/>
    <x v="13"/>
    <s v="1"/>
    <x v="3"/>
    <d v="2026-06-16T14:33:55"/>
    <x v="9"/>
    <x v="6"/>
    <x v="9"/>
    <m/>
    <m/>
    <m/>
  </r>
  <r>
    <s v="YK262300145"/>
    <s v="5DX1 SMT 5DX"/>
    <x v="12"/>
    <s v="1"/>
    <x v="3"/>
    <d v="2026-06-16T17:03:36"/>
    <x v="9"/>
    <x v="6"/>
    <x v="9"/>
    <m/>
    <m/>
    <m/>
  </r>
  <r>
    <s v="YK262300146"/>
    <s v="5DX1 SMT 5DX"/>
    <x v="12"/>
    <s v="1"/>
    <x v="3"/>
    <d v="2026-06-16T16:33:39"/>
    <x v="9"/>
    <x v="6"/>
    <x v="9"/>
    <m/>
    <m/>
    <m/>
  </r>
  <r>
    <s v="YK262300147"/>
    <s v="5DX1 SMT 5DX"/>
    <x v="12"/>
    <s v="1"/>
    <x v="3"/>
    <d v="2026-06-16T16:11:12"/>
    <x v="9"/>
    <x v="6"/>
    <x v="9"/>
    <m/>
    <m/>
    <m/>
  </r>
  <r>
    <s v="YK262300148"/>
    <s v="5DX1 SMT 5DX"/>
    <x v="12"/>
    <s v="1"/>
    <x v="3"/>
    <d v="2026-06-17T11:37:57"/>
    <x v="9"/>
    <x v="6"/>
    <x v="9"/>
    <m/>
    <m/>
    <m/>
  </r>
  <r>
    <s v="YK262300149"/>
    <s v="5DX1 SMT 5DX"/>
    <x v="12"/>
    <s v="1"/>
    <x v="3"/>
    <d v="2026-06-17T11:35:47"/>
    <x v="9"/>
    <x v="6"/>
    <x v="9"/>
    <m/>
    <m/>
    <m/>
  </r>
  <r>
    <s v="YK262300150"/>
    <s v="5DX1 SMT 5DX"/>
    <x v="12"/>
    <s v="1"/>
    <x v="3"/>
    <d v="2026-06-16T15:27:29"/>
    <x v="9"/>
    <x v="6"/>
    <x v="9"/>
    <m/>
    <m/>
    <m/>
  </r>
  <r>
    <s v="YK262300151"/>
    <s v="5DX1 SMT 5DX"/>
    <x v="12"/>
    <s v="1"/>
    <x v="3"/>
    <d v="2026-06-16T15:21:53"/>
    <x v="9"/>
    <x v="6"/>
    <x v="9"/>
    <m/>
    <m/>
    <m/>
  </r>
  <r>
    <s v="YK262300152"/>
    <s v="5DX1 SMT 5DX"/>
    <x v="12"/>
    <s v="1"/>
    <x v="3"/>
    <d v="2026-06-16T08:09:18"/>
    <x v="9"/>
    <x v="6"/>
    <x v="9"/>
    <m/>
    <m/>
    <m/>
  </r>
  <r>
    <s v="YK262300153"/>
    <s v="5DX1 SMT 5DX"/>
    <x v="12"/>
    <s v="1"/>
    <x v="3"/>
    <d v="2026-06-16T08:04:17"/>
    <x v="9"/>
    <x v="6"/>
    <x v="9"/>
    <m/>
    <m/>
    <m/>
  </r>
  <r>
    <s v="YK262300154"/>
    <s v="5DX1 SMT 5DX"/>
    <x v="12"/>
    <s v="1"/>
    <x v="3"/>
    <d v="2026-06-16T08:01:55"/>
    <x v="9"/>
    <x v="6"/>
    <x v="9"/>
    <m/>
    <m/>
    <m/>
  </r>
  <r>
    <s v="YK262300155"/>
    <s v="NOT-IN-PROCESS"/>
    <x v="0"/>
    <s v="1"/>
    <x v="7"/>
    <d v="2026-06-01T11:08:40"/>
    <x v="9"/>
    <x v="6"/>
    <x v="9"/>
    <m/>
    <m/>
    <m/>
  </r>
  <r>
    <s v="YK262300156"/>
    <s v="NOT-IN-PROCESS"/>
    <x v="0"/>
    <s v="1"/>
    <x v="7"/>
    <d v="2026-06-01T11:08:40"/>
    <x v="9"/>
    <x v="6"/>
    <x v="9"/>
    <m/>
    <m/>
    <m/>
  </r>
  <r>
    <s v="YK262300157"/>
    <s v="NOT-IN-PROCESS"/>
    <x v="0"/>
    <s v="1"/>
    <x v="7"/>
    <d v="2026-06-01T11:08:40"/>
    <x v="9"/>
    <x v="6"/>
    <x v="9"/>
    <m/>
    <m/>
    <m/>
  </r>
  <r>
    <s v="YK262300158"/>
    <s v="NOT-IN-PROCESS"/>
    <x v="0"/>
    <s v="1"/>
    <x v="7"/>
    <d v="2026-06-01T11:08:40"/>
    <x v="9"/>
    <x v="6"/>
    <x v="9"/>
    <m/>
    <m/>
    <m/>
  </r>
  <r>
    <s v="YK262300159"/>
    <s v="NOT-IN-PROCESS"/>
    <x v="0"/>
    <s v="1"/>
    <x v="7"/>
    <d v="2026-06-01T11:08:40"/>
    <x v="9"/>
    <x v="6"/>
    <x v="9"/>
    <m/>
    <m/>
    <m/>
  </r>
  <r>
    <s v="YK262300160"/>
    <s v="NOT-IN-PROCESS"/>
    <x v="0"/>
    <s v="1"/>
    <x v="7"/>
    <d v="2026-06-01T11:08:40"/>
    <x v="9"/>
    <x v="6"/>
    <x v="9"/>
    <m/>
    <m/>
    <m/>
  </r>
  <r>
    <s v="YK262300161"/>
    <s v="NOT-IN-PROCESS"/>
    <x v="0"/>
    <s v="1"/>
    <x v="7"/>
    <d v="2026-06-01T11:08:40"/>
    <x v="9"/>
    <x v="6"/>
    <x v="9"/>
    <m/>
    <m/>
    <m/>
  </r>
  <r>
    <s v="YK262300162"/>
    <s v="NOT-IN-PROCESS"/>
    <x v="0"/>
    <s v="1"/>
    <x v="7"/>
    <d v="2026-06-01T11:08:40"/>
    <x v="9"/>
    <x v="6"/>
    <x v="9"/>
    <m/>
    <m/>
    <m/>
  </r>
  <r>
    <s v="YK262300163"/>
    <s v="NOT-IN-PROCESS"/>
    <x v="0"/>
    <s v="1"/>
    <x v="7"/>
    <d v="2026-06-01T11:08:40"/>
    <x v="9"/>
    <x v="6"/>
    <x v="9"/>
    <m/>
    <m/>
    <m/>
  </r>
  <r>
    <s v="YK262300164"/>
    <s v="NOT-IN-PROCESS"/>
    <x v="0"/>
    <s v="1"/>
    <x v="7"/>
    <d v="2026-06-01T11:08:40"/>
    <x v="9"/>
    <x v="6"/>
    <x v="9"/>
    <m/>
    <m/>
    <m/>
  </r>
  <r>
    <s v="YK262300165"/>
    <s v="NOT-IN-PROCESS"/>
    <x v="0"/>
    <s v="1"/>
    <x v="7"/>
    <d v="2026-06-01T11:08:40"/>
    <x v="9"/>
    <x v="6"/>
    <x v="9"/>
    <m/>
    <m/>
    <m/>
  </r>
  <r>
    <s v="YK262300166"/>
    <s v="NOT-IN-PROCESS"/>
    <x v="0"/>
    <s v="1"/>
    <x v="7"/>
    <d v="2026-06-01T11:08:40"/>
    <x v="9"/>
    <x v="6"/>
    <x v="9"/>
    <m/>
    <m/>
    <m/>
  </r>
  <r>
    <s v="YK262300167"/>
    <s v="NOT-IN-PROCESS"/>
    <x v="0"/>
    <s v="1"/>
    <x v="7"/>
    <d v="2026-06-01T11:08:40"/>
    <x v="9"/>
    <x v="6"/>
    <x v="9"/>
    <m/>
    <m/>
    <m/>
  </r>
  <r>
    <s v="YK262300168"/>
    <s v="NOT-IN-PROCESS"/>
    <x v="0"/>
    <s v="1"/>
    <x v="7"/>
    <d v="2026-06-01T11:08:40"/>
    <x v="9"/>
    <x v="6"/>
    <x v="9"/>
    <m/>
    <m/>
    <m/>
  </r>
  <r>
    <s v="YK262300169"/>
    <s v="NOT-IN-PROCESS"/>
    <x v="0"/>
    <s v="1"/>
    <x v="7"/>
    <d v="2026-06-01T11:08:40"/>
    <x v="9"/>
    <x v="6"/>
    <x v="9"/>
    <m/>
    <m/>
    <m/>
  </r>
  <r>
    <s v="YK262300170"/>
    <s v="NOT-IN-PROCESS"/>
    <x v="0"/>
    <s v="1"/>
    <x v="7"/>
    <d v="2026-06-01T11:08:40"/>
    <x v="9"/>
    <x v="6"/>
    <x v="9"/>
    <m/>
    <m/>
    <m/>
  </r>
  <r>
    <s v="YK262300171"/>
    <s v="NOT-IN-PROCESS"/>
    <x v="0"/>
    <s v="1"/>
    <x v="7"/>
    <d v="2026-06-01T11:08:40"/>
    <x v="9"/>
    <x v="6"/>
    <x v="9"/>
    <m/>
    <m/>
    <m/>
  </r>
  <r>
    <s v="YK262300172"/>
    <s v="NOT-IN-PROCESS"/>
    <x v="0"/>
    <s v="1"/>
    <x v="7"/>
    <d v="2026-06-01T11:08:40"/>
    <x v="9"/>
    <x v="6"/>
    <x v="9"/>
    <m/>
    <m/>
    <m/>
  </r>
  <r>
    <s v="YK262300173"/>
    <s v="NOT-IN-PROCESS"/>
    <x v="0"/>
    <s v="1"/>
    <x v="7"/>
    <d v="2026-06-01T11:08:40"/>
    <x v="9"/>
    <x v="6"/>
    <x v="9"/>
    <m/>
    <m/>
    <m/>
  </r>
  <r>
    <s v="YK262300174"/>
    <s v="NOT-IN-PROCESS"/>
    <x v="0"/>
    <s v="1"/>
    <x v="7"/>
    <d v="2026-06-01T11:08:40"/>
    <x v="9"/>
    <x v="6"/>
    <x v="9"/>
    <m/>
    <m/>
    <m/>
  </r>
  <r>
    <s v="YK262300175"/>
    <s v="NOT-IN-PROCESS"/>
    <x v="0"/>
    <s v="1"/>
    <x v="7"/>
    <d v="2026-06-01T11:08:40"/>
    <x v="9"/>
    <x v="6"/>
    <x v="9"/>
    <m/>
    <m/>
    <m/>
  </r>
  <r>
    <s v="YK262300176"/>
    <s v="NOT-IN-PROCESS"/>
    <x v="0"/>
    <s v="1"/>
    <x v="7"/>
    <d v="2026-06-01T11:08:40"/>
    <x v="9"/>
    <x v="6"/>
    <x v="9"/>
    <m/>
    <m/>
    <m/>
  </r>
  <r>
    <s v="YK262300177"/>
    <s v="NOT-IN-PROCESS"/>
    <x v="0"/>
    <s v="1"/>
    <x v="7"/>
    <d v="2026-06-01T11:08:40"/>
    <x v="9"/>
    <x v="6"/>
    <x v="9"/>
    <m/>
    <m/>
    <m/>
  </r>
  <r>
    <s v="YK262300178"/>
    <s v="NOT-IN-PROCESS"/>
    <x v="0"/>
    <s v="1"/>
    <x v="7"/>
    <d v="2026-06-01T11:08:40"/>
    <x v="9"/>
    <x v="6"/>
    <x v="9"/>
    <m/>
    <m/>
    <m/>
  </r>
  <r>
    <s v="YK262300179"/>
    <s v="NOT-IN-PROCESS"/>
    <x v="0"/>
    <s v="1"/>
    <x v="7"/>
    <d v="2026-06-01T11:08:40"/>
    <x v="9"/>
    <x v="6"/>
    <x v="9"/>
    <m/>
    <m/>
    <m/>
  </r>
  <r>
    <s v="YK262300180"/>
    <s v="NOT-IN-PROCESS"/>
    <x v="0"/>
    <s v="1"/>
    <x v="7"/>
    <d v="2026-06-01T11:08:40"/>
    <x v="9"/>
    <x v="6"/>
    <x v="9"/>
    <m/>
    <m/>
    <m/>
  </r>
  <r>
    <s v="YK262300181"/>
    <s v="NOT-IN-PROCESS"/>
    <x v="0"/>
    <s v="1"/>
    <x v="7"/>
    <d v="2026-06-01T11:08:40"/>
    <x v="9"/>
    <x v="6"/>
    <x v="9"/>
    <m/>
    <m/>
    <m/>
  </r>
  <r>
    <s v="YK262300182"/>
    <s v="NOT-IN-PROCESS"/>
    <x v="0"/>
    <s v="1"/>
    <x v="7"/>
    <d v="2026-06-01T11:08:40"/>
    <x v="9"/>
    <x v="6"/>
    <x v="9"/>
    <m/>
    <m/>
    <m/>
  </r>
  <r>
    <s v="YK262300183"/>
    <s v="NOT-IN-PROCESS"/>
    <x v="0"/>
    <s v="1"/>
    <x v="7"/>
    <d v="2026-06-01T11:08:40"/>
    <x v="9"/>
    <x v="6"/>
    <x v="9"/>
    <m/>
    <m/>
    <m/>
  </r>
  <r>
    <s v="YK262300184"/>
    <s v="NOT-IN-PROCESS"/>
    <x v="0"/>
    <s v="1"/>
    <x v="7"/>
    <d v="2026-06-01T11:08:40"/>
    <x v="9"/>
    <x v="6"/>
    <x v="9"/>
    <m/>
    <m/>
    <m/>
  </r>
  <r>
    <s v="YK262300185"/>
    <s v="NOT-IN-PROCESS"/>
    <x v="0"/>
    <s v="1"/>
    <x v="7"/>
    <d v="2026-06-01T11:08:40"/>
    <x v="9"/>
    <x v="6"/>
    <x v="9"/>
    <m/>
    <m/>
    <m/>
  </r>
  <r>
    <s v="YK262300186"/>
    <s v="NOT-IN-PROCESS"/>
    <x v="0"/>
    <s v="1"/>
    <x v="7"/>
    <d v="2026-06-01T11:08:40"/>
    <x v="9"/>
    <x v="6"/>
    <x v="9"/>
    <m/>
    <m/>
    <m/>
  </r>
  <r>
    <s v="YK262300187"/>
    <s v="NOT-IN-PROCESS"/>
    <x v="0"/>
    <s v="1"/>
    <x v="7"/>
    <d v="2026-06-01T11:08:40"/>
    <x v="9"/>
    <x v="6"/>
    <x v="9"/>
    <m/>
    <m/>
    <m/>
  </r>
  <r>
    <s v="YK262300188"/>
    <s v="NOT-IN-PROCESS"/>
    <x v="0"/>
    <s v="1"/>
    <x v="7"/>
    <d v="2026-06-01T11:08:40"/>
    <x v="9"/>
    <x v="6"/>
    <x v="9"/>
    <m/>
    <m/>
    <m/>
  </r>
  <r>
    <s v="YK261802245"/>
    <s v="SHIP Shipping"/>
    <x v="1"/>
    <s v="1"/>
    <x v="1"/>
    <d v="2026-06-10T09:06:50"/>
    <x v="10"/>
    <x v="5"/>
    <x v="10"/>
    <m/>
    <m/>
    <m/>
  </r>
  <r>
    <s v="YK261802246"/>
    <s v="SHIP Shipping"/>
    <x v="1"/>
    <s v="1"/>
    <x v="1"/>
    <d v="2026-06-10T07:55:59"/>
    <x v="10"/>
    <x v="5"/>
    <x v="10"/>
    <m/>
    <d v="2026-05-13T00:00:00"/>
    <m/>
  </r>
  <r>
    <s v="YK261802247"/>
    <s v="SHIP Shipping"/>
    <x v="1"/>
    <s v="1"/>
    <x v="1"/>
    <d v="2026-06-10T07:54:26"/>
    <x v="10"/>
    <x v="5"/>
    <x v="10"/>
    <m/>
    <d v="2026-05-13T00:00:00"/>
    <m/>
  </r>
  <r>
    <s v="YK261802248"/>
    <s v="NOT-IN-PROCESS"/>
    <x v="0"/>
    <s v="1"/>
    <x v="0"/>
    <d v="2026-05-27T13:08:31"/>
    <x v="10"/>
    <x v="5"/>
    <x v="10"/>
    <m/>
    <m/>
    <m/>
  </r>
  <r>
    <s v="YK261802249"/>
    <s v="SHIP Shipping"/>
    <x v="1"/>
    <s v="1"/>
    <x v="1"/>
    <d v="2026-06-10T07:56:57"/>
    <x v="10"/>
    <x v="5"/>
    <x v="10"/>
    <m/>
    <d v="2026-05-13T00:00:00"/>
    <m/>
  </r>
  <r>
    <s v="YK261802250"/>
    <s v="SHIP Shipping"/>
    <x v="1"/>
    <s v="1"/>
    <x v="1"/>
    <d v="2026-06-10T08:20:36"/>
    <x v="10"/>
    <x v="5"/>
    <x v="10"/>
    <m/>
    <d v="2026-05-13T00:00:00"/>
    <m/>
  </r>
  <r>
    <s v="YK261802251"/>
    <s v="NOT-IN-PROCESS"/>
    <x v="0"/>
    <s v="1"/>
    <x v="0"/>
    <d v="2026-06-01T10:13:49"/>
    <x v="10"/>
    <x v="5"/>
    <x v="10"/>
    <m/>
    <m/>
    <m/>
  </r>
  <r>
    <s v="YK261802252"/>
    <s v="NOT-IN-PROCESS"/>
    <x v="0"/>
    <s v="1"/>
    <x v="0"/>
    <d v="2026-05-27T09:14:04"/>
    <x v="10"/>
    <x v="5"/>
    <x v="10"/>
    <m/>
    <m/>
    <m/>
  </r>
  <r>
    <s v="YK261802253"/>
    <s v="NOT-IN-PROCESS"/>
    <x v="0"/>
    <s v="1"/>
    <x v="0"/>
    <d v="2026-05-28T11:54:28"/>
    <x v="10"/>
    <x v="5"/>
    <x v="10"/>
    <m/>
    <m/>
    <m/>
  </r>
  <r>
    <s v="YK261802254"/>
    <s v="SHIP Shipping"/>
    <x v="1"/>
    <s v="1"/>
    <x v="1"/>
    <d v="2026-06-10T08:21:54"/>
    <x v="10"/>
    <x v="5"/>
    <x v="10"/>
    <m/>
    <d v="2026-05-13T00:00:00"/>
    <m/>
  </r>
  <r>
    <s v="YK261802255"/>
    <s v="SHIP Shipping"/>
    <x v="1"/>
    <s v="1"/>
    <x v="1"/>
    <d v="2026-05-08T11:53:56"/>
    <x v="10"/>
    <x v="5"/>
    <x v="10"/>
    <m/>
    <d v="2026-05-08T00:00:00"/>
    <m/>
  </r>
  <r>
    <s v="YK261802256"/>
    <s v="NOT-IN-PROCESS"/>
    <x v="0"/>
    <s v="1"/>
    <x v="0"/>
    <d v="2026-05-27T13:07:33"/>
    <x v="10"/>
    <x v="5"/>
    <x v="10"/>
    <m/>
    <m/>
    <m/>
  </r>
  <r>
    <s v="YK261802257"/>
    <s v="NOT-IN-PROCESS"/>
    <x v="0"/>
    <s v="1"/>
    <x v="0"/>
    <d v="2026-06-01T10:14:03"/>
    <x v="10"/>
    <x v="5"/>
    <x v="10"/>
    <m/>
    <m/>
    <m/>
  </r>
  <r>
    <s v="YK261802258"/>
    <s v="NOT-IN-PROCESS"/>
    <x v="0"/>
    <s v="1"/>
    <x v="0"/>
    <d v="2026-06-01T10:13:30"/>
    <x v="10"/>
    <x v="5"/>
    <x v="10"/>
    <m/>
    <m/>
    <m/>
  </r>
  <r>
    <s v="YK261802259"/>
    <s v="NOT-IN-PROCESS"/>
    <x v="0"/>
    <s v="1"/>
    <x v="0"/>
    <d v="2026-06-01T10:13:54"/>
    <x v="10"/>
    <x v="5"/>
    <x v="10"/>
    <m/>
    <m/>
    <m/>
  </r>
  <r>
    <s v="YK261802260"/>
    <s v="SHIP Shipping"/>
    <x v="1"/>
    <s v="1"/>
    <x v="1"/>
    <d v="2026-05-08T07:43:37"/>
    <x v="10"/>
    <x v="5"/>
    <x v="10"/>
    <m/>
    <d v="2026-05-08T00:00:00"/>
    <m/>
  </r>
  <r>
    <s v="YK261802261"/>
    <s v="SHIP Shipping"/>
    <x v="1"/>
    <s v="1"/>
    <x v="1"/>
    <d v="2026-05-08T07:45:03"/>
    <x v="10"/>
    <x v="5"/>
    <x v="10"/>
    <m/>
    <d v="2026-05-08T00:00:00"/>
    <m/>
  </r>
  <r>
    <s v="YK261802262"/>
    <s v="NOT-IN-PROCESS"/>
    <x v="0"/>
    <s v="1"/>
    <x v="0"/>
    <d v="2026-05-27T13:07:52"/>
    <x v="10"/>
    <x v="5"/>
    <x v="10"/>
    <m/>
    <m/>
    <m/>
  </r>
  <r>
    <s v="YK261802263"/>
    <s v="NOT-IN-PROCESS"/>
    <x v="0"/>
    <s v="1"/>
    <x v="0"/>
    <d v="2026-05-27T13:08:14"/>
    <x v="10"/>
    <x v="5"/>
    <x v="10"/>
    <m/>
    <m/>
    <m/>
  </r>
  <r>
    <s v="YK261802264"/>
    <s v="NOT-IN-PROCESS"/>
    <x v="0"/>
    <s v="1"/>
    <x v="0"/>
    <d v="2026-05-28T11:55:15"/>
    <x v="10"/>
    <x v="5"/>
    <x v="10"/>
    <m/>
    <m/>
    <m/>
  </r>
  <r>
    <s v="YK261802265"/>
    <s v="NOT-IN-PROCESS"/>
    <x v="0"/>
    <s v="1"/>
    <x v="0"/>
    <d v="2026-05-28T11:54:43"/>
    <x v="10"/>
    <x v="5"/>
    <x v="10"/>
    <m/>
    <m/>
    <m/>
  </r>
  <r>
    <s v="YK261802266"/>
    <s v="SHIP Shipping"/>
    <x v="1"/>
    <s v="1"/>
    <x v="1"/>
    <d v="2026-06-10T08:23:21"/>
    <x v="10"/>
    <x v="5"/>
    <x v="10"/>
    <m/>
    <d v="2026-05-13T00:00:00"/>
    <m/>
  </r>
  <r>
    <s v="YK261802267"/>
    <s v="NOT-IN-PROCESS"/>
    <x v="0"/>
    <s v="1"/>
    <x v="0"/>
    <d v="2026-05-28T07:35:21"/>
    <x v="10"/>
    <x v="5"/>
    <x v="10"/>
    <m/>
    <m/>
    <m/>
  </r>
  <r>
    <s v="YK261802268"/>
    <s v="NOT-IN-PROCESS"/>
    <x v="0"/>
    <s v="1"/>
    <x v="0"/>
    <d v="2026-05-27T12:01:42"/>
    <x v="10"/>
    <x v="5"/>
    <x v="10"/>
    <m/>
    <m/>
    <m/>
  </r>
  <r>
    <s v="YK261802269"/>
    <s v="NOT-IN-PROCESS"/>
    <x v="0"/>
    <s v="1"/>
    <x v="0"/>
    <d v="2026-05-27T11:59:59"/>
    <x v="10"/>
    <x v="5"/>
    <x v="10"/>
    <m/>
    <m/>
    <m/>
  </r>
  <r>
    <s v="YK261802270"/>
    <s v="SHIP Shipping"/>
    <x v="1"/>
    <s v="1"/>
    <x v="1"/>
    <d v="2026-06-10T08:26:11"/>
    <x v="10"/>
    <x v="5"/>
    <x v="10"/>
    <m/>
    <d v="2026-05-13T00:00:00"/>
    <m/>
  </r>
  <r>
    <s v="YK261802271"/>
    <s v="NOT-IN-PROCESS"/>
    <x v="0"/>
    <s v="1"/>
    <x v="0"/>
    <d v="2026-05-28T09:00:48"/>
    <x v="10"/>
    <x v="5"/>
    <x v="10"/>
    <m/>
    <m/>
    <m/>
  </r>
  <r>
    <s v="YK261802272"/>
    <s v="SHIP Shipping"/>
    <x v="1"/>
    <s v="1"/>
    <x v="1"/>
    <d v="2026-06-10T08:27:00"/>
    <x v="10"/>
    <x v="5"/>
    <x v="10"/>
    <m/>
    <d v="2026-05-13T00:00:00"/>
    <m/>
  </r>
  <r>
    <s v="YK261802273"/>
    <s v="NOT-IN-PROCESS"/>
    <x v="0"/>
    <s v="1"/>
    <x v="0"/>
    <d v="2026-05-28T09:00:48"/>
    <x v="10"/>
    <x v="5"/>
    <x v="10"/>
    <m/>
    <m/>
    <m/>
  </r>
  <r>
    <s v="YK261802274"/>
    <s v="SHIP Shipping"/>
    <x v="1"/>
    <s v="1"/>
    <x v="1"/>
    <d v="2026-06-10T08:27:41"/>
    <x v="10"/>
    <x v="5"/>
    <x v="10"/>
    <m/>
    <d v="2026-05-13T00:00:00"/>
    <m/>
  </r>
  <r>
    <s v="YK261802275"/>
    <s v="SHIP Shipping"/>
    <x v="1"/>
    <s v="1"/>
    <x v="1"/>
    <d v="2026-06-10T08:30:04"/>
    <x v="10"/>
    <x v="5"/>
    <x v="10"/>
    <m/>
    <d v="2026-05-13T00:00:00"/>
    <m/>
  </r>
  <r>
    <s v="YK261802276"/>
    <s v="NOT-IN-PROCESS"/>
    <x v="0"/>
    <s v="1"/>
    <x v="0"/>
    <d v="2026-05-27T09:15:00"/>
    <x v="10"/>
    <x v="5"/>
    <x v="10"/>
    <m/>
    <m/>
    <m/>
  </r>
  <r>
    <s v="YK261802277"/>
    <s v="NOT-IN-PROCESS"/>
    <x v="0"/>
    <s v="1"/>
    <x v="0"/>
    <d v="2026-05-28T11:26:29"/>
    <x v="10"/>
    <x v="5"/>
    <x v="10"/>
    <s v="Update to shipped"/>
    <d v="2026-05-13T00:00:00"/>
    <m/>
  </r>
  <r>
    <s v="YK261802278"/>
    <s v="NOT-IN-PROCESS"/>
    <x v="0"/>
    <s v="1"/>
    <x v="0"/>
    <d v="2026-05-27T09:21:22"/>
    <x v="10"/>
    <x v="5"/>
    <x v="10"/>
    <m/>
    <m/>
    <m/>
  </r>
  <r>
    <s v="YK261802279"/>
    <s v="SHIP Shipping"/>
    <x v="1"/>
    <s v="1"/>
    <x v="1"/>
    <d v="2026-06-10T08:30:59"/>
    <x v="10"/>
    <x v="5"/>
    <x v="10"/>
    <m/>
    <d v="2026-05-13T00:00:00"/>
    <m/>
  </r>
  <r>
    <s v="YK261802280"/>
    <s v="NOT-IN-PROCESS"/>
    <x v="0"/>
    <s v="1"/>
    <x v="0"/>
    <d v="2026-05-27T12:00:23"/>
    <x v="10"/>
    <x v="5"/>
    <x v="10"/>
    <m/>
    <m/>
    <m/>
  </r>
  <r>
    <s v="YK261802281"/>
    <s v="NOT-IN-PROCESS"/>
    <x v="0"/>
    <s v="1"/>
    <x v="0"/>
    <d v="2026-05-27T09:20:22"/>
    <x v="10"/>
    <x v="5"/>
    <x v="10"/>
    <m/>
    <m/>
    <m/>
  </r>
  <r>
    <s v="YK261802282"/>
    <s v="NOT-IN-PROCESS"/>
    <x v="0"/>
    <s v="1"/>
    <x v="0"/>
    <d v="2026-05-27T09:20:37"/>
    <x v="10"/>
    <x v="5"/>
    <x v="10"/>
    <m/>
    <m/>
    <m/>
  </r>
  <r>
    <s v="YK261802283"/>
    <s v="NOT-IN-PROCESS"/>
    <x v="0"/>
    <s v="1"/>
    <x v="0"/>
    <d v="2026-05-28T11:27:01"/>
    <x v="10"/>
    <x v="5"/>
    <x v="10"/>
    <m/>
    <m/>
    <m/>
  </r>
  <r>
    <s v="YK261802284"/>
    <s v="NOT-IN-PROCESS"/>
    <x v="0"/>
    <s v="1"/>
    <x v="0"/>
    <d v="2026-05-27T09:14:44"/>
    <x v="10"/>
    <x v="5"/>
    <x v="10"/>
    <m/>
    <m/>
    <m/>
  </r>
  <r>
    <s v="YK261802285"/>
    <s v="NOT-IN-PROCESS"/>
    <x v="0"/>
    <s v="1"/>
    <x v="0"/>
    <d v="2026-05-27T09:13:13"/>
    <x v="10"/>
    <x v="5"/>
    <x v="10"/>
    <m/>
    <m/>
    <m/>
  </r>
  <r>
    <s v="YK261802286"/>
    <s v="NOT-IN-PROCESS"/>
    <x v="0"/>
    <s v="1"/>
    <x v="0"/>
    <d v="2026-05-27T09:13:38"/>
    <x v="10"/>
    <x v="5"/>
    <x v="10"/>
    <m/>
    <m/>
    <m/>
  </r>
  <r>
    <s v="YK261802287"/>
    <s v="NOT-IN-PROCESS"/>
    <x v="0"/>
    <s v="1"/>
    <x v="0"/>
    <d v="2026-05-28T07:34:56"/>
    <x v="10"/>
    <x v="5"/>
    <x v="10"/>
    <m/>
    <m/>
    <m/>
  </r>
  <r>
    <s v="YK261802288"/>
    <s v="NOT-IN-PROCESS"/>
    <x v="0"/>
    <s v="1"/>
    <x v="0"/>
    <d v="2026-05-28T11:27:12"/>
    <x v="10"/>
    <x v="5"/>
    <x v="10"/>
    <m/>
    <m/>
    <m/>
  </r>
  <r>
    <s v="YK261802289"/>
    <s v="NOT-IN-PROCESS"/>
    <x v="0"/>
    <s v="1"/>
    <x v="0"/>
    <d v="2026-05-28T07:57:03"/>
    <x v="10"/>
    <x v="5"/>
    <x v="10"/>
    <m/>
    <m/>
    <m/>
  </r>
  <r>
    <s v="YK261802290"/>
    <s v="NOT-IN-PROCESS"/>
    <x v="0"/>
    <s v="1"/>
    <x v="0"/>
    <d v="2026-05-27T09:20:58"/>
    <x v="10"/>
    <x v="5"/>
    <x v="10"/>
    <m/>
    <m/>
    <m/>
  </r>
  <r>
    <s v="YK261802291"/>
    <s v="NOT-IN-PROCESS"/>
    <x v="0"/>
    <s v="1"/>
    <x v="0"/>
    <d v="2026-05-27T09:14:02"/>
    <x v="10"/>
    <x v="5"/>
    <x v="10"/>
    <m/>
    <m/>
    <m/>
  </r>
  <r>
    <s v="YK261802292"/>
    <s v="NOT-IN-PROCESS"/>
    <x v="0"/>
    <s v="1"/>
    <x v="0"/>
    <d v="2026-05-28T07:36:05"/>
    <x v="10"/>
    <x v="5"/>
    <x v="10"/>
    <m/>
    <m/>
    <m/>
  </r>
  <r>
    <s v="YK261802293"/>
    <s v="NOT-IN-PROCESS"/>
    <x v="0"/>
    <s v="1"/>
    <x v="0"/>
    <d v="2026-05-28T07:49:11"/>
    <x v="10"/>
    <x v="5"/>
    <x v="10"/>
    <m/>
    <m/>
    <m/>
  </r>
  <r>
    <s v="YK261802294"/>
    <s v="NOT-IN-PROCESS"/>
    <x v="0"/>
    <s v="1"/>
    <x v="0"/>
    <d v="2026-05-28T11:26:44"/>
    <x v="10"/>
    <x v="5"/>
    <x v="10"/>
    <m/>
    <m/>
    <m/>
  </r>
  <r>
    <s v="YK261802295"/>
    <s v="NOT-IN-PROCESS"/>
    <x v="0"/>
    <s v="1"/>
    <x v="0"/>
    <d v="2026-05-28T11:54:58"/>
    <x v="10"/>
    <x v="5"/>
    <x v="10"/>
    <m/>
    <m/>
    <m/>
  </r>
  <r>
    <s v="YK261802296"/>
    <s v="NOT-IN-PROCESS"/>
    <x v="0"/>
    <s v="1"/>
    <x v="0"/>
    <d v="2026-05-28T09:00:47"/>
    <x v="10"/>
    <x v="5"/>
    <x v="10"/>
    <m/>
    <m/>
    <m/>
  </r>
  <r>
    <s v="YK261802297"/>
    <s v="NOT-IN-PROCESS"/>
    <x v="0"/>
    <s v="1"/>
    <x v="0"/>
    <d v="2026-05-27T09:14:23"/>
    <x v="10"/>
    <x v="5"/>
    <x v="10"/>
    <m/>
    <m/>
    <m/>
  </r>
  <r>
    <s v="YK261802298"/>
    <s v="NOT-IN-PROCESS"/>
    <x v="0"/>
    <s v="1"/>
    <x v="0"/>
    <d v="2026-05-28T09:00:31"/>
    <x v="10"/>
    <x v="5"/>
    <x v="10"/>
    <m/>
    <m/>
    <m/>
  </r>
  <r>
    <s v="YK261802299"/>
    <s v="NOT-IN-PROCESS"/>
    <x v="0"/>
    <s v="1"/>
    <x v="0"/>
    <d v="2026-05-28T07:35:39"/>
    <x v="10"/>
    <x v="5"/>
    <x v="10"/>
    <m/>
    <m/>
    <m/>
  </r>
  <r>
    <s v="YK261802300"/>
    <s v="NOT-IN-PROCESS"/>
    <x v="0"/>
    <s v="1"/>
    <x v="0"/>
    <d v="2026-05-27T09:14:41"/>
    <x v="10"/>
    <x v="5"/>
    <x v="10"/>
    <m/>
    <m/>
    <m/>
  </r>
  <r>
    <s v="YK261802301"/>
    <s v="NOT-IN-PROCESS"/>
    <x v="0"/>
    <s v="1"/>
    <x v="0"/>
    <d v="2026-05-28T07:48:54"/>
    <x v="10"/>
    <x v="5"/>
    <x v="10"/>
    <m/>
    <m/>
    <m/>
  </r>
  <r>
    <s v="YK261802302"/>
    <s v="NOT-IN-PROCESS"/>
    <x v="0"/>
    <s v="1"/>
    <x v="0"/>
    <d v="2026-05-28T07:49:49"/>
    <x v="10"/>
    <x v="5"/>
    <x v="10"/>
    <s v="Update to shipped"/>
    <d v="2026-05-13T00:00:00"/>
    <m/>
  </r>
  <r>
    <s v="YK261802303"/>
    <s v="NOT-IN-PROCESS"/>
    <x v="0"/>
    <s v="1"/>
    <x v="0"/>
    <d v="2026-05-27T12:02:10"/>
    <x v="10"/>
    <x v="5"/>
    <x v="10"/>
    <m/>
    <m/>
    <m/>
  </r>
  <r>
    <s v="YK261802304"/>
    <s v="SHIP Shipping"/>
    <x v="1"/>
    <s v="1"/>
    <x v="1"/>
    <d v="2026-06-10T08:33:46"/>
    <x v="10"/>
    <x v="5"/>
    <x v="10"/>
    <m/>
    <d v="2026-06-22T00:00:00"/>
    <m/>
  </r>
  <r>
    <s v="YK261802305"/>
    <s v="SHIP Shipping"/>
    <x v="1"/>
    <s v="1"/>
    <x v="1"/>
    <d v="2026-06-10T09:01:08"/>
    <x v="10"/>
    <x v="5"/>
    <x v="10"/>
    <m/>
    <d v="2026-05-13T00:00:00"/>
    <m/>
  </r>
  <r>
    <s v="YK261802306"/>
    <s v="SHIP Shipping"/>
    <x v="1"/>
    <s v="1"/>
    <x v="1"/>
    <d v="2026-05-08T11:53:22"/>
    <x v="10"/>
    <x v="5"/>
    <x v="10"/>
    <m/>
    <d v="2026-05-08T00:00:00"/>
    <m/>
  </r>
  <r>
    <s v="YK261802183"/>
    <s v="NOT-IN-PROCESS"/>
    <x v="0"/>
    <s v="1"/>
    <x v="0"/>
    <d v="2026-05-28T08:42:09"/>
    <x v="11"/>
    <x v="6"/>
    <x v="11"/>
    <m/>
    <m/>
    <m/>
  </r>
  <r>
    <s v="YK261802184"/>
    <s v="SHIP Shipping"/>
    <x v="1"/>
    <s v="1"/>
    <x v="1"/>
    <d v="2026-06-02T08:24:12"/>
    <x v="11"/>
    <x v="6"/>
    <x v="11"/>
    <m/>
    <d v="2026-06-02T00:00:00"/>
    <m/>
  </r>
  <r>
    <s v="YK261802185"/>
    <s v="NOT-IN-PROCESS"/>
    <x v="0"/>
    <s v="1"/>
    <x v="0"/>
    <d v="2026-05-28T11:27:25"/>
    <x v="11"/>
    <x v="6"/>
    <x v="11"/>
    <m/>
    <m/>
    <m/>
  </r>
  <r>
    <s v="YK261802186"/>
    <s v="NOT-IN-PROCESS"/>
    <x v="0"/>
    <s v="1"/>
    <x v="0"/>
    <d v="2026-05-28T11:26:05"/>
    <x v="11"/>
    <x v="6"/>
    <x v="11"/>
    <m/>
    <m/>
    <m/>
  </r>
  <r>
    <s v="YK261802187"/>
    <s v="SHIP Shipping"/>
    <x v="1"/>
    <s v="1"/>
    <x v="1"/>
    <d v="2026-06-02T08:33:37"/>
    <x v="11"/>
    <x v="6"/>
    <x v="11"/>
    <m/>
    <d v="2026-06-02T00:00:00"/>
    <m/>
  </r>
  <r>
    <s v="YK261802188"/>
    <s v="NOT-IN-PROCESS"/>
    <x v="0"/>
    <s v="1"/>
    <x v="0"/>
    <d v="2026-06-01T10:13:26"/>
    <x v="11"/>
    <x v="6"/>
    <x v="11"/>
    <m/>
    <m/>
    <m/>
  </r>
  <r>
    <s v="YK261802189"/>
    <s v="NOT-IN-PROCESS"/>
    <x v="0"/>
    <s v="1"/>
    <x v="0"/>
    <d v="2026-05-27T09:21:48"/>
    <x v="11"/>
    <x v="6"/>
    <x v="11"/>
    <m/>
    <m/>
    <m/>
  </r>
  <r>
    <s v="YK261802190"/>
    <s v="NOT-IN-PROCESS"/>
    <x v="0"/>
    <s v="1"/>
    <x v="0"/>
    <d v="2026-05-28T07:34:33"/>
    <x v="11"/>
    <x v="6"/>
    <x v="11"/>
    <m/>
    <m/>
    <m/>
  </r>
  <r>
    <s v="YK261802191"/>
    <s v="NOT-IN-PROCESS"/>
    <x v="0"/>
    <s v="1"/>
    <x v="0"/>
    <d v="2026-05-27T09:19:49"/>
    <x v="11"/>
    <x v="6"/>
    <x v="11"/>
    <m/>
    <m/>
    <m/>
  </r>
  <r>
    <s v="YK261802192"/>
    <s v="NOT-IN-PROCESS"/>
    <x v="0"/>
    <s v="1"/>
    <x v="0"/>
    <d v="2026-05-27T11:59:37"/>
    <x v="11"/>
    <x v="6"/>
    <x v="11"/>
    <m/>
    <m/>
    <m/>
  </r>
  <r>
    <s v="YK261802193"/>
    <s v="NOT-IN-PROCESS"/>
    <x v="0"/>
    <s v="1"/>
    <x v="0"/>
    <d v="2026-05-28T11:26:17"/>
    <x v="11"/>
    <x v="6"/>
    <x v="11"/>
    <m/>
    <m/>
    <m/>
  </r>
  <r>
    <s v="YK261802194"/>
    <s v="SHIP Shipping"/>
    <x v="1"/>
    <s v="1"/>
    <x v="1"/>
    <d v="2026-06-02T08:27:17"/>
    <x v="11"/>
    <x v="6"/>
    <x v="11"/>
    <m/>
    <d v="2026-06-02T00:00:00"/>
    <m/>
  </r>
  <r>
    <s v="YK261802195"/>
    <s v="NOT-IN-PROCESS"/>
    <x v="0"/>
    <s v="1"/>
    <x v="0"/>
    <d v="2026-05-28T07:33:58"/>
    <x v="11"/>
    <x v="6"/>
    <x v="11"/>
    <m/>
    <m/>
    <m/>
  </r>
  <r>
    <s v="YK261802196"/>
    <s v="NOT-IN-PROCESS"/>
    <x v="0"/>
    <s v="1"/>
    <x v="0"/>
    <d v="2026-05-28T11:27:45"/>
    <x v="11"/>
    <x v="6"/>
    <x v="11"/>
    <m/>
    <m/>
    <m/>
  </r>
  <r>
    <s v="YK261802197"/>
    <s v="NOT-IN-PROCESS"/>
    <x v="0"/>
    <s v="1"/>
    <x v="0"/>
    <d v="2026-05-27T12:02:29"/>
    <x v="11"/>
    <x v="6"/>
    <x v="11"/>
    <m/>
    <m/>
    <m/>
  </r>
  <r>
    <s v="YK261802198"/>
    <s v="NOT-IN-PROCESS"/>
    <x v="0"/>
    <s v="1"/>
    <x v="0"/>
    <d v="2026-05-28T07:36:48"/>
    <x v="11"/>
    <x v="6"/>
    <x v="11"/>
    <m/>
    <m/>
    <m/>
  </r>
  <r>
    <s v="YK261802199"/>
    <s v="SHIP Shipping"/>
    <x v="1"/>
    <s v="1"/>
    <x v="1"/>
    <d v="2026-06-02T08:01:55"/>
    <x v="11"/>
    <x v="6"/>
    <x v="11"/>
    <m/>
    <d v="2026-06-02T00:00:00"/>
    <m/>
  </r>
  <r>
    <s v="YK261802200"/>
    <s v="NOT-IN-PROCESS"/>
    <x v="0"/>
    <s v="1"/>
    <x v="0"/>
    <d v="2026-05-28T11:55:55"/>
    <x v="11"/>
    <x v="6"/>
    <x v="11"/>
    <m/>
    <m/>
    <m/>
  </r>
  <r>
    <s v="YK261802201"/>
    <s v="NOT-IN-PROCESS"/>
    <x v="0"/>
    <s v="1"/>
    <x v="0"/>
    <d v="2026-05-27T09:21:34"/>
    <x v="11"/>
    <x v="6"/>
    <x v="11"/>
    <m/>
    <m/>
    <m/>
  </r>
  <r>
    <s v="YK261802202"/>
    <s v="NOT-IN-PROCESS"/>
    <x v="0"/>
    <s v="1"/>
    <x v="0"/>
    <d v="2026-05-27T09:20:07"/>
    <x v="11"/>
    <x v="6"/>
    <x v="11"/>
    <m/>
    <m/>
    <m/>
  </r>
  <r>
    <s v="YK261802203"/>
    <s v="SHIP Shipping"/>
    <x v="1"/>
    <s v="1"/>
    <x v="1"/>
    <d v="2026-06-02T08:26:32"/>
    <x v="11"/>
    <x v="6"/>
    <x v="11"/>
    <m/>
    <d v="2026-06-02T00:00:00"/>
    <m/>
  </r>
  <r>
    <s v="YK261802204"/>
    <s v="NOT-IN-PROCESS"/>
    <x v="0"/>
    <s v="1"/>
    <x v="0"/>
    <d v="2026-05-28T07:36:30"/>
    <x v="11"/>
    <x v="6"/>
    <x v="11"/>
    <m/>
    <m/>
    <m/>
  </r>
  <r>
    <s v="YK261802205"/>
    <s v="NOT-IN-PROCESS"/>
    <x v="0"/>
    <s v="1"/>
    <x v="0"/>
    <d v="2026-06-23T15:26:18"/>
    <x v="11"/>
    <x v="6"/>
    <x v="11"/>
    <m/>
    <m/>
    <m/>
  </r>
  <r>
    <s v="YK261802206"/>
    <s v="NOT-IN-PROCESS"/>
    <x v="0"/>
    <s v="1"/>
    <x v="0"/>
    <d v="2026-05-28T07:48:28"/>
    <x v="11"/>
    <x v="6"/>
    <x v="11"/>
    <m/>
    <m/>
    <m/>
  </r>
  <r>
    <s v="YK261802207"/>
    <s v="NOT-IN-PROCESS"/>
    <x v="0"/>
    <s v="1"/>
    <x v="0"/>
    <d v="2026-05-28T11:54:14"/>
    <x v="11"/>
    <x v="6"/>
    <x v="11"/>
    <m/>
    <m/>
    <m/>
  </r>
  <r>
    <s v="YK261802208"/>
    <s v="NOT-IN-PROCESS"/>
    <x v="0"/>
    <s v="1"/>
    <x v="0"/>
    <d v="2026-05-28T08:44:28"/>
    <x v="11"/>
    <x v="6"/>
    <x v="11"/>
    <m/>
    <m/>
    <m/>
  </r>
  <r>
    <s v="YK261802209"/>
    <s v="NOT-IN-PROCESS"/>
    <x v="0"/>
    <s v="1"/>
    <x v="0"/>
    <d v="2026-05-28T08:44:10"/>
    <x v="11"/>
    <x v="6"/>
    <x v="11"/>
    <m/>
    <m/>
    <m/>
  </r>
  <r>
    <s v="YK261802210"/>
    <s v="NOT-IN-PROCESS"/>
    <x v="0"/>
    <s v="1"/>
    <x v="0"/>
    <d v="2026-05-27T09:12:41"/>
    <x v="11"/>
    <x v="6"/>
    <x v="11"/>
    <m/>
    <m/>
    <m/>
  </r>
  <r>
    <s v="YK261802211"/>
    <s v="SHIP Shipping"/>
    <x v="1"/>
    <s v="1"/>
    <x v="1"/>
    <d v="2026-06-02T08:22:38"/>
    <x v="11"/>
    <x v="6"/>
    <x v="11"/>
    <m/>
    <d v="2026-06-02T00:00:00"/>
    <m/>
  </r>
  <r>
    <s v="YK261802212"/>
    <s v="SHIP Shipping"/>
    <x v="1"/>
    <s v="1"/>
    <x v="1"/>
    <d v="2026-06-02T08:28:00"/>
    <x v="11"/>
    <x v="6"/>
    <x v="11"/>
    <m/>
    <d v="2026-06-02T00:00:00"/>
    <m/>
  </r>
  <r>
    <s v="YK261802213"/>
    <s v="SHIP Shipping"/>
    <x v="1"/>
    <s v="1"/>
    <x v="1"/>
    <d v="2026-06-02T08:30:17"/>
    <x v="11"/>
    <x v="6"/>
    <x v="11"/>
    <m/>
    <d v="2026-06-02T00:00:00"/>
    <m/>
  </r>
  <r>
    <s v="YK261802214"/>
    <s v="NOT-IN-PROCESS"/>
    <x v="0"/>
    <s v="1"/>
    <x v="0"/>
    <d v="2026-05-28T11:55:35"/>
    <x v="11"/>
    <x v="6"/>
    <x v="11"/>
    <m/>
    <m/>
    <m/>
  </r>
  <r>
    <s v="YK261802215"/>
    <s v="SHIP Shipping"/>
    <x v="1"/>
    <s v="1"/>
    <x v="1"/>
    <d v="2026-06-02T08:28:45"/>
    <x v="11"/>
    <x v="6"/>
    <x v="11"/>
    <m/>
    <d v="2026-06-02T00:00:00"/>
    <m/>
  </r>
  <r>
    <s v="YK261802216"/>
    <s v="NOT-IN-PROCESS"/>
    <x v="0"/>
    <s v="1"/>
    <x v="0"/>
    <d v="2026-06-05T12:14:18"/>
    <x v="11"/>
    <x v="6"/>
    <x v="11"/>
    <m/>
    <m/>
    <m/>
  </r>
  <r>
    <s v="YK261802217"/>
    <s v="NOT-IN-PROCESS"/>
    <x v="0"/>
    <s v="1"/>
    <x v="0"/>
    <d v="2026-05-28T11:54:02"/>
    <x v="11"/>
    <x v="6"/>
    <x v="11"/>
    <m/>
    <m/>
    <m/>
  </r>
  <r>
    <s v="YK261802218"/>
    <s v="NOT-IN-PROCESS"/>
    <x v="0"/>
    <s v="1"/>
    <x v="0"/>
    <d v="2026-05-27T09:15:16"/>
    <x v="11"/>
    <x v="6"/>
    <x v="11"/>
    <m/>
    <m/>
    <m/>
  </r>
  <r>
    <s v="YK261802219"/>
    <s v="DBG1 Debug Test"/>
    <x v="2"/>
    <s v="1"/>
    <x v="2"/>
    <d v="2026-06-05T07:58:28"/>
    <x v="11"/>
    <x v="6"/>
    <x v="11"/>
    <m/>
    <m/>
    <m/>
  </r>
  <r>
    <s v="YK261802220"/>
    <s v="NOT-IN-PROCESS"/>
    <x v="0"/>
    <s v="1"/>
    <x v="0"/>
    <d v="2026-05-29T12:38:41"/>
    <x v="11"/>
    <x v="6"/>
    <x v="11"/>
    <m/>
    <m/>
    <m/>
  </r>
  <r>
    <s v="YK261802221"/>
    <s v="SHIP Shipping"/>
    <x v="1"/>
    <s v="1"/>
    <x v="1"/>
    <d v="2026-06-02T08:32:43"/>
    <x v="11"/>
    <x v="6"/>
    <x v="11"/>
    <m/>
    <d v="2026-06-02T00:00:00"/>
    <m/>
  </r>
  <r>
    <s v="YK261802222"/>
    <s v="NOT-IN-PROCESS"/>
    <x v="0"/>
    <s v="1"/>
    <x v="0"/>
    <d v="2026-05-27T13:08:59"/>
    <x v="11"/>
    <x v="6"/>
    <x v="11"/>
    <m/>
    <m/>
    <m/>
  </r>
  <r>
    <s v="YK261802223"/>
    <s v="NOT-IN-PROCESS"/>
    <x v="0"/>
    <s v="1"/>
    <x v="0"/>
    <d v="2026-05-27T11:59:17"/>
    <x v="11"/>
    <x v="6"/>
    <x v="11"/>
    <m/>
    <m/>
    <m/>
  </r>
  <r>
    <s v="YK261802224"/>
    <s v="NOT-IN-PROCESS"/>
    <x v="0"/>
    <s v="1"/>
    <x v="0"/>
    <d v="2026-05-27T13:07:12"/>
    <x v="11"/>
    <x v="6"/>
    <x v="11"/>
    <m/>
    <m/>
    <m/>
  </r>
  <r>
    <s v="YK261802225"/>
    <s v="NOT-IN-PROCESS"/>
    <x v="0"/>
    <s v="1"/>
    <x v="0"/>
    <d v="2026-05-28T08:42:31"/>
    <x v="11"/>
    <x v="6"/>
    <x v="11"/>
    <m/>
    <m/>
    <m/>
  </r>
  <r>
    <s v="YK261802226"/>
    <s v="NOT-IN-PROCESS"/>
    <x v="0"/>
    <s v="1"/>
    <x v="0"/>
    <d v="2026-06-09T10:25:58"/>
    <x v="11"/>
    <x v="6"/>
    <x v="11"/>
    <m/>
    <m/>
    <m/>
  </r>
  <r>
    <s v="YK261802227"/>
    <s v="NOT-IN-PROCESS"/>
    <x v="0"/>
    <s v="1"/>
    <x v="0"/>
    <d v="2026-05-28T07:50:19"/>
    <x v="11"/>
    <x v="6"/>
    <x v="11"/>
    <m/>
    <m/>
    <m/>
  </r>
  <r>
    <s v="YK261802228"/>
    <s v="NOT-IN-PROCESS"/>
    <x v="0"/>
    <s v="1"/>
    <x v="0"/>
    <d v="2026-05-27T09:13:04"/>
    <x v="11"/>
    <x v="6"/>
    <x v="11"/>
    <m/>
    <m/>
    <m/>
  </r>
  <r>
    <s v="YK261802229"/>
    <s v="NOT-IN-PROCESS"/>
    <x v="0"/>
    <s v="1"/>
    <x v="0"/>
    <d v="2026-06-01T10:13:22"/>
    <x v="11"/>
    <x v="6"/>
    <x v="11"/>
    <m/>
    <m/>
    <m/>
  </r>
  <r>
    <s v="YK261802230"/>
    <s v="NOT-IN-PROCESS"/>
    <x v="0"/>
    <s v="1"/>
    <x v="0"/>
    <d v="2026-05-27T13:06:30"/>
    <x v="11"/>
    <x v="6"/>
    <x v="11"/>
    <m/>
    <m/>
    <m/>
  </r>
  <r>
    <s v="YK261802231"/>
    <s v="NOT-IN-PROCESS"/>
    <x v="0"/>
    <s v="1"/>
    <x v="0"/>
    <d v="2026-05-27T09:15:43"/>
    <x v="11"/>
    <x v="6"/>
    <x v="11"/>
    <m/>
    <m/>
    <m/>
  </r>
  <r>
    <s v="YK261802232"/>
    <s v="SHIP Shipping"/>
    <x v="1"/>
    <s v="1"/>
    <x v="1"/>
    <d v="2026-06-02T08:25:54"/>
    <x v="11"/>
    <x v="6"/>
    <x v="11"/>
    <m/>
    <d v="2026-06-02T00:00:00"/>
    <m/>
  </r>
  <r>
    <s v="YK261802233"/>
    <s v="NOT-IN-PROCESS"/>
    <x v="0"/>
    <s v="1"/>
    <x v="0"/>
    <d v="2026-05-27T09:12:51"/>
    <x v="11"/>
    <x v="6"/>
    <x v="11"/>
    <m/>
    <m/>
    <m/>
  </r>
  <r>
    <s v="YK261802234"/>
    <s v="NOT-IN-PROCESS"/>
    <x v="0"/>
    <s v="1"/>
    <x v="0"/>
    <d v="2026-05-27T09:12:26"/>
    <x v="11"/>
    <x v="6"/>
    <x v="11"/>
    <m/>
    <m/>
    <m/>
  </r>
  <r>
    <s v="YK261802235"/>
    <s v="NOT-IN-PROCESS"/>
    <x v="0"/>
    <s v="1"/>
    <x v="0"/>
    <d v="2026-05-27T09:14:57"/>
    <x v="11"/>
    <x v="6"/>
    <x v="11"/>
    <m/>
    <m/>
    <m/>
  </r>
  <r>
    <s v="YK261802236"/>
    <s v="SHIP Shipping"/>
    <x v="1"/>
    <s v="1"/>
    <x v="1"/>
    <d v="2026-06-02T08:29:36"/>
    <x v="11"/>
    <x v="6"/>
    <x v="11"/>
    <m/>
    <d v="2026-06-02T00:00:00"/>
    <m/>
  </r>
  <r>
    <s v="YK261802237"/>
    <s v="SHIP Shipping"/>
    <x v="1"/>
    <s v="1"/>
    <x v="1"/>
    <d v="2026-06-02T08:23:16"/>
    <x v="11"/>
    <x v="6"/>
    <x v="11"/>
    <m/>
    <d v="2026-06-02T00:00:00"/>
    <m/>
  </r>
  <r>
    <s v="YK261802238"/>
    <s v="SHIP Shipping"/>
    <x v="1"/>
    <s v="1"/>
    <x v="1"/>
    <d v="2026-06-02T08:25:08"/>
    <x v="11"/>
    <x v="6"/>
    <x v="11"/>
    <m/>
    <d v="2026-06-02T00:00:00"/>
    <m/>
  </r>
  <r>
    <s v="YK261802239"/>
    <s v="NOT-IN-PROCESS"/>
    <x v="0"/>
    <s v="1"/>
    <x v="0"/>
    <d v="2026-05-28T07:48:10"/>
    <x v="11"/>
    <x v="6"/>
    <x v="11"/>
    <m/>
    <m/>
    <m/>
  </r>
  <r>
    <s v="YK261802240"/>
    <s v="NOT-IN-PROCESS"/>
    <x v="0"/>
    <s v="1"/>
    <x v="0"/>
    <d v="2026-06-01T10:14:08"/>
    <x v="11"/>
    <x v="6"/>
    <x v="11"/>
    <m/>
    <m/>
    <m/>
  </r>
  <r>
    <s v="YK261802241"/>
    <s v="DBG1 Debug Test"/>
    <x v="2"/>
    <s v="1"/>
    <x v="2"/>
    <d v="2026-05-29T11:44:28"/>
    <x v="11"/>
    <x v="6"/>
    <x v="11"/>
    <m/>
    <m/>
    <m/>
  </r>
  <r>
    <s v="YK261802242"/>
    <s v="NOT-IN-PROCESS"/>
    <x v="0"/>
    <s v="1"/>
    <x v="0"/>
    <d v="2026-05-28T07:50:05"/>
    <x v="11"/>
    <x v="6"/>
    <x v="11"/>
    <m/>
    <m/>
    <m/>
  </r>
  <r>
    <s v="YK261802243"/>
    <s v="NOT-IN-PROCESS"/>
    <x v="0"/>
    <s v="1"/>
    <x v="0"/>
    <d v="2026-05-27T09:15:27"/>
    <x v="11"/>
    <x v="6"/>
    <x v="11"/>
    <m/>
    <m/>
    <m/>
  </r>
  <r>
    <s v="YK261802244"/>
    <s v="NOT-IN-PROCESS"/>
    <x v="0"/>
    <s v="1"/>
    <x v="0"/>
    <d v="2026-05-27T12:02:45"/>
    <x v="11"/>
    <x v="6"/>
    <x v="11"/>
    <m/>
    <m/>
    <m/>
  </r>
  <r>
    <s v="YK262100946"/>
    <s v="NOT-IN-PROCESS"/>
    <x v="0"/>
    <s v="1"/>
    <x v="0"/>
    <d v="2026-06-19T13:59:33"/>
    <x v="12"/>
    <x v="5"/>
    <x v="12"/>
    <m/>
    <m/>
    <m/>
  </r>
  <r>
    <s v="YK262100947"/>
    <s v="NOT-IN-PROCESS"/>
    <x v="0"/>
    <s v="1"/>
    <x v="0"/>
    <d v="2026-06-05T12:14:40"/>
    <x v="12"/>
    <x v="5"/>
    <x v="12"/>
    <m/>
    <m/>
    <m/>
  </r>
  <r>
    <s v="YK262100948"/>
    <s v="NOT-IN-PROCESS"/>
    <x v="0"/>
    <s v="1"/>
    <x v="0"/>
    <d v="2026-06-08T17:05:39"/>
    <x v="12"/>
    <x v="5"/>
    <x v="12"/>
    <m/>
    <m/>
    <m/>
  </r>
  <r>
    <s v="YK262100949"/>
    <s v="NOT-IN-PROCESS"/>
    <x v="0"/>
    <s v="1"/>
    <x v="0"/>
    <d v="2026-06-10T06:27:45"/>
    <x v="12"/>
    <x v="5"/>
    <x v="12"/>
    <m/>
    <m/>
    <m/>
  </r>
  <r>
    <s v="YK262100950"/>
    <s v="NOT-IN-PROCESS"/>
    <x v="0"/>
    <s v="1"/>
    <x v="0"/>
    <d v="2026-06-10T06:27:01"/>
    <x v="12"/>
    <x v="5"/>
    <x v="12"/>
    <m/>
    <m/>
    <m/>
  </r>
  <r>
    <s v="YK262100951"/>
    <s v="NOT-IN-PROCESS"/>
    <x v="0"/>
    <s v="1"/>
    <x v="0"/>
    <d v="2026-06-06T11:57:56"/>
    <x v="12"/>
    <x v="5"/>
    <x v="12"/>
    <m/>
    <m/>
    <m/>
  </r>
  <r>
    <s v="YK262100952"/>
    <s v="NOT-IN-PROCESS"/>
    <x v="0"/>
    <s v="1"/>
    <x v="0"/>
    <d v="2026-06-23T15:26:25"/>
    <x v="12"/>
    <x v="5"/>
    <x v="12"/>
    <m/>
    <m/>
    <m/>
  </r>
  <r>
    <s v="YK262100953"/>
    <s v="NOT-IN-PROCESS"/>
    <x v="0"/>
    <s v="1"/>
    <x v="0"/>
    <d v="2026-06-10T06:27:30"/>
    <x v="12"/>
    <x v="5"/>
    <x v="12"/>
    <m/>
    <m/>
    <m/>
  </r>
  <r>
    <s v="YK262100954"/>
    <s v="NOT-IN-PROCESS"/>
    <x v="0"/>
    <s v="1"/>
    <x v="0"/>
    <d v="2026-06-10T14:14:50"/>
    <x v="12"/>
    <x v="5"/>
    <x v="12"/>
    <m/>
    <m/>
    <m/>
  </r>
  <r>
    <s v="YK262100955"/>
    <s v="NOT-IN-PROCESS"/>
    <x v="0"/>
    <s v="1"/>
    <x v="0"/>
    <d v="2026-06-10T10:46:23"/>
    <x v="12"/>
    <x v="5"/>
    <x v="12"/>
    <m/>
    <m/>
    <m/>
  </r>
  <r>
    <s v="YK262100956"/>
    <s v="NOT-IN-PROCESS"/>
    <x v="0"/>
    <s v="1"/>
    <x v="0"/>
    <d v="2026-06-16T11:18:50"/>
    <x v="12"/>
    <x v="5"/>
    <x v="12"/>
    <m/>
    <m/>
    <m/>
  </r>
  <r>
    <s v="YK262100957"/>
    <s v="NOT-IN-PROCESS"/>
    <x v="0"/>
    <s v="1"/>
    <x v="0"/>
    <d v="2026-06-11T14:09:56"/>
    <x v="12"/>
    <x v="5"/>
    <x v="12"/>
    <m/>
    <m/>
    <m/>
  </r>
  <r>
    <s v="YK262100958"/>
    <s v="NOT-IN-PROCESS"/>
    <x v="0"/>
    <s v="1"/>
    <x v="0"/>
    <d v="2026-06-23T13:19:55"/>
    <x v="12"/>
    <x v="5"/>
    <x v="12"/>
    <m/>
    <m/>
    <m/>
  </r>
  <r>
    <s v="YK262100959"/>
    <s v="FUN1 Func Test"/>
    <x v="3"/>
    <s v="1"/>
    <x v="3"/>
    <d v="2026-06-19T06:38:20"/>
    <x v="12"/>
    <x v="5"/>
    <x v="12"/>
    <m/>
    <m/>
    <m/>
  </r>
  <r>
    <s v="YK262100960"/>
    <s v="NOT-IN-PROCESS"/>
    <x v="0"/>
    <s v="1"/>
    <x v="0"/>
    <d v="2026-06-24T13:30:14"/>
    <x v="12"/>
    <x v="5"/>
    <x v="12"/>
    <m/>
    <m/>
    <m/>
  </r>
  <r>
    <s v="YK262100961"/>
    <s v="NOT-IN-PROCESS"/>
    <x v="0"/>
    <s v="1"/>
    <x v="0"/>
    <d v="2026-06-16T11:18:43"/>
    <x v="12"/>
    <x v="5"/>
    <x v="12"/>
    <m/>
    <m/>
    <m/>
  </r>
  <r>
    <s v="YK262100962"/>
    <s v="NOT-IN-PROCESS"/>
    <x v="0"/>
    <s v="1"/>
    <x v="0"/>
    <d v="2026-06-08T17:06:02"/>
    <x v="12"/>
    <x v="5"/>
    <x v="12"/>
    <m/>
    <m/>
    <m/>
  </r>
  <r>
    <s v="YK262100963"/>
    <s v="NOT-IN-PROCESS"/>
    <x v="0"/>
    <s v="1"/>
    <x v="0"/>
    <d v="2026-06-06T11:58:35"/>
    <x v="12"/>
    <x v="5"/>
    <x v="12"/>
    <m/>
    <m/>
    <m/>
  </r>
  <r>
    <s v="YK262100964"/>
    <s v="NOT-IN-PROCESS"/>
    <x v="0"/>
    <s v="1"/>
    <x v="0"/>
    <d v="2026-06-10T10:46:10"/>
    <x v="12"/>
    <x v="5"/>
    <x v="12"/>
    <m/>
    <m/>
    <m/>
  </r>
  <r>
    <s v="YK262100965"/>
    <s v="NOT-IN-PROCESS"/>
    <x v="0"/>
    <s v="1"/>
    <x v="0"/>
    <d v="2026-06-10T10:45:54"/>
    <x v="12"/>
    <x v="5"/>
    <x v="12"/>
    <m/>
    <m/>
    <m/>
  </r>
  <r>
    <s v="YK262100966"/>
    <s v="NOT-IN-PROCESS"/>
    <x v="0"/>
    <s v="1"/>
    <x v="0"/>
    <d v="2026-06-17T10:46:22"/>
    <x v="12"/>
    <x v="5"/>
    <x v="12"/>
    <m/>
    <m/>
    <m/>
  </r>
  <r>
    <s v="YK262100967"/>
    <s v="CMP1 Complete"/>
    <x v="6"/>
    <s v="1"/>
    <x v="5"/>
    <d v="2026-06-17T06:06:59"/>
    <x v="12"/>
    <x v="5"/>
    <x v="12"/>
    <m/>
    <m/>
    <m/>
  </r>
  <r>
    <s v="YK262100968"/>
    <s v="NOT-IN-PROCESS"/>
    <x v="0"/>
    <s v="1"/>
    <x v="0"/>
    <d v="2026-06-10T10:44:47"/>
    <x v="12"/>
    <x v="5"/>
    <x v="12"/>
    <m/>
    <m/>
    <m/>
  </r>
  <r>
    <s v="YK262100969"/>
    <s v="NOT-IN-PROCESS"/>
    <x v="0"/>
    <s v="1"/>
    <x v="0"/>
    <d v="2026-06-17T11:41:19"/>
    <x v="12"/>
    <x v="5"/>
    <x v="12"/>
    <m/>
    <m/>
    <m/>
  </r>
  <r>
    <s v="YK262100970"/>
    <s v="NOT-IN-PROCESS"/>
    <x v="0"/>
    <s v="1"/>
    <x v="0"/>
    <d v="2026-06-11T06:52:09"/>
    <x v="12"/>
    <x v="5"/>
    <x v="12"/>
    <m/>
    <m/>
    <m/>
  </r>
  <r>
    <s v="YK262100971"/>
    <s v="NOT-IN-PROCESS"/>
    <x v="0"/>
    <s v="1"/>
    <x v="0"/>
    <d v="2026-06-11T07:58:08"/>
    <x v="12"/>
    <x v="5"/>
    <x v="12"/>
    <m/>
    <m/>
    <m/>
  </r>
  <r>
    <s v="YK262100972"/>
    <s v="NOT-IN-PROCESS"/>
    <x v="0"/>
    <s v="1"/>
    <x v="0"/>
    <d v="2026-06-08T17:05:19"/>
    <x v="12"/>
    <x v="5"/>
    <x v="12"/>
    <m/>
    <m/>
    <m/>
  </r>
  <r>
    <s v="YK262100973"/>
    <s v="NOT-IN-PROCESS"/>
    <x v="0"/>
    <s v="1"/>
    <x v="0"/>
    <d v="2026-06-17T10:46:16"/>
    <x v="12"/>
    <x v="5"/>
    <x v="12"/>
    <m/>
    <m/>
    <m/>
  </r>
  <r>
    <s v="YK262100974"/>
    <s v="NOT-IN-PROCESS"/>
    <x v="0"/>
    <s v="1"/>
    <x v="0"/>
    <d v="2026-06-24T13:25:46"/>
    <x v="12"/>
    <x v="5"/>
    <x v="12"/>
    <m/>
    <m/>
    <m/>
  </r>
  <r>
    <s v="YK262100975"/>
    <s v="NOT-IN-PROCESS"/>
    <x v="0"/>
    <s v="1"/>
    <x v="0"/>
    <d v="2026-06-10T17:14:31"/>
    <x v="12"/>
    <x v="5"/>
    <x v="12"/>
    <m/>
    <m/>
    <m/>
  </r>
  <r>
    <s v="YK262100976"/>
    <s v="NOT-IN-PROCESS"/>
    <x v="0"/>
    <s v="1"/>
    <x v="0"/>
    <d v="2026-06-24T13:30:09"/>
    <x v="12"/>
    <x v="5"/>
    <x v="12"/>
    <m/>
    <m/>
    <m/>
  </r>
  <r>
    <s v="YK262100977"/>
    <s v="NOT-IN-PROCESS"/>
    <x v="0"/>
    <s v="1"/>
    <x v="0"/>
    <d v="2026-06-11T06:51:40"/>
    <x v="12"/>
    <x v="5"/>
    <x v="12"/>
    <m/>
    <m/>
    <m/>
  </r>
  <r>
    <s v="YK262100978"/>
    <s v="NOT-IN-PROCESS"/>
    <x v="0"/>
    <s v="1"/>
    <x v="0"/>
    <d v="2026-06-10T17:13:25"/>
    <x v="12"/>
    <x v="5"/>
    <x v="12"/>
    <m/>
    <m/>
    <m/>
  </r>
  <r>
    <s v="YK262100979"/>
    <s v="RWK2 Repair Test"/>
    <x v="8"/>
    <s v="1"/>
    <x v="4"/>
    <d v="2026-06-08T10:50:17"/>
    <x v="12"/>
    <x v="5"/>
    <x v="12"/>
    <m/>
    <m/>
    <m/>
  </r>
  <r>
    <s v="YK262100980"/>
    <s v="SHIP Shipping"/>
    <x v="1"/>
    <s v="1"/>
    <x v="1"/>
    <d v="2026-06-22T13:13:34"/>
    <x v="12"/>
    <x v="5"/>
    <x v="12"/>
    <m/>
    <m/>
    <m/>
  </r>
  <r>
    <s v="YK262100981"/>
    <s v="NOT-IN-PROCESS"/>
    <x v="0"/>
    <s v="1"/>
    <x v="0"/>
    <d v="2026-06-23T15:26:27"/>
    <x v="12"/>
    <x v="5"/>
    <x v="12"/>
    <m/>
    <m/>
    <m/>
  </r>
  <r>
    <s v="YK262100982"/>
    <s v="CMP1 Complete"/>
    <x v="6"/>
    <s v="1"/>
    <x v="5"/>
    <d v="2026-06-18T19:35:41"/>
    <x v="12"/>
    <x v="5"/>
    <x v="12"/>
    <m/>
    <m/>
    <m/>
  </r>
  <r>
    <s v="YK262100983"/>
    <s v="NOT-IN-PROCESS"/>
    <x v="0"/>
    <s v="1"/>
    <x v="0"/>
    <d v="2026-06-11T06:52:30"/>
    <x v="12"/>
    <x v="5"/>
    <x v="12"/>
    <m/>
    <m/>
    <m/>
  </r>
  <r>
    <s v="YK262100984"/>
    <s v="NOT-IN-PROCESS"/>
    <x v="0"/>
    <s v="1"/>
    <x v="0"/>
    <d v="2026-06-16T13:46:24"/>
    <x v="12"/>
    <x v="5"/>
    <x v="12"/>
    <m/>
    <m/>
    <m/>
  </r>
  <r>
    <s v="YK262100985"/>
    <s v="NOT-IN-PROCESS"/>
    <x v="0"/>
    <s v="1"/>
    <x v="0"/>
    <d v="2026-06-08T13:14:41"/>
    <x v="12"/>
    <x v="5"/>
    <x v="12"/>
    <m/>
    <m/>
    <m/>
  </r>
  <r>
    <s v="YK262100986"/>
    <s v="NOT-IN-PROCESS"/>
    <x v="0"/>
    <s v="1"/>
    <x v="0"/>
    <d v="2026-06-23T13:19:51"/>
    <x v="12"/>
    <x v="5"/>
    <x v="12"/>
    <m/>
    <m/>
    <m/>
  </r>
  <r>
    <s v="YK262100987"/>
    <s v="NOT-IN-PROCESS"/>
    <x v="0"/>
    <s v="1"/>
    <x v="0"/>
    <d v="2026-06-15T14:22:34"/>
    <x v="12"/>
    <x v="5"/>
    <x v="12"/>
    <m/>
    <m/>
    <m/>
  </r>
  <r>
    <s v="YK262100988"/>
    <s v="NOT-IN-PROCESS"/>
    <x v="0"/>
    <s v="1"/>
    <x v="0"/>
    <d v="2026-06-08T13:13:56"/>
    <x v="12"/>
    <x v="5"/>
    <x v="12"/>
    <m/>
    <m/>
    <m/>
  </r>
  <r>
    <s v="YK262100989"/>
    <s v="NOT-IN-PROCESS"/>
    <x v="0"/>
    <s v="1"/>
    <x v="0"/>
    <d v="2026-06-08T13:13:28"/>
    <x v="12"/>
    <x v="5"/>
    <x v="12"/>
    <m/>
    <m/>
    <m/>
  </r>
  <r>
    <s v="YK262100990"/>
    <s v="NOT-IN-PROCESS"/>
    <x v="0"/>
    <s v="1"/>
    <x v="0"/>
    <d v="2026-06-10T14:13:18"/>
    <x v="12"/>
    <x v="5"/>
    <x v="12"/>
    <m/>
    <m/>
    <m/>
  </r>
  <r>
    <s v="YK262100991"/>
    <s v="NOT-IN-PROCESS"/>
    <x v="0"/>
    <s v="1"/>
    <x v="0"/>
    <d v="2026-06-24T13:30:24"/>
    <x v="12"/>
    <x v="5"/>
    <x v="12"/>
    <m/>
    <m/>
    <m/>
  </r>
  <r>
    <s v="YK262100992"/>
    <s v="NOT-IN-PROCESS"/>
    <x v="0"/>
    <s v="1"/>
    <x v="0"/>
    <d v="2026-06-11T14:10:05"/>
    <x v="12"/>
    <x v="5"/>
    <x v="12"/>
    <m/>
    <m/>
    <m/>
  </r>
  <r>
    <s v="YK262100993"/>
    <s v="CMP1 Complete"/>
    <x v="6"/>
    <s v="1"/>
    <x v="5"/>
    <d v="2026-06-18T20:11:24"/>
    <x v="12"/>
    <x v="5"/>
    <x v="12"/>
    <m/>
    <m/>
    <m/>
  </r>
  <r>
    <s v="YK262100994"/>
    <s v="NOT-IN-PROCESS"/>
    <x v="0"/>
    <s v="1"/>
    <x v="0"/>
    <d v="2026-06-11T07:58:26"/>
    <x v="12"/>
    <x v="5"/>
    <x v="12"/>
    <m/>
    <m/>
    <m/>
  </r>
  <r>
    <s v="YK262100995"/>
    <s v="NOT-IN-PROCESS"/>
    <x v="0"/>
    <s v="1"/>
    <x v="0"/>
    <d v="2026-06-15T14:22:45"/>
    <x v="12"/>
    <x v="5"/>
    <x v="12"/>
    <m/>
    <m/>
    <m/>
  </r>
  <r>
    <s v="YK262100996"/>
    <s v="DBG1 Debug Test"/>
    <x v="2"/>
    <s v="1"/>
    <x v="2"/>
    <d v="2026-06-18T19:48:35"/>
    <x v="12"/>
    <x v="5"/>
    <x v="12"/>
    <m/>
    <m/>
    <m/>
  </r>
  <r>
    <s v="YK262100997"/>
    <s v="NOT-IN-PROCESS"/>
    <x v="0"/>
    <s v="1"/>
    <x v="0"/>
    <d v="2026-06-16T13:11:03"/>
    <x v="12"/>
    <x v="5"/>
    <x v="12"/>
    <m/>
    <m/>
    <m/>
  </r>
  <r>
    <s v="YK262100998"/>
    <s v="DBG1 Debug Test"/>
    <x v="2"/>
    <s v="1"/>
    <x v="2"/>
    <d v="2026-06-18T20:34:54"/>
    <x v="12"/>
    <x v="5"/>
    <x v="12"/>
    <m/>
    <m/>
    <m/>
  </r>
  <r>
    <s v="YK262100999"/>
    <s v="NOT-IN-PROCESS"/>
    <x v="0"/>
    <s v="1"/>
    <x v="0"/>
    <d v="2026-06-23T15:26:30"/>
    <x v="12"/>
    <x v="5"/>
    <x v="12"/>
    <m/>
    <m/>
    <m/>
  </r>
  <r>
    <s v="YK262101000"/>
    <s v="NOT-IN-PROCESS"/>
    <x v="0"/>
    <s v="1"/>
    <x v="0"/>
    <d v="2026-06-19T13:59:29"/>
    <x v="12"/>
    <x v="5"/>
    <x v="12"/>
    <m/>
    <m/>
    <m/>
  </r>
  <r>
    <s v="YK262101001"/>
    <s v="DBG1 Debug Test"/>
    <x v="2"/>
    <s v="1"/>
    <x v="2"/>
    <d v="2026-06-17T10:05:50"/>
    <x v="12"/>
    <x v="5"/>
    <x v="12"/>
    <m/>
    <m/>
    <m/>
  </r>
  <r>
    <s v="YK262101002"/>
    <s v="NOT-IN-PROCESS"/>
    <x v="0"/>
    <s v="1"/>
    <x v="0"/>
    <d v="2026-06-10T06:27:15"/>
    <x v="12"/>
    <x v="5"/>
    <x v="12"/>
    <m/>
    <m/>
    <m/>
  </r>
  <r>
    <s v="YK262101003"/>
    <s v="NOT-IN-PROCESS"/>
    <x v="0"/>
    <s v="1"/>
    <x v="0"/>
    <d v="2026-06-16T15:20:32"/>
    <x v="12"/>
    <x v="5"/>
    <x v="12"/>
    <m/>
    <m/>
    <m/>
  </r>
  <r>
    <s v="YK262101004"/>
    <s v="NOT-IN-PROCESS"/>
    <x v="0"/>
    <s v="1"/>
    <x v="0"/>
    <d v="2026-06-13T11:15:36"/>
    <x v="12"/>
    <x v="5"/>
    <x v="12"/>
    <m/>
    <m/>
    <m/>
  </r>
  <r>
    <s v="YK262101005"/>
    <s v="NOT-IN-PROCESS"/>
    <x v="0"/>
    <s v="1"/>
    <x v="0"/>
    <d v="2026-06-17T10:46:01"/>
    <x v="12"/>
    <x v="5"/>
    <x v="12"/>
    <m/>
    <m/>
    <m/>
  </r>
  <r>
    <s v="YK262101006"/>
    <s v="NOT-IN-PROCESS"/>
    <x v="0"/>
    <s v="1"/>
    <x v="0"/>
    <d v="2026-06-16T15:20:42"/>
    <x v="12"/>
    <x v="5"/>
    <x v="12"/>
    <m/>
    <m/>
    <m/>
  </r>
  <r>
    <s v="YK262101007"/>
    <s v="NOT-IN-PROCESS"/>
    <x v="0"/>
    <s v="1"/>
    <x v="0"/>
    <d v="2026-06-24T13:25:49"/>
    <x v="12"/>
    <x v="5"/>
    <x v="12"/>
    <m/>
    <m/>
    <m/>
  </r>
  <r>
    <s v="YK262101008"/>
    <s v="NOT-IN-PROCESS"/>
    <x v="0"/>
    <s v="1"/>
    <x v="0"/>
    <d v="2026-06-05T12:14:57"/>
    <x v="12"/>
    <x v="5"/>
    <x v="12"/>
    <m/>
    <m/>
    <m/>
  </r>
  <r>
    <s v="YK262101009"/>
    <s v="NOT-IN-PROCESS"/>
    <x v="0"/>
    <s v="1"/>
    <x v="0"/>
    <d v="2026-06-06T11:57:18"/>
    <x v="12"/>
    <x v="5"/>
    <x v="12"/>
    <m/>
    <m/>
    <m/>
  </r>
  <r>
    <s v="YK262101010"/>
    <s v="NOT-IN-PROCESS"/>
    <x v="0"/>
    <s v="1"/>
    <x v="0"/>
    <d v="2026-06-10T14:15:23"/>
    <x v="12"/>
    <x v="5"/>
    <x v="12"/>
    <m/>
    <m/>
    <m/>
  </r>
  <r>
    <s v="YK262101011"/>
    <s v="NOT-IN-PROCESS"/>
    <x v="0"/>
    <s v="1"/>
    <x v="0"/>
    <d v="2026-06-06T11:57:35"/>
    <x v="12"/>
    <x v="5"/>
    <x v="12"/>
    <m/>
    <m/>
    <m/>
  </r>
  <r>
    <s v="YK262101012"/>
    <s v="NOT-IN-PROCESS"/>
    <x v="0"/>
    <s v="1"/>
    <x v="0"/>
    <d v="2026-06-05T12:16:03"/>
    <x v="12"/>
    <x v="5"/>
    <x v="12"/>
    <m/>
    <m/>
    <m/>
  </r>
  <r>
    <s v="YK262101013"/>
    <s v="CMP1 Complete"/>
    <x v="6"/>
    <s v="1"/>
    <x v="5"/>
    <d v="2026-06-18T10:45:10"/>
    <x v="12"/>
    <x v="5"/>
    <x v="12"/>
    <m/>
    <m/>
    <m/>
  </r>
  <r>
    <s v="YK262101014"/>
    <s v="NOT-IN-PROCESS"/>
    <x v="0"/>
    <s v="1"/>
    <x v="0"/>
    <d v="2026-06-05T12:15:31"/>
    <x v="12"/>
    <x v="5"/>
    <x v="12"/>
    <m/>
    <m/>
    <m/>
  </r>
  <r>
    <s v="YK262101015"/>
    <s v="NOT-IN-PROCESS"/>
    <x v="0"/>
    <s v="1"/>
    <x v="0"/>
    <d v="2026-06-11T14:10:04"/>
    <x v="12"/>
    <x v="5"/>
    <x v="12"/>
    <m/>
    <m/>
    <m/>
  </r>
  <r>
    <s v="YK262101016"/>
    <s v="NOT-IN-PROCESS"/>
    <x v="0"/>
    <s v="1"/>
    <x v="0"/>
    <d v="2026-06-19T12:04:59"/>
    <x v="12"/>
    <x v="5"/>
    <x v="12"/>
    <m/>
    <m/>
    <m/>
  </r>
  <r>
    <s v="YK262101017"/>
    <s v="DBG1 Debug Test"/>
    <x v="2"/>
    <s v="1"/>
    <x v="2"/>
    <d v="2026-06-11T16:06:26"/>
    <x v="12"/>
    <x v="5"/>
    <x v="12"/>
    <m/>
    <m/>
    <m/>
  </r>
  <r>
    <s v="YK262101018"/>
    <s v="DBG1 Debug Test"/>
    <x v="2"/>
    <s v="1"/>
    <x v="2"/>
    <d v="2026-06-05T11:46:56"/>
    <x v="12"/>
    <x v="5"/>
    <x v="12"/>
    <m/>
    <m/>
    <m/>
  </r>
  <r>
    <s v="YK262101019"/>
    <s v="NOT-IN-PROCESS"/>
    <x v="0"/>
    <s v="1"/>
    <x v="0"/>
    <d v="2026-06-23T15:26:28"/>
    <x v="12"/>
    <x v="5"/>
    <x v="12"/>
    <m/>
    <m/>
    <m/>
  </r>
  <r>
    <s v="YK262101020"/>
    <s v="CMP1 Complete"/>
    <x v="6"/>
    <s v="1"/>
    <x v="5"/>
    <d v="2026-06-19T08:01:56"/>
    <x v="12"/>
    <x v="5"/>
    <x v="12"/>
    <m/>
    <m/>
    <m/>
  </r>
  <r>
    <s v="YK262101021"/>
    <s v="NOT-IN-PROCESS"/>
    <x v="0"/>
    <s v="1"/>
    <x v="0"/>
    <d v="2026-06-24T13:30:08"/>
    <x v="12"/>
    <x v="5"/>
    <x v="12"/>
    <m/>
    <m/>
    <m/>
  </r>
  <r>
    <s v="YK262101022"/>
    <s v="CMP1 Complete"/>
    <x v="6"/>
    <s v="1"/>
    <x v="5"/>
    <d v="2026-06-18T10:57:31"/>
    <x v="12"/>
    <x v="5"/>
    <x v="12"/>
    <m/>
    <m/>
    <m/>
  </r>
  <r>
    <s v="YK262101023"/>
    <s v="NOT-IN-PROCESS"/>
    <x v="0"/>
    <s v="1"/>
    <x v="0"/>
    <d v="2026-06-17T10:46:09"/>
    <x v="12"/>
    <x v="5"/>
    <x v="12"/>
    <m/>
    <m/>
    <m/>
  </r>
  <r>
    <s v="YK262101024"/>
    <s v="NOT-IN-PROCESS"/>
    <x v="0"/>
    <s v="1"/>
    <x v="0"/>
    <d v="2026-06-17T11:41:30"/>
    <x v="12"/>
    <x v="5"/>
    <x v="12"/>
    <m/>
    <m/>
    <m/>
  </r>
  <r>
    <s v="YK262101025"/>
    <s v="DBG1 Debug Test"/>
    <x v="2"/>
    <s v="1"/>
    <x v="2"/>
    <d v="2026-06-18T19:51:23"/>
    <x v="12"/>
    <x v="5"/>
    <x v="12"/>
    <m/>
    <m/>
    <m/>
  </r>
  <r>
    <s v="YK262101026"/>
    <s v="NOT-IN-PROCESS"/>
    <x v="0"/>
    <s v="1"/>
    <x v="0"/>
    <d v="2026-06-11T06:51:16"/>
    <x v="12"/>
    <x v="5"/>
    <x v="12"/>
    <m/>
    <m/>
    <m/>
  </r>
  <r>
    <s v="YK262101027"/>
    <s v="CMP1 Complete"/>
    <x v="6"/>
    <s v="1"/>
    <x v="5"/>
    <d v="2026-06-18T10:34:10"/>
    <x v="12"/>
    <x v="5"/>
    <x v="12"/>
    <m/>
    <m/>
    <m/>
  </r>
  <r>
    <s v="YK262101028"/>
    <s v="NOT-IN-PROCESS"/>
    <x v="0"/>
    <s v="1"/>
    <x v="0"/>
    <d v="2026-06-10T14:14:15"/>
    <x v="12"/>
    <x v="5"/>
    <x v="12"/>
    <m/>
    <m/>
    <m/>
  </r>
  <r>
    <s v="YK262101029"/>
    <s v="CMP1 Complete"/>
    <x v="6"/>
    <s v="1"/>
    <x v="5"/>
    <d v="2026-06-18T10:28:41"/>
    <x v="12"/>
    <x v="5"/>
    <x v="12"/>
    <m/>
    <m/>
    <m/>
  </r>
  <r>
    <s v="YK262101030"/>
    <s v="CMP1 Complete"/>
    <x v="6"/>
    <s v="1"/>
    <x v="5"/>
    <d v="2026-06-18T10:55:42"/>
    <x v="12"/>
    <x v="5"/>
    <x v="12"/>
    <m/>
    <m/>
    <m/>
  </r>
  <r>
    <s v="YK262101031"/>
    <s v="DBG1 Debug Test"/>
    <x v="2"/>
    <s v="1"/>
    <x v="2"/>
    <d v="2026-06-18T21:41:33"/>
    <x v="12"/>
    <x v="5"/>
    <x v="12"/>
    <m/>
    <m/>
    <m/>
  </r>
  <r>
    <s v="YK262101032"/>
    <s v="CMP1 Complete"/>
    <x v="6"/>
    <s v="1"/>
    <x v="5"/>
    <d v="2026-06-17T08:11:20"/>
    <x v="12"/>
    <x v="5"/>
    <x v="12"/>
    <m/>
    <m/>
    <m/>
  </r>
  <r>
    <s v="YK262101033"/>
    <s v="NOT-IN-PROCESS"/>
    <x v="0"/>
    <s v="1"/>
    <x v="0"/>
    <d v="2026-06-19T12:04:46"/>
    <x v="12"/>
    <x v="5"/>
    <x v="12"/>
    <m/>
    <m/>
    <m/>
  </r>
  <r>
    <s v="YK262101034"/>
    <s v="NOT-IN-PROCESS"/>
    <x v="0"/>
    <s v="1"/>
    <x v="0"/>
    <d v="2026-06-19T12:05:06"/>
    <x v="12"/>
    <x v="5"/>
    <x v="12"/>
    <m/>
    <m/>
    <m/>
  </r>
  <r>
    <s v="YK262101035"/>
    <s v="CMP1 Complete"/>
    <x v="6"/>
    <s v="1"/>
    <x v="5"/>
    <d v="2026-06-18T19:24:05"/>
    <x v="12"/>
    <x v="5"/>
    <x v="12"/>
    <m/>
    <m/>
    <m/>
  </r>
  <r>
    <s v="YK262101036"/>
    <s v="NOT-IN-PROCESS"/>
    <x v="0"/>
    <s v="1"/>
    <x v="0"/>
    <d v="2026-06-17T14:06:43"/>
    <x v="12"/>
    <x v="5"/>
    <x v="12"/>
    <m/>
    <m/>
    <m/>
  </r>
  <r>
    <s v="YK262101037"/>
    <s v="NOT-IN-PROCESS"/>
    <x v="0"/>
    <s v="1"/>
    <x v="0"/>
    <d v="2026-06-13T11:15:57"/>
    <x v="12"/>
    <x v="5"/>
    <x v="12"/>
    <m/>
    <m/>
    <m/>
  </r>
  <r>
    <s v="YK262101038"/>
    <s v="CMP1 Complete"/>
    <x v="6"/>
    <s v="1"/>
    <x v="5"/>
    <d v="2026-06-16T21:46:39"/>
    <x v="12"/>
    <x v="5"/>
    <x v="12"/>
    <m/>
    <m/>
    <m/>
  </r>
  <r>
    <s v="YK262101039"/>
    <s v="NOT-IN-PROCESS"/>
    <x v="0"/>
    <s v="1"/>
    <x v="0"/>
    <d v="2026-06-24T12:31:48"/>
    <x v="12"/>
    <x v="5"/>
    <x v="12"/>
    <m/>
    <m/>
    <m/>
  </r>
  <r>
    <s v="YK262101040"/>
    <s v="NOT-IN-PROCESS"/>
    <x v="0"/>
    <s v="1"/>
    <x v="0"/>
    <d v="2026-06-13T11:14:45"/>
    <x v="12"/>
    <x v="5"/>
    <x v="12"/>
    <m/>
    <m/>
    <m/>
  </r>
  <r>
    <s v="YK262101041"/>
    <s v="CMP1 Complete"/>
    <x v="6"/>
    <s v="1"/>
    <x v="5"/>
    <d v="2026-06-17T07:47:10"/>
    <x v="12"/>
    <x v="5"/>
    <x v="12"/>
    <m/>
    <m/>
    <m/>
  </r>
  <r>
    <s v="YK262101042"/>
    <s v="NOT-IN-PROCESS"/>
    <x v="0"/>
    <s v="1"/>
    <x v="0"/>
    <d v="2026-06-17T09:29:45"/>
    <x v="12"/>
    <x v="5"/>
    <x v="12"/>
    <m/>
    <m/>
    <m/>
  </r>
  <r>
    <s v="YK262101043"/>
    <s v="CMP1 Complete"/>
    <x v="6"/>
    <s v="1"/>
    <x v="5"/>
    <d v="2026-06-19T08:07:26"/>
    <x v="12"/>
    <x v="5"/>
    <x v="12"/>
    <m/>
    <m/>
    <m/>
  </r>
  <r>
    <s v="YK262101044"/>
    <s v="NOT-IN-PROCESS"/>
    <x v="0"/>
    <s v="1"/>
    <x v="0"/>
    <d v="2026-06-13T06:26:05"/>
    <x v="12"/>
    <x v="5"/>
    <x v="12"/>
    <m/>
    <m/>
    <m/>
  </r>
  <r>
    <s v="YK262101045"/>
    <s v="NOT-IN-PROCESS"/>
    <x v="0"/>
    <s v="1"/>
    <x v="0"/>
    <d v="2026-06-10T17:13:41"/>
    <x v="12"/>
    <x v="5"/>
    <x v="12"/>
    <m/>
    <m/>
    <m/>
  </r>
  <r>
    <s v="YK262101046"/>
    <s v="CMP1 Complete"/>
    <x v="6"/>
    <s v="1"/>
    <x v="5"/>
    <d v="2026-06-24T07:09:26"/>
    <x v="12"/>
    <x v="5"/>
    <x v="12"/>
    <m/>
    <m/>
    <m/>
  </r>
  <r>
    <s v="YK262101047"/>
    <s v="NOT-IN-PROCESS"/>
    <x v="0"/>
    <s v="1"/>
    <x v="0"/>
    <d v="2026-06-24T12:31:54"/>
    <x v="12"/>
    <x v="5"/>
    <x v="12"/>
    <m/>
    <m/>
    <m/>
  </r>
  <r>
    <s v="YK262101048"/>
    <s v="NOT-IN-PROCESS"/>
    <x v="0"/>
    <s v="1"/>
    <x v="0"/>
    <d v="2026-06-17T14:06:54"/>
    <x v="12"/>
    <x v="5"/>
    <x v="12"/>
    <m/>
    <m/>
    <m/>
  </r>
  <r>
    <s v="YK262101049"/>
    <s v="NOT-IN-PROCESS"/>
    <x v="0"/>
    <s v="1"/>
    <x v="0"/>
    <d v="2026-06-13T11:16:19"/>
    <x v="12"/>
    <x v="5"/>
    <x v="12"/>
    <m/>
    <m/>
    <m/>
  </r>
  <r>
    <s v="YK262101050"/>
    <s v="NOT-IN-PROCESS"/>
    <x v="0"/>
    <s v="1"/>
    <x v="0"/>
    <d v="2026-06-24T13:25:43"/>
    <x v="12"/>
    <x v="5"/>
    <x v="12"/>
    <m/>
    <m/>
    <m/>
  </r>
  <r>
    <s v="YK262101051"/>
    <s v="CMP1 Complete"/>
    <x v="6"/>
    <s v="1"/>
    <x v="5"/>
    <d v="2026-06-18T10:39:31"/>
    <x v="12"/>
    <x v="5"/>
    <x v="12"/>
    <m/>
    <m/>
    <m/>
  </r>
  <r>
    <s v="YK262101052"/>
    <s v="NOT-IN-PROCESS"/>
    <x v="0"/>
    <s v="1"/>
    <x v="0"/>
    <d v="2026-06-17T09:29:40"/>
    <x v="12"/>
    <x v="5"/>
    <x v="12"/>
    <m/>
    <m/>
    <m/>
  </r>
  <r>
    <s v="YK262101053"/>
    <s v="CMP1 Complete"/>
    <x v="6"/>
    <s v="1"/>
    <x v="5"/>
    <d v="2026-06-16T21:51:10"/>
    <x v="12"/>
    <x v="5"/>
    <x v="12"/>
    <m/>
    <m/>
    <m/>
  </r>
  <r>
    <s v="YK262101054"/>
    <s v="NOT-IN-PROCESS"/>
    <x v="0"/>
    <s v="1"/>
    <x v="0"/>
    <d v="2026-06-08T17:04:55"/>
    <x v="12"/>
    <x v="5"/>
    <x v="12"/>
    <m/>
    <m/>
    <m/>
  </r>
  <r>
    <s v="YK262101055"/>
    <s v="CMP1 Complete"/>
    <x v="6"/>
    <s v="1"/>
    <x v="5"/>
    <d v="2026-06-16T21:49:37"/>
    <x v="12"/>
    <x v="5"/>
    <x v="12"/>
    <m/>
    <m/>
    <m/>
  </r>
  <r>
    <s v="YK262101056"/>
    <s v="NOT-IN-PROCESS"/>
    <x v="0"/>
    <s v="1"/>
    <x v="0"/>
    <d v="2026-06-16T11:18:38"/>
    <x v="12"/>
    <x v="5"/>
    <x v="12"/>
    <m/>
    <m/>
    <m/>
  </r>
  <r>
    <s v="YK262101057"/>
    <s v="NOT-IN-PROCESS"/>
    <x v="0"/>
    <s v="1"/>
    <x v="0"/>
    <d v="2026-06-19T12:05:08"/>
    <x v="12"/>
    <x v="5"/>
    <x v="12"/>
    <m/>
    <m/>
    <m/>
  </r>
  <r>
    <s v="YK262101058"/>
    <s v="NOT-IN-PROCESS"/>
    <x v="0"/>
    <s v="1"/>
    <x v="0"/>
    <d v="2026-06-15T14:23:02"/>
    <x v="12"/>
    <x v="5"/>
    <x v="12"/>
    <m/>
    <m/>
    <m/>
  </r>
  <r>
    <s v="YK262101059"/>
    <s v="FUN1 Func Test"/>
    <x v="3"/>
    <s v="1"/>
    <x v="3"/>
    <d v="2026-06-19T06:50:45"/>
    <x v="12"/>
    <x v="5"/>
    <x v="12"/>
    <m/>
    <m/>
    <m/>
  </r>
  <r>
    <s v="YK262101060"/>
    <s v="NOT-IN-PROCESS"/>
    <x v="0"/>
    <s v="1"/>
    <x v="0"/>
    <d v="2026-06-19T13:59:36"/>
    <x v="12"/>
    <x v="5"/>
    <x v="12"/>
    <m/>
    <m/>
    <m/>
  </r>
  <r>
    <s v="YK262101061"/>
    <s v="NOT-IN-PROCESS"/>
    <x v="0"/>
    <s v="1"/>
    <x v="0"/>
    <d v="2026-06-08T13:15:07"/>
    <x v="12"/>
    <x v="5"/>
    <x v="12"/>
    <m/>
    <m/>
    <m/>
  </r>
  <r>
    <s v="YK262101062"/>
    <s v="SHIP Shipping"/>
    <x v="1"/>
    <s v="1"/>
    <x v="1"/>
    <d v="2026-06-22T13:17:45"/>
    <x v="12"/>
    <x v="5"/>
    <x v="12"/>
    <m/>
    <m/>
    <m/>
  </r>
  <r>
    <s v="YK262101063"/>
    <s v="SHIP Shipping"/>
    <x v="1"/>
    <s v="1"/>
    <x v="1"/>
    <d v="2026-06-12T10:34:08"/>
    <x v="12"/>
    <x v="5"/>
    <x v="12"/>
    <m/>
    <d v="2026-06-16T00:00:00"/>
    <m/>
  </r>
  <r>
    <s v="YK262101064"/>
    <s v="DBG1 Debug Test"/>
    <x v="2"/>
    <s v="1"/>
    <x v="2"/>
    <d v="2026-06-18T19:58:04"/>
    <x v="12"/>
    <x v="5"/>
    <x v="12"/>
    <m/>
    <m/>
    <m/>
  </r>
  <r>
    <s v="YK262101065"/>
    <s v="DBG1 Debug Test"/>
    <x v="2"/>
    <s v="1"/>
    <x v="2"/>
    <d v="2026-06-18T20:27:27"/>
    <x v="12"/>
    <x v="5"/>
    <x v="12"/>
    <m/>
    <m/>
    <m/>
  </r>
  <r>
    <s v="YK262101066"/>
    <s v="NOT-IN-PROCESS"/>
    <x v="0"/>
    <s v="1"/>
    <x v="0"/>
    <d v="2026-06-23T13:20:07"/>
    <x v="12"/>
    <x v="5"/>
    <x v="12"/>
    <m/>
    <m/>
    <m/>
  </r>
  <r>
    <s v="YK262101067"/>
    <s v="NOT-IN-PROCESS"/>
    <x v="0"/>
    <s v="1"/>
    <x v="0"/>
    <d v="2026-06-23T13:20:01"/>
    <x v="12"/>
    <x v="5"/>
    <x v="12"/>
    <m/>
    <m/>
    <m/>
  </r>
  <r>
    <s v="YK262101068"/>
    <s v="DBG1 Debug Test"/>
    <x v="2"/>
    <s v="1"/>
    <x v="2"/>
    <d v="2026-06-18T19:53:03"/>
    <x v="12"/>
    <x v="5"/>
    <x v="12"/>
    <m/>
    <m/>
    <m/>
  </r>
  <r>
    <s v="YK262101069"/>
    <s v="NOT-IN-PROCESS"/>
    <x v="0"/>
    <s v="1"/>
    <x v="0"/>
    <d v="2026-06-19T13:59:39"/>
    <x v="12"/>
    <x v="5"/>
    <x v="12"/>
    <m/>
    <m/>
    <m/>
  </r>
  <r>
    <s v="YK262101070"/>
    <s v="DBG1 Debug Test"/>
    <x v="2"/>
    <s v="1"/>
    <x v="2"/>
    <d v="2026-06-18T20:04:58"/>
    <x v="12"/>
    <x v="5"/>
    <x v="12"/>
    <m/>
    <m/>
    <m/>
  </r>
  <r>
    <s v="YK262101071"/>
    <s v="NOT-IN-PROCESS"/>
    <x v="0"/>
    <s v="1"/>
    <x v="0"/>
    <d v="2026-06-16T15:55:43"/>
    <x v="12"/>
    <x v="5"/>
    <x v="12"/>
    <m/>
    <m/>
    <m/>
  </r>
  <r>
    <s v="YK262101072"/>
    <s v="SHIP Shipping"/>
    <x v="1"/>
    <s v="1"/>
    <x v="1"/>
    <d v="2026-06-22T13:18:34"/>
    <x v="12"/>
    <x v="5"/>
    <x v="12"/>
    <m/>
    <m/>
    <m/>
  </r>
  <r>
    <s v="YK262101073"/>
    <s v="SHIP Shipping"/>
    <x v="1"/>
    <s v="1"/>
    <x v="1"/>
    <d v="2026-06-22T13:23:40"/>
    <x v="12"/>
    <x v="5"/>
    <x v="12"/>
    <m/>
    <m/>
    <m/>
  </r>
  <r>
    <s v="YK262101074"/>
    <s v="SHIP Shipping"/>
    <x v="1"/>
    <s v="1"/>
    <x v="1"/>
    <d v="2026-06-22T13:18:05"/>
    <x v="12"/>
    <x v="5"/>
    <x v="12"/>
    <m/>
    <m/>
    <m/>
  </r>
  <r>
    <s v="YK262101075"/>
    <s v="NOT-IN-PROCESS"/>
    <x v="0"/>
    <s v="1"/>
    <x v="0"/>
    <d v="2026-06-24T12:32:08"/>
    <x v="12"/>
    <x v="5"/>
    <x v="12"/>
    <m/>
    <m/>
    <m/>
  </r>
  <r>
    <s v="YK262101076"/>
    <s v="NOT-IN-PROCESS"/>
    <x v="0"/>
    <s v="1"/>
    <x v="0"/>
    <d v="2026-06-17T14:06:21"/>
    <x v="12"/>
    <x v="5"/>
    <x v="12"/>
    <m/>
    <m/>
    <m/>
  </r>
  <r>
    <s v="YK262101077"/>
    <s v="NOT-IN-PROCESS"/>
    <x v="0"/>
    <s v="1"/>
    <x v="0"/>
    <d v="2026-06-17T11:41:22"/>
    <x v="12"/>
    <x v="5"/>
    <x v="12"/>
    <m/>
    <m/>
    <m/>
  </r>
  <r>
    <s v="YK262101078"/>
    <s v="NOT-IN-PROCESS"/>
    <x v="0"/>
    <s v="1"/>
    <x v="0"/>
    <d v="2026-06-24T12:31:44"/>
    <x v="12"/>
    <x v="5"/>
    <x v="12"/>
    <m/>
    <m/>
    <m/>
  </r>
  <r>
    <s v="YK262101079"/>
    <s v="NOT-IN-PROCESS"/>
    <x v="0"/>
    <s v="1"/>
    <x v="0"/>
    <d v="2026-06-17T11:41:27"/>
    <x v="12"/>
    <x v="5"/>
    <x v="12"/>
    <m/>
    <m/>
    <m/>
  </r>
  <r>
    <s v="YK262101080"/>
    <s v="NOT-IN-PROCESS"/>
    <x v="0"/>
    <s v="1"/>
    <x v="0"/>
    <d v="2026-06-17T09:29:42"/>
    <x v="12"/>
    <x v="5"/>
    <x v="12"/>
    <m/>
    <m/>
    <m/>
  </r>
  <r>
    <s v="YK262101081"/>
    <s v="CMP1 Complete"/>
    <x v="6"/>
    <s v="1"/>
    <x v="5"/>
    <d v="2026-06-18T10:56:28"/>
    <x v="12"/>
    <x v="5"/>
    <x v="12"/>
    <m/>
    <m/>
    <m/>
  </r>
  <r>
    <s v="YK262101082"/>
    <s v="NOT-IN-PROCESS"/>
    <x v="0"/>
    <s v="1"/>
    <x v="0"/>
    <d v="2026-06-17T09:29:47"/>
    <x v="12"/>
    <x v="5"/>
    <x v="12"/>
    <m/>
    <m/>
    <m/>
  </r>
  <r>
    <s v="YK262101083"/>
    <s v="NOT-IN-PROCESS"/>
    <x v="0"/>
    <s v="1"/>
    <x v="0"/>
    <d v="2026-06-17T14:06:46"/>
    <x v="12"/>
    <x v="5"/>
    <x v="12"/>
    <m/>
    <m/>
    <m/>
  </r>
  <r>
    <s v="YK262101084"/>
    <s v="FUN1 Func Test"/>
    <x v="3"/>
    <s v="1"/>
    <x v="3"/>
    <d v="2026-06-12T10:26:26"/>
    <x v="12"/>
    <x v="5"/>
    <x v="12"/>
    <m/>
    <m/>
    <m/>
  </r>
  <r>
    <s v="YK262101085"/>
    <s v="NOT-IN-PROCESS"/>
    <x v="0"/>
    <s v="1"/>
    <x v="0"/>
    <d v="2026-06-24T13:25:52"/>
    <x v="12"/>
    <x v="5"/>
    <x v="12"/>
    <m/>
    <m/>
    <m/>
  </r>
  <r>
    <s v="YK262100005"/>
    <s v="NOT-IN-PROCESS"/>
    <x v="0"/>
    <s v="1"/>
    <x v="0"/>
    <d v="2026-06-17T14:06:59"/>
    <x v="13"/>
    <x v="6"/>
    <x v="13"/>
    <m/>
    <m/>
    <m/>
  </r>
  <r>
    <s v="YK262100006"/>
    <s v="SHIP Shipping"/>
    <x v="1"/>
    <s v="1"/>
    <x v="1"/>
    <d v="2026-06-22T13:12:53"/>
    <x v="13"/>
    <x v="6"/>
    <x v="13"/>
    <m/>
    <m/>
    <m/>
  </r>
  <r>
    <s v="YK262100007"/>
    <s v="CMP1 Complete"/>
    <x v="6"/>
    <s v="1"/>
    <x v="5"/>
    <d v="2026-06-23T08:14:45"/>
    <x v="13"/>
    <x v="6"/>
    <x v="13"/>
    <m/>
    <m/>
    <m/>
  </r>
  <r>
    <s v="YK262100008"/>
    <s v="DBG1 Debug Test"/>
    <x v="2"/>
    <s v="1"/>
    <x v="2"/>
    <d v="2026-06-23T16:04:15"/>
    <x v="13"/>
    <x v="6"/>
    <x v="13"/>
    <m/>
    <m/>
    <m/>
  </r>
  <r>
    <s v="YK262100009"/>
    <s v="CMP1 Complete"/>
    <x v="6"/>
    <s v="1"/>
    <x v="5"/>
    <d v="2026-06-16T19:13:15"/>
    <x v="13"/>
    <x v="6"/>
    <x v="13"/>
    <m/>
    <m/>
    <m/>
  </r>
  <r>
    <s v="YK262100010"/>
    <s v="NOT-IN-PROCESS"/>
    <x v="0"/>
    <s v="1"/>
    <x v="0"/>
    <d v="2026-06-16T11:19:04"/>
    <x v="13"/>
    <x v="6"/>
    <x v="13"/>
    <m/>
    <m/>
    <m/>
  </r>
  <r>
    <s v="YK262100011"/>
    <s v="DBG1 Debug Test"/>
    <x v="2"/>
    <s v="1"/>
    <x v="2"/>
    <d v="2026-06-10T06:24:04"/>
    <x v="13"/>
    <x v="6"/>
    <x v="13"/>
    <m/>
    <m/>
    <m/>
  </r>
  <r>
    <s v="YK262100012"/>
    <s v="NOT-IN-PROCESS"/>
    <x v="0"/>
    <s v="1"/>
    <x v="0"/>
    <d v="2026-06-24T13:30:05"/>
    <x v="13"/>
    <x v="6"/>
    <x v="13"/>
    <m/>
    <m/>
    <m/>
  </r>
  <r>
    <s v="YK262100013"/>
    <s v="NOT-IN-PROCESS"/>
    <x v="0"/>
    <s v="1"/>
    <x v="0"/>
    <d v="2026-06-13T06:27:06"/>
    <x v="13"/>
    <x v="6"/>
    <x v="13"/>
    <m/>
    <m/>
    <m/>
  </r>
  <r>
    <s v="YK262100014"/>
    <s v="NOT-IN-PROCESS"/>
    <x v="0"/>
    <s v="1"/>
    <x v="0"/>
    <d v="2026-06-23T15:26:35"/>
    <x v="13"/>
    <x v="6"/>
    <x v="13"/>
    <m/>
    <m/>
    <m/>
  </r>
  <r>
    <s v="YK262100015"/>
    <s v="NOT-IN-PROCESS"/>
    <x v="0"/>
    <s v="1"/>
    <x v="0"/>
    <d v="2026-06-10T10:46:56"/>
    <x v="13"/>
    <x v="6"/>
    <x v="13"/>
    <m/>
    <m/>
    <m/>
  </r>
  <r>
    <s v="YK262100016"/>
    <s v="NOT-IN-PROCESS"/>
    <x v="0"/>
    <s v="1"/>
    <x v="0"/>
    <d v="2026-06-24T12:31:28"/>
    <x v="13"/>
    <x v="6"/>
    <x v="13"/>
    <m/>
    <m/>
    <m/>
  </r>
  <r>
    <s v="YK262100017"/>
    <s v="NOT-IN-PROCESS"/>
    <x v="0"/>
    <s v="1"/>
    <x v="0"/>
    <d v="2026-06-10T14:12:03"/>
    <x v="13"/>
    <x v="6"/>
    <x v="13"/>
    <m/>
    <m/>
    <m/>
  </r>
  <r>
    <s v="YK262100018"/>
    <s v="NOT-IN-PROCESS"/>
    <x v="0"/>
    <s v="1"/>
    <x v="0"/>
    <d v="2026-06-11T13:57:08"/>
    <x v="13"/>
    <x v="6"/>
    <x v="13"/>
    <m/>
    <m/>
    <m/>
  </r>
  <r>
    <s v="YK262100019"/>
    <s v="CMP1 Complete"/>
    <x v="6"/>
    <s v="1"/>
    <x v="5"/>
    <d v="2026-06-23T18:45:06"/>
    <x v="13"/>
    <x v="6"/>
    <x v="13"/>
    <m/>
    <m/>
    <m/>
  </r>
  <r>
    <s v="YK262100020"/>
    <s v="CMP1 Complete"/>
    <x v="6"/>
    <s v="1"/>
    <x v="5"/>
    <d v="2026-06-24T21:19:25"/>
    <x v="13"/>
    <x v="6"/>
    <x v="13"/>
    <m/>
    <m/>
    <m/>
  </r>
  <r>
    <s v="YK262100021"/>
    <s v="NOT-IN-PROCESS"/>
    <x v="0"/>
    <s v="1"/>
    <x v="0"/>
    <d v="2026-06-08T17:03:48"/>
    <x v="13"/>
    <x v="6"/>
    <x v="13"/>
    <m/>
    <m/>
    <m/>
  </r>
  <r>
    <s v="YK262100022"/>
    <s v="NOT-IN-PROCESS"/>
    <x v="0"/>
    <s v="1"/>
    <x v="0"/>
    <d v="2026-06-16T11:19:09"/>
    <x v="13"/>
    <x v="6"/>
    <x v="13"/>
    <m/>
    <m/>
    <m/>
  </r>
  <r>
    <s v="YK262100023"/>
    <s v="CMP1 Complete"/>
    <x v="6"/>
    <s v="1"/>
    <x v="5"/>
    <d v="2026-06-23T18:06:48"/>
    <x v="13"/>
    <x v="6"/>
    <x v="13"/>
    <m/>
    <m/>
    <m/>
  </r>
  <r>
    <s v="YK262100024"/>
    <s v="CMP1 Complete"/>
    <x v="6"/>
    <s v="1"/>
    <x v="5"/>
    <d v="2026-06-23T19:04:37"/>
    <x v="13"/>
    <x v="6"/>
    <x v="13"/>
    <m/>
    <m/>
    <m/>
  </r>
  <r>
    <s v="YK262100025"/>
    <s v="NOT-IN-PROCESS"/>
    <x v="0"/>
    <s v="1"/>
    <x v="0"/>
    <d v="2026-06-10T17:14:58"/>
    <x v="13"/>
    <x v="6"/>
    <x v="13"/>
    <m/>
    <m/>
    <m/>
  </r>
  <r>
    <s v="YK262100026"/>
    <s v="CMP1 Complete"/>
    <x v="6"/>
    <s v="1"/>
    <x v="5"/>
    <d v="2026-06-23T18:51:41"/>
    <x v="13"/>
    <x v="6"/>
    <x v="13"/>
    <m/>
    <m/>
    <m/>
  </r>
  <r>
    <s v="YK262100027"/>
    <s v="DBG1 Debug Test"/>
    <x v="2"/>
    <s v="1"/>
    <x v="2"/>
    <d v="2026-06-18T20:52:48"/>
    <x v="13"/>
    <x v="6"/>
    <x v="13"/>
    <m/>
    <m/>
    <m/>
  </r>
  <r>
    <s v="YK262100028"/>
    <s v="DBG1 Debug Test"/>
    <x v="2"/>
    <s v="1"/>
    <x v="2"/>
    <d v="2026-06-18T21:13:23"/>
    <x v="13"/>
    <x v="6"/>
    <x v="13"/>
    <m/>
    <m/>
    <m/>
  </r>
  <r>
    <s v="YK262100029"/>
    <s v="NOT-IN-PROCESS"/>
    <x v="0"/>
    <s v="1"/>
    <x v="0"/>
    <d v="2026-06-23T13:19:47"/>
    <x v="13"/>
    <x v="6"/>
    <x v="13"/>
    <m/>
    <m/>
    <m/>
  </r>
  <r>
    <s v="YK262100030"/>
    <s v="NOT-IN-PROCESS"/>
    <x v="0"/>
    <s v="1"/>
    <x v="0"/>
    <d v="2026-06-13T06:24:49"/>
    <x v="13"/>
    <x v="6"/>
    <x v="13"/>
    <m/>
    <m/>
    <m/>
  </r>
  <r>
    <s v="YK262100031"/>
    <s v="NOT-IN-PROCESS"/>
    <x v="0"/>
    <s v="1"/>
    <x v="0"/>
    <d v="2026-06-19T12:05:13"/>
    <x v="13"/>
    <x v="6"/>
    <x v="13"/>
    <m/>
    <m/>
    <m/>
  </r>
  <r>
    <s v="YK262100032"/>
    <s v="NOT-IN-PROCESS"/>
    <x v="0"/>
    <s v="1"/>
    <x v="0"/>
    <d v="2026-06-10T17:15:12"/>
    <x v="13"/>
    <x v="6"/>
    <x v="13"/>
    <m/>
    <m/>
    <m/>
  </r>
  <r>
    <s v="YK262100033"/>
    <s v="NOT-IN-PROCESS"/>
    <x v="0"/>
    <s v="1"/>
    <x v="0"/>
    <d v="2026-06-10T10:44:33"/>
    <x v="13"/>
    <x v="6"/>
    <x v="13"/>
    <m/>
    <m/>
    <m/>
  </r>
  <r>
    <s v="YK262100034"/>
    <s v="NOT-IN-PROCESS"/>
    <x v="0"/>
    <s v="1"/>
    <x v="0"/>
    <d v="2026-06-24T12:32:20"/>
    <x v="13"/>
    <x v="6"/>
    <x v="13"/>
    <m/>
    <m/>
    <m/>
  </r>
  <r>
    <s v="YK262100035"/>
    <s v="DBG1 Debug Test"/>
    <x v="2"/>
    <s v="1"/>
    <x v="2"/>
    <d v="2026-06-23T11:52:31"/>
    <x v="13"/>
    <x v="6"/>
    <x v="13"/>
    <m/>
    <m/>
    <m/>
  </r>
  <r>
    <s v="YK262100036"/>
    <s v="FUN1 Func Test"/>
    <x v="3"/>
    <s v="1"/>
    <x v="3"/>
    <d v="2026-06-22T07:20:58"/>
    <x v="13"/>
    <x v="6"/>
    <x v="13"/>
    <m/>
    <m/>
    <m/>
  </r>
  <r>
    <s v="YK262100037"/>
    <s v="NOT-IN-PROCESS"/>
    <x v="0"/>
    <s v="1"/>
    <x v="0"/>
    <d v="2026-06-19T12:04:31"/>
    <x v="13"/>
    <x v="6"/>
    <x v="13"/>
    <m/>
    <m/>
    <m/>
  </r>
  <r>
    <s v="YK262100038"/>
    <s v="NOT-IN-PROCESS"/>
    <x v="0"/>
    <s v="1"/>
    <x v="0"/>
    <d v="2026-06-24T13:26:00"/>
    <x v="13"/>
    <x v="6"/>
    <x v="13"/>
    <m/>
    <m/>
    <m/>
  </r>
  <r>
    <s v="YK262100039"/>
    <s v="NOT-IN-PROCESS"/>
    <x v="0"/>
    <s v="1"/>
    <x v="0"/>
    <d v="2026-06-17T14:06:18"/>
    <x v="13"/>
    <x v="6"/>
    <x v="13"/>
    <m/>
    <m/>
    <m/>
  </r>
  <r>
    <s v="YK262100040"/>
    <s v="NOT-IN-PROCESS"/>
    <x v="0"/>
    <s v="1"/>
    <x v="0"/>
    <d v="2026-06-11T07:59:21"/>
    <x v="13"/>
    <x v="6"/>
    <x v="13"/>
    <m/>
    <m/>
    <m/>
  </r>
  <r>
    <s v="YK262100041"/>
    <s v="NOT-IN-PROCESS"/>
    <x v="0"/>
    <s v="1"/>
    <x v="0"/>
    <d v="2026-06-06T11:59:16"/>
    <x v="13"/>
    <x v="6"/>
    <x v="13"/>
    <m/>
    <m/>
    <m/>
  </r>
  <r>
    <s v="YK262100042"/>
    <s v="NOT-IN-PROCESS"/>
    <x v="0"/>
    <s v="1"/>
    <x v="0"/>
    <d v="2026-06-24T13:30:03"/>
    <x v="13"/>
    <x v="6"/>
    <x v="13"/>
    <m/>
    <m/>
    <m/>
  </r>
  <r>
    <s v="YK262100043"/>
    <s v="CMP1 Complete"/>
    <x v="6"/>
    <s v="1"/>
    <x v="5"/>
    <d v="2026-06-23T19:12:52"/>
    <x v="13"/>
    <x v="6"/>
    <x v="13"/>
    <m/>
    <m/>
    <m/>
  </r>
  <r>
    <s v="YK262100044"/>
    <s v="NOT-IN-PROCESS"/>
    <x v="0"/>
    <s v="1"/>
    <x v="0"/>
    <d v="2026-06-16T13:47:27"/>
    <x v="13"/>
    <x v="6"/>
    <x v="13"/>
    <m/>
    <m/>
    <m/>
  </r>
  <r>
    <s v="YK262100045"/>
    <s v="NOT-IN-PROCESS"/>
    <x v="0"/>
    <s v="1"/>
    <x v="0"/>
    <d v="2026-06-11T06:52:50"/>
    <x v="13"/>
    <x v="6"/>
    <x v="13"/>
    <m/>
    <m/>
    <m/>
  </r>
  <r>
    <s v="YK262100046"/>
    <s v="DBG1 Debug Test"/>
    <x v="2"/>
    <s v="1"/>
    <x v="2"/>
    <d v="2026-06-23T17:06:39"/>
    <x v="13"/>
    <x v="6"/>
    <x v="13"/>
    <m/>
    <m/>
    <m/>
  </r>
  <r>
    <s v="YK262100047"/>
    <s v="AOI1 AOI Inspect S1"/>
    <x v="13"/>
    <s v="1"/>
    <x v="3"/>
    <d v="2026-06-02T07:40:31"/>
    <x v="13"/>
    <x v="6"/>
    <x v="13"/>
    <m/>
    <m/>
    <m/>
  </r>
  <r>
    <s v="YK262100048"/>
    <s v="NOT-IN-PROCESS"/>
    <x v="0"/>
    <s v="1"/>
    <x v="0"/>
    <d v="2026-06-16T15:20:10"/>
    <x v="13"/>
    <x v="6"/>
    <x v="13"/>
    <m/>
    <m/>
    <m/>
  </r>
  <r>
    <s v="YK262100049"/>
    <s v="FUN1 Func Test"/>
    <x v="3"/>
    <s v="1"/>
    <x v="3"/>
    <d v="2026-06-22T07:21:49"/>
    <x v="13"/>
    <x v="6"/>
    <x v="13"/>
    <m/>
    <m/>
    <m/>
  </r>
  <r>
    <s v="YK262100050"/>
    <s v="NOT-IN-PROCESS"/>
    <x v="0"/>
    <s v="1"/>
    <x v="0"/>
    <d v="2026-06-05T12:13:50"/>
    <x v="13"/>
    <x v="6"/>
    <x v="13"/>
    <m/>
    <m/>
    <m/>
  </r>
  <r>
    <s v="YK262100051"/>
    <s v="NOT-IN-PROCESS"/>
    <x v="0"/>
    <s v="1"/>
    <x v="0"/>
    <d v="2026-06-24T13:30:26"/>
    <x v="13"/>
    <x v="6"/>
    <x v="13"/>
    <m/>
    <m/>
    <m/>
  </r>
  <r>
    <s v="YK262100052"/>
    <s v="NOT-IN-PROCESS"/>
    <x v="0"/>
    <s v="1"/>
    <x v="0"/>
    <d v="2026-06-06T11:56:38"/>
    <x v="13"/>
    <x v="6"/>
    <x v="13"/>
    <m/>
    <m/>
    <m/>
  </r>
  <r>
    <s v="YK262100053"/>
    <s v="NOT-IN-PROCESS"/>
    <x v="0"/>
    <s v="1"/>
    <x v="0"/>
    <d v="2026-06-17T14:06:12"/>
    <x v="13"/>
    <x v="6"/>
    <x v="13"/>
    <m/>
    <m/>
    <m/>
  </r>
  <r>
    <s v="YK262100054"/>
    <s v="CMP1 Complete"/>
    <x v="6"/>
    <s v="1"/>
    <x v="5"/>
    <d v="2026-06-24T20:42:36"/>
    <x v="13"/>
    <x v="6"/>
    <x v="13"/>
    <m/>
    <m/>
    <m/>
  </r>
  <r>
    <s v="YK262100055"/>
    <s v="DBG1 Debug Test"/>
    <x v="2"/>
    <s v="1"/>
    <x v="2"/>
    <d v="2026-06-11T07:21:16"/>
    <x v="13"/>
    <x v="6"/>
    <x v="13"/>
    <m/>
    <m/>
    <m/>
  </r>
  <r>
    <s v="YK262100056"/>
    <s v="NOT-IN-PROCESS"/>
    <x v="0"/>
    <s v="1"/>
    <x v="0"/>
    <d v="2026-06-08T17:06:15"/>
    <x v="13"/>
    <x v="6"/>
    <x v="13"/>
    <m/>
    <m/>
    <m/>
  </r>
  <r>
    <s v="YK262100057"/>
    <s v="DUT1 Test"/>
    <x v="14"/>
    <s v="1"/>
    <x v="3"/>
    <d v="2026-06-24T07:41:04"/>
    <x v="13"/>
    <x v="6"/>
    <x v="13"/>
    <m/>
    <m/>
    <m/>
  </r>
  <r>
    <s v="YK262100058"/>
    <s v="CMP1 Complete"/>
    <x v="6"/>
    <s v="1"/>
    <x v="5"/>
    <d v="2026-06-23T19:18:49"/>
    <x v="13"/>
    <x v="6"/>
    <x v="13"/>
    <m/>
    <m/>
    <m/>
  </r>
  <r>
    <s v="YK262100059"/>
    <s v="NOT-IN-PROCESS"/>
    <x v="0"/>
    <s v="1"/>
    <x v="0"/>
    <d v="2026-06-24T13:25:25"/>
    <x v="13"/>
    <x v="6"/>
    <x v="13"/>
    <m/>
    <m/>
    <m/>
  </r>
  <r>
    <s v="YK262100060"/>
    <s v="NOT-IN-PROCESS"/>
    <x v="0"/>
    <s v="1"/>
    <x v="0"/>
    <d v="2026-06-23T13:20:10"/>
    <x v="13"/>
    <x v="6"/>
    <x v="13"/>
    <m/>
    <m/>
    <m/>
  </r>
  <r>
    <s v="YK262100061"/>
    <s v="DBG1 Debug Test"/>
    <x v="2"/>
    <s v="1"/>
    <x v="2"/>
    <d v="2026-06-23T15:58:10"/>
    <x v="13"/>
    <x v="6"/>
    <x v="13"/>
    <m/>
    <m/>
    <m/>
  </r>
  <r>
    <s v="YK262100062"/>
    <s v="DBG1 Debug Test"/>
    <x v="2"/>
    <s v="1"/>
    <x v="2"/>
    <d v="2026-06-23T17:34:18"/>
    <x v="13"/>
    <x v="6"/>
    <x v="13"/>
    <m/>
    <m/>
    <m/>
  </r>
  <r>
    <s v="YK262100063"/>
    <s v="NOT-IN-PROCESS"/>
    <x v="0"/>
    <s v="1"/>
    <x v="0"/>
    <d v="2026-06-24T12:32:14"/>
    <x v="13"/>
    <x v="6"/>
    <x v="13"/>
    <m/>
    <m/>
    <m/>
  </r>
  <r>
    <s v="YK262100064"/>
    <s v="NOT-IN-PROCESS"/>
    <x v="0"/>
    <s v="1"/>
    <x v="0"/>
    <d v="2026-06-06T11:55:42"/>
    <x v="13"/>
    <x v="6"/>
    <x v="13"/>
    <m/>
    <m/>
    <m/>
  </r>
  <r>
    <s v="YK262100065"/>
    <s v="NOT-IN-PROCESS"/>
    <x v="0"/>
    <s v="1"/>
    <x v="0"/>
    <d v="2026-06-24T13:25:30"/>
    <x v="13"/>
    <x v="6"/>
    <x v="13"/>
    <m/>
    <m/>
    <m/>
  </r>
  <r>
    <s v="YK262100066"/>
    <s v="NOT-IN-PROCESS"/>
    <x v="0"/>
    <s v="1"/>
    <x v="0"/>
    <d v="2026-06-23T13:20:20"/>
    <x v="13"/>
    <x v="6"/>
    <x v="13"/>
    <m/>
    <m/>
    <m/>
  </r>
  <r>
    <s v="YK262100067"/>
    <s v="NOT-IN-PROCESS"/>
    <x v="0"/>
    <s v="1"/>
    <x v="0"/>
    <d v="2026-06-10T06:26:47"/>
    <x v="13"/>
    <x v="6"/>
    <x v="13"/>
    <m/>
    <m/>
    <m/>
  </r>
  <r>
    <s v="YK262100068"/>
    <s v="NOT-IN-PROCESS"/>
    <x v="0"/>
    <s v="1"/>
    <x v="0"/>
    <d v="2026-06-06T11:58:59"/>
    <x v="13"/>
    <x v="6"/>
    <x v="13"/>
    <m/>
    <m/>
    <m/>
  </r>
  <r>
    <s v="YK262100069"/>
    <s v="NOT-IN-PROCESS"/>
    <x v="0"/>
    <s v="1"/>
    <x v="0"/>
    <d v="2026-06-13T06:26:54"/>
    <x v="13"/>
    <x v="6"/>
    <x v="13"/>
    <m/>
    <m/>
    <m/>
  </r>
  <r>
    <s v="YK262100070"/>
    <s v="NOT-IN-PROCESS"/>
    <x v="0"/>
    <s v="1"/>
    <x v="0"/>
    <d v="2026-06-10T14:12:48"/>
    <x v="13"/>
    <x v="6"/>
    <x v="13"/>
    <m/>
    <m/>
    <m/>
  </r>
  <r>
    <s v="YK262100071"/>
    <s v="DBG1 Debug Test"/>
    <x v="2"/>
    <s v="1"/>
    <x v="2"/>
    <d v="2026-06-23T18:37:11"/>
    <x v="13"/>
    <x v="6"/>
    <x v="13"/>
    <m/>
    <m/>
    <m/>
  </r>
  <r>
    <s v="YK262100072"/>
    <s v="NOT-IN-PROCESS"/>
    <x v="0"/>
    <s v="1"/>
    <x v="0"/>
    <d v="2026-06-23T15:26:23"/>
    <x v="13"/>
    <x v="6"/>
    <x v="13"/>
    <m/>
    <m/>
    <m/>
  </r>
  <r>
    <s v="YK262100073"/>
    <s v="NOT-IN-PROCESS"/>
    <x v="0"/>
    <s v="1"/>
    <x v="0"/>
    <d v="2026-06-11T06:53:04"/>
    <x v="13"/>
    <x v="6"/>
    <x v="13"/>
    <m/>
    <m/>
    <m/>
  </r>
  <r>
    <s v="YK262100074"/>
    <s v="NOT-IN-PROCESS"/>
    <x v="0"/>
    <s v="1"/>
    <x v="0"/>
    <d v="2026-06-16T15:20:20"/>
    <x v="13"/>
    <x v="6"/>
    <x v="13"/>
    <m/>
    <m/>
    <m/>
  </r>
  <r>
    <s v="YK262100075"/>
    <s v="NOT-IN-PROCESS"/>
    <x v="0"/>
    <s v="1"/>
    <x v="0"/>
    <d v="2026-06-16T11:18:32"/>
    <x v="13"/>
    <x v="6"/>
    <x v="13"/>
    <m/>
    <m/>
    <m/>
  </r>
  <r>
    <s v="YK262100076"/>
    <s v="SHIP Shipping"/>
    <x v="1"/>
    <s v="1"/>
    <x v="1"/>
    <d v="2026-06-22T13:16:00"/>
    <x v="13"/>
    <x v="6"/>
    <x v="13"/>
    <m/>
    <m/>
    <m/>
  </r>
  <r>
    <s v="YK262100077"/>
    <s v="NOT-IN-PROCESS"/>
    <x v="0"/>
    <s v="1"/>
    <x v="0"/>
    <d v="2026-06-24T13:30:29"/>
    <x v="13"/>
    <x v="6"/>
    <x v="13"/>
    <m/>
    <m/>
    <m/>
  </r>
  <r>
    <s v="YK262100078"/>
    <s v="NOT-IN-PROCESS"/>
    <x v="0"/>
    <s v="1"/>
    <x v="0"/>
    <d v="2026-06-19T12:05:20"/>
    <x v="13"/>
    <x v="6"/>
    <x v="13"/>
    <m/>
    <m/>
    <m/>
  </r>
  <r>
    <s v="YK262100079"/>
    <s v="CMP1 Complete"/>
    <x v="6"/>
    <s v="1"/>
    <x v="5"/>
    <d v="2026-06-23T18:58:56"/>
    <x v="13"/>
    <x v="6"/>
    <x v="13"/>
    <m/>
    <m/>
    <m/>
  </r>
  <r>
    <s v="YK262100080"/>
    <s v="NOT-IN-PROCESS"/>
    <x v="0"/>
    <s v="1"/>
    <x v="0"/>
    <d v="2026-06-08T13:12:27"/>
    <x v="13"/>
    <x v="6"/>
    <x v="13"/>
    <m/>
    <m/>
    <m/>
  </r>
  <r>
    <s v="YK262100081"/>
    <s v="NOT-IN-PROCESS"/>
    <x v="0"/>
    <s v="1"/>
    <x v="0"/>
    <d v="2026-06-08T17:06:31"/>
    <x v="13"/>
    <x v="6"/>
    <x v="13"/>
    <m/>
    <m/>
    <m/>
  </r>
  <r>
    <s v="YK262100082"/>
    <s v="NOT-IN-PROCESS"/>
    <x v="0"/>
    <s v="1"/>
    <x v="0"/>
    <d v="2026-06-08T13:15:29"/>
    <x v="13"/>
    <x v="6"/>
    <x v="13"/>
    <m/>
    <m/>
    <m/>
  </r>
  <r>
    <s v="YK262100083"/>
    <s v="NOT-IN-PROCESS"/>
    <x v="0"/>
    <s v="1"/>
    <x v="0"/>
    <d v="2026-06-05T12:16:22"/>
    <x v="13"/>
    <x v="6"/>
    <x v="13"/>
    <m/>
    <m/>
    <m/>
  </r>
  <r>
    <s v="YK262100084"/>
    <s v="NOT-IN-PROCESS"/>
    <x v="0"/>
    <s v="1"/>
    <x v="0"/>
    <d v="2026-06-08T13:13:00"/>
    <x v="13"/>
    <x v="6"/>
    <x v="13"/>
    <m/>
    <m/>
    <m/>
  </r>
  <r>
    <s v="YK262100085"/>
    <s v="NOT-IN-PROCESS"/>
    <x v="0"/>
    <s v="1"/>
    <x v="0"/>
    <d v="2026-06-05T12:16:43"/>
    <x v="13"/>
    <x v="6"/>
    <x v="13"/>
    <m/>
    <m/>
    <m/>
  </r>
  <r>
    <s v="YK262100086"/>
    <s v="FUN1 Func Test"/>
    <x v="3"/>
    <s v="1"/>
    <x v="3"/>
    <d v="2026-06-22T07:22:50"/>
    <x v="13"/>
    <x v="6"/>
    <x v="13"/>
    <m/>
    <m/>
    <m/>
  </r>
  <r>
    <s v="YK262100087"/>
    <s v="NOT-IN-PROCESS"/>
    <x v="0"/>
    <s v="1"/>
    <x v="0"/>
    <d v="2026-06-08T13:15:58"/>
    <x v="13"/>
    <x v="6"/>
    <x v="13"/>
    <m/>
    <m/>
    <m/>
  </r>
  <r>
    <s v="YK262100088"/>
    <s v="NOT-IN-PROCESS"/>
    <x v="0"/>
    <s v="1"/>
    <x v="0"/>
    <d v="2026-06-11T13:55:00"/>
    <x v="13"/>
    <x v="6"/>
    <x v="13"/>
    <m/>
    <m/>
    <m/>
  </r>
  <r>
    <s v="YK262100089"/>
    <s v="NOT-IN-PROCESS"/>
    <x v="0"/>
    <s v="1"/>
    <x v="0"/>
    <d v="2026-06-16T13:10:54"/>
    <x v="13"/>
    <x v="6"/>
    <x v="13"/>
    <m/>
    <m/>
    <m/>
  </r>
  <r>
    <s v="YK262100090"/>
    <s v="CMP1 Complete"/>
    <x v="6"/>
    <s v="1"/>
    <x v="5"/>
    <d v="2026-06-23T17:54:45"/>
    <x v="13"/>
    <x v="6"/>
    <x v="13"/>
    <m/>
    <m/>
    <m/>
  </r>
  <r>
    <s v="YK262100091"/>
    <s v="NOT-IN-PROCESS"/>
    <x v="0"/>
    <s v="1"/>
    <x v="0"/>
    <d v="2026-06-11T07:59:36"/>
    <x v="13"/>
    <x v="6"/>
    <x v="13"/>
    <m/>
    <m/>
    <m/>
  </r>
  <r>
    <s v="YK262100092"/>
    <s v="NOT-IN-PROCESS"/>
    <x v="0"/>
    <s v="1"/>
    <x v="0"/>
    <d v="2026-06-11T13:54:43"/>
    <x v="13"/>
    <x v="6"/>
    <x v="13"/>
    <m/>
    <m/>
    <m/>
  </r>
  <r>
    <s v="YK262100093"/>
    <s v="NOT-IN-PROCESS"/>
    <x v="0"/>
    <s v="1"/>
    <x v="0"/>
    <d v="2026-06-10T06:27:58"/>
    <x v="13"/>
    <x v="6"/>
    <x v="13"/>
    <m/>
    <m/>
    <m/>
  </r>
  <r>
    <s v="YK262100094"/>
    <s v="DUT1 Test"/>
    <x v="14"/>
    <s v="1"/>
    <x v="3"/>
    <d v="2026-06-23T08:10:59"/>
    <x v="13"/>
    <x v="6"/>
    <x v="13"/>
    <m/>
    <m/>
    <m/>
  </r>
  <r>
    <s v="YK262100095"/>
    <s v="NOT-IN-PROCESS"/>
    <x v="0"/>
    <s v="1"/>
    <x v="0"/>
    <d v="2026-06-19T13:59:44"/>
    <x v="13"/>
    <x v="6"/>
    <x v="13"/>
    <m/>
    <m/>
    <m/>
  </r>
  <r>
    <s v="YK262100096"/>
    <s v="NOT-IN-PROCESS"/>
    <x v="0"/>
    <s v="1"/>
    <x v="0"/>
    <d v="2026-06-10T17:12:48"/>
    <x v="13"/>
    <x v="6"/>
    <x v="13"/>
    <m/>
    <m/>
    <m/>
  </r>
  <r>
    <s v="YK262100097"/>
    <s v="SHIP Shipping"/>
    <x v="1"/>
    <s v="1"/>
    <x v="1"/>
    <d v="2026-06-22T13:14:26"/>
    <x v="13"/>
    <x v="6"/>
    <x v="13"/>
    <m/>
    <m/>
    <m/>
  </r>
  <r>
    <s v="YK262100098"/>
    <s v="NOT-IN-PROCESS"/>
    <x v="0"/>
    <s v="1"/>
    <x v="0"/>
    <d v="2026-06-10T10:46:36"/>
    <x v="13"/>
    <x v="6"/>
    <x v="13"/>
    <m/>
    <m/>
    <m/>
  </r>
  <r>
    <s v="YK262100099"/>
    <s v="NOT-IN-PROCESS"/>
    <x v="0"/>
    <s v="1"/>
    <x v="0"/>
    <d v="2026-06-17T14:07:07"/>
    <x v="13"/>
    <x v="6"/>
    <x v="13"/>
    <m/>
    <m/>
    <m/>
  </r>
  <r>
    <s v="YK262100100"/>
    <s v="NOT-IN-PROCESS"/>
    <x v="0"/>
    <s v="1"/>
    <x v="0"/>
    <d v="2026-06-13T06:25:22"/>
    <x v="13"/>
    <x v="6"/>
    <x v="13"/>
    <m/>
    <m/>
    <m/>
  </r>
  <r>
    <s v="YK262100101"/>
    <s v="NOT-IN-PROCESS"/>
    <x v="0"/>
    <s v="1"/>
    <x v="0"/>
    <d v="2026-06-23T15:26:31"/>
    <x v="13"/>
    <x v="6"/>
    <x v="13"/>
    <m/>
    <m/>
    <m/>
  </r>
  <r>
    <s v="YK262100102"/>
    <s v="NOT-IN-PROCESS"/>
    <x v="0"/>
    <s v="1"/>
    <x v="0"/>
    <d v="2026-06-19T12:04:42"/>
    <x v="13"/>
    <x v="6"/>
    <x v="13"/>
    <m/>
    <m/>
    <m/>
  </r>
  <r>
    <s v="YK262100103"/>
    <s v="NOT-IN-PROCESS"/>
    <x v="0"/>
    <s v="1"/>
    <x v="0"/>
    <d v="2026-06-24T13:25:53"/>
    <x v="13"/>
    <x v="6"/>
    <x v="13"/>
    <m/>
    <m/>
    <m/>
  </r>
  <r>
    <s v="YK262100104"/>
    <s v="NOT-IN-PROCESS"/>
    <x v="0"/>
    <s v="1"/>
    <x v="0"/>
    <d v="2026-06-23T13:19:41"/>
    <x v="13"/>
    <x v="6"/>
    <x v="13"/>
    <m/>
    <m/>
    <m/>
  </r>
  <r>
    <s v="YK262100105"/>
    <s v="CMP1 Complete"/>
    <x v="6"/>
    <s v="1"/>
    <x v="5"/>
    <d v="2026-06-24T11:49:26"/>
    <x v="13"/>
    <x v="6"/>
    <x v="13"/>
    <m/>
    <m/>
    <m/>
  </r>
  <r>
    <s v="YK262100106"/>
    <s v="NOT-IN-PROCESS"/>
    <x v="0"/>
    <s v="1"/>
    <x v="0"/>
    <d v="2026-06-13T11:13:39"/>
    <x v="13"/>
    <x v="6"/>
    <x v="13"/>
    <m/>
    <m/>
    <m/>
  </r>
  <r>
    <s v="YK262100107"/>
    <s v="SHIP Shipping"/>
    <x v="1"/>
    <s v="1"/>
    <x v="1"/>
    <d v="2026-06-22T13:24:40"/>
    <x v="13"/>
    <x v="6"/>
    <x v="13"/>
    <m/>
    <m/>
    <m/>
  </r>
  <r>
    <s v="YK262100108"/>
    <s v="NOT-IN-PROCESS"/>
    <x v="0"/>
    <s v="1"/>
    <x v="0"/>
    <d v="2026-06-17T11:41:33"/>
    <x v="13"/>
    <x v="6"/>
    <x v="13"/>
    <m/>
    <m/>
    <m/>
  </r>
  <r>
    <s v="YK262100109"/>
    <s v="NOT-IN-PROCESS"/>
    <x v="0"/>
    <s v="1"/>
    <x v="0"/>
    <d v="2026-06-24T12:31:40"/>
    <x v="13"/>
    <x v="6"/>
    <x v="13"/>
    <m/>
    <m/>
    <m/>
  </r>
  <r>
    <s v="YK262100110"/>
    <s v="NOT-IN-PROCESS"/>
    <x v="0"/>
    <s v="1"/>
    <x v="0"/>
    <d v="2026-06-17T11:41:15"/>
    <x v="13"/>
    <x v="6"/>
    <x v="13"/>
    <m/>
    <m/>
    <m/>
  </r>
  <r>
    <s v="YK262100111"/>
    <s v="NOT-IN-PROCESS"/>
    <x v="0"/>
    <s v="1"/>
    <x v="0"/>
    <d v="2026-06-17T10:46:35"/>
    <x v="13"/>
    <x v="6"/>
    <x v="13"/>
    <m/>
    <m/>
    <m/>
  </r>
  <r>
    <s v="YK262100112"/>
    <s v="NOT-IN-PROCESS"/>
    <x v="0"/>
    <s v="1"/>
    <x v="0"/>
    <d v="2026-06-17T09:29:38"/>
    <x v="13"/>
    <x v="6"/>
    <x v="13"/>
    <m/>
    <m/>
    <m/>
  </r>
  <r>
    <s v="YK262100113"/>
    <s v="NOT-IN-PROCESS"/>
    <x v="0"/>
    <s v="1"/>
    <x v="0"/>
    <d v="2026-06-13T11:17:00"/>
    <x v="13"/>
    <x v="6"/>
    <x v="13"/>
    <m/>
    <m/>
    <m/>
  </r>
  <r>
    <s v="YK262100114"/>
    <s v="NOT-IN-PROCESS"/>
    <x v="0"/>
    <s v="1"/>
    <x v="0"/>
    <d v="2026-06-13T11:14:05"/>
    <x v="13"/>
    <x v="6"/>
    <x v="13"/>
    <m/>
    <m/>
    <m/>
  </r>
  <r>
    <s v="YK262100115"/>
    <s v="NOT-IN-PROCESS"/>
    <x v="0"/>
    <s v="1"/>
    <x v="0"/>
    <d v="2026-06-17T09:29:49"/>
    <x v="13"/>
    <x v="6"/>
    <x v="13"/>
    <m/>
    <m/>
    <m/>
  </r>
  <r>
    <s v="YK262100116"/>
    <s v="NOT-IN-PROCESS"/>
    <x v="0"/>
    <s v="1"/>
    <x v="0"/>
    <d v="2026-06-10T14:15:50"/>
    <x v="13"/>
    <x v="6"/>
    <x v="13"/>
    <m/>
    <m/>
    <m/>
  </r>
  <r>
    <s v="YK262100117"/>
    <s v="NOT-IN-PROCESS"/>
    <x v="0"/>
    <s v="1"/>
    <x v="0"/>
    <d v="2026-06-17T11:41:12"/>
    <x v="13"/>
    <x v="6"/>
    <x v="13"/>
    <m/>
    <m/>
    <m/>
  </r>
  <r>
    <s v="YK262100118"/>
    <s v="CMP1 Complete"/>
    <x v="6"/>
    <s v="1"/>
    <x v="5"/>
    <d v="2026-06-24T11:58:07"/>
    <x v="13"/>
    <x v="6"/>
    <x v="13"/>
    <m/>
    <m/>
    <m/>
  </r>
  <r>
    <s v="YK262100119"/>
    <s v="NOT-IN-PROCESS"/>
    <x v="0"/>
    <s v="1"/>
    <x v="0"/>
    <d v="2026-06-17T09:29:54"/>
    <x v="13"/>
    <x v="6"/>
    <x v="13"/>
    <m/>
    <m/>
    <m/>
  </r>
  <r>
    <s v="YK262100120"/>
    <s v="RWK2 Repair Test"/>
    <x v="8"/>
    <s v="1"/>
    <x v="4"/>
    <d v="2026-06-09T07:40:02"/>
    <x v="13"/>
    <x v="6"/>
    <x v="13"/>
    <m/>
    <m/>
    <m/>
  </r>
  <r>
    <s v="YK262100121"/>
    <s v="DUT1 Test"/>
    <x v="14"/>
    <s v="1"/>
    <x v="3"/>
    <d v="2026-06-24T11:52:25"/>
    <x v="13"/>
    <x v="6"/>
    <x v="13"/>
    <m/>
    <m/>
    <m/>
  </r>
  <r>
    <s v="YK262100122"/>
    <s v="NOT-IN-PROCESS"/>
    <x v="0"/>
    <s v="1"/>
    <x v="0"/>
    <d v="2026-06-10T10:44:15"/>
    <x v="13"/>
    <x v="6"/>
    <x v="13"/>
    <m/>
    <m/>
    <m/>
  </r>
  <r>
    <s v="YK262100123"/>
    <s v="NOT-IN-PROCESS"/>
    <x v="0"/>
    <s v="1"/>
    <x v="0"/>
    <d v="2026-06-10T14:16:14"/>
    <x v="13"/>
    <x v="6"/>
    <x v="13"/>
    <m/>
    <m/>
    <m/>
  </r>
  <r>
    <s v="YK262100124"/>
    <s v="NOT-IN-PROCESS"/>
    <x v="0"/>
    <s v="1"/>
    <x v="0"/>
    <d v="2026-06-19T13:59:51"/>
    <x v="13"/>
    <x v="6"/>
    <x v="13"/>
    <m/>
    <m/>
    <m/>
  </r>
  <r>
    <s v="YK262100125"/>
    <s v="NOT-IN-PROCESS"/>
    <x v="0"/>
    <s v="1"/>
    <x v="0"/>
    <d v="2026-06-17T10:46:41"/>
    <x v="13"/>
    <x v="6"/>
    <x v="13"/>
    <m/>
    <m/>
    <m/>
  </r>
  <r>
    <s v="YK262100126"/>
    <s v="NOT-IN-PROCESS"/>
    <x v="0"/>
    <s v="1"/>
    <x v="0"/>
    <d v="2026-06-17T10:45:48"/>
    <x v="13"/>
    <x v="6"/>
    <x v="13"/>
    <m/>
    <m/>
    <m/>
  </r>
  <r>
    <s v="YK262100127"/>
    <s v="NOT-IN-PROCESS"/>
    <x v="0"/>
    <s v="1"/>
    <x v="0"/>
    <d v="2026-06-08T17:04:25"/>
    <x v="13"/>
    <x v="6"/>
    <x v="13"/>
    <m/>
    <m/>
    <m/>
  </r>
  <r>
    <s v="YK262100128"/>
    <s v="CMP1 Complete"/>
    <x v="6"/>
    <s v="1"/>
    <x v="5"/>
    <d v="2026-06-24T11:54:02"/>
    <x v="13"/>
    <x v="6"/>
    <x v="13"/>
    <m/>
    <m/>
    <m/>
  </r>
  <r>
    <s v="YK262100129"/>
    <s v="NOT-IN-PROCESS"/>
    <x v="0"/>
    <s v="1"/>
    <x v="0"/>
    <d v="2026-06-10T06:25:52"/>
    <x v="13"/>
    <x v="6"/>
    <x v="13"/>
    <m/>
    <m/>
    <m/>
  </r>
  <r>
    <s v="YK262100130"/>
    <s v="NOT-IN-PROCESS"/>
    <x v="0"/>
    <s v="1"/>
    <x v="0"/>
    <d v="2026-06-11T06:49:52"/>
    <x v="13"/>
    <x v="6"/>
    <x v="13"/>
    <m/>
    <m/>
    <m/>
  </r>
  <r>
    <s v="YK262100131"/>
    <s v="NOT-IN-PROCESS"/>
    <x v="0"/>
    <s v="1"/>
    <x v="0"/>
    <d v="2026-06-10T17:26:19"/>
    <x v="13"/>
    <x v="6"/>
    <x v="13"/>
    <m/>
    <m/>
    <m/>
  </r>
  <r>
    <s v="YK262100132"/>
    <s v="NOT-IN-PROCESS"/>
    <x v="0"/>
    <s v="1"/>
    <x v="0"/>
    <d v="2026-06-10T06:28:14"/>
    <x v="13"/>
    <x v="6"/>
    <x v="13"/>
    <m/>
    <m/>
    <m/>
  </r>
  <r>
    <s v="YK262100133"/>
    <s v="NOT-IN-PROCESS"/>
    <x v="0"/>
    <s v="1"/>
    <x v="0"/>
    <d v="2026-06-11T06:50:44"/>
    <x v="13"/>
    <x v="6"/>
    <x v="13"/>
    <m/>
    <m/>
    <m/>
  </r>
  <r>
    <s v="YK262100134"/>
    <s v="DBG1 Debug Test"/>
    <x v="2"/>
    <s v="1"/>
    <x v="2"/>
    <d v="2026-06-18T21:19:16"/>
    <x v="13"/>
    <x v="6"/>
    <x v="13"/>
    <m/>
    <m/>
    <m/>
  </r>
  <r>
    <s v="YK262100135"/>
    <s v="NOT-IN-PROCESS"/>
    <x v="0"/>
    <s v="1"/>
    <x v="0"/>
    <d v="2026-06-17T09:29:29"/>
    <x v="13"/>
    <x v="6"/>
    <x v="13"/>
    <m/>
    <m/>
    <m/>
  </r>
  <r>
    <s v="YK262100136"/>
    <s v="NOT-IN-PROCESS"/>
    <x v="0"/>
    <s v="1"/>
    <x v="0"/>
    <d v="2026-06-13T11:16:40"/>
    <x v="13"/>
    <x v="6"/>
    <x v="13"/>
    <m/>
    <m/>
    <m/>
  </r>
  <r>
    <s v="YK262100137"/>
    <s v="SHIP Shipping"/>
    <x v="1"/>
    <s v="1"/>
    <x v="1"/>
    <d v="2026-06-22T13:25:42"/>
    <x v="13"/>
    <x v="6"/>
    <x v="13"/>
    <m/>
    <m/>
    <m/>
  </r>
  <r>
    <s v="YK262100138"/>
    <s v="SHIP Shipping"/>
    <x v="1"/>
    <s v="1"/>
    <x v="1"/>
    <d v="2026-06-22T13:24:09"/>
    <x v="13"/>
    <x v="6"/>
    <x v="13"/>
    <m/>
    <m/>
    <m/>
  </r>
  <r>
    <s v="YK262100139"/>
    <s v="NOT-IN-PROCESS"/>
    <x v="0"/>
    <s v="1"/>
    <x v="0"/>
    <d v="2026-06-19T13:59:23"/>
    <x v="13"/>
    <x v="6"/>
    <x v="13"/>
    <m/>
    <m/>
    <m/>
  </r>
  <r>
    <s v="YK262100140"/>
    <s v="NOT-IN-PROCESS"/>
    <x v="0"/>
    <s v="1"/>
    <x v="0"/>
    <d v="2026-06-17T11:41:39"/>
    <x v="13"/>
    <x v="6"/>
    <x v="13"/>
    <m/>
    <m/>
    <m/>
  </r>
  <r>
    <s v="YK262100141"/>
    <s v="NOT-IN-PROCESS"/>
    <x v="0"/>
    <s v="1"/>
    <x v="0"/>
    <d v="2026-06-17T10:45:53"/>
    <x v="13"/>
    <x v="6"/>
    <x v="13"/>
    <m/>
    <m/>
    <m/>
  </r>
  <r>
    <s v="YK262100142"/>
    <s v="DUT1 Test"/>
    <x v="14"/>
    <s v="1"/>
    <x v="3"/>
    <d v="2026-06-23T07:49:24"/>
    <x v="13"/>
    <x v="6"/>
    <x v="13"/>
    <m/>
    <m/>
    <m/>
  </r>
  <r>
    <s v="YK262100143"/>
    <s v="RWK1 Repair Test"/>
    <x v="5"/>
    <s v="1"/>
    <x v="4"/>
    <d v="2026-06-23T14:13:10"/>
    <x v="13"/>
    <x v="6"/>
    <x v="13"/>
    <m/>
    <m/>
    <m/>
  </r>
  <r>
    <s v="YK262100144"/>
    <s v="NOT-IN-PROCESS"/>
    <x v="0"/>
    <s v="1"/>
    <x v="0"/>
    <d v="2026-06-19T13:59:26"/>
    <x v="13"/>
    <x v="6"/>
    <x v="13"/>
    <m/>
    <m/>
    <m/>
  </r>
  <r>
    <s v="YK260400002"/>
    <s v="NOT-IN-PROCESS"/>
    <x v="0"/>
    <s v="1"/>
    <x v="0"/>
    <d v="2026-02-19T13:11:57"/>
    <x v="14"/>
    <x v="7"/>
    <x v="14"/>
    <m/>
    <m/>
    <m/>
  </r>
  <r>
    <s v="YK260400003"/>
    <s v="SHIP Shipping"/>
    <x v="1"/>
    <s v="1"/>
    <x v="1"/>
    <d v="2026-02-17T12:28:44"/>
    <x v="14"/>
    <x v="7"/>
    <x v="14"/>
    <m/>
    <d v="2026-02-05T00:00:00"/>
    <m/>
  </r>
  <r>
    <s v="YK260400004"/>
    <s v="SHIP Shipping"/>
    <x v="1"/>
    <s v="1"/>
    <x v="1"/>
    <d v="2026-02-11T11:25:38"/>
    <x v="14"/>
    <x v="7"/>
    <x v="14"/>
    <m/>
    <d v="2026-02-11T00:00:00"/>
    <m/>
  </r>
  <r>
    <s v="YK260400005"/>
    <s v="SHIP Shipping"/>
    <x v="1"/>
    <s v="1"/>
    <x v="1"/>
    <d v="2026-03-12T09:52:06"/>
    <x v="14"/>
    <x v="7"/>
    <x v="14"/>
    <m/>
    <d v="2026-03-19T00:00:00"/>
    <m/>
  </r>
  <r>
    <s v="YK260400006"/>
    <s v="SHIP Shipping"/>
    <x v="1"/>
    <s v="1"/>
    <x v="1"/>
    <d v="2026-03-10T11:11:06"/>
    <x v="14"/>
    <x v="7"/>
    <x v="14"/>
    <m/>
    <d v="2026-03-11T00:00:00"/>
    <m/>
  </r>
  <r>
    <s v="YK260400007"/>
    <s v="SHIP Shipping"/>
    <x v="1"/>
    <s v="1"/>
    <x v="1"/>
    <d v="2026-06-10T09:59:24"/>
    <x v="14"/>
    <x v="7"/>
    <x v="14"/>
    <m/>
    <m/>
    <m/>
  </r>
  <r>
    <s v="YK260400008"/>
    <s v="NOT-IN-PROCESS"/>
    <x v="0"/>
    <s v="1"/>
    <x v="0"/>
    <d v="2026-03-11T07:40:30"/>
    <x v="14"/>
    <x v="7"/>
    <x v="14"/>
    <m/>
    <m/>
    <m/>
  </r>
  <r>
    <s v="YK260400009"/>
    <s v="NOT-IN-PROCESS"/>
    <x v="0"/>
    <s v="1"/>
    <x v="0"/>
    <d v="2026-02-18T10:29:06"/>
    <x v="14"/>
    <x v="7"/>
    <x v="14"/>
    <m/>
    <m/>
    <m/>
  </r>
  <r>
    <s v="YK260400010"/>
    <s v="SHIP Shipping"/>
    <x v="1"/>
    <s v="1"/>
    <x v="1"/>
    <d v="2026-06-10T10:38:45"/>
    <x v="14"/>
    <x v="7"/>
    <x v="14"/>
    <m/>
    <m/>
    <m/>
  </r>
  <r>
    <s v="YK260400011"/>
    <s v="NOT-IN-PROCESS"/>
    <x v="0"/>
    <s v="1"/>
    <x v="0"/>
    <d v="2026-02-20T09:35:59"/>
    <x v="14"/>
    <x v="7"/>
    <x v="14"/>
    <m/>
    <m/>
    <m/>
  </r>
  <r>
    <s v="YK260400012"/>
    <s v="NOT-IN-PROCESS"/>
    <x v="0"/>
    <s v="1"/>
    <x v="0"/>
    <d v="2026-03-19T06:44:25"/>
    <x v="14"/>
    <x v="7"/>
    <x v="14"/>
    <m/>
    <m/>
    <m/>
  </r>
  <r>
    <s v="YK260400013"/>
    <s v="NOT-IN-PROCESS"/>
    <x v="0"/>
    <s v="1"/>
    <x v="0"/>
    <d v="2026-03-16T12:06:41"/>
    <x v="14"/>
    <x v="7"/>
    <x v="14"/>
    <m/>
    <m/>
    <m/>
  </r>
  <r>
    <s v="YK260400014"/>
    <s v="SHIP Shipping"/>
    <x v="1"/>
    <s v="1"/>
    <x v="1"/>
    <d v="2026-06-10T10:39:49"/>
    <x v="14"/>
    <x v="7"/>
    <x v="14"/>
    <m/>
    <m/>
    <m/>
  </r>
  <r>
    <s v="YK260400015"/>
    <s v="NOT-IN-PROCESS"/>
    <x v="0"/>
    <s v="1"/>
    <x v="0"/>
    <d v="2026-02-19T07:39:06"/>
    <x v="14"/>
    <x v="7"/>
    <x v="14"/>
    <m/>
    <m/>
    <m/>
  </r>
  <r>
    <s v="YK260400016"/>
    <s v="SHIP Shipping"/>
    <x v="1"/>
    <s v="1"/>
    <x v="1"/>
    <d v="2026-03-30T13:11:00"/>
    <x v="14"/>
    <x v="7"/>
    <x v="14"/>
    <m/>
    <m/>
    <m/>
  </r>
  <r>
    <s v="YK260400017"/>
    <s v="SHIP Shipping"/>
    <x v="1"/>
    <s v="1"/>
    <x v="1"/>
    <d v="2026-06-10T10:44:29"/>
    <x v="14"/>
    <x v="7"/>
    <x v="14"/>
    <m/>
    <m/>
    <m/>
  </r>
  <r>
    <s v="YK260400018"/>
    <s v="NOT-IN-PROCESS"/>
    <x v="0"/>
    <s v="1"/>
    <x v="0"/>
    <d v="2026-02-19T10:46:52"/>
    <x v="14"/>
    <x v="7"/>
    <x v="14"/>
    <m/>
    <m/>
    <m/>
  </r>
  <r>
    <s v="YK260400019"/>
    <s v="NOT-IN-PROCESS"/>
    <x v="0"/>
    <s v="1"/>
    <x v="0"/>
    <d v="2026-02-18T09:54:04"/>
    <x v="14"/>
    <x v="7"/>
    <x v="14"/>
    <m/>
    <m/>
    <m/>
  </r>
  <r>
    <s v="YK260400020"/>
    <s v="NOT-IN-PROCESS"/>
    <x v="0"/>
    <s v="1"/>
    <x v="0"/>
    <d v="2026-03-10T14:24:50"/>
    <x v="14"/>
    <x v="7"/>
    <x v="14"/>
    <m/>
    <m/>
    <m/>
  </r>
  <r>
    <s v="YK260400021"/>
    <s v="SHIP Shipping"/>
    <x v="1"/>
    <s v="1"/>
    <x v="1"/>
    <d v="2026-06-10T10:47:03"/>
    <x v="14"/>
    <x v="7"/>
    <x v="14"/>
    <m/>
    <m/>
    <m/>
  </r>
  <r>
    <s v="YK260400022"/>
    <s v="NOT-IN-PROCESS"/>
    <x v="0"/>
    <s v="1"/>
    <x v="0"/>
    <d v="2026-03-16T09:00:33"/>
    <x v="14"/>
    <x v="7"/>
    <x v="14"/>
    <m/>
    <m/>
    <m/>
  </r>
  <r>
    <s v="YK260400023"/>
    <s v="SHIP Shipping"/>
    <x v="1"/>
    <s v="1"/>
    <x v="1"/>
    <d v="2026-03-30T13:12:28"/>
    <x v="14"/>
    <x v="7"/>
    <x v="14"/>
    <m/>
    <m/>
    <m/>
  </r>
  <r>
    <s v="YK260400024"/>
    <s v="SHIP Shipping"/>
    <x v="1"/>
    <s v="1"/>
    <x v="1"/>
    <d v="2026-06-10T10:48:49"/>
    <x v="14"/>
    <x v="7"/>
    <x v="14"/>
    <m/>
    <m/>
    <m/>
  </r>
  <r>
    <s v="YK260400025"/>
    <s v="SHIP Shipping"/>
    <x v="1"/>
    <s v="1"/>
    <x v="1"/>
    <d v="2026-06-10T10:49:49"/>
    <x v="14"/>
    <x v="7"/>
    <x v="14"/>
    <m/>
    <m/>
    <m/>
  </r>
  <r>
    <s v="YK260400026"/>
    <s v="SHIP Shipping"/>
    <x v="1"/>
    <s v="1"/>
    <x v="1"/>
    <d v="2026-02-11T11:20:12"/>
    <x v="14"/>
    <x v="7"/>
    <x v="14"/>
    <m/>
    <d v="2026-02-11T00:00:00"/>
    <m/>
  </r>
  <r>
    <s v="YK261100002"/>
    <s v="SHIP Shipping"/>
    <x v="1"/>
    <s v="1"/>
    <x v="1"/>
    <d v="2026-06-01T11:45:21"/>
    <x v="15"/>
    <x v="8"/>
    <x v="15"/>
    <m/>
    <d v="2026-04-22T00:00:00"/>
    <m/>
  </r>
  <r>
    <s v="YK261100003"/>
    <s v="NOT-IN-PROCESS"/>
    <x v="0"/>
    <s v="1"/>
    <x v="0"/>
    <d v="2026-05-07T13:26:46"/>
    <x v="15"/>
    <x v="8"/>
    <x v="15"/>
    <m/>
    <m/>
    <m/>
  </r>
  <r>
    <s v="YK261100004"/>
    <s v="NOT-IN-PROCESS"/>
    <x v="0"/>
    <s v="1"/>
    <x v="0"/>
    <d v="2026-05-08T09:00:56"/>
    <x v="15"/>
    <x v="8"/>
    <x v="15"/>
    <m/>
    <m/>
    <m/>
  </r>
  <r>
    <s v="YK261100005"/>
    <s v="NOT-IN-PROCESS"/>
    <x v="0"/>
    <s v="1"/>
    <x v="0"/>
    <d v="2026-05-07T09:55:22"/>
    <x v="15"/>
    <x v="8"/>
    <x v="15"/>
    <m/>
    <m/>
    <m/>
  </r>
  <r>
    <s v="YK261100006"/>
    <s v="SHIP Shipping"/>
    <x v="1"/>
    <s v="1"/>
    <x v="1"/>
    <d v="2026-06-01T11:46:22"/>
    <x v="15"/>
    <x v="8"/>
    <x v="15"/>
    <m/>
    <d v="2026-04-22T00:00:00"/>
    <m/>
  </r>
  <r>
    <s v="YK261100007"/>
    <s v="NOT-IN-PROCESS"/>
    <x v="0"/>
    <s v="1"/>
    <x v="0"/>
    <d v="2026-05-12T06:58:44"/>
    <x v="15"/>
    <x v="8"/>
    <x v="15"/>
    <m/>
    <m/>
    <m/>
  </r>
  <r>
    <s v="YK261100008"/>
    <s v="NOT-IN-PROCESS"/>
    <x v="0"/>
    <s v="1"/>
    <x v="0"/>
    <d v="2026-04-11T06:40:00"/>
    <x v="15"/>
    <x v="8"/>
    <x v="15"/>
    <m/>
    <m/>
    <m/>
  </r>
  <r>
    <s v="YK261100009"/>
    <s v="SHIP Shipping"/>
    <x v="1"/>
    <s v="1"/>
    <x v="1"/>
    <d v="2026-04-22T06:53:17"/>
    <x v="15"/>
    <x v="8"/>
    <x v="15"/>
    <m/>
    <d v="2026-04-22T00:00:00"/>
    <m/>
  </r>
  <r>
    <s v="YK261100010"/>
    <s v="NOT-IN-PROCESS"/>
    <x v="0"/>
    <s v="1"/>
    <x v="0"/>
    <d v="2026-05-11T10:56:59"/>
    <x v="15"/>
    <x v="8"/>
    <x v="15"/>
    <m/>
    <m/>
    <m/>
  </r>
  <r>
    <s v="YK261100011"/>
    <s v="NOT-IN-PROCESS"/>
    <x v="0"/>
    <s v="1"/>
    <x v="0"/>
    <d v="2026-04-13T13:29:23"/>
    <x v="15"/>
    <x v="8"/>
    <x v="15"/>
    <m/>
    <m/>
    <m/>
  </r>
  <r>
    <s v="YK261100012"/>
    <s v="NOT-IN-PROCESS"/>
    <x v="0"/>
    <s v="1"/>
    <x v="0"/>
    <d v="2026-05-08T10:05:36"/>
    <x v="15"/>
    <x v="8"/>
    <x v="15"/>
    <m/>
    <m/>
    <m/>
  </r>
  <r>
    <s v="YK261100013"/>
    <s v="SHIP Shipping"/>
    <x v="1"/>
    <s v="1"/>
    <x v="1"/>
    <d v="2026-05-28T06:52:25"/>
    <x v="15"/>
    <x v="8"/>
    <x v="15"/>
    <m/>
    <d v="2026-05-28T00:00:00"/>
    <m/>
  </r>
  <r>
    <s v="YK261100014"/>
    <s v="SHIP Shipping"/>
    <x v="1"/>
    <s v="1"/>
    <x v="1"/>
    <d v="2026-03-27T14:15:59"/>
    <x v="15"/>
    <x v="8"/>
    <x v="15"/>
    <m/>
    <d v="2026-03-27T00:00:00"/>
    <m/>
  </r>
  <r>
    <s v="YK261100015"/>
    <s v="SHIP Shipping"/>
    <x v="1"/>
    <s v="1"/>
    <x v="1"/>
    <d v="2026-06-01T11:47:48"/>
    <x v="15"/>
    <x v="8"/>
    <x v="15"/>
    <m/>
    <d v="2026-04-22T00:00:00"/>
    <m/>
  </r>
  <r>
    <s v="YK261100016"/>
    <s v="NOT-IN-PROCESS"/>
    <x v="0"/>
    <s v="1"/>
    <x v="0"/>
    <d v="2026-04-15T06:57:42"/>
    <x v="15"/>
    <x v="8"/>
    <x v="15"/>
    <m/>
    <m/>
    <m/>
  </r>
  <r>
    <s v="YK261100017"/>
    <s v="SHIP Shipping"/>
    <x v="1"/>
    <s v="1"/>
    <x v="1"/>
    <d v="2026-04-27T07:47:49"/>
    <x v="15"/>
    <x v="8"/>
    <x v="15"/>
    <m/>
    <d v="2026-04-27T00:00:00"/>
    <m/>
  </r>
  <r>
    <s v="YK261100018"/>
    <s v="NOT-IN-PROCESS"/>
    <x v="0"/>
    <s v="1"/>
    <x v="0"/>
    <d v="2026-05-12T10:43:58"/>
    <x v="15"/>
    <x v="8"/>
    <x v="15"/>
    <m/>
    <m/>
    <m/>
  </r>
  <r>
    <s v="YK261100019"/>
    <s v="NOT-IN-PROCESS"/>
    <x v="0"/>
    <s v="1"/>
    <x v="0"/>
    <d v="2026-05-11T07:24:34"/>
    <x v="15"/>
    <x v="8"/>
    <x v="15"/>
    <m/>
    <m/>
    <m/>
  </r>
  <r>
    <s v="YK261100020"/>
    <s v="SHIP Shipping"/>
    <x v="1"/>
    <s v="1"/>
    <x v="1"/>
    <d v="2026-06-10T09:15:26"/>
    <x v="15"/>
    <x v="8"/>
    <x v="15"/>
    <m/>
    <d v="2026-05-21T00:00:00"/>
    <m/>
  </r>
  <r>
    <s v="YK261100021"/>
    <s v="SHIP Shipping"/>
    <x v="1"/>
    <s v="1"/>
    <x v="1"/>
    <d v="2026-06-01T11:49:14"/>
    <x v="15"/>
    <x v="8"/>
    <x v="15"/>
    <m/>
    <d v="2026-04-22T00:00:00"/>
    <m/>
  </r>
  <r>
    <s v="YK261100022"/>
    <s v="SHIP Shipping"/>
    <x v="1"/>
    <s v="1"/>
    <x v="1"/>
    <d v="2026-06-01T11:50:23"/>
    <x v="15"/>
    <x v="8"/>
    <x v="15"/>
    <m/>
    <d v="2026-04-22T00:00:00"/>
    <m/>
  </r>
  <r>
    <s v="YK261100023"/>
    <s v="SHIP Shipping"/>
    <x v="1"/>
    <s v="1"/>
    <x v="1"/>
    <d v="2026-06-10T09:14:42"/>
    <x v="15"/>
    <x v="8"/>
    <x v="15"/>
    <m/>
    <d v="2026-05-21T00:00:00"/>
    <m/>
  </r>
  <r>
    <s v="YK261100024"/>
    <s v="SHIP Shipping"/>
    <x v="1"/>
    <s v="1"/>
    <x v="1"/>
    <d v="2026-06-01T11:51:25"/>
    <x v="15"/>
    <x v="8"/>
    <x v="15"/>
    <m/>
    <d v="2026-04-22T00:00:00"/>
    <m/>
  </r>
  <r>
    <s v="YK261100025"/>
    <s v="NOT-IN-PROCESS"/>
    <x v="0"/>
    <s v="1"/>
    <x v="0"/>
    <d v="2026-05-11T13:04:34"/>
    <x v="15"/>
    <x v="8"/>
    <x v="15"/>
    <m/>
    <m/>
    <m/>
  </r>
  <r>
    <s v="YK261100026"/>
    <s v="NOT-IN-PROCESS"/>
    <x v="0"/>
    <s v="1"/>
    <x v="0"/>
    <d v="2026-05-07T14:15:08"/>
    <x v="15"/>
    <x v="8"/>
    <x v="15"/>
    <m/>
    <m/>
    <m/>
  </r>
  <r>
    <s v="YK261100027"/>
    <s v="SHIP Shipping"/>
    <x v="1"/>
    <s v="1"/>
    <x v="1"/>
    <d v="2026-06-10T09:10:27"/>
    <x v="15"/>
    <x v="8"/>
    <x v="15"/>
    <m/>
    <d v="2026-05-21T00:00:00"/>
    <m/>
  </r>
  <r>
    <s v="YK261100028"/>
    <s v="NOT-IN-PROCESS"/>
    <x v="0"/>
    <s v="1"/>
    <x v="0"/>
    <d v="2026-04-11T10:59:12"/>
    <x v="15"/>
    <x v="8"/>
    <x v="15"/>
    <m/>
    <m/>
    <m/>
  </r>
  <r>
    <s v="YK261100029"/>
    <s v="NOT-IN-PROCESS"/>
    <x v="0"/>
    <s v="1"/>
    <x v="0"/>
    <d v="2026-05-06T11:36:49"/>
    <x v="15"/>
    <x v="8"/>
    <x v="15"/>
    <m/>
    <m/>
    <m/>
  </r>
  <r>
    <s v="YK261100030"/>
    <s v="SHIP Shipping"/>
    <x v="1"/>
    <s v="1"/>
    <x v="1"/>
    <d v="2026-06-10T09:11:20"/>
    <x v="15"/>
    <x v="8"/>
    <x v="15"/>
    <m/>
    <d v="2026-05-21T00:00:00"/>
    <m/>
  </r>
  <r>
    <s v="YK261700001"/>
    <s v="NOT-IN-PROCESS"/>
    <x v="0"/>
    <s v="1"/>
    <x v="0"/>
    <d v="2026-06-17T11:40:12"/>
    <x v="16"/>
    <x v="9"/>
    <x v="16"/>
    <m/>
    <m/>
    <m/>
  </r>
  <r>
    <s v="YK261700002"/>
    <s v="CMP1 Complete"/>
    <x v="6"/>
    <s v="1"/>
    <x v="5"/>
    <d v="2026-06-13T12:58:29"/>
    <x v="16"/>
    <x v="9"/>
    <x v="16"/>
    <m/>
    <m/>
    <m/>
  </r>
  <r>
    <s v="YK261700003"/>
    <s v="NOT-IN-PROCESS"/>
    <x v="0"/>
    <s v="1"/>
    <x v="0"/>
    <d v="2026-05-28T08:41:28"/>
    <x v="16"/>
    <x v="9"/>
    <x v="16"/>
    <m/>
    <m/>
    <m/>
  </r>
  <r>
    <s v="YK261700004"/>
    <s v="NOT-IN-PROCESS"/>
    <x v="0"/>
    <s v="1"/>
    <x v="0"/>
    <d v="2026-06-17T15:16:31"/>
    <x v="16"/>
    <x v="9"/>
    <x v="16"/>
    <m/>
    <m/>
    <m/>
  </r>
  <r>
    <s v="YK261700005"/>
    <s v="NOT-IN-PROCESS"/>
    <x v="0"/>
    <s v="1"/>
    <x v="0"/>
    <d v="2026-06-13T07:15:09"/>
    <x v="16"/>
    <x v="9"/>
    <x v="16"/>
    <m/>
    <m/>
    <m/>
  </r>
  <r>
    <s v="YK261700006"/>
    <s v="NOT-IN-PROCESS"/>
    <x v="0"/>
    <s v="1"/>
    <x v="0"/>
    <d v="2026-06-22T10:03:52"/>
    <x v="16"/>
    <x v="9"/>
    <x v="16"/>
    <m/>
    <m/>
    <m/>
  </r>
  <r>
    <s v="YK261700007"/>
    <s v="CMP1 Complete"/>
    <x v="6"/>
    <s v="1"/>
    <x v="5"/>
    <d v="2026-06-17T14:54:38"/>
    <x v="16"/>
    <x v="9"/>
    <x v="16"/>
    <m/>
    <m/>
    <m/>
  </r>
  <r>
    <s v="YK261700008"/>
    <s v="NOT-IN-PROCESS"/>
    <x v="0"/>
    <s v="1"/>
    <x v="0"/>
    <d v="2026-06-10T14:57:46"/>
    <x v="16"/>
    <x v="9"/>
    <x v="16"/>
    <m/>
    <m/>
    <m/>
  </r>
  <r>
    <s v="YK261700009"/>
    <s v="NOT-IN-PROCESS"/>
    <x v="0"/>
    <s v="1"/>
    <x v="0"/>
    <d v="2026-06-17T11:21:43"/>
    <x v="16"/>
    <x v="9"/>
    <x v="16"/>
    <m/>
    <m/>
    <m/>
  </r>
  <r>
    <s v="YK261700010"/>
    <s v="DBG1 Debug Test"/>
    <x v="2"/>
    <s v="1"/>
    <x v="2"/>
    <d v="2026-06-11T16:17:16"/>
    <x v="16"/>
    <x v="9"/>
    <x v="16"/>
    <m/>
    <m/>
    <m/>
  </r>
  <r>
    <s v="YK261700011"/>
    <s v="NOT-IN-PROCESS"/>
    <x v="0"/>
    <s v="1"/>
    <x v="0"/>
    <d v="2026-06-06T12:54:18"/>
    <x v="16"/>
    <x v="9"/>
    <x v="16"/>
    <m/>
    <m/>
    <m/>
  </r>
  <r>
    <s v="YK261700012"/>
    <s v="NOT-IN-PROCESS"/>
    <x v="0"/>
    <s v="1"/>
    <x v="0"/>
    <d v="2026-06-08T17:39:28"/>
    <x v="16"/>
    <x v="9"/>
    <x v="16"/>
    <m/>
    <m/>
    <m/>
  </r>
  <r>
    <s v="YK261700013"/>
    <s v="NOT-IN-PROCESS"/>
    <x v="0"/>
    <s v="1"/>
    <x v="0"/>
    <d v="2026-06-17T13:25:42"/>
    <x v="16"/>
    <x v="9"/>
    <x v="16"/>
    <m/>
    <m/>
    <m/>
  </r>
  <r>
    <s v="YK261700014"/>
    <s v="NOT-IN-PROCESS"/>
    <x v="0"/>
    <s v="1"/>
    <x v="0"/>
    <d v="2026-06-13T11:42:05"/>
    <x v="16"/>
    <x v="9"/>
    <x v="16"/>
    <m/>
    <m/>
    <m/>
  </r>
  <r>
    <s v="YK261700015"/>
    <s v="NOT-IN-PROCESS"/>
    <x v="0"/>
    <s v="1"/>
    <x v="0"/>
    <d v="2026-05-28T12:12:29"/>
    <x v="16"/>
    <x v="9"/>
    <x v="16"/>
    <m/>
    <m/>
    <m/>
  </r>
  <r>
    <s v="YK261700016"/>
    <s v="NOT-IN-PROCESS"/>
    <x v="0"/>
    <s v="1"/>
    <x v="0"/>
    <d v="2026-06-11T07:46:12"/>
    <x v="16"/>
    <x v="9"/>
    <x v="16"/>
    <m/>
    <m/>
    <m/>
  </r>
  <r>
    <s v="YK261700017"/>
    <s v="NOT-IN-PROCESS"/>
    <x v="0"/>
    <s v="1"/>
    <x v="0"/>
    <d v="2026-05-28T12:02:40"/>
    <x v="16"/>
    <x v="9"/>
    <x v="16"/>
    <m/>
    <m/>
    <m/>
  </r>
  <r>
    <s v="YK261700018"/>
    <s v="NOT-IN-PROCESS"/>
    <x v="0"/>
    <s v="1"/>
    <x v="0"/>
    <d v="2026-06-16T13:56:17"/>
    <x v="16"/>
    <x v="9"/>
    <x v="16"/>
    <m/>
    <m/>
    <m/>
  </r>
  <r>
    <s v="YK261700019"/>
    <s v="NOT-IN-PROCESS"/>
    <x v="0"/>
    <s v="1"/>
    <x v="0"/>
    <d v="2026-05-27T09:21:53"/>
    <x v="16"/>
    <x v="9"/>
    <x v="16"/>
    <m/>
    <m/>
    <m/>
  </r>
  <r>
    <s v="YK261700020"/>
    <s v="NOT-IN-PROCESS"/>
    <x v="0"/>
    <s v="1"/>
    <x v="0"/>
    <d v="2026-06-17T14:39:50"/>
    <x v="16"/>
    <x v="9"/>
    <x v="16"/>
    <m/>
    <m/>
    <m/>
  </r>
  <r>
    <s v="YK261700021"/>
    <s v="NOT-IN-PROCESS"/>
    <x v="0"/>
    <s v="1"/>
    <x v="0"/>
    <d v="2026-06-05T13:44:01"/>
    <x v="16"/>
    <x v="9"/>
    <x v="16"/>
    <m/>
    <m/>
    <m/>
  </r>
  <r>
    <s v="YK261700022"/>
    <s v="NOT-IN-PROCESS"/>
    <x v="0"/>
    <s v="1"/>
    <x v="0"/>
    <d v="2026-06-19T13:54:13"/>
    <x v="16"/>
    <x v="9"/>
    <x v="16"/>
    <m/>
    <m/>
    <m/>
  </r>
  <r>
    <s v="YK261700023"/>
    <s v="FUN1 Func Test"/>
    <x v="3"/>
    <s v="1"/>
    <x v="3"/>
    <d v="2026-06-08T06:34:34"/>
    <x v="16"/>
    <x v="9"/>
    <x v="16"/>
    <m/>
    <m/>
    <m/>
  </r>
  <r>
    <s v="YK261700024"/>
    <s v="NOT-IN-PROCESS"/>
    <x v="0"/>
    <s v="1"/>
    <x v="0"/>
    <d v="2026-05-27T09:39:47"/>
    <x v="16"/>
    <x v="9"/>
    <x v="16"/>
    <m/>
    <m/>
    <m/>
  </r>
  <r>
    <s v="YK261700025"/>
    <s v="NOT-IN-PROCESS"/>
    <x v="0"/>
    <s v="1"/>
    <x v="0"/>
    <d v="2026-06-11T10:33:59"/>
    <x v="16"/>
    <x v="9"/>
    <x v="16"/>
    <m/>
    <m/>
    <m/>
  </r>
  <r>
    <s v="YK261700026"/>
    <s v="NOT-IN-PROCESS"/>
    <x v="0"/>
    <s v="1"/>
    <x v="0"/>
    <d v="2026-06-10T17:46:40"/>
    <x v="16"/>
    <x v="9"/>
    <x v="16"/>
    <m/>
    <m/>
    <m/>
  </r>
  <r>
    <s v="YK261700027"/>
    <s v="NOT-IN-PROCESS"/>
    <x v="0"/>
    <s v="1"/>
    <x v="0"/>
    <d v="2026-06-10T06:38:08"/>
    <x v="16"/>
    <x v="9"/>
    <x v="16"/>
    <m/>
    <m/>
    <m/>
  </r>
  <r>
    <s v="YK261700028"/>
    <s v="RWK1 Repair Test"/>
    <x v="5"/>
    <s v="1"/>
    <x v="4"/>
    <d v="2026-05-28T11:55:13"/>
    <x v="16"/>
    <x v="9"/>
    <x v="16"/>
    <m/>
    <m/>
    <m/>
  </r>
  <r>
    <s v="YK261700029"/>
    <s v="NOT-IN-PROCESS"/>
    <x v="0"/>
    <s v="1"/>
    <x v="0"/>
    <d v="2026-06-08T13:39:44"/>
    <x v="16"/>
    <x v="9"/>
    <x v="16"/>
    <m/>
    <m/>
    <m/>
  </r>
  <r>
    <s v="YK261700030"/>
    <s v="NOT-IN-PROCESS"/>
    <x v="0"/>
    <s v="1"/>
    <x v="0"/>
    <d v="2026-06-13T13:01:17"/>
    <x v="16"/>
    <x v="9"/>
    <x v="16"/>
    <m/>
    <m/>
    <m/>
  </r>
  <r>
    <s v="YK261700031"/>
    <s v="RWK1 Repair Test"/>
    <x v="5"/>
    <s v="1"/>
    <x v="4"/>
    <d v="2026-06-22T09:28:24"/>
    <x v="16"/>
    <x v="9"/>
    <x v="16"/>
    <m/>
    <m/>
    <m/>
  </r>
  <r>
    <s v="YK261700032"/>
    <s v="NOT-IN-PROCESS"/>
    <x v="0"/>
    <s v="1"/>
    <x v="0"/>
    <d v="2026-05-28T09:26:00"/>
    <x v="16"/>
    <x v="9"/>
    <x v="16"/>
    <m/>
    <m/>
    <m/>
  </r>
  <r>
    <s v="YK261700033"/>
    <s v="RWK1 Repair Test"/>
    <x v="5"/>
    <s v="1"/>
    <x v="4"/>
    <d v="2026-06-24T11:37:22"/>
    <x v="16"/>
    <x v="9"/>
    <x v="16"/>
    <m/>
    <m/>
    <m/>
  </r>
  <r>
    <s v="YK261700034"/>
    <s v="FUN1 Func Test"/>
    <x v="3"/>
    <s v="1"/>
    <x v="3"/>
    <d v="2026-06-15T11:49:10"/>
    <x v="16"/>
    <x v="9"/>
    <x v="16"/>
    <m/>
    <m/>
    <m/>
  </r>
  <r>
    <s v="YK261700035"/>
    <s v="NOT-IN-PROCESS"/>
    <x v="0"/>
    <s v="1"/>
    <x v="0"/>
    <d v="2026-05-28T08:30:31"/>
    <x v="16"/>
    <x v="9"/>
    <x v="16"/>
    <m/>
    <m/>
    <m/>
  </r>
  <r>
    <s v="YK261700036"/>
    <s v="DBG1 Debug Test"/>
    <x v="2"/>
    <s v="1"/>
    <x v="2"/>
    <d v="2026-05-20T10:37:57"/>
    <x v="16"/>
    <x v="9"/>
    <x v="16"/>
    <m/>
    <m/>
    <m/>
  </r>
  <r>
    <s v="YK261700037"/>
    <s v="NOT-IN-PROCESS"/>
    <x v="0"/>
    <s v="1"/>
    <x v="0"/>
    <d v="2026-06-11T15:55:27"/>
    <x v="16"/>
    <x v="9"/>
    <x v="16"/>
    <m/>
    <m/>
    <m/>
  </r>
  <r>
    <s v="YK261700038"/>
    <s v="NOT-IN-PROCESS"/>
    <x v="0"/>
    <s v="1"/>
    <x v="0"/>
    <d v="2026-05-27T09:34:47"/>
    <x v="16"/>
    <x v="9"/>
    <x v="16"/>
    <m/>
    <m/>
    <m/>
  </r>
  <r>
    <s v="YK261700039"/>
    <s v="NOT-IN-PROCESS"/>
    <x v="0"/>
    <s v="1"/>
    <x v="0"/>
    <d v="2026-05-28T12:13:31"/>
    <x v="16"/>
    <x v="9"/>
    <x v="16"/>
    <m/>
    <m/>
    <m/>
  </r>
  <r>
    <s v="YK261700040"/>
    <s v="NOT-IN-PROCESS"/>
    <x v="0"/>
    <s v="1"/>
    <x v="0"/>
    <d v="2026-06-23T13:52:15"/>
    <x v="16"/>
    <x v="9"/>
    <x v="16"/>
    <m/>
    <m/>
    <m/>
  </r>
  <r>
    <s v="YK261700041"/>
    <s v="NOT-IN-PROCESS"/>
    <x v="0"/>
    <s v="1"/>
    <x v="0"/>
    <d v="2026-05-27T13:17:49"/>
    <x v="16"/>
    <x v="9"/>
    <x v="16"/>
    <m/>
    <m/>
    <m/>
  </r>
  <r>
    <s v="YK262500378"/>
    <s v="NOT-IN-PROCESS"/>
    <x v="0"/>
    <s v="1"/>
    <x v="7"/>
    <d v="2026-06-17T06:08:19"/>
    <x v="17"/>
    <x v="10"/>
    <x v="17"/>
    <m/>
    <m/>
    <m/>
  </r>
  <r>
    <s v="YK262500379"/>
    <s v="NOT-IN-PROCESS"/>
    <x v="0"/>
    <s v="1"/>
    <x v="7"/>
    <d v="2026-06-17T06:08:19"/>
    <x v="17"/>
    <x v="10"/>
    <x v="17"/>
    <m/>
    <m/>
    <m/>
  </r>
  <r>
    <s v="YK262500380"/>
    <s v="NOT-IN-PROCESS"/>
    <x v="0"/>
    <s v="1"/>
    <x v="7"/>
    <d v="2026-06-17T06:08:19"/>
    <x v="17"/>
    <x v="10"/>
    <x v="17"/>
    <m/>
    <m/>
    <m/>
  </r>
  <r>
    <s v="YK262500381"/>
    <s v="NOT-IN-PROCESS"/>
    <x v="0"/>
    <s v="1"/>
    <x v="7"/>
    <d v="2026-06-17T06:08:19"/>
    <x v="17"/>
    <x v="10"/>
    <x v="17"/>
    <m/>
    <m/>
    <m/>
  </r>
  <r>
    <s v="YK262500382"/>
    <s v="NOT-IN-PROCESS"/>
    <x v="0"/>
    <s v="1"/>
    <x v="7"/>
    <d v="2026-06-17T06:08:19"/>
    <x v="17"/>
    <x v="10"/>
    <x v="17"/>
    <m/>
    <m/>
    <m/>
  </r>
  <r>
    <s v="YK262500383"/>
    <s v="NOT-IN-PROCESS"/>
    <x v="0"/>
    <s v="1"/>
    <x v="7"/>
    <d v="2026-06-17T06:08:19"/>
    <x v="17"/>
    <x v="10"/>
    <x v="17"/>
    <m/>
    <m/>
    <m/>
  </r>
  <r>
    <s v="YK262500384"/>
    <s v="NOT-IN-PROCESS"/>
    <x v="0"/>
    <s v="1"/>
    <x v="7"/>
    <d v="2026-06-17T06:08:19"/>
    <x v="17"/>
    <x v="10"/>
    <x v="17"/>
    <m/>
    <m/>
    <m/>
  </r>
  <r>
    <s v="YK262500385"/>
    <s v="NOT-IN-PROCESS"/>
    <x v="0"/>
    <s v="1"/>
    <x v="7"/>
    <d v="2026-06-17T06:08:19"/>
    <x v="17"/>
    <x v="10"/>
    <x v="17"/>
    <m/>
    <m/>
    <m/>
  </r>
  <r>
    <s v="YK262500386"/>
    <s v="NOT-IN-PROCESS"/>
    <x v="0"/>
    <s v="1"/>
    <x v="7"/>
    <d v="2026-06-17T06:08:19"/>
    <x v="17"/>
    <x v="10"/>
    <x v="17"/>
    <m/>
    <m/>
    <m/>
  </r>
  <r>
    <s v="YK262500387"/>
    <s v="NOT-IN-PROCESS"/>
    <x v="0"/>
    <s v="1"/>
    <x v="7"/>
    <d v="2026-06-17T06:08:19"/>
    <x v="17"/>
    <x v="10"/>
    <x v="17"/>
    <m/>
    <m/>
    <m/>
  </r>
  <r>
    <s v="YK262500388"/>
    <s v="NOT-IN-PROCESS"/>
    <x v="0"/>
    <s v="1"/>
    <x v="7"/>
    <d v="2026-06-17T06:08:19"/>
    <x v="17"/>
    <x v="10"/>
    <x v="17"/>
    <m/>
    <m/>
    <m/>
  </r>
  <r>
    <s v="YK262500389"/>
    <s v="NOT-IN-PROCESS"/>
    <x v="0"/>
    <s v="1"/>
    <x v="7"/>
    <d v="2026-06-17T06:08:19"/>
    <x v="17"/>
    <x v="10"/>
    <x v="17"/>
    <m/>
    <m/>
    <m/>
  </r>
  <r>
    <s v="YK262500390"/>
    <s v="NOT-IN-PROCESS"/>
    <x v="0"/>
    <s v="1"/>
    <x v="7"/>
    <d v="2026-06-17T06:08:19"/>
    <x v="17"/>
    <x v="10"/>
    <x v="17"/>
    <m/>
    <m/>
    <m/>
  </r>
  <r>
    <s v="YK262500391"/>
    <s v="NOT-IN-PROCESS"/>
    <x v="0"/>
    <s v="1"/>
    <x v="7"/>
    <d v="2026-06-17T06:08:19"/>
    <x v="17"/>
    <x v="10"/>
    <x v="17"/>
    <m/>
    <m/>
    <m/>
  </r>
  <r>
    <s v="YK262500392"/>
    <s v="NOT-IN-PROCESS"/>
    <x v="0"/>
    <s v="1"/>
    <x v="7"/>
    <d v="2026-06-17T06:08:19"/>
    <x v="17"/>
    <x v="10"/>
    <x v="17"/>
    <m/>
    <m/>
    <m/>
  </r>
  <r>
    <s v="YK262500393"/>
    <s v="NOT-IN-PROCESS"/>
    <x v="0"/>
    <s v="1"/>
    <x v="7"/>
    <d v="2026-06-17T06:08:19"/>
    <x v="17"/>
    <x v="10"/>
    <x v="17"/>
    <m/>
    <m/>
    <m/>
  </r>
  <r>
    <s v="YK262500394"/>
    <s v="NOT-IN-PROCESS"/>
    <x v="0"/>
    <s v="1"/>
    <x v="7"/>
    <d v="2026-06-17T06:08:19"/>
    <x v="17"/>
    <x v="10"/>
    <x v="17"/>
    <m/>
    <m/>
    <m/>
  </r>
  <r>
    <s v="YK262500395"/>
    <s v="NOT-IN-PROCESS"/>
    <x v="0"/>
    <s v="1"/>
    <x v="7"/>
    <d v="2026-06-17T06:08:19"/>
    <x v="17"/>
    <x v="10"/>
    <x v="17"/>
    <m/>
    <m/>
    <m/>
  </r>
  <r>
    <s v="YK262500396"/>
    <s v="NOT-IN-PROCESS"/>
    <x v="0"/>
    <s v="1"/>
    <x v="7"/>
    <d v="2026-06-17T06:08:19"/>
    <x v="17"/>
    <x v="10"/>
    <x v="17"/>
    <m/>
    <m/>
    <m/>
  </r>
  <r>
    <s v="YK262500397"/>
    <s v="NOT-IN-PROCESS"/>
    <x v="0"/>
    <s v="1"/>
    <x v="7"/>
    <d v="2026-06-17T06:08:19"/>
    <x v="17"/>
    <x v="10"/>
    <x v="17"/>
    <m/>
    <m/>
    <m/>
  </r>
  <r>
    <s v="YK262500398"/>
    <s v="NOT-IN-PROCESS"/>
    <x v="0"/>
    <s v="1"/>
    <x v="7"/>
    <d v="2026-06-17T06:08:19"/>
    <x v="17"/>
    <x v="10"/>
    <x v="17"/>
    <m/>
    <m/>
    <m/>
  </r>
  <r>
    <s v="YK262500399"/>
    <s v="NOT-IN-PROCESS"/>
    <x v="0"/>
    <s v="1"/>
    <x v="7"/>
    <d v="2026-06-17T06:08:19"/>
    <x v="17"/>
    <x v="10"/>
    <x v="17"/>
    <m/>
    <m/>
    <m/>
  </r>
  <r>
    <s v="YK262500400"/>
    <s v="NOT-IN-PROCESS"/>
    <x v="0"/>
    <s v="1"/>
    <x v="7"/>
    <d v="2026-06-17T06:08:19"/>
    <x v="17"/>
    <x v="10"/>
    <x v="17"/>
    <m/>
    <m/>
    <m/>
  </r>
  <r>
    <s v="YK262500401"/>
    <s v="NOT-IN-PROCESS"/>
    <x v="0"/>
    <s v="1"/>
    <x v="7"/>
    <d v="2026-06-17T06:08:19"/>
    <x v="17"/>
    <x v="10"/>
    <x v="17"/>
    <m/>
    <m/>
    <m/>
  </r>
  <r>
    <s v="YK262500402"/>
    <s v="NOT-IN-PROCESS"/>
    <x v="0"/>
    <s v="1"/>
    <x v="7"/>
    <d v="2026-06-17T06:08:19"/>
    <x v="17"/>
    <x v="10"/>
    <x v="17"/>
    <m/>
    <m/>
    <m/>
  </r>
  <r>
    <s v="YK262500403"/>
    <s v="NOT-IN-PROCESS"/>
    <x v="0"/>
    <s v="1"/>
    <x v="7"/>
    <d v="2026-06-17T06:08:19"/>
    <x v="17"/>
    <x v="10"/>
    <x v="17"/>
    <m/>
    <m/>
    <m/>
  </r>
  <r>
    <s v="YK262500404"/>
    <s v="NOT-IN-PROCESS"/>
    <x v="0"/>
    <s v="1"/>
    <x v="7"/>
    <d v="2026-06-17T06:08:19"/>
    <x v="17"/>
    <x v="10"/>
    <x v="17"/>
    <m/>
    <m/>
    <m/>
  </r>
  <r>
    <s v="YK262500405"/>
    <s v="NOT-IN-PROCESS"/>
    <x v="0"/>
    <s v="1"/>
    <x v="7"/>
    <d v="2026-06-17T06:08:19"/>
    <x v="17"/>
    <x v="10"/>
    <x v="17"/>
    <m/>
    <m/>
    <m/>
  </r>
  <r>
    <s v="YK262500406"/>
    <s v="NOT-IN-PROCESS"/>
    <x v="0"/>
    <s v="1"/>
    <x v="7"/>
    <d v="2026-06-17T06:08:19"/>
    <x v="17"/>
    <x v="10"/>
    <x v="17"/>
    <m/>
    <m/>
    <m/>
  </r>
  <r>
    <s v="YK262300890"/>
    <s v="NOT-IN-PROCESS"/>
    <x v="0"/>
    <s v="1"/>
    <x v="0"/>
    <d v="2026-06-24T14:13:32"/>
    <x v="18"/>
    <x v="9"/>
    <x v="18"/>
    <m/>
    <m/>
    <m/>
  </r>
  <r>
    <s v="YK262300891"/>
    <s v="CMP1 Complete"/>
    <x v="6"/>
    <s v="1"/>
    <x v="5"/>
    <d v="2026-06-24T07:37:29"/>
    <x v="18"/>
    <x v="9"/>
    <x v="18"/>
    <m/>
    <m/>
    <m/>
  </r>
  <r>
    <s v="YK262300892"/>
    <s v="5DX1 SMT 5DX"/>
    <x v="12"/>
    <s v="1"/>
    <x v="3"/>
    <d v="2026-06-19T09:37:55"/>
    <x v="18"/>
    <x v="9"/>
    <x v="18"/>
    <m/>
    <m/>
    <m/>
  </r>
  <r>
    <s v="YK262300893"/>
    <s v="CMP1 Complete"/>
    <x v="6"/>
    <s v="1"/>
    <x v="5"/>
    <d v="2026-06-23T17:46:37"/>
    <x v="18"/>
    <x v="9"/>
    <x v="18"/>
    <m/>
    <m/>
    <m/>
  </r>
  <r>
    <s v="YK262300894"/>
    <s v="5DX1 SMT 5DX"/>
    <x v="12"/>
    <s v="1"/>
    <x v="3"/>
    <d v="2026-06-23T13:53:08"/>
    <x v="18"/>
    <x v="9"/>
    <x v="18"/>
    <m/>
    <m/>
    <m/>
  </r>
  <r>
    <s v="YK262300895"/>
    <s v="5DX1 SMT 5DX"/>
    <x v="12"/>
    <s v="1"/>
    <x v="3"/>
    <d v="2026-06-23T11:26:52"/>
    <x v="18"/>
    <x v="9"/>
    <x v="18"/>
    <m/>
    <m/>
    <m/>
  </r>
  <r>
    <s v="YK262300896"/>
    <s v="CMP1 Complete"/>
    <x v="6"/>
    <s v="1"/>
    <x v="5"/>
    <d v="2026-06-23T13:30:07"/>
    <x v="18"/>
    <x v="9"/>
    <x v="18"/>
    <m/>
    <m/>
    <m/>
  </r>
  <r>
    <s v="YK262300897"/>
    <s v="CMP1 Complete"/>
    <x v="6"/>
    <s v="1"/>
    <x v="5"/>
    <d v="2026-06-23T15:30:46"/>
    <x v="18"/>
    <x v="9"/>
    <x v="18"/>
    <m/>
    <m/>
    <m/>
  </r>
  <r>
    <s v="YK262300898"/>
    <s v="5DX1 SMT 5DX"/>
    <x v="12"/>
    <s v="1"/>
    <x v="3"/>
    <d v="2026-06-19T09:26:46"/>
    <x v="18"/>
    <x v="9"/>
    <x v="18"/>
    <m/>
    <m/>
    <m/>
  </r>
  <r>
    <s v="YK262300899"/>
    <s v="CMP1 Complete"/>
    <x v="6"/>
    <s v="1"/>
    <x v="5"/>
    <d v="2026-06-23T18:35:27"/>
    <x v="18"/>
    <x v="9"/>
    <x v="18"/>
    <m/>
    <m/>
    <m/>
  </r>
  <r>
    <s v="YK262300900"/>
    <s v="RWK1 Repair Test"/>
    <x v="5"/>
    <s v="1"/>
    <x v="4"/>
    <d v="2026-06-24T08:31:36"/>
    <x v="18"/>
    <x v="9"/>
    <x v="18"/>
    <m/>
    <m/>
    <m/>
  </r>
  <r>
    <s v="YK262300901"/>
    <s v="NOT-IN-PROCESS"/>
    <x v="0"/>
    <s v="1"/>
    <x v="0"/>
    <d v="2026-06-24T14:05:45"/>
    <x v="18"/>
    <x v="9"/>
    <x v="18"/>
    <m/>
    <m/>
    <m/>
  </r>
  <r>
    <s v="YK262300902"/>
    <s v="CMP1 Complete"/>
    <x v="6"/>
    <s v="1"/>
    <x v="5"/>
    <d v="2026-06-23T15:04:41"/>
    <x v="18"/>
    <x v="9"/>
    <x v="18"/>
    <m/>
    <m/>
    <m/>
  </r>
  <r>
    <s v="YK262300903"/>
    <s v="5DX1 SMT 5DX"/>
    <x v="12"/>
    <s v="1"/>
    <x v="3"/>
    <d v="2026-06-25T07:18:02"/>
    <x v="18"/>
    <x v="9"/>
    <x v="18"/>
    <m/>
    <m/>
    <m/>
  </r>
  <r>
    <s v="YK262300904"/>
    <s v="5DX1 SMT 5DX"/>
    <x v="12"/>
    <s v="1"/>
    <x v="3"/>
    <d v="2026-06-24T12:15:07"/>
    <x v="18"/>
    <x v="9"/>
    <x v="18"/>
    <m/>
    <m/>
    <m/>
  </r>
  <r>
    <s v="YK262300905"/>
    <s v="5DX1 SMT 5DX"/>
    <x v="12"/>
    <s v="1"/>
    <x v="3"/>
    <d v="2026-06-24T14:24:43"/>
    <x v="18"/>
    <x v="9"/>
    <x v="18"/>
    <m/>
    <m/>
    <m/>
  </r>
  <r>
    <s v="YK262300906"/>
    <s v="CMP1 Complete"/>
    <x v="6"/>
    <s v="1"/>
    <x v="5"/>
    <d v="2026-06-23T21:35:24"/>
    <x v="18"/>
    <x v="9"/>
    <x v="18"/>
    <m/>
    <m/>
    <m/>
  </r>
  <r>
    <s v="YK262300907"/>
    <s v="NOT-IN-PROCESS"/>
    <x v="0"/>
    <s v="1"/>
    <x v="0"/>
    <d v="2026-06-24T14:07:01"/>
    <x v="18"/>
    <x v="9"/>
    <x v="18"/>
    <m/>
    <m/>
    <m/>
  </r>
  <r>
    <s v="YK262300908"/>
    <s v="DBG1 Debug Test"/>
    <x v="2"/>
    <s v="1"/>
    <x v="2"/>
    <d v="2026-06-23T17:15:21"/>
    <x v="18"/>
    <x v="9"/>
    <x v="18"/>
    <m/>
    <m/>
    <m/>
  </r>
  <r>
    <s v="YK262300909"/>
    <s v="5DX1 SMT 5DX"/>
    <x v="12"/>
    <s v="1"/>
    <x v="3"/>
    <d v="2026-06-24T09:36:53"/>
    <x v="18"/>
    <x v="9"/>
    <x v="18"/>
    <m/>
    <m/>
    <m/>
  </r>
  <r>
    <s v="YK262300910"/>
    <s v="5DX1 SMT 5DX"/>
    <x v="12"/>
    <s v="1"/>
    <x v="3"/>
    <d v="2026-06-19T09:14:00"/>
    <x v="18"/>
    <x v="9"/>
    <x v="18"/>
    <m/>
    <m/>
    <m/>
  </r>
  <r>
    <s v="YK262300911"/>
    <s v="5DX1 SMT 5DX"/>
    <x v="12"/>
    <s v="1"/>
    <x v="3"/>
    <d v="2026-06-24T11:33:55"/>
    <x v="18"/>
    <x v="9"/>
    <x v="18"/>
    <m/>
    <m/>
    <m/>
  </r>
  <r>
    <s v="YK262300912"/>
    <s v="CMP1 Complete"/>
    <x v="6"/>
    <s v="1"/>
    <x v="5"/>
    <d v="2026-06-25T07:51:20"/>
    <x v="18"/>
    <x v="9"/>
    <x v="18"/>
    <m/>
    <m/>
    <m/>
  </r>
  <r>
    <s v="YK262300913"/>
    <s v="5DX1 SMT 5DX"/>
    <x v="12"/>
    <s v="1"/>
    <x v="3"/>
    <d v="2026-06-25T07:03:57"/>
    <x v="18"/>
    <x v="9"/>
    <x v="18"/>
    <m/>
    <m/>
    <m/>
  </r>
  <r>
    <s v="YK262300914"/>
    <s v="5DX1 SMT 5DX"/>
    <x v="12"/>
    <s v="1"/>
    <x v="3"/>
    <d v="2026-06-23T11:56:21"/>
    <x v="18"/>
    <x v="9"/>
    <x v="18"/>
    <m/>
    <m/>
    <m/>
  </r>
  <r>
    <s v="YK262300915"/>
    <s v="5DX1 SMT 5DX"/>
    <x v="12"/>
    <s v="1"/>
    <x v="3"/>
    <d v="2026-06-24T10:04:28"/>
    <x v="18"/>
    <x v="9"/>
    <x v="18"/>
    <m/>
    <m/>
    <m/>
  </r>
  <r>
    <s v="YK262300916"/>
    <s v="CMP1 Complete"/>
    <x v="6"/>
    <s v="1"/>
    <x v="5"/>
    <d v="2026-06-24T08:57:07"/>
    <x v="18"/>
    <x v="9"/>
    <x v="18"/>
    <m/>
    <m/>
    <m/>
  </r>
  <r>
    <s v="YK262300917"/>
    <s v="CMP1 Complete"/>
    <x v="6"/>
    <s v="1"/>
    <x v="5"/>
    <d v="2026-06-24T09:38:50"/>
    <x v="18"/>
    <x v="9"/>
    <x v="18"/>
    <m/>
    <m/>
    <m/>
  </r>
  <r>
    <s v="YK262300918"/>
    <s v="CMP1 Complete"/>
    <x v="6"/>
    <s v="1"/>
    <x v="5"/>
    <d v="2026-06-23T19:27:10"/>
    <x v="18"/>
    <x v="9"/>
    <x v="18"/>
    <m/>
    <m/>
    <m/>
  </r>
  <r>
    <s v="YK262300919"/>
    <s v="CMP1 Complete"/>
    <x v="6"/>
    <s v="1"/>
    <x v="5"/>
    <d v="2026-06-23T22:04:29"/>
    <x v="18"/>
    <x v="9"/>
    <x v="18"/>
    <m/>
    <m/>
    <m/>
  </r>
  <r>
    <s v="YK262300920"/>
    <s v="CMP1 Complete"/>
    <x v="6"/>
    <s v="1"/>
    <x v="5"/>
    <d v="2026-06-24T07:08:33"/>
    <x v="18"/>
    <x v="9"/>
    <x v="18"/>
    <m/>
    <m/>
    <m/>
  </r>
  <r>
    <s v="YK262300921"/>
    <s v="5DX1 SMT 5DX"/>
    <x v="12"/>
    <s v="1"/>
    <x v="3"/>
    <d v="2026-06-19T08:32:40"/>
    <x v="18"/>
    <x v="9"/>
    <x v="18"/>
    <m/>
    <m/>
    <m/>
  </r>
  <r>
    <s v="YK262300922"/>
    <s v="5DX1 SMT 5DX"/>
    <x v="12"/>
    <s v="1"/>
    <x v="3"/>
    <d v="2026-06-15T21:08:44"/>
    <x v="18"/>
    <x v="9"/>
    <x v="18"/>
    <m/>
    <m/>
    <m/>
  </r>
  <r>
    <s v="YK262300923"/>
    <s v="5DX1 SMT 5DX"/>
    <x v="12"/>
    <s v="1"/>
    <x v="3"/>
    <d v="2026-06-15T21:56:17"/>
    <x v="18"/>
    <x v="9"/>
    <x v="18"/>
    <m/>
    <m/>
    <m/>
  </r>
  <r>
    <s v="YK262300924"/>
    <s v="5DX1 SMT 5DX"/>
    <x v="12"/>
    <s v="1"/>
    <x v="3"/>
    <d v="2026-06-24T10:10:20"/>
    <x v="18"/>
    <x v="9"/>
    <x v="18"/>
    <m/>
    <m/>
    <m/>
  </r>
  <r>
    <s v="YK262300925"/>
    <s v="5DX1 SMT 5DX"/>
    <x v="12"/>
    <s v="1"/>
    <x v="3"/>
    <d v="2026-06-23T10:09:47"/>
    <x v="18"/>
    <x v="9"/>
    <x v="18"/>
    <m/>
    <m/>
    <m/>
  </r>
  <r>
    <s v="YK262300926"/>
    <s v="FUN1 Func Test"/>
    <x v="3"/>
    <s v="1"/>
    <x v="3"/>
    <d v="2026-06-23T10:42:34"/>
    <x v="18"/>
    <x v="9"/>
    <x v="18"/>
    <m/>
    <m/>
    <m/>
  </r>
  <r>
    <s v="YK262300927"/>
    <s v="5DX1 SMT 5DX"/>
    <x v="12"/>
    <s v="1"/>
    <x v="3"/>
    <d v="2026-06-23T14:38:05"/>
    <x v="18"/>
    <x v="9"/>
    <x v="18"/>
    <m/>
    <m/>
    <m/>
  </r>
  <r>
    <s v="YK262300928"/>
    <s v="5DX1 SMT 5DX"/>
    <x v="12"/>
    <s v="1"/>
    <x v="3"/>
    <d v="2026-06-24T08:59:29"/>
    <x v="18"/>
    <x v="9"/>
    <x v="18"/>
    <m/>
    <m/>
    <m/>
  </r>
  <r>
    <s v="YK262300929"/>
    <s v="5DX1 SMT 5DX"/>
    <x v="12"/>
    <s v="1"/>
    <x v="3"/>
    <d v="2026-06-24T07:32:05"/>
    <x v="18"/>
    <x v="9"/>
    <x v="18"/>
    <m/>
    <m/>
    <m/>
  </r>
  <r>
    <s v="YK262300930"/>
    <s v="5DX1 SMT 5DX"/>
    <x v="12"/>
    <s v="1"/>
    <x v="3"/>
    <d v="2026-06-22T09:36:36"/>
    <x v="18"/>
    <x v="9"/>
    <x v="18"/>
    <m/>
    <m/>
    <m/>
  </r>
  <r>
    <s v="YK262300931"/>
    <s v="5DX1 SMT 5DX"/>
    <x v="12"/>
    <s v="1"/>
    <x v="3"/>
    <d v="2026-06-23T13:32:07"/>
    <x v="18"/>
    <x v="9"/>
    <x v="18"/>
    <m/>
    <m/>
    <m/>
  </r>
  <r>
    <s v="YK262300932"/>
    <s v="5DX1 SMT 5DX"/>
    <x v="12"/>
    <s v="1"/>
    <x v="3"/>
    <d v="2026-06-24T14:01:55"/>
    <x v="18"/>
    <x v="9"/>
    <x v="18"/>
    <m/>
    <m/>
    <m/>
  </r>
  <r>
    <s v="YK262300933"/>
    <s v="NOT-IN-PROCESS"/>
    <x v="0"/>
    <s v="1"/>
    <x v="0"/>
    <d v="2026-06-23T15:55:15"/>
    <x v="18"/>
    <x v="9"/>
    <x v="18"/>
    <m/>
    <m/>
    <m/>
  </r>
  <r>
    <s v="YK262300934"/>
    <s v="5DX1 SMT 5DX"/>
    <x v="12"/>
    <s v="1"/>
    <x v="3"/>
    <d v="2026-06-23T12:10:41"/>
    <x v="18"/>
    <x v="9"/>
    <x v="18"/>
    <m/>
    <m/>
    <m/>
  </r>
  <r>
    <s v="YK262300935"/>
    <s v="5DX1 SMT 5DX"/>
    <x v="12"/>
    <s v="1"/>
    <x v="3"/>
    <d v="2026-06-24T11:16:36"/>
    <x v="18"/>
    <x v="9"/>
    <x v="18"/>
    <m/>
    <m/>
    <m/>
  </r>
  <r>
    <s v="YK262300936"/>
    <s v="5DX1 SMT 5DX"/>
    <x v="12"/>
    <s v="1"/>
    <x v="3"/>
    <d v="2026-06-23T09:44:06"/>
    <x v="18"/>
    <x v="9"/>
    <x v="18"/>
    <m/>
    <m/>
    <m/>
  </r>
  <r>
    <s v="YK260400027"/>
    <s v="SHIP Shipping"/>
    <x v="1"/>
    <s v="1"/>
    <x v="1"/>
    <d v="2026-03-04T12:05:48"/>
    <x v="19"/>
    <x v="11"/>
    <x v="19"/>
    <m/>
    <d v="2026-02-12T00:00:00"/>
    <m/>
  </r>
  <r>
    <s v="YK260400028"/>
    <s v="SHIP Shipping"/>
    <x v="1"/>
    <s v="1"/>
    <x v="1"/>
    <d v="2026-03-03T13:36:27"/>
    <x v="19"/>
    <x v="11"/>
    <x v="19"/>
    <m/>
    <d v="2026-02-24T00:00:00"/>
    <m/>
  </r>
  <r>
    <s v="YK260400029"/>
    <s v="SHIP Shipping"/>
    <x v="1"/>
    <s v="1"/>
    <x v="1"/>
    <d v="2026-03-17T06:28:36"/>
    <x v="19"/>
    <x v="11"/>
    <x v="19"/>
    <m/>
    <d v="2026-02-13T00:00:00"/>
    <m/>
  </r>
  <r>
    <s v="YK260400030"/>
    <s v="SHIP Shipping"/>
    <x v="1"/>
    <s v="1"/>
    <x v="1"/>
    <d v="2026-03-17T09:58:38"/>
    <x v="19"/>
    <x v="11"/>
    <x v="19"/>
    <m/>
    <d v="2026-02-13T00:00:00"/>
    <m/>
  </r>
  <r>
    <s v="YK260400031"/>
    <s v="SHIP Shipping"/>
    <x v="1"/>
    <s v="1"/>
    <x v="1"/>
    <d v="2026-03-04T07:41:22"/>
    <x v="19"/>
    <x v="11"/>
    <x v="19"/>
    <m/>
    <d v="2026-02-13T00:00:00"/>
    <m/>
  </r>
  <r>
    <s v="YK260400032"/>
    <s v="SHIP Shipping"/>
    <x v="1"/>
    <s v="1"/>
    <x v="1"/>
    <d v="2026-04-22T06:14:27"/>
    <x v="19"/>
    <x v="11"/>
    <x v="19"/>
    <m/>
    <d v="2026-03-23T00:00:00"/>
    <m/>
  </r>
  <r>
    <s v="YK260400033"/>
    <s v="SHIP Shipping"/>
    <x v="1"/>
    <s v="1"/>
    <x v="1"/>
    <d v="2026-03-04T12:04:47"/>
    <x v="19"/>
    <x v="11"/>
    <x v="19"/>
    <m/>
    <d v="2026-03-04T00:00:00"/>
    <m/>
  </r>
  <r>
    <s v="YK260400034"/>
    <s v="SHIP Shipping"/>
    <x v="1"/>
    <s v="1"/>
    <x v="1"/>
    <d v="2026-02-27T12:26:48"/>
    <x v="19"/>
    <x v="11"/>
    <x v="19"/>
    <m/>
    <d v="2026-02-27T00:00:00"/>
    <m/>
  </r>
  <r>
    <s v="YK260400035"/>
    <s v="SHIP Shipping"/>
    <x v="1"/>
    <s v="1"/>
    <x v="1"/>
    <d v="2026-04-22T06:15:29"/>
    <x v="19"/>
    <x v="11"/>
    <x v="19"/>
    <m/>
    <d v="2026-03-20T00:00:00"/>
    <m/>
  </r>
  <r>
    <s v="YK260400036"/>
    <s v="SHIP Shipping"/>
    <x v="1"/>
    <s v="1"/>
    <x v="1"/>
    <d v="2026-02-27T12:29:21"/>
    <x v="19"/>
    <x v="11"/>
    <x v="19"/>
    <m/>
    <d v="2026-02-27T00:00:00"/>
    <m/>
  </r>
  <r>
    <s v="YK260400037"/>
    <s v="SHIP Shipping"/>
    <x v="1"/>
    <s v="1"/>
    <x v="1"/>
    <d v="2026-03-04T12:07:09"/>
    <x v="19"/>
    <x v="11"/>
    <x v="19"/>
    <m/>
    <d v="2026-03-04T00:00:00"/>
    <m/>
  </r>
  <r>
    <s v="YK260400038"/>
    <s v="SHIP Shipping"/>
    <x v="1"/>
    <s v="1"/>
    <x v="1"/>
    <d v="2026-02-27T13:15:11"/>
    <x v="19"/>
    <x v="11"/>
    <x v="19"/>
    <m/>
    <d v="2026-03-05T00:00:00"/>
    <m/>
  </r>
  <r>
    <s v="YK260400039"/>
    <s v="SHIP Shipping"/>
    <x v="1"/>
    <s v="1"/>
    <x v="1"/>
    <d v="2026-02-27T12:30:55"/>
    <x v="19"/>
    <x v="11"/>
    <x v="19"/>
    <m/>
    <d v="2026-02-27T00:00:00"/>
    <m/>
  </r>
  <r>
    <s v="YK260400040"/>
    <s v="SHIP Shipping"/>
    <x v="1"/>
    <s v="1"/>
    <x v="1"/>
    <d v="2026-04-22T06:16:55"/>
    <x v="19"/>
    <x v="11"/>
    <x v="19"/>
    <m/>
    <d v="2026-04-07T00:00:00"/>
    <m/>
  </r>
  <r>
    <s v="YK260400041"/>
    <s v="SHIP Shipping"/>
    <x v="1"/>
    <s v="1"/>
    <x v="1"/>
    <d v="2026-03-17T07:26:14"/>
    <x v="19"/>
    <x v="11"/>
    <x v="19"/>
    <m/>
    <d v="2026-03-16T00:00:00"/>
    <m/>
  </r>
  <r>
    <s v="YK260400042"/>
    <s v="SHIP Shipping"/>
    <x v="1"/>
    <s v="1"/>
    <x v="1"/>
    <d v="2026-04-22T06:16:09"/>
    <x v="19"/>
    <x v="11"/>
    <x v="19"/>
    <m/>
    <d v="2026-03-23T00:00:00"/>
    <m/>
  </r>
  <r>
    <s v="YK260400043"/>
    <s v="SHIP Shipping"/>
    <x v="1"/>
    <s v="1"/>
    <x v="1"/>
    <d v="2026-03-16T08:50:34"/>
    <x v="19"/>
    <x v="11"/>
    <x v="19"/>
    <m/>
    <d v="2026-03-12T00:00:00"/>
    <m/>
  </r>
  <r>
    <s v="YK260400044"/>
    <s v="SHIP Shipping"/>
    <x v="1"/>
    <s v="1"/>
    <x v="1"/>
    <d v="2026-03-30T13:22:54"/>
    <x v="19"/>
    <x v="11"/>
    <x v="19"/>
    <m/>
    <d v="2026-04-07T00:00:00"/>
    <m/>
  </r>
  <r>
    <s v="YK260400045"/>
    <s v="SHIP Shipping"/>
    <x v="1"/>
    <s v="1"/>
    <x v="1"/>
    <d v="2026-03-30T13:24:58"/>
    <x v="19"/>
    <x v="11"/>
    <x v="19"/>
    <m/>
    <d v="2026-04-07T00:00:00"/>
    <m/>
  </r>
  <r>
    <s v="YK260400046"/>
    <s v="SHIP Shipping"/>
    <x v="1"/>
    <s v="1"/>
    <x v="1"/>
    <d v="2026-03-30T13:26:52"/>
    <x v="19"/>
    <x v="11"/>
    <x v="19"/>
    <m/>
    <d v="2026-04-07T00:00:00"/>
    <m/>
  </r>
  <r>
    <s v="YK261200019"/>
    <s v="PACK Packout"/>
    <x v="15"/>
    <s v="1"/>
    <x v="3"/>
    <d v="2026-05-18T07:40:44"/>
    <x v="20"/>
    <x v="12"/>
    <x v="20"/>
    <s v="Update to shipped"/>
    <d v="2026-05-22T00:00:00"/>
    <m/>
  </r>
  <r>
    <s v="YK261200020"/>
    <s v="SHIP Shipping"/>
    <x v="1"/>
    <s v="1"/>
    <x v="1"/>
    <d v="2026-05-13T06:11:34"/>
    <x v="20"/>
    <x v="12"/>
    <x v="20"/>
    <m/>
    <d v="2026-05-13T00:00:00"/>
    <m/>
  </r>
  <r>
    <s v="YK261200021"/>
    <s v="SHIP Shipping"/>
    <x v="1"/>
    <s v="1"/>
    <x v="1"/>
    <d v="2026-05-13T06:38:12"/>
    <x v="20"/>
    <x v="12"/>
    <x v="20"/>
    <m/>
    <d v="2026-05-13T00:00:00"/>
    <m/>
  </r>
  <r>
    <s v="YK261200022"/>
    <s v="PACK Packout"/>
    <x v="15"/>
    <s v="1"/>
    <x v="3"/>
    <d v="2026-05-18T09:53:29"/>
    <x v="20"/>
    <x v="12"/>
    <x v="20"/>
    <s v="Update to shipped"/>
    <d v="2026-05-19T00:00:00"/>
    <m/>
  </r>
  <r>
    <s v="YK261200023"/>
    <s v="SHIP Shipping"/>
    <x v="1"/>
    <s v="1"/>
    <x v="1"/>
    <d v="2026-05-13T06:43:42"/>
    <x v="20"/>
    <x v="12"/>
    <x v="20"/>
    <m/>
    <d v="2026-05-08T00:00:00"/>
    <m/>
  </r>
  <r>
    <s v="YK261200024"/>
    <s v="SHIP Shipping"/>
    <x v="1"/>
    <s v="1"/>
    <x v="1"/>
    <d v="2026-05-13T06:44:26"/>
    <x v="20"/>
    <x v="12"/>
    <x v="20"/>
    <m/>
    <d v="2026-05-08T00:00:00"/>
    <m/>
  </r>
  <r>
    <s v="YK261200025"/>
    <s v="SHIP Shipping"/>
    <x v="1"/>
    <s v="1"/>
    <x v="1"/>
    <d v="2026-05-13T06:44:55"/>
    <x v="20"/>
    <x v="12"/>
    <x v="20"/>
    <m/>
    <d v="2026-05-08T00:00:00"/>
    <m/>
  </r>
  <r>
    <s v="YK261200026"/>
    <s v="SHIP Shipping"/>
    <x v="1"/>
    <s v="1"/>
    <x v="1"/>
    <d v="2026-05-13T06:45:23"/>
    <x v="20"/>
    <x v="12"/>
    <x v="20"/>
    <m/>
    <d v="2026-05-08T00:00:00"/>
    <m/>
  </r>
  <r>
    <s v="YK261200027"/>
    <s v="PACK Packout"/>
    <x v="15"/>
    <s v="1"/>
    <x v="3"/>
    <d v="2026-05-18T09:40:27"/>
    <x v="20"/>
    <x v="12"/>
    <x v="20"/>
    <s v="Update to shipped"/>
    <d v="2026-05-20T00:00:00"/>
    <m/>
  </r>
  <r>
    <s v="YK261200028"/>
    <s v="SHIP Shipping"/>
    <x v="1"/>
    <s v="1"/>
    <x v="1"/>
    <d v="2026-06-01T11:40:29"/>
    <x v="20"/>
    <x v="12"/>
    <x v="20"/>
    <m/>
    <d v="2026-05-14T00:00:00"/>
    <m/>
  </r>
  <r>
    <s v="YK261200029"/>
    <s v="SHIP Shipping"/>
    <x v="1"/>
    <s v="1"/>
    <x v="1"/>
    <d v="2026-05-13T06:41:59"/>
    <x v="20"/>
    <x v="12"/>
    <x v="20"/>
    <m/>
    <d v="2026-05-13T00:00:00"/>
    <m/>
  </r>
  <r>
    <s v="YK261200030"/>
    <s v="SHIP Shipping"/>
    <x v="1"/>
    <s v="1"/>
    <x v="1"/>
    <d v="2026-06-01T11:41:24"/>
    <x v="20"/>
    <x v="12"/>
    <x v="20"/>
    <m/>
    <d v="2026-05-14T00:00:00"/>
    <m/>
  </r>
  <r>
    <s v="YK261200031"/>
    <s v="SHIP Shipping"/>
    <x v="1"/>
    <s v="1"/>
    <x v="1"/>
    <d v="2026-05-13T06:42:52"/>
    <x v="20"/>
    <x v="12"/>
    <x v="20"/>
    <m/>
    <d v="2026-05-13T00:00:00"/>
    <m/>
  </r>
  <r>
    <s v="YK261200032"/>
    <s v="SHIP Shipping"/>
    <x v="1"/>
    <s v="1"/>
    <x v="1"/>
    <d v="2026-06-01T11:42:16"/>
    <x v="20"/>
    <x v="12"/>
    <x v="20"/>
    <m/>
    <d v="2026-05-13T00:00:00"/>
    <m/>
  </r>
  <r>
    <s v="YK261200033"/>
    <s v="PACK Packout"/>
    <x v="15"/>
    <s v="1"/>
    <x v="3"/>
    <d v="2026-05-18T07:53:40"/>
    <x v="20"/>
    <x v="12"/>
    <x v="20"/>
    <s v="Update to shipped"/>
    <d v="2026-05-22T00:00:00"/>
    <m/>
  </r>
  <r>
    <s v="YK262300796"/>
    <s v="SHIP Shipping"/>
    <x v="1"/>
    <s v="1"/>
    <x v="1"/>
    <d v="2026-06-08T14:20:05"/>
    <x v="21"/>
    <x v="13"/>
    <x v="21"/>
    <m/>
    <d v="2026-06-12T00:00:00"/>
    <m/>
  </r>
  <r>
    <s v="YK262300797"/>
    <s v="SHIP Shipping"/>
    <x v="1"/>
    <s v="1"/>
    <x v="1"/>
    <d v="2026-06-12T10:27:52"/>
    <x v="21"/>
    <x v="13"/>
    <x v="21"/>
    <m/>
    <d v="2026-06-12T00:00:00"/>
    <m/>
  </r>
  <r>
    <s v="YK262300798"/>
    <s v="SHIP Shipping"/>
    <x v="1"/>
    <s v="1"/>
    <x v="1"/>
    <d v="2026-06-08T14:19:36"/>
    <x v="21"/>
    <x v="13"/>
    <x v="21"/>
    <m/>
    <d v="2026-06-12T00:00:00"/>
    <m/>
  </r>
  <r>
    <s v="YK262300799"/>
    <s v="SHIP Shipping"/>
    <x v="1"/>
    <s v="1"/>
    <x v="1"/>
    <d v="2026-06-12T10:27:22"/>
    <x v="21"/>
    <x v="13"/>
    <x v="21"/>
    <m/>
    <d v="2026-06-12T00:00:00"/>
    <m/>
  </r>
  <r>
    <s v="YK262300800"/>
    <s v="SHIP Shipping"/>
    <x v="1"/>
    <s v="1"/>
    <x v="1"/>
    <d v="2026-06-12T10:26:50"/>
    <x v="21"/>
    <x v="13"/>
    <x v="21"/>
    <m/>
    <d v="2026-06-12T00:00:00"/>
    <m/>
  </r>
  <r>
    <s v="YK262300801"/>
    <s v="SHIP Shipping"/>
    <x v="1"/>
    <s v="1"/>
    <x v="1"/>
    <d v="2026-06-18T07:42:59"/>
    <x v="21"/>
    <x v="13"/>
    <x v="21"/>
    <m/>
    <d v="2026-06-19T00:00:00"/>
    <m/>
  </r>
  <r>
    <s v="YK262300802"/>
    <s v="SHIP Shipping"/>
    <x v="1"/>
    <s v="1"/>
    <x v="1"/>
    <d v="2026-06-24T12:15:51"/>
    <x v="21"/>
    <x v="13"/>
    <x v="21"/>
    <s v="Passed according to Nokia"/>
    <m/>
    <m/>
  </r>
  <r>
    <s v="YK262300803"/>
    <s v="UNTT Unit Test"/>
    <x v="7"/>
    <s v="1"/>
    <x v="3"/>
    <d v="2026-06-24T15:45:41"/>
    <x v="21"/>
    <x v="13"/>
    <x v="21"/>
    <m/>
    <d v="2026-06-19T00:00:00"/>
    <m/>
  </r>
  <r>
    <s v="YK262300804"/>
    <s v="SHIP Shipping"/>
    <x v="1"/>
    <s v="1"/>
    <x v="1"/>
    <d v="2026-06-12T10:26:06"/>
    <x v="21"/>
    <x v="13"/>
    <x v="21"/>
    <m/>
    <d v="2026-06-12T00:00:00"/>
    <m/>
  </r>
  <r>
    <s v="YK262300805"/>
    <s v="SHIP Shipping"/>
    <x v="1"/>
    <s v="1"/>
    <x v="1"/>
    <d v="2026-06-24T12:16:27"/>
    <x v="21"/>
    <x v="13"/>
    <x v="21"/>
    <s v="Passed according to Nokia"/>
    <m/>
    <m/>
  </r>
  <r>
    <s v="YK262300806"/>
    <s v="SHIP Shipping"/>
    <x v="1"/>
    <s v="1"/>
    <x v="1"/>
    <d v="2026-06-18T07:44:11"/>
    <x v="21"/>
    <x v="13"/>
    <x v="21"/>
    <m/>
    <d v="2026-06-15T00:00:00"/>
    <m/>
  </r>
  <r>
    <s v="YK262300807"/>
    <s v="SHIP Shipping"/>
    <x v="1"/>
    <s v="1"/>
    <x v="1"/>
    <d v="2026-06-16T08:44:09"/>
    <x v="21"/>
    <x v="13"/>
    <x v="21"/>
    <m/>
    <d v="2026-06-18T00:00:00"/>
    <m/>
  </r>
  <r>
    <s v="YK262300808"/>
    <s v="SHIP Shipping"/>
    <x v="1"/>
    <s v="1"/>
    <x v="1"/>
    <d v="2026-06-18T07:44:39"/>
    <x v="21"/>
    <x v="13"/>
    <x v="21"/>
    <m/>
    <m/>
    <m/>
  </r>
  <r>
    <s v="YK262300809"/>
    <s v="SHIP Shipping"/>
    <x v="1"/>
    <s v="1"/>
    <x v="1"/>
    <d v="2026-06-24T12:16:59"/>
    <x v="21"/>
    <x v="13"/>
    <x v="21"/>
    <s v="Passed according to Nokia"/>
    <m/>
    <m/>
  </r>
  <r>
    <s v="YK262300810"/>
    <s v="1DBG Debug Test"/>
    <x v="16"/>
    <s v="1"/>
    <x v="4"/>
    <d v="2026-06-17T13:35:14"/>
    <x v="21"/>
    <x v="13"/>
    <x v="21"/>
    <m/>
    <m/>
    <m/>
  </r>
  <r>
    <s v="YK262300811"/>
    <s v="SHIP Shipping"/>
    <x v="1"/>
    <s v="1"/>
    <x v="1"/>
    <d v="2026-06-18T07:45:19"/>
    <x v="21"/>
    <x v="13"/>
    <x v="21"/>
    <m/>
    <d v="2026-06-19T00:00:00"/>
    <m/>
  </r>
  <r>
    <s v="YK262300812"/>
    <s v="SHIP Shipping"/>
    <x v="1"/>
    <s v="1"/>
    <x v="1"/>
    <d v="2026-06-18T07:46:51"/>
    <x v="21"/>
    <x v="13"/>
    <x v="21"/>
    <m/>
    <m/>
    <m/>
  </r>
  <r>
    <s v="YK262300813"/>
    <s v="SHIP Shipping"/>
    <x v="1"/>
    <s v="1"/>
    <x v="1"/>
    <d v="2026-06-23T12:31:30"/>
    <x v="21"/>
    <x v="13"/>
    <x v="21"/>
    <s v="Passed according to Nokia"/>
    <m/>
    <m/>
  </r>
  <r>
    <s v="YK262300814"/>
    <s v="SHIP Shipping"/>
    <x v="1"/>
    <s v="1"/>
    <x v="1"/>
    <d v="2026-06-24T12:11:56"/>
    <x v="21"/>
    <x v="13"/>
    <x v="21"/>
    <s v="Passed according to Nokia"/>
    <m/>
    <m/>
  </r>
  <r>
    <s v="YK262300815"/>
    <s v="SHIP Shipping"/>
    <x v="1"/>
    <s v="1"/>
    <x v="1"/>
    <d v="2026-06-24T12:12:39"/>
    <x v="21"/>
    <x v="13"/>
    <x v="21"/>
    <m/>
    <m/>
    <m/>
  </r>
  <r>
    <s v="YK262300816"/>
    <s v="SHIP Shipping"/>
    <x v="1"/>
    <s v="1"/>
    <x v="1"/>
    <d v="2026-06-24T12:11:25"/>
    <x v="21"/>
    <x v="13"/>
    <x v="21"/>
    <m/>
    <m/>
    <m/>
  </r>
  <r>
    <s v="YK262300817"/>
    <s v="UNTT Unit Test"/>
    <x v="7"/>
    <s v="1"/>
    <x v="3"/>
    <d v="2026-06-25T07:08:57"/>
    <x v="21"/>
    <x v="13"/>
    <x v="21"/>
    <m/>
    <m/>
    <m/>
  </r>
  <r>
    <s v="YK262300818"/>
    <s v="UNTT Unit Test"/>
    <x v="7"/>
    <s v="1"/>
    <x v="3"/>
    <d v="2026-06-23T16:38:27"/>
    <x v="21"/>
    <x v="13"/>
    <x v="21"/>
    <m/>
    <m/>
    <m/>
  </r>
  <r>
    <s v="YK262300819"/>
    <s v="UNTT Unit Test"/>
    <x v="7"/>
    <s v="1"/>
    <x v="3"/>
    <d v="2026-06-25T07:20:25"/>
    <x v="21"/>
    <x v="13"/>
    <x v="21"/>
    <m/>
    <m/>
    <m/>
  </r>
  <r>
    <s v="YK262300820"/>
    <s v="1DBG Debug Test"/>
    <x v="16"/>
    <s v="1"/>
    <x v="4"/>
    <d v="2026-06-25T07:19:26"/>
    <x v="21"/>
    <x v="13"/>
    <x v="21"/>
    <m/>
    <m/>
    <m/>
  </r>
  <r>
    <s v="YK262300821"/>
    <s v="ASY1 T/L Assembly"/>
    <x v="17"/>
    <s v="1"/>
    <x v="6"/>
    <d v="2026-06-25T07:30:38"/>
    <x v="21"/>
    <x v="13"/>
    <x v="21"/>
    <m/>
    <m/>
    <m/>
  </r>
  <r>
    <s v="YK262300822"/>
    <s v="NOT-IN-PROCESS"/>
    <x v="0"/>
    <s v="1"/>
    <x v="7"/>
    <d v="2026-06-01T13:17:21"/>
    <x v="21"/>
    <x v="13"/>
    <x v="21"/>
    <m/>
    <m/>
    <m/>
  </r>
  <r>
    <s v="YK262300823"/>
    <s v="NOT-IN-PROCESS"/>
    <x v="0"/>
    <s v="1"/>
    <x v="7"/>
    <d v="2026-06-01T13:17:21"/>
    <x v="21"/>
    <x v="13"/>
    <x v="21"/>
    <m/>
    <m/>
    <m/>
  </r>
  <r>
    <s v="YK262300824"/>
    <s v="NOT-IN-PROCESS"/>
    <x v="0"/>
    <s v="1"/>
    <x v="7"/>
    <d v="2026-06-01T13:17:21"/>
    <x v="21"/>
    <x v="13"/>
    <x v="21"/>
    <m/>
    <m/>
    <m/>
  </r>
  <r>
    <s v="YK262300825"/>
    <s v="NOT-IN-PROCESS"/>
    <x v="0"/>
    <s v="1"/>
    <x v="7"/>
    <d v="2026-06-01T13:17:21"/>
    <x v="21"/>
    <x v="13"/>
    <x v="21"/>
    <m/>
    <m/>
    <m/>
  </r>
  <r>
    <s v="YK262500331"/>
    <s v="NOT-IN-PROCESS"/>
    <x v="0"/>
    <s v="1"/>
    <x v="7"/>
    <d v="2026-06-16T14:26:42"/>
    <x v="22"/>
    <x v="13"/>
    <x v="22"/>
    <m/>
    <m/>
    <m/>
  </r>
  <r>
    <s v="YK262500332"/>
    <s v="NOT-IN-PROCESS"/>
    <x v="0"/>
    <s v="1"/>
    <x v="7"/>
    <d v="2026-06-16T14:26:42"/>
    <x v="22"/>
    <x v="13"/>
    <x v="22"/>
    <m/>
    <m/>
    <m/>
  </r>
  <r>
    <s v="YK262500333"/>
    <s v="NOT-IN-PROCESS"/>
    <x v="0"/>
    <s v="1"/>
    <x v="7"/>
    <d v="2026-06-16T14:26:42"/>
    <x v="22"/>
    <x v="13"/>
    <x v="22"/>
    <m/>
    <m/>
    <m/>
  </r>
  <r>
    <s v="YK262500334"/>
    <s v="NOT-IN-PROCESS"/>
    <x v="0"/>
    <s v="1"/>
    <x v="7"/>
    <d v="2026-06-16T14:26:42"/>
    <x v="22"/>
    <x v="13"/>
    <x v="22"/>
    <m/>
    <m/>
    <m/>
  </r>
  <r>
    <s v="YK262500335"/>
    <s v="NOT-IN-PROCESS"/>
    <x v="0"/>
    <s v="1"/>
    <x v="7"/>
    <d v="2026-06-16T14:26:42"/>
    <x v="22"/>
    <x v="13"/>
    <x v="22"/>
    <m/>
    <m/>
    <m/>
  </r>
  <r>
    <s v="YK262500336"/>
    <s v="NOT-IN-PROCESS"/>
    <x v="0"/>
    <s v="1"/>
    <x v="7"/>
    <d v="2026-06-16T14:26:42"/>
    <x v="22"/>
    <x v="13"/>
    <x v="22"/>
    <m/>
    <m/>
    <m/>
  </r>
  <r>
    <s v="YK262500337"/>
    <s v="NOT-IN-PROCESS"/>
    <x v="0"/>
    <s v="1"/>
    <x v="7"/>
    <d v="2026-06-16T14:26:42"/>
    <x v="22"/>
    <x v="13"/>
    <x v="22"/>
    <m/>
    <m/>
    <m/>
  </r>
  <r>
    <s v="YK262500338"/>
    <s v="NOT-IN-PROCESS"/>
    <x v="0"/>
    <s v="1"/>
    <x v="7"/>
    <d v="2026-06-16T14:26:42"/>
    <x v="22"/>
    <x v="13"/>
    <x v="22"/>
    <m/>
    <m/>
    <m/>
  </r>
  <r>
    <s v="YK262500339"/>
    <s v="NOT-IN-PROCESS"/>
    <x v="0"/>
    <s v="1"/>
    <x v="7"/>
    <d v="2026-06-16T14:26:42"/>
    <x v="22"/>
    <x v="13"/>
    <x v="22"/>
    <m/>
    <m/>
    <m/>
  </r>
  <r>
    <s v="YK262500340"/>
    <s v="NOT-IN-PROCESS"/>
    <x v="0"/>
    <s v="1"/>
    <x v="7"/>
    <d v="2026-06-16T14:26:42"/>
    <x v="22"/>
    <x v="13"/>
    <x v="22"/>
    <m/>
    <m/>
    <m/>
  </r>
  <r>
    <s v="YK262500341"/>
    <s v="NOT-IN-PROCESS"/>
    <x v="0"/>
    <s v="1"/>
    <x v="7"/>
    <d v="2026-06-16T14:26:42"/>
    <x v="22"/>
    <x v="13"/>
    <x v="22"/>
    <m/>
    <m/>
    <m/>
  </r>
  <r>
    <s v="YK262500342"/>
    <s v="NOT-IN-PROCESS"/>
    <x v="0"/>
    <s v="1"/>
    <x v="7"/>
    <d v="2026-06-16T14:26:42"/>
    <x v="22"/>
    <x v="13"/>
    <x v="22"/>
    <m/>
    <m/>
    <m/>
  </r>
  <r>
    <s v="YK262500343"/>
    <s v="NOT-IN-PROCESS"/>
    <x v="0"/>
    <s v="1"/>
    <x v="7"/>
    <d v="2026-06-16T14:26:42"/>
    <x v="22"/>
    <x v="13"/>
    <x v="22"/>
    <m/>
    <m/>
    <m/>
  </r>
  <r>
    <s v="YK262500344"/>
    <s v="NOT-IN-PROCESS"/>
    <x v="0"/>
    <s v="1"/>
    <x v="7"/>
    <d v="2026-06-16T14:26:42"/>
    <x v="22"/>
    <x v="13"/>
    <x v="22"/>
    <m/>
    <m/>
    <m/>
  </r>
  <r>
    <s v="YK262500345"/>
    <s v="NOT-IN-PROCESS"/>
    <x v="0"/>
    <s v="1"/>
    <x v="7"/>
    <d v="2026-06-16T14:26:42"/>
    <x v="22"/>
    <x v="13"/>
    <x v="22"/>
    <m/>
    <m/>
    <m/>
  </r>
  <r>
    <s v="YK262500346"/>
    <s v="NOT-IN-PROCESS"/>
    <x v="0"/>
    <s v="1"/>
    <x v="7"/>
    <d v="2026-06-16T14:26:42"/>
    <x v="22"/>
    <x v="13"/>
    <x v="22"/>
    <m/>
    <m/>
    <m/>
  </r>
  <r>
    <s v="YK262500347"/>
    <s v="NOT-IN-PROCESS"/>
    <x v="0"/>
    <s v="1"/>
    <x v="7"/>
    <d v="2026-06-16T14:26:42"/>
    <x v="22"/>
    <x v="13"/>
    <x v="22"/>
    <m/>
    <m/>
    <m/>
  </r>
  <r>
    <s v="YK262500348"/>
    <s v="NOT-IN-PROCESS"/>
    <x v="0"/>
    <s v="1"/>
    <x v="7"/>
    <d v="2026-06-16T14:26:42"/>
    <x v="22"/>
    <x v="13"/>
    <x v="22"/>
    <m/>
    <m/>
    <m/>
  </r>
  <r>
    <s v="YK262500349"/>
    <s v="NOT-IN-PROCESS"/>
    <x v="0"/>
    <s v="1"/>
    <x v="7"/>
    <d v="2026-06-16T14:26:42"/>
    <x v="22"/>
    <x v="13"/>
    <x v="22"/>
    <m/>
    <m/>
    <m/>
  </r>
  <r>
    <s v="YK262500350"/>
    <s v="NOT-IN-PROCESS"/>
    <x v="0"/>
    <s v="1"/>
    <x v="7"/>
    <d v="2026-06-16T14:26:42"/>
    <x v="22"/>
    <x v="13"/>
    <x v="22"/>
    <m/>
    <m/>
    <m/>
  </r>
  <r>
    <s v="YK262500351"/>
    <s v="NOT-IN-PROCESS"/>
    <x v="0"/>
    <s v="1"/>
    <x v="7"/>
    <d v="2026-06-16T14:26:42"/>
    <x v="22"/>
    <x v="13"/>
    <x v="22"/>
    <m/>
    <m/>
    <m/>
  </r>
  <r>
    <s v="YK262500352"/>
    <s v="NOT-IN-PROCESS"/>
    <x v="0"/>
    <s v="1"/>
    <x v="7"/>
    <d v="2026-06-16T14:26:42"/>
    <x v="22"/>
    <x v="13"/>
    <x v="22"/>
    <m/>
    <m/>
    <m/>
  </r>
  <r>
    <s v="YK262500353"/>
    <s v="NOT-IN-PROCESS"/>
    <x v="0"/>
    <s v="1"/>
    <x v="7"/>
    <d v="2026-06-16T14:26:42"/>
    <x v="22"/>
    <x v="13"/>
    <x v="22"/>
    <m/>
    <m/>
    <m/>
  </r>
  <r>
    <s v="YK262500354"/>
    <s v="NOT-IN-PROCESS"/>
    <x v="0"/>
    <s v="1"/>
    <x v="7"/>
    <d v="2026-06-16T14:26:42"/>
    <x v="22"/>
    <x v="13"/>
    <x v="22"/>
    <m/>
    <m/>
    <m/>
  </r>
  <r>
    <s v="YK262500355"/>
    <s v="NOT-IN-PROCESS"/>
    <x v="0"/>
    <s v="1"/>
    <x v="7"/>
    <d v="2026-06-16T14:26:42"/>
    <x v="22"/>
    <x v="13"/>
    <x v="22"/>
    <m/>
    <m/>
    <m/>
  </r>
  <r>
    <s v="YK262500356"/>
    <s v="NOT-IN-PROCESS"/>
    <x v="0"/>
    <s v="1"/>
    <x v="7"/>
    <d v="2026-06-16T14:26:42"/>
    <x v="22"/>
    <x v="13"/>
    <x v="22"/>
    <m/>
    <m/>
    <m/>
  </r>
  <r>
    <s v="YK262500357"/>
    <s v="NOT-IN-PROCESS"/>
    <x v="0"/>
    <s v="1"/>
    <x v="7"/>
    <d v="2026-06-16T14:26:42"/>
    <x v="22"/>
    <x v="13"/>
    <x v="22"/>
    <m/>
    <m/>
    <m/>
  </r>
  <r>
    <s v="YK262500358"/>
    <s v="NOT-IN-PROCESS"/>
    <x v="0"/>
    <s v="1"/>
    <x v="7"/>
    <d v="2026-06-16T14:26:42"/>
    <x v="22"/>
    <x v="13"/>
    <x v="22"/>
    <m/>
    <m/>
    <m/>
  </r>
  <r>
    <s v="YK262500359"/>
    <s v="NOT-IN-PROCESS"/>
    <x v="0"/>
    <s v="1"/>
    <x v="7"/>
    <d v="2026-06-16T14:26:42"/>
    <x v="22"/>
    <x v="13"/>
    <x v="22"/>
    <m/>
    <m/>
    <m/>
  </r>
  <r>
    <s v="YK262500360"/>
    <s v="NOT-IN-PROCESS"/>
    <x v="0"/>
    <s v="1"/>
    <x v="7"/>
    <d v="2026-06-16T14:26:42"/>
    <x v="22"/>
    <x v="13"/>
    <x v="22"/>
    <m/>
    <m/>
    <m/>
  </r>
  <r>
    <s v="YK262500361"/>
    <s v="NOT-IN-PROCESS"/>
    <x v="0"/>
    <s v="1"/>
    <x v="7"/>
    <d v="2026-06-16T14:26:42"/>
    <x v="22"/>
    <x v="13"/>
    <x v="22"/>
    <m/>
    <m/>
    <m/>
  </r>
  <r>
    <s v="YK262500362"/>
    <s v="NOT-IN-PROCESS"/>
    <x v="0"/>
    <s v="1"/>
    <x v="7"/>
    <d v="2026-06-16T14:26:42"/>
    <x v="22"/>
    <x v="13"/>
    <x v="22"/>
    <m/>
    <m/>
    <m/>
  </r>
  <r>
    <s v="YK262500363"/>
    <s v="NOT-IN-PROCESS"/>
    <x v="0"/>
    <s v="1"/>
    <x v="7"/>
    <d v="2026-06-16T14:26:42"/>
    <x v="22"/>
    <x v="13"/>
    <x v="22"/>
    <m/>
    <m/>
    <m/>
  </r>
  <r>
    <s v="YK262500364"/>
    <s v="NOT-IN-PROCESS"/>
    <x v="0"/>
    <s v="1"/>
    <x v="7"/>
    <d v="2026-06-16T14:26:42"/>
    <x v="22"/>
    <x v="13"/>
    <x v="22"/>
    <m/>
    <m/>
    <m/>
  </r>
  <r>
    <s v="YK262500365"/>
    <s v="NOT-IN-PROCESS"/>
    <x v="0"/>
    <s v="1"/>
    <x v="7"/>
    <d v="2026-06-16T14:26:42"/>
    <x v="22"/>
    <x v="13"/>
    <x v="22"/>
    <m/>
    <m/>
    <m/>
  </r>
  <r>
    <s v="YK262500366"/>
    <s v="NOT-IN-PROCESS"/>
    <x v="0"/>
    <s v="1"/>
    <x v="7"/>
    <d v="2026-06-16T14:26:42"/>
    <x v="22"/>
    <x v="13"/>
    <x v="22"/>
    <m/>
    <m/>
    <m/>
  </r>
  <r>
    <s v="YK262500367"/>
    <s v="NOT-IN-PROCESS"/>
    <x v="0"/>
    <s v="1"/>
    <x v="7"/>
    <d v="2026-06-16T14:26:42"/>
    <x v="22"/>
    <x v="13"/>
    <x v="22"/>
    <m/>
    <m/>
    <m/>
  </r>
  <r>
    <s v="YK262500368"/>
    <s v="NOT-IN-PROCESS"/>
    <x v="0"/>
    <s v="1"/>
    <x v="7"/>
    <d v="2026-06-16T14:26:42"/>
    <x v="22"/>
    <x v="13"/>
    <x v="22"/>
    <m/>
    <m/>
    <m/>
  </r>
  <r>
    <s v="YK262500369"/>
    <s v="NOT-IN-PROCESS"/>
    <x v="0"/>
    <s v="1"/>
    <x v="7"/>
    <d v="2026-06-16T14:26:42"/>
    <x v="22"/>
    <x v="13"/>
    <x v="22"/>
    <m/>
    <m/>
    <m/>
  </r>
  <r>
    <s v="YK262500370"/>
    <s v="NOT-IN-PROCESS"/>
    <x v="0"/>
    <s v="1"/>
    <x v="7"/>
    <d v="2026-06-16T14:26:42"/>
    <x v="22"/>
    <x v="13"/>
    <x v="22"/>
    <m/>
    <m/>
    <m/>
  </r>
  <r>
    <s v="YK262500371"/>
    <s v="NOT-IN-PROCESS"/>
    <x v="0"/>
    <s v="1"/>
    <x v="7"/>
    <d v="2026-06-16T14:26:42"/>
    <x v="22"/>
    <x v="13"/>
    <x v="22"/>
    <m/>
    <m/>
    <m/>
  </r>
  <r>
    <s v="YK262500372"/>
    <s v="NOT-IN-PROCESS"/>
    <x v="0"/>
    <s v="1"/>
    <x v="7"/>
    <d v="2026-06-16T14:26:42"/>
    <x v="22"/>
    <x v="13"/>
    <x v="22"/>
    <m/>
    <m/>
    <m/>
  </r>
  <r>
    <s v="YK262500373"/>
    <s v="NOT-IN-PROCESS"/>
    <x v="0"/>
    <s v="1"/>
    <x v="7"/>
    <d v="2026-06-16T14:26:42"/>
    <x v="22"/>
    <x v="13"/>
    <x v="22"/>
    <m/>
    <m/>
    <m/>
  </r>
  <r>
    <s v="YK262500374"/>
    <s v="NOT-IN-PROCESS"/>
    <x v="0"/>
    <s v="1"/>
    <x v="7"/>
    <d v="2026-06-16T14:26:42"/>
    <x v="22"/>
    <x v="13"/>
    <x v="22"/>
    <m/>
    <m/>
    <m/>
  </r>
  <r>
    <s v="YK262500375"/>
    <s v="NOT-IN-PROCESS"/>
    <x v="0"/>
    <s v="1"/>
    <x v="7"/>
    <d v="2026-06-16T14:26:42"/>
    <x v="22"/>
    <x v="13"/>
    <x v="22"/>
    <m/>
    <m/>
    <m/>
  </r>
  <r>
    <s v="YK262500376"/>
    <s v="NOT-IN-PROCESS"/>
    <x v="0"/>
    <s v="1"/>
    <x v="7"/>
    <d v="2026-06-16T14:26:42"/>
    <x v="22"/>
    <x v="13"/>
    <x v="22"/>
    <m/>
    <m/>
    <m/>
  </r>
  <r>
    <s v="YK262500377"/>
    <s v="NOT-IN-PROCESS"/>
    <x v="0"/>
    <s v="1"/>
    <x v="7"/>
    <d v="2026-06-16T14:26:42"/>
    <x v="22"/>
    <x v="13"/>
    <x v="22"/>
    <m/>
    <m/>
    <m/>
  </r>
  <r>
    <s v="YK262101086"/>
    <s v="SHIP Shipping"/>
    <x v="1"/>
    <s v="1"/>
    <x v="1"/>
    <d v="2026-05-29T07:06:59"/>
    <x v="23"/>
    <x v="13"/>
    <x v="23"/>
    <m/>
    <d v="2026-05-28T00:00:00"/>
    <m/>
  </r>
  <r>
    <s v="YK262101087"/>
    <s v="SHIP Shipping"/>
    <x v="1"/>
    <s v="1"/>
    <x v="1"/>
    <d v="2026-06-01T11:05:31"/>
    <x v="23"/>
    <x v="13"/>
    <x v="23"/>
    <m/>
    <d v="2026-06-04T00:00:00"/>
    <m/>
  </r>
  <r>
    <s v="YK262101088"/>
    <s v="SHIP Shipping"/>
    <x v="1"/>
    <s v="1"/>
    <x v="1"/>
    <d v="2026-05-29T07:07:25"/>
    <x v="23"/>
    <x v="13"/>
    <x v="23"/>
    <m/>
    <d v="2026-05-28T00:00:00"/>
    <m/>
  </r>
  <r>
    <s v="YK262101089"/>
    <s v="SHIP Shipping"/>
    <x v="1"/>
    <s v="1"/>
    <x v="1"/>
    <d v="2026-05-29T07:07:47"/>
    <x v="23"/>
    <x v="13"/>
    <x v="23"/>
    <m/>
    <d v="2026-05-28T00:00:00"/>
    <m/>
  </r>
  <r>
    <s v="YK262101090"/>
    <s v="SHIP Shipping"/>
    <x v="1"/>
    <s v="1"/>
    <x v="1"/>
    <d v="2026-06-01T11:07:14"/>
    <x v="23"/>
    <x v="13"/>
    <x v="23"/>
    <m/>
    <d v="2026-06-04T00:00:00"/>
    <m/>
  </r>
  <r>
    <s v="YK262101091"/>
    <s v="SHIP Shipping"/>
    <x v="1"/>
    <s v="1"/>
    <x v="1"/>
    <d v="2026-06-01T10:56:52"/>
    <x v="23"/>
    <x v="13"/>
    <x v="23"/>
    <m/>
    <d v="2026-05-29T00:00:00"/>
    <m/>
  </r>
  <r>
    <s v="YK262101092"/>
    <s v="SHIP Shipping"/>
    <x v="1"/>
    <s v="1"/>
    <x v="1"/>
    <d v="2026-06-01T11:10:53"/>
    <x v="23"/>
    <x v="13"/>
    <x v="23"/>
    <m/>
    <d v="2026-05-29T00:00:00"/>
    <m/>
  </r>
  <r>
    <s v="YK262101093"/>
    <s v="SHIP Shipping"/>
    <x v="1"/>
    <s v="1"/>
    <x v="1"/>
    <d v="2026-05-29T07:03:30"/>
    <x v="23"/>
    <x v="13"/>
    <x v="23"/>
    <m/>
    <d v="2026-05-28T00:00:00"/>
    <m/>
  </r>
  <r>
    <s v="YK262101094"/>
    <s v="SHIP Shipping"/>
    <x v="1"/>
    <s v="1"/>
    <x v="1"/>
    <d v="2026-06-01T11:11:40"/>
    <x v="23"/>
    <x v="13"/>
    <x v="23"/>
    <m/>
    <d v="2026-05-29T00:00:00"/>
    <m/>
  </r>
  <r>
    <s v="YK262101095"/>
    <s v="SHIP Shipping"/>
    <x v="1"/>
    <s v="1"/>
    <x v="1"/>
    <d v="2026-06-01T11:12:57"/>
    <x v="23"/>
    <x v="13"/>
    <x v="23"/>
    <m/>
    <d v="2026-05-29T00:00:00"/>
    <m/>
  </r>
  <r>
    <s v="YK262101096"/>
    <s v="SHIP Shipping"/>
    <x v="1"/>
    <s v="1"/>
    <x v="1"/>
    <d v="2026-06-16T08:38:10"/>
    <x v="23"/>
    <x v="13"/>
    <x v="23"/>
    <m/>
    <d v="2026-06-18T00:00:00"/>
    <m/>
  </r>
  <r>
    <s v="YK261900001"/>
    <s v="SHIP Shipping"/>
    <x v="1"/>
    <s v="1"/>
    <x v="1"/>
    <d v="2026-06-03T09:52:26"/>
    <x v="24"/>
    <x v="14"/>
    <x v="24"/>
    <m/>
    <d v="2026-05-15T00:00:00"/>
    <m/>
  </r>
  <r>
    <s v="YK261900002"/>
    <s v="SHIP Shipping"/>
    <x v="1"/>
    <s v="1"/>
    <x v="1"/>
    <d v="2026-06-10T09:28:51"/>
    <x v="24"/>
    <x v="14"/>
    <x v="24"/>
    <m/>
    <m/>
    <m/>
  </r>
  <r>
    <s v="YK261900003"/>
    <s v="SHIP Shipping"/>
    <x v="1"/>
    <s v="1"/>
    <x v="1"/>
    <d v="2026-06-10T09:18:20"/>
    <x v="24"/>
    <x v="14"/>
    <x v="24"/>
    <m/>
    <m/>
    <m/>
  </r>
  <r>
    <s v="YK261900004"/>
    <s v="SHIP Shipping"/>
    <x v="1"/>
    <s v="1"/>
    <x v="1"/>
    <d v="2026-06-03T09:53:44"/>
    <x v="24"/>
    <x v="14"/>
    <x v="24"/>
    <m/>
    <d v="2026-05-15T00:00:00"/>
    <m/>
  </r>
  <r>
    <s v="YK261900005"/>
    <s v="SHIP Shipping"/>
    <x v="1"/>
    <s v="1"/>
    <x v="1"/>
    <d v="2026-06-03T09:54:41"/>
    <x v="24"/>
    <x v="14"/>
    <x v="24"/>
    <m/>
    <d v="2026-05-15T00:00:00"/>
    <m/>
  </r>
  <r>
    <s v="YK261900006"/>
    <s v="SHIP Shipping"/>
    <x v="1"/>
    <s v="1"/>
    <x v="1"/>
    <d v="2026-06-03T09:55:39"/>
    <x v="24"/>
    <x v="14"/>
    <x v="24"/>
    <m/>
    <d v="2026-05-15T00:00:00"/>
    <m/>
  </r>
  <r>
    <s v="YK261900007"/>
    <s v="SHIP Shipping"/>
    <x v="1"/>
    <s v="1"/>
    <x v="1"/>
    <d v="2026-06-03T09:56:28"/>
    <x v="24"/>
    <x v="14"/>
    <x v="24"/>
    <m/>
    <d v="2026-05-15T00:00:00"/>
    <m/>
  </r>
  <r>
    <s v="YK261900008"/>
    <s v="SHIP Shipping"/>
    <x v="1"/>
    <s v="1"/>
    <x v="1"/>
    <d v="2026-06-10T09:29:33"/>
    <x v="24"/>
    <x v="14"/>
    <x v="24"/>
    <m/>
    <d v="2026-06-01T00:00:00"/>
    <m/>
  </r>
  <r>
    <s v="YK261900009"/>
    <s v="SHIP Shipping"/>
    <x v="1"/>
    <s v="1"/>
    <x v="1"/>
    <d v="2026-06-10T09:17:10"/>
    <x v="24"/>
    <x v="14"/>
    <x v="24"/>
    <m/>
    <d v="2026-05-15T00:00:00"/>
    <m/>
  </r>
  <r>
    <s v="YK261900010"/>
    <s v="SHIP Shipping"/>
    <x v="1"/>
    <s v="1"/>
    <x v="1"/>
    <d v="2026-06-10T09:30:27"/>
    <x v="24"/>
    <x v="14"/>
    <x v="24"/>
    <m/>
    <d v="2026-06-01T00:00:00"/>
    <m/>
  </r>
  <r>
    <s v="YK261900011"/>
    <s v="SHIP Shipping"/>
    <x v="1"/>
    <s v="1"/>
    <x v="1"/>
    <d v="2026-06-10T09:36:22"/>
    <x v="24"/>
    <x v="14"/>
    <x v="24"/>
    <m/>
    <d v="2026-06-01T00:00:00"/>
    <m/>
  </r>
  <r>
    <s v="YK261900012"/>
    <s v="SHIP Shipping"/>
    <x v="1"/>
    <s v="1"/>
    <x v="1"/>
    <d v="2026-06-10T09:41:58"/>
    <x v="24"/>
    <x v="14"/>
    <x v="24"/>
    <m/>
    <d v="2026-06-01T00:00:00"/>
    <m/>
  </r>
  <r>
    <s v="YK261900013"/>
    <s v="SHIP Shipping"/>
    <x v="1"/>
    <s v="1"/>
    <x v="1"/>
    <d v="2026-06-10T09:42:31"/>
    <x v="24"/>
    <x v="14"/>
    <x v="24"/>
    <m/>
    <d v="2026-06-01T00:00:00"/>
    <m/>
  </r>
  <r>
    <s v="YK261900014"/>
    <s v="SHIP Shipping"/>
    <x v="1"/>
    <s v="1"/>
    <x v="1"/>
    <d v="2026-06-10T09:43:15"/>
    <x v="24"/>
    <x v="14"/>
    <x v="24"/>
    <m/>
    <d v="2026-06-01T00:00:00"/>
    <m/>
  </r>
  <r>
    <s v="YK261900015"/>
    <s v="SHIP Shipping"/>
    <x v="1"/>
    <s v="1"/>
    <x v="1"/>
    <d v="2026-06-03T06:42:59"/>
    <x v="25"/>
    <x v="15"/>
    <x v="25"/>
    <m/>
    <m/>
    <m/>
  </r>
  <r>
    <s v="YK261900016"/>
    <s v="SHIP Shipping"/>
    <x v="1"/>
    <s v="1"/>
    <x v="1"/>
    <d v="2026-06-10T09:51:42"/>
    <x v="25"/>
    <x v="15"/>
    <x v="25"/>
    <m/>
    <d v="2026-05-15T00:00:00"/>
    <m/>
  </r>
  <r>
    <s v="YK261900017"/>
    <s v="SHIP Shipping"/>
    <x v="1"/>
    <s v="1"/>
    <x v="1"/>
    <d v="2026-06-10T09:52:20"/>
    <x v="25"/>
    <x v="15"/>
    <x v="25"/>
    <m/>
    <d v="2026-05-15T00:00:00"/>
    <m/>
  </r>
  <r>
    <s v="YK261900018"/>
    <s v="SHIP Shipping"/>
    <x v="1"/>
    <s v="1"/>
    <x v="1"/>
    <d v="2026-06-10T09:52:56"/>
    <x v="25"/>
    <x v="15"/>
    <x v="25"/>
    <m/>
    <d v="2026-05-15T00:00:00"/>
    <m/>
  </r>
  <r>
    <s v="YK261900019"/>
    <s v="SHIP Shipping"/>
    <x v="1"/>
    <s v="1"/>
    <x v="1"/>
    <d v="2026-06-10T09:53:32"/>
    <x v="25"/>
    <x v="15"/>
    <x v="25"/>
    <m/>
    <d v="2026-05-15T00:00:00"/>
    <m/>
  </r>
  <r>
    <s v="YK261900020"/>
    <s v="SHIP Shipping"/>
    <x v="1"/>
    <s v="1"/>
    <x v="1"/>
    <d v="2026-06-10T09:44:57"/>
    <x v="25"/>
    <x v="15"/>
    <x v="25"/>
    <m/>
    <d v="2026-06-01T00:00:00"/>
    <m/>
  </r>
  <r>
    <s v="YK261900021"/>
    <s v="SHIP Shipping"/>
    <x v="1"/>
    <s v="1"/>
    <x v="1"/>
    <d v="2026-06-10T09:54:08"/>
    <x v="25"/>
    <x v="15"/>
    <x v="25"/>
    <m/>
    <d v="2026-05-15T00:00:00"/>
    <m/>
  </r>
  <r>
    <s v="YK261900022"/>
    <s v="SHIP Shipping"/>
    <x v="1"/>
    <s v="1"/>
    <x v="1"/>
    <d v="2026-06-10T09:45:33"/>
    <x v="25"/>
    <x v="15"/>
    <x v="25"/>
    <m/>
    <d v="2026-06-01T00:00:00"/>
    <m/>
  </r>
  <r>
    <s v="YK261900023"/>
    <s v="SHIP Shipping"/>
    <x v="1"/>
    <s v="1"/>
    <x v="1"/>
    <d v="2026-06-10T09:46:18"/>
    <x v="25"/>
    <x v="15"/>
    <x v="25"/>
    <m/>
    <d v="2026-06-01T00:00:00"/>
    <m/>
  </r>
  <r>
    <s v="YK261900024"/>
    <s v="SHIP Shipping"/>
    <x v="1"/>
    <s v="1"/>
    <x v="1"/>
    <d v="2026-06-10T09:46:53"/>
    <x v="25"/>
    <x v="15"/>
    <x v="25"/>
    <m/>
    <d v="2026-06-01T00:00:00"/>
    <m/>
  </r>
  <r>
    <s v="YK261900025"/>
    <s v="SHIP Shipping"/>
    <x v="1"/>
    <s v="1"/>
    <x v="1"/>
    <d v="2026-06-10T09:47:40"/>
    <x v="25"/>
    <x v="15"/>
    <x v="25"/>
    <m/>
    <d v="2026-06-01T00:00:00"/>
    <m/>
  </r>
  <r>
    <s v="YK261900026"/>
    <s v="SHIP Shipping"/>
    <x v="1"/>
    <s v="1"/>
    <x v="1"/>
    <d v="2026-06-10T09:48:13"/>
    <x v="25"/>
    <x v="15"/>
    <x v="25"/>
    <m/>
    <d v="2026-06-01T00:00:00"/>
    <m/>
  </r>
  <r>
    <s v="YK261900027"/>
    <s v="SHIP Shipping"/>
    <x v="1"/>
    <s v="1"/>
    <x v="1"/>
    <d v="2026-06-10T09:48:55"/>
    <x v="25"/>
    <x v="15"/>
    <x v="25"/>
    <m/>
    <d v="2026-06-01T00:00:00"/>
    <m/>
  </r>
  <r>
    <s v="YK261900028"/>
    <s v="SHIP Shipping"/>
    <x v="1"/>
    <s v="1"/>
    <x v="1"/>
    <d v="2026-06-10T09:54:52"/>
    <x v="25"/>
    <x v="15"/>
    <x v="25"/>
    <m/>
    <d v="2026-05-15T00:00:00"/>
    <m/>
  </r>
  <r>
    <s v="YK262300826"/>
    <s v="5DX1 SMT 5DX"/>
    <x v="12"/>
    <s v="1"/>
    <x v="3"/>
    <d v="2026-06-06T05:48:15"/>
    <x v="26"/>
    <x v="14"/>
    <x v="26"/>
    <m/>
    <m/>
    <m/>
  </r>
  <r>
    <s v="YK262300827"/>
    <s v="XRAY"/>
    <x v="18"/>
    <s v="1"/>
    <x v="3"/>
    <d v="2026-06-11T05:48:14"/>
    <x v="26"/>
    <x v="14"/>
    <x v="26"/>
    <m/>
    <m/>
    <m/>
  </r>
  <r>
    <s v="YK262300828"/>
    <s v="XRAY"/>
    <x v="18"/>
    <s v="1"/>
    <x v="3"/>
    <d v="2026-06-11T05:28:56"/>
    <x v="26"/>
    <x v="14"/>
    <x v="26"/>
    <m/>
    <m/>
    <m/>
  </r>
  <r>
    <s v="YK262300829"/>
    <s v="CMP1 Complete"/>
    <x v="6"/>
    <s v="1"/>
    <x v="5"/>
    <d v="2026-06-24T10:44:07"/>
    <x v="26"/>
    <x v="14"/>
    <x v="26"/>
    <m/>
    <m/>
    <m/>
  </r>
  <r>
    <s v="YK262300830"/>
    <s v="CMP1 Complete"/>
    <x v="6"/>
    <s v="1"/>
    <x v="5"/>
    <d v="2026-06-24T20:34:10"/>
    <x v="26"/>
    <x v="14"/>
    <x v="26"/>
    <m/>
    <m/>
    <m/>
  </r>
  <r>
    <s v="YK262300831"/>
    <s v="CMP1 Complete"/>
    <x v="6"/>
    <s v="1"/>
    <x v="5"/>
    <d v="2026-06-24T07:42:16"/>
    <x v="26"/>
    <x v="14"/>
    <x v="26"/>
    <m/>
    <m/>
    <m/>
  </r>
  <r>
    <s v="YK262300832"/>
    <s v="CMP1 Complete"/>
    <x v="6"/>
    <s v="1"/>
    <x v="5"/>
    <d v="2026-06-24T07:32:10"/>
    <x v="26"/>
    <x v="14"/>
    <x v="26"/>
    <m/>
    <m/>
    <m/>
  </r>
  <r>
    <s v="YK262300833"/>
    <s v="CMP1 Complete"/>
    <x v="6"/>
    <s v="1"/>
    <x v="5"/>
    <d v="2026-06-24T10:20:01"/>
    <x v="26"/>
    <x v="14"/>
    <x v="26"/>
    <m/>
    <m/>
    <m/>
  </r>
  <r>
    <s v="YK262300834"/>
    <s v="CMP1 Complete"/>
    <x v="6"/>
    <s v="1"/>
    <x v="5"/>
    <d v="2026-06-24T20:22:43"/>
    <x v="26"/>
    <x v="14"/>
    <x v="26"/>
    <m/>
    <m/>
    <m/>
  </r>
  <r>
    <s v="YK262300835"/>
    <s v="XRAY"/>
    <x v="18"/>
    <s v="1"/>
    <x v="3"/>
    <d v="2026-06-11T07:35:57"/>
    <x v="26"/>
    <x v="14"/>
    <x v="26"/>
    <m/>
    <m/>
    <m/>
  </r>
  <r>
    <s v="YK262300836"/>
    <s v="XRAY"/>
    <x v="18"/>
    <s v="1"/>
    <x v="3"/>
    <d v="2026-06-11T07:35:28"/>
    <x v="26"/>
    <x v="14"/>
    <x v="26"/>
    <m/>
    <m/>
    <m/>
  </r>
  <r>
    <s v="YK262300837"/>
    <s v="XRAY"/>
    <x v="18"/>
    <s v="1"/>
    <x v="3"/>
    <d v="2026-06-11T07:34:55"/>
    <x v="26"/>
    <x v="14"/>
    <x v="26"/>
    <m/>
    <m/>
    <m/>
  </r>
  <r>
    <s v="YK262300838"/>
    <s v="XRAY"/>
    <x v="18"/>
    <s v="1"/>
    <x v="3"/>
    <d v="2026-06-11T05:44:26"/>
    <x v="26"/>
    <x v="14"/>
    <x v="26"/>
    <m/>
    <m/>
    <m/>
  </r>
  <r>
    <s v="YK262300839"/>
    <s v="XRAY"/>
    <x v="18"/>
    <s v="1"/>
    <x v="3"/>
    <d v="2026-06-11T07:33:36"/>
    <x v="26"/>
    <x v="14"/>
    <x v="26"/>
    <m/>
    <m/>
    <m/>
  </r>
  <r>
    <s v="YK262300840"/>
    <s v="XRAY"/>
    <x v="18"/>
    <s v="1"/>
    <x v="3"/>
    <d v="2026-06-11T07:32:54"/>
    <x v="26"/>
    <x v="14"/>
    <x v="26"/>
    <m/>
    <m/>
    <m/>
  </r>
  <r>
    <s v="YK262300841"/>
    <s v="CMP1 Complete"/>
    <x v="6"/>
    <s v="1"/>
    <x v="5"/>
    <d v="2026-06-24T10:34:25"/>
    <x v="26"/>
    <x v="14"/>
    <x v="26"/>
    <m/>
    <m/>
    <m/>
  </r>
  <r>
    <s v="YK262300842"/>
    <s v="XRAY"/>
    <x v="18"/>
    <s v="1"/>
    <x v="3"/>
    <d v="2026-06-11T05:32:18"/>
    <x v="26"/>
    <x v="14"/>
    <x v="26"/>
    <m/>
    <m/>
    <m/>
  </r>
  <r>
    <s v="YK262300843"/>
    <s v="CMP1 Complete"/>
    <x v="6"/>
    <s v="1"/>
    <x v="5"/>
    <d v="2026-06-24T07:36:48"/>
    <x v="26"/>
    <x v="14"/>
    <x v="26"/>
    <m/>
    <m/>
    <m/>
  </r>
  <r>
    <s v="YK262300844"/>
    <s v="XRAY"/>
    <x v="18"/>
    <s v="1"/>
    <x v="3"/>
    <d v="2026-06-11T05:31:06"/>
    <x v="26"/>
    <x v="14"/>
    <x v="26"/>
    <m/>
    <m/>
    <m/>
  </r>
  <r>
    <s v="YK262300845"/>
    <s v="XRAY"/>
    <x v="18"/>
    <s v="1"/>
    <x v="3"/>
    <d v="2026-06-11T05:33:17"/>
    <x v="26"/>
    <x v="14"/>
    <x v="26"/>
    <m/>
    <m/>
    <m/>
  </r>
  <r>
    <s v="YK262300846"/>
    <s v="XRAY"/>
    <x v="18"/>
    <s v="1"/>
    <x v="3"/>
    <d v="2026-06-11T05:13:45"/>
    <x v="26"/>
    <x v="14"/>
    <x v="26"/>
    <m/>
    <m/>
    <m/>
  </r>
  <r>
    <s v="YK262300847"/>
    <s v="XRAY"/>
    <x v="18"/>
    <s v="1"/>
    <x v="3"/>
    <d v="2026-06-11T05:27:30"/>
    <x v="26"/>
    <x v="14"/>
    <x v="26"/>
    <m/>
    <m/>
    <m/>
  </r>
  <r>
    <s v="YK262300848"/>
    <s v="CMP1 Complete"/>
    <x v="6"/>
    <s v="1"/>
    <x v="5"/>
    <d v="2026-06-24T10:10:06"/>
    <x v="26"/>
    <x v="14"/>
    <x v="26"/>
    <m/>
    <m/>
    <m/>
  </r>
  <r>
    <s v="YK262300849"/>
    <s v="XRAY"/>
    <x v="18"/>
    <s v="1"/>
    <x v="3"/>
    <d v="2026-06-11T05:46:50"/>
    <x v="26"/>
    <x v="14"/>
    <x v="26"/>
    <m/>
    <m/>
    <m/>
  </r>
  <r>
    <s v="YK262300850"/>
    <s v="XRAY"/>
    <x v="18"/>
    <s v="1"/>
    <x v="3"/>
    <d v="2026-06-11T05:40:32"/>
    <x v="26"/>
    <x v="14"/>
    <x v="26"/>
    <m/>
    <m/>
    <m/>
  </r>
  <r>
    <s v="YK262300851"/>
    <s v="XRAY"/>
    <x v="18"/>
    <s v="1"/>
    <x v="3"/>
    <d v="2026-06-11T05:39:26"/>
    <x v="26"/>
    <x v="14"/>
    <x v="26"/>
    <m/>
    <m/>
    <m/>
  </r>
  <r>
    <s v="YK262300852"/>
    <s v="XRAY"/>
    <x v="18"/>
    <s v="1"/>
    <x v="3"/>
    <d v="2026-06-11T05:38:22"/>
    <x v="26"/>
    <x v="14"/>
    <x v="26"/>
    <m/>
    <m/>
    <m/>
  </r>
  <r>
    <s v="YK262300853"/>
    <s v="XRAY"/>
    <x v="18"/>
    <s v="1"/>
    <x v="3"/>
    <d v="2026-06-11T05:42:22"/>
    <x v="26"/>
    <x v="14"/>
    <x v="26"/>
    <m/>
    <m/>
    <m/>
  </r>
  <r>
    <s v="YK262300854"/>
    <s v="CMP1 Complete"/>
    <x v="6"/>
    <s v="1"/>
    <x v="5"/>
    <d v="2026-06-24T10:39:08"/>
    <x v="26"/>
    <x v="14"/>
    <x v="26"/>
    <m/>
    <m/>
    <m/>
  </r>
  <r>
    <s v="YK262300855"/>
    <s v="XRAY"/>
    <x v="18"/>
    <s v="1"/>
    <x v="3"/>
    <d v="2026-06-11T05:34:38"/>
    <x v="26"/>
    <x v="14"/>
    <x v="26"/>
    <m/>
    <m/>
    <m/>
  </r>
  <r>
    <s v="YK262300856"/>
    <s v="XRAY"/>
    <x v="18"/>
    <s v="1"/>
    <x v="3"/>
    <d v="2026-06-11T05:35:55"/>
    <x v="26"/>
    <x v="14"/>
    <x v="26"/>
    <m/>
    <m/>
    <m/>
  </r>
  <r>
    <s v="YK262300857"/>
    <s v="CMP1 Complete"/>
    <x v="6"/>
    <s v="1"/>
    <x v="5"/>
    <d v="2026-06-24T07:03:27"/>
    <x v="26"/>
    <x v="14"/>
    <x v="26"/>
    <m/>
    <m/>
    <m/>
  </r>
  <r>
    <s v="YK262300962"/>
    <s v="CMP1 Complete"/>
    <x v="6"/>
    <s v="1"/>
    <x v="5"/>
    <d v="2026-06-24T07:37:05"/>
    <x v="26"/>
    <x v="14"/>
    <x v="26"/>
    <m/>
    <m/>
    <m/>
  </r>
  <r>
    <s v="YK262300963"/>
    <s v="DBG1 Debug Test"/>
    <x v="2"/>
    <s v="1"/>
    <x v="2"/>
    <d v="2026-06-24T07:45:35"/>
    <x v="26"/>
    <x v="14"/>
    <x v="26"/>
    <m/>
    <m/>
    <m/>
  </r>
  <r>
    <s v="YK262300964"/>
    <s v="DBG1 Debug Test"/>
    <x v="2"/>
    <s v="1"/>
    <x v="2"/>
    <d v="2026-06-18T19:45:01"/>
    <x v="26"/>
    <x v="14"/>
    <x v="26"/>
    <m/>
    <m/>
    <m/>
  </r>
  <r>
    <s v="YK262300965"/>
    <s v="CMP1 Complete"/>
    <x v="6"/>
    <s v="1"/>
    <x v="5"/>
    <d v="2026-06-24T07:37:16"/>
    <x v="26"/>
    <x v="14"/>
    <x v="26"/>
    <m/>
    <m/>
    <m/>
  </r>
  <r>
    <s v="YK262300966"/>
    <s v="CMP1 Complete"/>
    <x v="6"/>
    <s v="1"/>
    <x v="5"/>
    <d v="2026-06-24T08:26:42"/>
    <x v="26"/>
    <x v="14"/>
    <x v="26"/>
    <m/>
    <m/>
    <m/>
  </r>
  <r>
    <s v="YK262300967"/>
    <s v="CMP1 Complete"/>
    <x v="6"/>
    <s v="1"/>
    <x v="5"/>
    <d v="2026-06-24T10:24:36"/>
    <x v="26"/>
    <x v="14"/>
    <x v="26"/>
    <m/>
    <m/>
    <m/>
  </r>
  <r>
    <s v="YK262300968"/>
    <s v="CMP1 Complete"/>
    <x v="6"/>
    <s v="1"/>
    <x v="5"/>
    <d v="2026-06-24T06:41:55"/>
    <x v="26"/>
    <x v="14"/>
    <x v="26"/>
    <m/>
    <m/>
    <m/>
  </r>
  <r>
    <s v="YK262300969"/>
    <s v="CMP1 Complete"/>
    <x v="6"/>
    <s v="1"/>
    <x v="5"/>
    <d v="2026-06-24T07:25:15"/>
    <x v="26"/>
    <x v="14"/>
    <x v="26"/>
    <m/>
    <m/>
    <m/>
  </r>
  <r>
    <s v="YK262300970"/>
    <s v="NOT-IN-PROCESS"/>
    <x v="0"/>
    <s v="1"/>
    <x v="0"/>
    <d v="2026-06-18T13:51:46"/>
    <x v="26"/>
    <x v="14"/>
    <x v="26"/>
    <m/>
    <m/>
    <m/>
  </r>
  <r>
    <s v="YK262300971"/>
    <s v="CMP1 Complete"/>
    <x v="6"/>
    <s v="1"/>
    <x v="5"/>
    <d v="2026-06-24T07:37:30"/>
    <x v="26"/>
    <x v="14"/>
    <x v="26"/>
    <m/>
    <m/>
    <m/>
  </r>
  <r>
    <s v="YK262300972"/>
    <s v="CMP1 Complete"/>
    <x v="6"/>
    <s v="1"/>
    <x v="5"/>
    <d v="2026-06-24T07:08:24"/>
    <x v="26"/>
    <x v="14"/>
    <x v="26"/>
    <m/>
    <m/>
    <m/>
  </r>
  <r>
    <s v="YK262300973"/>
    <s v="CMP1 Complete"/>
    <x v="6"/>
    <s v="1"/>
    <x v="5"/>
    <d v="2026-06-24T08:50:49"/>
    <x v="26"/>
    <x v="14"/>
    <x v="26"/>
    <m/>
    <m/>
    <m/>
  </r>
  <r>
    <s v="YK262300974"/>
    <s v="CMP1 Complete"/>
    <x v="6"/>
    <s v="1"/>
    <x v="5"/>
    <d v="2026-06-24T06:57:43"/>
    <x v="26"/>
    <x v="14"/>
    <x v="26"/>
    <m/>
    <m/>
    <m/>
  </r>
  <r>
    <s v="YK262300975"/>
    <s v="NOT-IN-PROCESS"/>
    <x v="0"/>
    <s v="1"/>
    <x v="0"/>
    <d v="2026-06-19T14:17:38"/>
    <x v="26"/>
    <x v="14"/>
    <x v="26"/>
    <m/>
    <m/>
    <m/>
  </r>
  <r>
    <s v="YK262300976"/>
    <s v="NOT-IN-PROCESS"/>
    <x v="0"/>
    <s v="1"/>
    <x v="0"/>
    <d v="2026-06-19T14:17:00"/>
    <x v="26"/>
    <x v="14"/>
    <x v="26"/>
    <m/>
    <m/>
    <m/>
  </r>
  <r>
    <s v="YK262300977"/>
    <s v="NOT-IN-PROCESS"/>
    <x v="0"/>
    <s v="1"/>
    <x v="0"/>
    <d v="2026-06-18T13:05:54"/>
    <x v="26"/>
    <x v="14"/>
    <x v="26"/>
    <m/>
    <m/>
    <m/>
  </r>
  <r>
    <s v="YK262300978"/>
    <s v="NOT-IN-PROCESS"/>
    <x v="0"/>
    <s v="1"/>
    <x v="0"/>
    <d v="2026-06-18T13:05:13"/>
    <x v="26"/>
    <x v="14"/>
    <x v="26"/>
    <m/>
    <m/>
    <m/>
  </r>
  <r>
    <s v="YK262300979"/>
    <s v="CMP1 Complete"/>
    <x v="6"/>
    <s v="1"/>
    <x v="5"/>
    <d v="2026-06-24T07:14:58"/>
    <x v="26"/>
    <x v="14"/>
    <x v="26"/>
    <m/>
    <m/>
    <m/>
  </r>
  <r>
    <s v="YK262300980"/>
    <s v="DBG1 Debug Test"/>
    <x v="2"/>
    <s v="1"/>
    <x v="2"/>
    <d v="2026-06-24T08:44:12"/>
    <x v="26"/>
    <x v="14"/>
    <x v="26"/>
    <m/>
    <m/>
    <m/>
  </r>
  <r>
    <s v="YK262300981"/>
    <s v="DBG1 Debug Test"/>
    <x v="2"/>
    <s v="1"/>
    <x v="2"/>
    <d v="2026-06-24T08:53:07"/>
    <x v="26"/>
    <x v="14"/>
    <x v="26"/>
    <m/>
    <m/>
    <m/>
  </r>
  <r>
    <s v="YK262300982"/>
    <s v="CMP1 Complete"/>
    <x v="6"/>
    <s v="1"/>
    <x v="5"/>
    <d v="2026-06-19T14:53:34"/>
    <x v="26"/>
    <x v="14"/>
    <x v="26"/>
    <m/>
    <m/>
    <m/>
  </r>
  <r>
    <s v="YK262300983"/>
    <s v="CMP1 Complete"/>
    <x v="6"/>
    <s v="1"/>
    <x v="5"/>
    <d v="2026-06-24T10:15:17"/>
    <x v="26"/>
    <x v="14"/>
    <x v="26"/>
    <m/>
    <m/>
    <m/>
  </r>
  <r>
    <s v="YK262300984"/>
    <s v="CMP1 Complete"/>
    <x v="6"/>
    <s v="1"/>
    <x v="5"/>
    <d v="2026-06-24T06:50:53"/>
    <x v="26"/>
    <x v="14"/>
    <x v="26"/>
    <m/>
    <m/>
    <m/>
  </r>
  <r>
    <s v="YK262300985"/>
    <s v="DBG1 Debug Test"/>
    <x v="2"/>
    <s v="1"/>
    <x v="2"/>
    <d v="2026-06-24T06:27:02"/>
    <x v="26"/>
    <x v="14"/>
    <x v="26"/>
    <m/>
    <m/>
    <m/>
  </r>
  <r>
    <s v="YK262300986"/>
    <s v="CMP1 Complete"/>
    <x v="6"/>
    <s v="1"/>
    <x v="5"/>
    <d v="2026-06-24T07:55:18"/>
    <x v="26"/>
    <x v="14"/>
    <x v="26"/>
    <m/>
    <m/>
    <m/>
  </r>
  <r>
    <s v="YK262300987"/>
    <s v="DBG1 Debug Test"/>
    <x v="2"/>
    <s v="1"/>
    <x v="2"/>
    <d v="2026-06-18T15:44:24"/>
    <x v="26"/>
    <x v="14"/>
    <x v="26"/>
    <m/>
    <m/>
    <m/>
  </r>
  <r>
    <s v="YK262300988"/>
    <s v="CMP1 Complete"/>
    <x v="6"/>
    <s v="1"/>
    <x v="5"/>
    <d v="2026-06-24T10:04:28"/>
    <x v="26"/>
    <x v="14"/>
    <x v="26"/>
    <m/>
    <m/>
    <m/>
  </r>
  <r>
    <s v="YK262300989"/>
    <s v="CMP1 Complete"/>
    <x v="6"/>
    <s v="1"/>
    <x v="5"/>
    <d v="2026-06-24T08:39:12"/>
    <x v="26"/>
    <x v="14"/>
    <x v="26"/>
    <m/>
    <m/>
    <m/>
  </r>
  <r>
    <s v="YK262300990"/>
    <s v="DBG1 Debug Test"/>
    <x v="2"/>
    <s v="1"/>
    <x v="2"/>
    <d v="2026-06-24T08:29:20"/>
    <x v="26"/>
    <x v="14"/>
    <x v="26"/>
    <m/>
    <m/>
    <m/>
  </r>
  <r>
    <s v="YK262300991"/>
    <s v="NOT-IN-PROCESS"/>
    <x v="0"/>
    <s v="1"/>
    <x v="0"/>
    <d v="2026-06-19T14:17:33"/>
    <x v="26"/>
    <x v="14"/>
    <x v="26"/>
    <m/>
    <m/>
    <m/>
  </r>
  <r>
    <s v="YK262300992"/>
    <s v="NOT-IN-PROCESS"/>
    <x v="0"/>
    <s v="1"/>
    <x v="0"/>
    <d v="2026-06-19T14:36:39"/>
    <x v="26"/>
    <x v="14"/>
    <x v="26"/>
    <m/>
    <m/>
    <m/>
  </r>
  <r>
    <s v="YK262300993"/>
    <s v="NOT-IN-PROCESS"/>
    <x v="0"/>
    <s v="1"/>
    <x v="0"/>
    <d v="2026-06-18T13:05:28"/>
    <x v="26"/>
    <x v="14"/>
    <x v="26"/>
    <m/>
    <m/>
    <m/>
  </r>
  <r>
    <s v="YK262300858"/>
    <s v="CMP1 Complete"/>
    <x v="6"/>
    <s v="1"/>
    <x v="5"/>
    <d v="2026-06-24T12:47:32"/>
    <x v="27"/>
    <x v="15"/>
    <x v="27"/>
    <m/>
    <m/>
    <m/>
  </r>
  <r>
    <s v="YK262300859"/>
    <s v="NOT-IN-PROCESS"/>
    <x v="0"/>
    <s v="1"/>
    <x v="0"/>
    <d v="2026-06-18T13:05:38"/>
    <x v="27"/>
    <x v="15"/>
    <x v="27"/>
    <m/>
    <m/>
    <m/>
  </r>
  <r>
    <s v="YK262300860"/>
    <s v="CMP1 Complete"/>
    <x v="6"/>
    <s v="1"/>
    <x v="5"/>
    <d v="2026-06-24T11:26:24"/>
    <x v="27"/>
    <x v="15"/>
    <x v="27"/>
    <m/>
    <m/>
    <m/>
  </r>
  <r>
    <s v="YK262300861"/>
    <s v="XRAY"/>
    <x v="18"/>
    <s v="1"/>
    <x v="3"/>
    <d v="2026-06-11T10:49:06"/>
    <x v="27"/>
    <x v="15"/>
    <x v="27"/>
    <m/>
    <m/>
    <m/>
  </r>
  <r>
    <s v="YK262300862"/>
    <s v="XRAY"/>
    <x v="18"/>
    <s v="1"/>
    <x v="3"/>
    <d v="2026-06-11T10:54:39"/>
    <x v="27"/>
    <x v="15"/>
    <x v="27"/>
    <m/>
    <m/>
    <m/>
  </r>
  <r>
    <s v="YK262300863"/>
    <s v="CMP1 Complete"/>
    <x v="6"/>
    <s v="1"/>
    <x v="5"/>
    <d v="2026-06-24T13:11:27"/>
    <x v="27"/>
    <x v="15"/>
    <x v="27"/>
    <m/>
    <m/>
    <m/>
  </r>
  <r>
    <s v="YK262300864"/>
    <s v="CMP1 Complete"/>
    <x v="6"/>
    <s v="1"/>
    <x v="5"/>
    <d v="2026-06-23T21:38:25"/>
    <x v="27"/>
    <x v="15"/>
    <x v="27"/>
    <m/>
    <m/>
    <m/>
  </r>
  <r>
    <s v="YK262300865"/>
    <s v="NOT-IN-PROCESS"/>
    <x v="0"/>
    <s v="1"/>
    <x v="0"/>
    <d v="2026-06-18T13:05:32"/>
    <x v="27"/>
    <x v="15"/>
    <x v="27"/>
    <m/>
    <m/>
    <m/>
  </r>
  <r>
    <s v="YK262300866"/>
    <s v="NOT-IN-PROCESS"/>
    <x v="0"/>
    <s v="1"/>
    <x v="0"/>
    <d v="2026-06-19T14:17:19"/>
    <x v="27"/>
    <x v="15"/>
    <x v="27"/>
    <m/>
    <m/>
    <m/>
  </r>
  <r>
    <s v="YK262300867"/>
    <s v="XRAY"/>
    <x v="18"/>
    <s v="1"/>
    <x v="3"/>
    <d v="2026-06-11T09:37:26"/>
    <x v="27"/>
    <x v="15"/>
    <x v="27"/>
    <m/>
    <m/>
    <m/>
  </r>
  <r>
    <s v="YK262300868"/>
    <s v="CMP1 Complete"/>
    <x v="6"/>
    <s v="1"/>
    <x v="5"/>
    <d v="2026-06-23T21:31:42"/>
    <x v="27"/>
    <x v="15"/>
    <x v="27"/>
    <m/>
    <m/>
    <m/>
  </r>
  <r>
    <s v="YK262300869"/>
    <s v="5DX1 SMT 5DX"/>
    <x v="12"/>
    <s v="1"/>
    <x v="3"/>
    <d v="2026-06-08T14:18:01"/>
    <x v="27"/>
    <x v="15"/>
    <x v="27"/>
    <m/>
    <m/>
    <m/>
  </r>
  <r>
    <s v="YK262300870"/>
    <s v="CMP1 Complete"/>
    <x v="6"/>
    <s v="1"/>
    <x v="5"/>
    <d v="2026-06-23T21:50:50"/>
    <x v="27"/>
    <x v="15"/>
    <x v="27"/>
    <m/>
    <m/>
    <m/>
  </r>
  <r>
    <s v="YK262300871"/>
    <s v="NOT-IN-PROCESS"/>
    <x v="0"/>
    <s v="1"/>
    <x v="0"/>
    <d v="2026-06-18T13:05:40"/>
    <x v="27"/>
    <x v="15"/>
    <x v="27"/>
    <m/>
    <m/>
    <m/>
  </r>
  <r>
    <s v="YK262300872"/>
    <s v="CMP1 Complete"/>
    <x v="6"/>
    <s v="1"/>
    <x v="5"/>
    <d v="2026-06-24T19:30:01"/>
    <x v="27"/>
    <x v="15"/>
    <x v="27"/>
    <m/>
    <m/>
    <m/>
  </r>
  <r>
    <s v="YK262300873"/>
    <s v="NOT-IN-PROCESS"/>
    <x v="0"/>
    <s v="1"/>
    <x v="0"/>
    <d v="2026-06-18T13:05:35"/>
    <x v="27"/>
    <x v="15"/>
    <x v="27"/>
    <m/>
    <m/>
    <m/>
  </r>
  <r>
    <s v="YK262300874"/>
    <s v="XRAY"/>
    <x v="18"/>
    <s v="1"/>
    <x v="3"/>
    <d v="2026-06-11T09:36:35"/>
    <x v="27"/>
    <x v="15"/>
    <x v="27"/>
    <m/>
    <m/>
    <m/>
  </r>
  <r>
    <s v="YK262300875"/>
    <s v="NOT-IN-PROCESS"/>
    <x v="0"/>
    <s v="1"/>
    <x v="0"/>
    <d v="2026-06-19T14:17:27"/>
    <x v="27"/>
    <x v="15"/>
    <x v="27"/>
    <m/>
    <m/>
    <m/>
  </r>
  <r>
    <s v="YK262300876"/>
    <s v="NOT-IN-PROCESS"/>
    <x v="0"/>
    <s v="1"/>
    <x v="0"/>
    <d v="2026-06-19T14:17:14"/>
    <x v="27"/>
    <x v="15"/>
    <x v="27"/>
    <m/>
    <m/>
    <m/>
  </r>
  <r>
    <s v="YK262300877"/>
    <s v="DBG1 Debug Test"/>
    <x v="2"/>
    <s v="1"/>
    <x v="2"/>
    <d v="2026-06-18T21:43:40"/>
    <x v="27"/>
    <x v="15"/>
    <x v="27"/>
    <m/>
    <m/>
    <m/>
  </r>
  <r>
    <s v="YK262300878"/>
    <s v="XRAY"/>
    <x v="18"/>
    <s v="1"/>
    <x v="3"/>
    <d v="2026-06-11T11:45:46"/>
    <x v="27"/>
    <x v="15"/>
    <x v="27"/>
    <m/>
    <m/>
    <m/>
  </r>
  <r>
    <s v="YK262300879"/>
    <s v="PBAI Inspect"/>
    <x v="10"/>
    <s v="1"/>
    <x v="3"/>
    <d v="2026-06-24T09:10:26"/>
    <x v="27"/>
    <x v="15"/>
    <x v="27"/>
    <m/>
    <m/>
    <m/>
  </r>
  <r>
    <s v="YK262300880"/>
    <s v="XRAY"/>
    <x v="18"/>
    <s v="1"/>
    <x v="3"/>
    <d v="2026-06-11T11:47:20"/>
    <x v="27"/>
    <x v="15"/>
    <x v="27"/>
    <m/>
    <m/>
    <m/>
  </r>
  <r>
    <s v="YK262300881"/>
    <s v="XRAY"/>
    <x v="18"/>
    <s v="1"/>
    <x v="3"/>
    <d v="2026-06-11T11:51:27"/>
    <x v="27"/>
    <x v="15"/>
    <x v="27"/>
    <m/>
    <m/>
    <m/>
  </r>
  <r>
    <s v="YK262300882"/>
    <s v="CMP1 Complete"/>
    <x v="6"/>
    <s v="1"/>
    <x v="5"/>
    <d v="2026-06-23T21:44:32"/>
    <x v="27"/>
    <x v="15"/>
    <x v="27"/>
    <m/>
    <m/>
    <m/>
  </r>
  <r>
    <s v="YK262300883"/>
    <s v="CMP1 Complete"/>
    <x v="6"/>
    <s v="1"/>
    <x v="5"/>
    <d v="2026-06-24T11:10:59"/>
    <x v="27"/>
    <x v="15"/>
    <x v="27"/>
    <m/>
    <m/>
    <m/>
  </r>
  <r>
    <s v="YK262300884"/>
    <s v="CMP1 Complete"/>
    <x v="6"/>
    <s v="1"/>
    <x v="5"/>
    <d v="2026-06-23T08:22:06"/>
    <x v="27"/>
    <x v="15"/>
    <x v="27"/>
    <m/>
    <m/>
    <m/>
  </r>
  <r>
    <s v="YK262300885"/>
    <s v="CMP1 Complete"/>
    <x v="6"/>
    <s v="1"/>
    <x v="5"/>
    <d v="2026-06-24T07:12:01"/>
    <x v="27"/>
    <x v="15"/>
    <x v="27"/>
    <m/>
    <m/>
    <m/>
  </r>
  <r>
    <s v="YK262300886"/>
    <s v="XRAY"/>
    <x v="18"/>
    <s v="1"/>
    <x v="3"/>
    <d v="2026-06-11T11:47:32"/>
    <x v="27"/>
    <x v="15"/>
    <x v="27"/>
    <m/>
    <m/>
    <m/>
  </r>
  <r>
    <s v="YK262300887"/>
    <s v="CMP1 Complete"/>
    <x v="6"/>
    <s v="1"/>
    <x v="5"/>
    <d v="2026-06-24T11:35:52"/>
    <x v="27"/>
    <x v="15"/>
    <x v="27"/>
    <m/>
    <m/>
    <m/>
  </r>
  <r>
    <s v="YK262300888"/>
    <s v="CMP1 Complete"/>
    <x v="6"/>
    <s v="1"/>
    <x v="5"/>
    <d v="2026-06-24T12:56:51"/>
    <x v="27"/>
    <x v="15"/>
    <x v="27"/>
    <m/>
    <m/>
    <m/>
  </r>
  <r>
    <s v="YK262300889"/>
    <s v="CMP1 Complete"/>
    <x v="6"/>
    <s v="1"/>
    <x v="5"/>
    <d v="2026-06-23T08:32:18"/>
    <x v="27"/>
    <x v="15"/>
    <x v="27"/>
    <m/>
    <m/>
    <m/>
  </r>
  <r>
    <s v="YK262300994"/>
    <s v="XRAY"/>
    <x v="18"/>
    <s v="1"/>
    <x v="3"/>
    <d v="2026-06-11T11:50:29"/>
    <x v="27"/>
    <x v="15"/>
    <x v="27"/>
    <m/>
    <m/>
    <m/>
  </r>
  <r>
    <s v="YK262300995"/>
    <s v="RWK2 Repair Test"/>
    <x v="8"/>
    <s v="1"/>
    <x v="4"/>
    <d v="2026-06-24T09:11:04"/>
    <x v="27"/>
    <x v="15"/>
    <x v="27"/>
    <m/>
    <m/>
    <m/>
  </r>
  <r>
    <s v="YK262300996"/>
    <s v="RWK2 Repair Test"/>
    <x v="8"/>
    <s v="1"/>
    <x v="4"/>
    <d v="2026-06-24T09:10:45"/>
    <x v="27"/>
    <x v="15"/>
    <x v="27"/>
    <m/>
    <m/>
    <m/>
  </r>
  <r>
    <s v="YK262300997"/>
    <s v="XRAY"/>
    <x v="18"/>
    <s v="1"/>
    <x v="3"/>
    <d v="2026-06-11T11:05:19"/>
    <x v="27"/>
    <x v="15"/>
    <x v="27"/>
    <m/>
    <m/>
    <m/>
  </r>
  <r>
    <s v="YK262300998"/>
    <s v="CMP1 Complete"/>
    <x v="6"/>
    <s v="1"/>
    <x v="5"/>
    <d v="2026-06-24T11:31:04"/>
    <x v="27"/>
    <x v="15"/>
    <x v="27"/>
    <m/>
    <m/>
    <m/>
  </r>
  <r>
    <s v="YK262300999"/>
    <s v="DBG1 Debug Test"/>
    <x v="2"/>
    <s v="1"/>
    <x v="2"/>
    <d v="2026-06-23T08:40:22"/>
    <x v="27"/>
    <x v="15"/>
    <x v="27"/>
    <m/>
    <m/>
    <m/>
  </r>
  <r>
    <s v="YK262301000"/>
    <s v="CMP1 Complete"/>
    <x v="6"/>
    <s v="1"/>
    <x v="5"/>
    <d v="2026-06-24T13:01:32"/>
    <x v="27"/>
    <x v="15"/>
    <x v="27"/>
    <m/>
    <m/>
    <m/>
  </r>
  <r>
    <s v="YK262301001"/>
    <s v="CMP1 Complete"/>
    <x v="6"/>
    <s v="1"/>
    <x v="5"/>
    <d v="2026-06-23T08:44:37"/>
    <x v="27"/>
    <x v="15"/>
    <x v="27"/>
    <m/>
    <m/>
    <m/>
  </r>
  <r>
    <s v="YK262301002"/>
    <s v="CMP1 Complete"/>
    <x v="6"/>
    <s v="1"/>
    <x v="5"/>
    <d v="2026-06-24T13:16:35"/>
    <x v="27"/>
    <x v="15"/>
    <x v="27"/>
    <m/>
    <m/>
    <m/>
  </r>
  <r>
    <s v="YK262301003"/>
    <s v="CMP1 Complete"/>
    <x v="6"/>
    <s v="1"/>
    <x v="5"/>
    <d v="2026-06-24T13:07:02"/>
    <x v="27"/>
    <x v="15"/>
    <x v="27"/>
    <m/>
    <m/>
    <m/>
  </r>
  <r>
    <s v="YK262301004"/>
    <s v="CMP1 Complete"/>
    <x v="6"/>
    <s v="1"/>
    <x v="5"/>
    <d v="2026-06-24T11:16:49"/>
    <x v="27"/>
    <x v="15"/>
    <x v="27"/>
    <m/>
    <m/>
    <m/>
  </r>
  <r>
    <s v="YK262301005"/>
    <s v="CMP1 Complete"/>
    <x v="6"/>
    <s v="1"/>
    <x v="5"/>
    <d v="2026-06-24T11:22:07"/>
    <x v="27"/>
    <x v="15"/>
    <x v="27"/>
    <m/>
    <m/>
    <m/>
  </r>
  <r>
    <s v="YK262301006"/>
    <s v="XRAY"/>
    <x v="18"/>
    <s v="1"/>
    <x v="3"/>
    <d v="2026-06-11T11:11:54"/>
    <x v="27"/>
    <x v="15"/>
    <x v="27"/>
    <m/>
    <m/>
    <m/>
  </r>
  <r>
    <s v="YK262301007"/>
    <s v="CMP1 Complete"/>
    <x v="6"/>
    <s v="1"/>
    <x v="5"/>
    <d v="2026-06-24T18:32:21"/>
    <x v="27"/>
    <x v="15"/>
    <x v="27"/>
    <m/>
    <m/>
    <m/>
  </r>
  <r>
    <s v="YK262301008"/>
    <s v="XRAY"/>
    <x v="18"/>
    <s v="1"/>
    <x v="3"/>
    <d v="2026-06-11T11:13:30"/>
    <x v="27"/>
    <x v="15"/>
    <x v="27"/>
    <m/>
    <m/>
    <m/>
  </r>
  <r>
    <s v="YK262301009"/>
    <s v="XRAY"/>
    <x v="18"/>
    <s v="1"/>
    <x v="3"/>
    <d v="2026-06-11T11:48:52"/>
    <x v="27"/>
    <x v="15"/>
    <x v="27"/>
    <m/>
    <m/>
    <m/>
  </r>
  <r>
    <s v="YK262301010"/>
    <s v="CMP1 Complete"/>
    <x v="6"/>
    <s v="1"/>
    <x v="5"/>
    <d v="2026-06-24T12:52:08"/>
    <x v="27"/>
    <x v="15"/>
    <x v="27"/>
    <m/>
    <m/>
    <m/>
  </r>
  <r>
    <s v="YK262301011"/>
    <s v="5DX1 SMT 5DX"/>
    <x v="12"/>
    <s v="1"/>
    <x v="3"/>
    <d v="2026-06-17T09:09:53"/>
    <x v="27"/>
    <x v="15"/>
    <x v="27"/>
    <m/>
    <m/>
    <m/>
  </r>
  <r>
    <s v="YK262301012"/>
    <s v="CMP1 Complete"/>
    <x v="6"/>
    <s v="1"/>
    <x v="5"/>
    <d v="2026-06-24T19:13:54"/>
    <x v="27"/>
    <x v="15"/>
    <x v="27"/>
    <m/>
    <m/>
    <m/>
  </r>
  <r>
    <s v="YK262301013"/>
    <s v="NOT-IN-PROCESS"/>
    <x v="0"/>
    <s v="1"/>
    <x v="0"/>
    <d v="2026-06-19T14:17:09"/>
    <x v="27"/>
    <x v="15"/>
    <x v="27"/>
    <m/>
    <m/>
    <m/>
  </r>
  <r>
    <s v="YK262301014"/>
    <s v="XRAY"/>
    <x v="18"/>
    <s v="1"/>
    <x v="3"/>
    <d v="2026-06-11T11:42:45"/>
    <x v="27"/>
    <x v="15"/>
    <x v="27"/>
    <m/>
    <m/>
    <m/>
  </r>
  <r>
    <s v="YK262301015"/>
    <s v="DBG1 Debug Test"/>
    <x v="2"/>
    <s v="1"/>
    <x v="2"/>
    <d v="2026-06-24T12:26:31"/>
    <x v="27"/>
    <x v="15"/>
    <x v="27"/>
    <m/>
    <m/>
    <m/>
  </r>
  <r>
    <s v="YK262301016"/>
    <s v="XRAY"/>
    <x v="18"/>
    <s v="1"/>
    <x v="3"/>
    <d v="2026-06-11T11:39:31"/>
    <x v="27"/>
    <x v="15"/>
    <x v="27"/>
    <m/>
    <m/>
    <m/>
  </r>
  <r>
    <s v="YK262301017"/>
    <s v="5DXR 5DX RWK"/>
    <x v="19"/>
    <s v="1"/>
    <x v="4"/>
    <d v="2026-06-15T09:34:55"/>
    <x v="27"/>
    <x v="15"/>
    <x v="27"/>
    <m/>
    <m/>
    <m/>
  </r>
  <r>
    <s v="YK262301018"/>
    <s v="5DX1 SMT 5DX"/>
    <x v="12"/>
    <s v="1"/>
    <x v="3"/>
    <d v="2026-06-17T09:08:19"/>
    <x v="27"/>
    <x v="15"/>
    <x v="27"/>
    <m/>
    <m/>
    <m/>
  </r>
  <r>
    <s v="YK262301019"/>
    <s v="CMP1 Complete"/>
    <x v="6"/>
    <s v="1"/>
    <x v="5"/>
    <d v="2026-06-23T08:27:20"/>
    <x v="27"/>
    <x v="15"/>
    <x v="27"/>
    <m/>
    <m/>
    <m/>
  </r>
  <r>
    <s v="YK262301020"/>
    <s v="CMP1 Complete"/>
    <x v="6"/>
    <s v="1"/>
    <x v="5"/>
    <d v="2026-06-24T20:04:49"/>
    <x v="27"/>
    <x v="15"/>
    <x v="27"/>
    <m/>
    <m/>
    <m/>
  </r>
  <r>
    <s v="YK262301021"/>
    <s v="5DX1 SMT 5DX"/>
    <x v="12"/>
    <s v="1"/>
    <x v="3"/>
    <d v="2026-06-17T09:07:54"/>
    <x v="27"/>
    <x v="15"/>
    <x v="27"/>
    <m/>
    <m/>
    <m/>
  </r>
  <r>
    <s v="YK262301022"/>
    <s v="5DX1 SMT 5DX"/>
    <x v="12"/>
    <s v="1"/>
    <x v="3"/>
    <d v="2026-06-17T09:08:34"/>
    <x v="27"/>
    <x v="15"/>
    <x v="27"/>
    <m/>
    <m/>
    <m/>
  </r>
  <r>
    <s v="YK262301023"/>
    <s v="CMP1 Complete"/>
    <x v="6"/>
    <s v="1"/>
    <x v="5"/>
    <d v="2026-06-24T12:42:34"/>
    <x v="27"/>
    <x v="15"/>
    <x v="27"/>
    <m/>
    <m/>
    <m/>
  </r>
  <r>
    <s v="YK262301024"/>
    <s v="5DX1 SMT 5DX"/>
    <x v="12"/>
    <s v="1"/>
    <x v="3"/>
    <d v="2026-06-17T09:09:18"/>
    <x v="27"/>
    <x v="15"/>
    <x v="27"/>
    <m/>
    <m/>
    <m/>
  </r>
  <r>
    <s v="YK262301025"/>
    <s v="5DX1 SMT 5DX"/>
    <x v="12"/>
    <s v="1"/>
    <x v="3"/>
    <d v="2026-06-17T09:08:07"/>
    <x v="27"/>
    <x v="15"/>
    <x v="27"/>
    <m/>
    <m/>
    <m/>
  </r>
  <r>
    <s v="YK262000115"/>
    <s v="SHIP Shipping"/>
    <x v="1"/>
    <s v="1"/>
    <x v="1"/>
    <d v="2026-05-27T09:01:07"/>
    <x v="28"/>
    <x v="16"/>
    <x v="28"/>
    <m/>
    <m/>
    <m/>
  </r>
  <r>
    <s v="YK262000116"/>
    <s v="CMP1 Complete"/>
    <x v="6"/>
    <s v="1"/>
    <x v="5"/>
    <d v="2026-06-18T09:43:21"/>
    <x v="28"/>
    <x v="16"/>
    <x v="28"/>
    <m/>
    <m/>
    <m/>
  </r>
  <r>
    <s v="YK262000117"/>
    <s v="NOT-IN-PROCESS"/>
    <x v="0"/>
    <s v="1"/>
    <x v="0"/>
    <d v="2026-06-18T14:19:25"/>
    <x v="28"/>
    <x v="16"/>
    <x v="28"/>
    <m/>
    <m/>
    <m/>
  </r>
  <r>
    <s v="YK262000118"/>
    <s v="FUN1 Func Test"/>
    <x v="3"/>
    <s v="1"/>
    <x v="3"/>
    <d v="2026-05-26T14:06:19"/>
    <x v="28"/>
    <x v="16"/>
    <x v="28"/>
    <m/>
    <m/>
    <m/>
  </r>
  <r>
    <s v="YK262000119"/>
    <s v="SHIP Shipping"/>
    <x v="1"/>
    <s v="1"/>
    <x v="1"/>
    <d v="2026-05-27T08:57:54"/>
    <x v="28"/>
    <x v="16"/>
    <x v="28"/>
    <m/>
    <d v="2026-05-27T00:00:00"/>
    <m/>
  </r>
  <r>
    <s v="YK262000120"/>
    <s v="CMP1 Complete"/>
    <x v="6"/>
    <s v="1"/>
    <x v="5"/>
    <d v="2026-06-23T06:50:56"/>
    <x v="28"/>
    <x v="16"/>
    <x v="28"/>
    <m/>
    <m/>
    <m/>
  </r>
  <r>
    <s v="YK262000121"/>
    <s v="NOT-IN-PROCESS"/>
    <x v="0"/>
    <s v="1"/>
    <x v="0"/>
    <d v="2026-06-19T15:22:57"/>
    <x v="28"/>
    <x v="16"/>
    <x v="28"/>
    <m/>
    <m/>
    <m/>
  </r>
  <r>
    <s v="YK262000122"/>
    <s v="CMP1 Complete"/>
    <x v="6"/>
    <s v="1"/>
    <x v="5"/>
    <d v="2026-06-23T13:04:35"/>
    <x v="28"/>
    <x v="16"/>
    <x v="28"/>
    <m/>
    <m/>
    <m/>
  </r>
  <r>
    <s v="YK262000123"/>
    <s v="CMP1 Complete"/>
    <x v="6"/>
    <s v="1"/>
    <x v="5"/>
    <d v="2026-06-23T06:49:17"/>
    <x v="28"/>
    <x v="16"/>
    <x v="28"/>
    <m/>
    <m/>
    <m/>
  </r>
  <r>
    <s v="YK262000124"/>
    <s v="CMP1 Complete"/>
    <x v="6"/>
    <s v="1"/>
    <x v="5"/>
    <d v="2026-06-23T06:50:02"/>
    <x v="28"/>
    <x v="16"/>
    <x v="28"/>
    <m/>
    <m/>
    <m/>
  </r>
  <r>
    <s v="YK262500727"/>
    <s v="UNTT Unit Test"/>
    <x v="7"/>
    <s v="1"/>
    <x v="3"/>
    <d v="2026-06-18T16:36:26"/>
    <x v="29"/>
    <x v="17"/>
    <x v="29"/>
    <m/>
    <m/>
    <m/>
  </r>
  <r>
    <s v="YK262500728"/>
    <s v="CMP1 Complete"/>
    <x v="6"/>
    <s v="1"/>
    <x v="5"/>
    <d v="2026-06-19T17:08:20"/>
    <x v="29"/>
    <x v="17"/>
    <x v="29"/>
    <m/>
    <m/>
    <m/>
  </r>
  <r>
    <s v="YK262500729"/>
    <s v="NOT-IN-PROCESS"/>
    <x v="0"/>
    <s v="1"/>
    <x v="7"/>
    <d v="2026-06-17T11:59:27"/>
    <x v="29"/>
    <x v="17"/>
    <x v="29"/>
    <m/>
    <m/>
    <m/>
  </r>
  <r>
    <s v="YK262500730"/>
    <s v="NOT-IN-PROCESS"/>
    <x v="0"/>
    <s v="1"/>
    <x v="7"/>
    <d v="2026-06-17T11:59:27"/>
    <x v="29"/>
    <x v="17"/>
    <x v="29"/>
    <m/>
    <m/>
    <m/>
  </r>
  <r>
    <s v="YK262500731"/>
    <s v="NOT-IN-PROCESS"/>
    <x v="0"/>
    <s v="1"/>
    <x v="7"/>
    <d v="2026-06-17T11:59:27"/>
    <x v="29"/>
    <x v="17"/>
    <x v="29"/>
    <m/>
    <m/>
    <m/>
  </r>
  <r>
    <s v="YK262500732"/>
    <s v="NOT-IN-PROCESS"/>
    <x v="0"/>
    <s v="1"/>
    <x v="7"/>
    <d v="2026-06-17T11:59:27"/>
    <x v="29"/>
    <x v="17"/>
    <x v="29"/>
    <m/>
    <m/>
    <m/>
  </r>
  <r>
    <s v="YK262500733"/>
    <s v="NOT-IN-PROCESS"/>
    <x v="0"/>
    <s v="1"/>
    <x v="7"/>
    <d v="2026-06-17T11:59:27"/>
    <x v="29"/>
    <x v="17"/>
    <x v="29"/>
    <m/>
    <m/>
    <m/>
  </r>
  <r>
    <s v="YK262500734"/>
    <s v="NOT-IN-PROCESS"/>
    <x v="0"/>
    <s v="1"/>
    <x v="7"/>
    <d v="2026-06-17T11:59:27"/>
    <x v="29"/>
    <x v="17"/>
    <x v="2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21" firstHeaderRow="1" firstDataRow="1" firstDataCol="5"/>
  <pivotFields count="12">
    <pivotField showAll="0"/>
    <pivotField showAll="0"/>
    <pivotField axis="axisRow" outline="0" showAll="0" defaultSubtotal="0">
      <items count="25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8"/>
        <item x="15"/>
        <item x="12"/>
        <item x="19"/>
        <item m="1" x="23"/>
        <item x="16"/>
        <item m="1" x="24"/>
        <item m="1" x="22"/>
        <item m="1" x="21"/>
        <item m="1" x="20"/>
        <item x="14"/>
        <item x="17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outline="0" showAll="0" defaultSubtotal="0">
      <items count="18">
        <item x="7"/>
        <item x="0"/>
        <item x="1"/>
        <item x="11"/>
        <item x="2"/>
        <item x="3"/>
        <item x="8"/>
        <item x="12"/>
        <item x="9"/>
        <item x="5"/>
        <item x="6"/>
        <item x="14"/>
        <item x="15"/>
        <item x="16"/>
        <item x="13"/>
        <item x="10"/>
        <item x="17"/>
        <item x="4"/>
      </items>
    </pivotField>
    <pivotField axis="axisRow" outline="0" showAll="0" sortType="ascending" defaultSubtotal="0">
      <items count="30">
        <item x="0"/>
        <item x="1"/>
        <item x="14"/>
        <item x="19"/>
        <item x="4"/>
        <item x="5"/>
        <item x="2"/>
        <item x="3"/>
        <item x="15"/>
        <item x="20"/>
        <item x="7"/>
        <item x="6"/>
        <item x="16"/>
        <item x="21"/>
        <item x="11"/>
        <item x="10"/>
        <item x="24"/>
        <item x="25"/>
        <item x="28"/>
        <item x="18"/>
        <item x="8"/>
        <item x="9"/>
        <item x="22"/>
        <item x="23"/>
        <item x="12"/>
        <item x="13"/>
        <item x="26"/>
        <item x="27"/>
        <item x="29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20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9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20"/>
      <x v="7"/>
      <x v="3"/>
      <x v="5"/>
    </i>
    <i r="3">
      <x v="14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17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1"/>
      <x v="14"/>
      <x v="2"/>
      <x v="6"/>
    </i>
    <i r="3">
      <x v="3"/>
      <x v="5"/>
    </i>
    <i r="3">
      <x v="7"/>
      <x v="3"/>
    </i>
    <i r="3">
      <x v="18"/>
      <x v="1"/>
    </i>
    <i r="3">
      <x v="24"/>
      <x v="4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4"/>
      <x v="11"/>
      <x v="3"/>
      <x v="5"/>
    </i>
    <i>
      <x v="17"/>
      <x v="25"/>
      <x v="12"/>
      <x v="3"/>
      <x v="5"/>
    </i>
    <i>
      <x v="18"/>
      <x v="28"/>
      <x v="13"/>
      <x/>
      <x/>
    </i>
    <i r="3">
      <x v="1"/>
      <x v="3"/>
    </i>
    <i r="3">
      <x v="2"/>
      <x v="7"/>
    </i>
    <i r="3">
      <x v="3"/>
      <x v="5"/>
    </i>
    <i>
      <x v="19"/>
      <x v="18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 r="3">
      <x v="15"/>
      <x v="3"/>
    </i>
    <i>
      <x v="20"/>
      <x v="8"/>
      <x v="9"/>
      <x v="2"/>
      <x v="6"/>
    </i>
    <i r="3">
      <x v="11"/>
      <x v="3"/>
    </i>
    <i r="3">
      <x v="15"/>
      <x v="3"/>
    </i>
    <i>
      <x v="21"/>
      <x v="9"/>
      <x v="10"/>
      <x v="2"/>
      <x v="6"/>
    </i>
    <i r="3">
      <x v="9"/>
      <x v="3"/>
    </i>
    <i r="3">
      <x v="11"/>
      <x v="3"/>
    </i>
    <i r="3">
      <x v="15"/>
      <x v="3"/>
    </i>
    <i>
      <x v="22"/>
      <x v="22"/>
      <x v="14"/>
      <x v="2"/>
      <x v="6"/>
    </i>
    <i>
      <x v="23"/>
      <x v="23"/>
      <x v="14"/>
      <x v="3"/>
      <x v="5"/>
    </i>
    <i>
      <x v="24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>
      <x v="25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8"/>
      <x v="1"/>
    </i>
    <i r="3">
      <x v="11"/>
      <x v="3"/>
    </i>
    <i r="3">
      <x v="23"/>
      <x v="3"/>
    </i>
    <i>
      <x v="26"/>
      <x v="26"/>
      <x v="11"/>
      <x/>
      <x/>
    </i>
    <i r="3">
      <x v="2"/>
      <x v="7"/>
    </i>
    <i r="3">
      <x v="5"/>
      <x v="2"/>
    </i>
    <i r="3">
      <x v="13"/>
      <x v="3"/>
    </i>
    <i r="3">
      <x v="15"/>
      <x v="3"/>
    </i>
    <i>
      <x v="27"/>
      <x v="27"/>
      <x v="12"/>
      <x/>
      <x/>
    </i>
    <i r="3">
      <x v="2"/>
      <x v="7"/>
    </i>
    <i r="3">
      <x v="5"/>
      <x v="2"/>
    </i>
    <i r="3">
      <x v="6"/>
      <x v="1"/>
    </i>
    <i r="3">
      <x v="9"/>
      <x v="3"/>
    </i>
    <i r="3">
      <x v="13"/>
      <x v="3"/>
    </i>
    <i r="3">
      <x v="15"/>
      <x v="3"/>
    </i>
    <i r="3">
      <x v="16"/>
      <x v="1"/>
    </i>
    <i>
      <x v="28"/>
      <x v="29"/>
      <x v="16"/>
      <x/>
      <x/>
    </i>
    <i r="3">
      <x v="2"/>
      <x v="6"/>
    </i>
    <i r="3">
      <x v="7"/>
      <x v="3"/>
    </i>
    <i>
      <x v="29"/>
      <x v="17"/>
      <x v="1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1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6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1" name="Table11" displayName="Table1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3" name="Table13" displayName="Table13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4" name="Table14" displayName="Table14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811"/>
  <sheetViews>
    <sheetView workbookViewId="0">
      <pane ySplit="1" topLeftCell="A1773" activePane="bottomLeft" state="frozen"/>
      <selection pane="bottomLeft" activeCell="C20" sqref="C2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VLOOKUP(G2,Sheet2!A:J,10,0)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VLOOKUP(G3,Sheet2!A:J,10,0)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VLOOKUP(G4,Sheet2!A:J,10,0)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VLOOKUP(G5,Sheet2!A:J,10,0)</f>
        <v>1</v>
      </c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VLOOKUP(G6,Sheet2!A:J,10,0)</f>
        <v>1</v>
      </c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VLOOKUP(G7,Sheet2!A:J,10,0)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VLOOKUP(G8,Sheet2!A:J,10,0)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VLOOKUP(G9,Sheet2!A:J,10,0)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VLOOKUP(G10,Sheet2!A:J,10,0)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VLOOKUP(G11,Sheet2!A:J,10,0)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VLOOKUP(G12,Sheet2!A:J,10,0)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VLOOKUP(G13,Sheet2!A:J,10,0)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VLOOKUP(G14,Sheet2!A:J,10,0)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VLOOKUP(G15,Sheet2!A:J,10,0)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VLOOKUP(G16,Sheet2!A:J,10,0)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VLOOKUP(G17,Sheet2!A:J,10,0)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VLOOKUP(G18,Sheet2!A:J,10,0)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VLOOKUP(G19,Sheet2!A:J,10,0)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VLOOKUP(G20,Sheet2!A:J,10,0)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VLOOKUP(G21,Sheet2!A:J,10,0)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VLOOKUP(G22,Sheet2!A:J,10,0)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VLOOKUP(G23,Sheet2!A:J,10,0)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VLOOKUP(G24,Sheet2!A:J,10,0)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VLOOKUP(G25,Sheet2!A:J,10,0)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VLOOKUP(G26,Sheet2!A:J,10,0)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VLOOKUP(G27,Sheet2!A:J,10,0)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VLOOKUP(G28,Sheet2!A:J,10,0)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VLOOKUP(G29,Sheet2!A:J,10,0)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VLOOKUP(G30,Sheet2!A:J,10,0)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VLOOKUP(G31,Sheet2!A:J,10,0)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VLOOKUP(G32,Sheet2!A:J,10,0)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VLOOKUP(G33,Sheet2!A:J,10,0)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VLOOKUP(G34,Sheet2!A:J,10,0)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VLOOKUP(G35,Sheet2!A:J,10,0)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VLOOKUP(G36,Sheet2!A:J,10,0)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VLOOKUP(G37,Sheet2!A:J,10,0)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VLOOKUP(G38,Sheet2!A:J,10,0)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VLOOKUP(G39,Sheet2!A:J,10,0)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VLOOKUP(G40,Sheet2!A:J,10,0)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VLOOKUP(G41,Sheet2!A:J,10,0)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VLOOKUP(G42,Sheet2!A:J,10,0)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VLOOKUP(G43,Sheet2!A:J,10,0)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VLOOKUP(G44,Sheet2!A:J,10,0)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VLOOKUP(G45,Sheet2!A:J,10,0)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VLOOKUP(G46,Sheet2!A:J,10,0)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VLOOKUP(G47,Sheet2!A:J,10,0)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VLOOKUP(G48,Sheet2!A:J,10,0)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VLOOKUP(G49,Sheet2!A:J,10,0)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VLOOKUP(G50,Sheet2!A:J,10,0)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VLOOKUP(G51,Sheet2!A:J,10,0)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VLOOKUP(G52,Sheet2!A:J,10,0)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VLOOKUP(G53,Sheet2!A:J,10,0)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VLOOKUP(G54,Sheet2!A:J,10,0)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VLOOKUP(G55,Sheet2!A:J,10,0)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VLOOKUP(G56,Sheet2!A:J,10,0)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VLOOKUP(G57,Sheet2!A:J,10,0)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VLOOKUP(G58,Sheet2!A:J,10,0)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VLOOKUP(G59,Sheet2!A:J,10,0)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VLOOKUP(G60,Sheet2!A:J,10,0)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VLOOKUP(G61,Sheet2!A:J,10,0)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VLOOKUP(G62,Sheet2!A:J,10,0)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VLOOKUP(G63,Sheet2!A:J,10,0)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VLOOKUP(G64,Sheet2!A:J,10,0)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VLOOKUP(G65,Sheet2!A:J,10,0)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VLOOKUP(G66,Sheet2!A:J,10,0)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VLOOKUP(G67,Sheet2!A:J,10,0)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VLOOKUP(G68,Sheet2!A:J,10,0)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VLOOKUP(G69,Sheet2!A:J,10,0)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VLOOKUP(G70,Sheet2!A:J,10,0)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VLOOKUP(G71,Sheet2!A:J,10,0)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VLOOKUP(G72,Sheet2!A:J,10,0)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VLOOKUP(G73,Sheet2!A:J,10,0)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VLOOKUP(G74,Sheet2!A:J,10,0)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VLOOKUP(G75,Sheet2!A:J,10,0)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VLOOKUP(G76,Sheet2!A:J,10,0)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VLOOKUP(G77,Sheet2!A:J,10,0)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VLOOKUP(G78,Sheet2!A:J,10,0)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VLOOKUP(G79,Sheet2!A:J,10,0)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VLOOKUP(G80,Sheet2!A:J,10,0)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VLOOKUP(G81,Sheet2!A:J,10,0)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VLOOKUP(G82,Sheet2!A:J,10,0)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VLOOKUP(G83,Sheet2!A:J,10,0)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VLOOKUP(G84,Sheet2!A:J,10,0)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VLOOKUP(G85,Sheet2!A:J,10,0)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VLOOKUP(G86,Sheet2!A:J,10,0)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VLOOKUP(G87,Sheet2!A:J,10,0)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VLOOKUP(G88,Sheet2!A:J,10,0)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VLOOKUP(G89,Sheet2!A:J,10,0)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VLOOKUP(G90,Sheet2!A:J,10,0)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VLOOKUP(G91,Sheet2!A:J,10,0)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VLOOKUP(G92,Sheet2!A:J,10,0)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VLOOKUP(G93,Sheet2!A:J,10,0)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VLOOKUP(G94,Sheet2!A:J,10,0)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VLOOKUP(G95,Sheet2!A:J,10,0)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VLOOKUP(G96,Sheet2!A:J,10,0)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VLOOKUP(G97,Sheet2!A:J,10,0)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VLOOKUP(G98,Sheet2!A:J,10,0)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VLOOKUP(G99,Sheet2!A:J,10,0)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VLOOKUP(G100,Sheet2!A:J,10,0)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VLOOKUP(G101,Sheet2!A:J,10,0)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VLOOKUP(G102,Sheet2!A:J,10,0)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VLOOKUP(G103,Sheet2!A:J,10,0)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VLOOKUP(G104,Sheet2!A:J,10,0)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VLOOKUP(G105,Sheet2!A:J,10,0)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VLOOKUP(G106,Sheet2!A:J,10,0)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VLOOKUP(G107,Sheet2!A:J,10,0)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VLOOKUP(G108,Sheet2!A:J,10,0)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VLOOKUP(G109,Sheet2!A:J,10,0)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VLOOKUP(G110,Sheet2!A:J,10,0)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VLOOKUP(G111,Sheet2!A:J,10,0)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VLOOKUP(G112,Sheet2!A:J,10,0)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VLOOKUP(G113,Sheet2!A:J,10,0)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VLOOKUP(G114,Sheet2!A:J,10,0)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VLOOKUP(G115,Sheet2!A:J,10,0)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VLOOKUP(G116,Sheet2!A:J,10,0)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VLOOKUP(G117,Sheet2!A:J,10,0)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VLOOKUP(G118,Sheet2!A:J,10,0)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VLOOKUP(G119,Sheet2!A:J,10,0)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VLOOKUP(G120,Sheet2!A:J,10,0)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VLOOKUP(G121,Sheet2!A:J,10,0)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VLOOKUP(G122,Sheet2!A:J,10,0)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VLOOKUP(G123,Sheet2!A:J,10,0)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VLOOKUP(G124,Sheet2!A:J,10,0)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VLOOKUP(G125,Sheet2!A:J,10,0)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VLOOKUP(G126,Sheet2!A:J,10,0)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VLOOKUP(G127,Sheet2!A:J,10,0)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VLOOKUP(G128,Sheet2!A:J,10,0)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VLOOKUP(G129,Sheet2!A:J,10,0)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VLOOKUP(G130,Sheet2!A:J,10,0)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VLOOKUP(G131,Sheet2!A:J,10,0)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VLOOKUP(G132,Sheet2!A:J,10,0)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VLOOKUP(G133,Sheet2!A:J,10,0)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VLOOKUP(G134,Sheet2!A:J,10,0)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VLOOKUP(G135,Sheet2!A:J,10,0)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VLOOKUP(G136,Sheet2!A:J,10,0)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VLOOKUP(G137,Sheet2!A:J,10,0)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VLOOKUP(G138,Sheet2!A:J,10,0)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VLOOKUP(G139,Sheet2!A:J,10,0)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VLOOKUP(G140,Sheet2!A:J,10,0)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VLOOKUP(G141,Sheet2!A:J,10,0)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VLOOKUP(G142,Sheet2!A:J,10,0)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VLOOKUP(G143,Sheet2!A:J,10,0)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VLOOKUP(G144,Sheet2!A:J,10,0)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VLOOKUP(G145,Sheet2!A:J,10,0)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VLOOKUP(G146,Sheet2!A:J,10,0)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VLOOKUP(G147,Sheet2!A:J,10,0)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VLOOKUP(G148,Sheet2!A:J,10,0)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VLOOKUP(G149,Sheet2!A:J,10,0)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VLOOKUP(G150,Sheet2!A:J,10,0)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VLOOKUP(G151,Sheet2!A:J,10,0)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VLOOKUP(G152,Sheet2!A:J,10,0)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VLOOKUP(G153,Sheet2!A:J,10,0)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VLOOKUP(G154,Sheet2!A:J,10,0)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VLOOKUP(G155,Sheet2!A:J,10,0)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VLOOKUP(G156,Sheet2!A:J,10,0)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VLOOKUP(G157,Sheet2!A:J,10,0)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VLOOKUP(G158,Sheet2!A:J,10,0)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VLOOKUP(G159,Sheet2!A:J,10,0)</f>
        <v>7</v>
      </c>
      <c r="J159" s="13"/>
      <c r="K159" s="13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VLOOKUP(G160,Sheet2!A:J,10,0)</f>
        <v>7</v>
      </c>
      <c r="J160" s="13"/>
      <c r="K160" s="13">
        <v>46105</v>
      </c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VLOOKUP(G161,Sheet2!A:J,10,0)</f>
        <v>7</v>
      </c>
      <c r="J161" s="13"/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VLOOKUP(G162,Sheet2!A:J,10,0)</f>
        <v>7</v>
      </c>
      <c r="J162" s="13"/>
      <c r="K162" s="13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VLOOKUP(G163,Sheet2!A:J,10,0)</f>
        <v>7</v>
      </c>
      <c r="J163" s="13"/>
      <c r="K163" s="13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VLOOKUP(G164,Sheet2!A:J,10,0)</f>
        <v>7</v>
      </c>
      <c r="J164" s="13"/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VLOOKUP(G165,Sheet2!A:J,10,0)</f>
        <v>7</v>
      </c>
      <c r="J165" s="13"/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VLOOKUP(G166,Sheet2!A:J,10,0)</f>
        <v>7</v>
      </c>
      <c r="J166" s="13"/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VLOOKUP(G167,Sheet2!A:J,10,0)</f>
        <v>7</v>
      </c>
      <c r="J167" s="13"/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VLOOKUP(G168,Sheet2!A:J,10,0)</f>
        <v>7</v>
      </c>
      <c r="J168" s="13"/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VLOOKUP(G169,Sheet2!A:J,10,0)</f>
        <v>7</v>
      </c>
      <c r="J169" s="13"/>
      <c r="K169" s="13">
        <v>46097</v>
      </c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VLOOKUP(G170,Sheet2!A:J,10,0)</f>
        <v>7</v>
      </c>
      <c r="J170" s="13"/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VLOOKUP(G171,Sheet2!A:J,10,0)</f>
        <v>7</v>
      </c>
      <c r="J171" s="13"/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VLOOKUP(G172,Sheet2!A:J,10,0)</f>
        <v>7</v>
      </c>
      <c r="J172" s="13"/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VLOOKUP(G173,Sheet2!A:J,10,0)</f>
        <v>7</v>
      </c>
      <c r="J173" s="13"/>
      <c r="K173" s="13">
        <v>46128</v>
      </c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VLOOKUP(G174,Sheet2!A:J,10,0)</f>
        <v>7</v>
      </c>
      <c r="J174" s="13"/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VLOOKUP(G175,Sheet2!A:J,10,0)</f>
        <v>7</v>
      </c>
      <c r="J175" s="13"/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VLOOKUP(G176,Sheet2!A:J,10,0)</f>
        <v>7</v>
      </c>
      <c r="J176" s="13"/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VLOOKUP(G177,Sheet2!A:J,10,0)</f>
        <v>7</v>
      </c>
      <c r="J177" s="13"/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VLOOKUP(G178,Sheet2!A:J,10,0)</f>
        <v>7</v>
      </c>
      <c r="J178" s="13"/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VLOOKUP(G179,Sheet2!A:J,10,0)</f>
        <v>7</v>
      </c>
      <c r="J179" s="13"/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VLOOKUP(G180,Sheet2!A:J,10,0)</f>
        <v>7</v>
      </c>
      <c r="J180" s="13"/>
      <c r="K180" s="13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VLOOKUP(G181,Sheet2!A:J,10,0)</f>
        <v>7</v>
      </c>
      <c r="J181" s="13"/>
      <c r="K181" s="13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VLOOKUP(G182,Sheet2!A:J,10,0)</f>
        <v>7</v>
      </c>
      <c r="J182" s="13"/>
      <c r="K182" s="13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VLOOKUP(G183,Sheet2!A:J,10,0)</f>
        <v>7</v>
      </c>
      <c r="J183" s="13"/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VLOOKUP(G184,Sheet2!A:J,10,0)</f>
        <v>7</v>
      </c>
      <c r="J184" s="13"/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VLOOKUP(G185,Sheet2!A:J,10,0)</f>
        <v>7</v>
      </c>
      <c r="J185" s="13"/>
      <c r="K185" s="13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VLOOKUP(G186,Sheet2!A:J,10,0)</f>
        <v>7</v>
      </c>
      <c r="J186" s="13"/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VLOOKUP(G187,Sheet2!A:J,10,0)</f>
        <v>7</v>
      </c>
      <c r="J187" s="13"/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VLOOKUP(G188,Sheet2!A:J,10,0)</f>
        <v>7</v>
      </c>
      <c r="J188" s="13"/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VLOOKUP(G189,Sheet2!A:J,10,0)</f>
        <v>8</v>
      </c>
      <c r="J189" s="13"/>
      <c r="K189" s="13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VLOOKUP(G190,Sheet2!A:J,10,0)</f>
        <v>8</v>
      </c>
      <c r="J190" s="13"/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VLOOKUP(G191,Sheet2!A:J,10,0)</f>
        <v>8</v>
      </c>
      <c r="J191" s="13"/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VLOOKUP(G192,Sheet2!A:J,10,0)</f>
        <v>8</v>
      </c>
      <c r="J192" s="13"/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VLOOKUP(G193,Sheet2!A:J,10,0)</f>
        <v>8</v>
      </c>
      <c r="J193" s="13"/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VLOOKUP(G194,Sheet2!A:J,10,0)</f>
        <v>8</v>
      </c>
      <c r="J194" s="13"/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VLOOKUP(G195,Sheet2!A:J,10,0)</f>
        <v>8</v>
      </c>
      <c r="J195" s="13"/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VLOOKUP(G196,Sheet2!A:J,10,0)</f>
        <v>8</v>
      </c>
      <c r="J196" s="13"/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VLOOKUP(G197,Sheet2!A:J,10,0)</f>
        <v>8</v>
      </c>
      <c r="J197" s="13"/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VLOOKUP(G198,Sheet2!A:J,10,0)</f>
        <v>8</v>
      </c>
      <c r="J198" s="13"/>
      <c r="K198" s="13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VLOOKUP(G199,Sheet2!A:J,10,0)</f>
        <v>8</v>
      </c>
      <c r="J199" s="13"/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VLOOKUP(G200,Sheet2!A:J,10,0)</f>
        <v>8</v>
      </c>
      <c r="J200" s="13"/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VLOOKUP(G201,Sheet2!A:J,10,0)</f>
        <v>8</v>
      </c>
      <c r="J201" s="13"/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VLOOKUP(G202,Sheet2!A:J,10,0)</f>
        <v>8</v>
      </c>
      <c r="J202" s="13"/>
      <c r="K202" s="13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VLOOKUP(G203,Sheet2!A:J,10,0)</f>
        <v>8</v>
      </c>
      <c r="J203" s="13"/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VLOOKUP(G204,Sheet2!A:J,10,0)</f>
        <v>8</v>
      </c>
      <c r="J204" s="13"/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VLOOKUP(G205,Sheet2!A:J,10,0)</f>
        <v>8</v>
      </c>
      <c r="J205" s="13"/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VLOOKUP(G206,Sheet2!A:J,10,0)</f>
        <v>8</v>
      </c>
      <c r="J206" s="13"/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VLOOKUP(G207,Sheet2!A:J,10,0)</f>
        <v>8</v>
      </c>
      <c r="J207" s="13"/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VLOOKUP(G208,Sheet2!A:J,10,0)</f>
        <v>8</v>
      </c>
      <c r="J208" s="13"/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VLOOKUP(G209,Sheet2!A:J,10,0)</f>
        <v>8</v>
      </c>
      <c r="J209" s="13"/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VLOOKUP(G210,Sheet2!A:J,10,0)</f>
        <v>8</v>
      </c>
      <c r="J210" s="13"/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VLOOKUP(G211,Sheet2!A:J,10,0)</f>
        <v>8</v>
      </c>
      <c r="J211" s="13"/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VLOOKUP(G212,Sheet2!A:J,10,0)</f>
        <v>8</v>
      </c>
      <c r="J212" s="13"/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VLOOKUP(G213,Sheet2!A:J,10,0)</f>
        <v>8</v>
      </c>
      <c r="J213" s="13"/>
      <c r="K213" s="13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VLOOKUP(G214,Sheet2!A:J,10,0)</f>
        <v>8</v>
      </c>
      <c r="J214" s="13"/>
      <c r="K214" s="13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VLOOKUP(G215,Sheet2!A:J,10,0)</f>
        <v>8</v>
      </c>
      <c r="J215" s="13"/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VLOOKUP(G216,Sheet2!A:J,10,0)</f>
        <v>8</v>
      </c>
      <c r="J216" s="13"/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VLOOKUP(G217,Sheet2!A:J,10,0)</f>
        <v>8</v>
      </c>
      <c r="J217" s="13"/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>
        <f>VLOOKUP(G218,Sheet2!A:J,10,0)</f>
        <v>8</v>
      </c>
      <c r="J218" s="13"/>
      <c r="K218" s="13">
        <v>46128</v>
      </c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VLOOKUP(G219,Sheet2!A:J,10,0)</f>
        <v>8</v>
      </c>
      <c r="J219" s="13"/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VLOOKUP(G220,Sheet2!A:J,10,0)</f>
        <v>8</v>
      </c>
      <c r="J220" s="13"/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VLOOKUP(G221,Sheet2!A:J,10,0)</f>
        <v>8</v>
      </c>
      <c r="J221" s="13"/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VLOOKUP(G222,Sheet2!A:J,10,0)</f>
        <v>8</v>
      </c>
      <c r="J222" s="13"/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VLOOKUP(G223,Sheet2!A:J,10,0)</f>
        <v>8</v>
      </c>
      <c r="J223" s="13"/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VLOOKUP(G224,Sheet2!A:J,10,0)</f>
        <v>8</v>
      </c>
      <c r="J224" s="13"/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VLOOKUP(G225,Sheet2!A:J,10,0)</f>
        <v>8</v>
      </c>
      <c r="J225" s="13"/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VLOOKUP(G226,Sheet2!A:J,10,0)</f>
        <v>5</v>
      </c>
      <c r="J226" s="13"/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VLOOKUP(G227,Sheet2!A:J,10,0)</f>
        <v>5</v>
      </c>
      <c r="J227" s="13"/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VLOOKUP(G228,Sheet2!A:J,10,0)</f>
        <v>5</v>
      </c>
      <c r="J228" s="13"/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VLOOKUP(G229,Sheet2!A:J,10,0)</f>
        <v>5</v>
      </c>
      <c r="J229" s="13"/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VLOOKUP(G230,Sheet2!A:J,10,0)</f>
        <v>5</v>
      </c>
      <c r="J230" s="13"/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VLOOKUP(G231,Sheet2!A:J,10,0)</f>
        <v>5</v>
      </c>
      <c r="J231" s="13"/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VLOOKUP(G232,Sheet2!A:J,10,0)</f>
        <v>5</v>
      </c>
      <c r="J232" s="13"/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VLOOKUP(G233,Sheet2!A:J,10,0)</f>
        <v>5</v>
      </c>
      <c r="J233" s="13"/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VLOOKUP(G234,Sheet2!A:J,10,0)</f>
        <v>5</v>
      </c>
      <c r="J234" s="13"/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VLOOKUP(G235,Sheet2!A:J,10,0)</f>
        <v>5</v>
      </c>
      <c r="J235" s="13"/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VLOOKUP(G236,Sheet2!A:J,10,0)</f>
        <v>5</v>
      </c>
      <c r="J236" s="13"/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VLOOKUP(G237,Sheet2!A:J,10,0)</f>
        <v>5</v>
      </c>
      <c r="J237" s="13"/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VLOOKUP(G238,Sheet2!A:J,10,0)</f>
        <v>5</v>
      </c>
      <c r="J238" s="13"/>
      <c r="K238" s="13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VLOOKUP(G239,Sheet2!A:J,10,0)</f>
        <v>5</v>
      </c>
      <c r="J239" s="13"/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VLOOKUP(G240,Sheet2!A:J,10,0)</f>
        <v>5</v>
      </c>
      <c r="J240" s="13"/>
      <c r="K240" s="13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VLOOKUP(G241,Sheet2!A:J,10,0)</f>
        <v>5</v>
      </c>
      <c r="J241" s="13"/>
      <c r="K241" s="13">
        <v>46097</v>
      </c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VLOOKUP(G242,Sheet2!A:J,10,0)</f>
        <v>5</v>
      </c>
      <c r="J242" s="13"/>
      <c r="K242" s="13">
        <v>46169</v>
      </c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VLOOKUP(G243,Sheet2!A:J,10,0)</f>
        <v>5</v>
      </c>
      <c r="J243" s="13"/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VLOOKUP(G244,Sheet2!A:J,10,0)</f>
        <v>5</v>
      </c>
      <c r="J244" s="13"/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VLOOKUP(G245,Sheet2!A:J,10,0)</f>
        <v>5</v>
      </c>
      <c r="J245" s="13"/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VLOOKUP(G246,Sheet2!A:J,10,0)</f>
        <v>5</v>
      </c>
      <c r="J246" s="13"/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VLOOKUP(G247,Sheet2!A:J,10,0)</f>
        <v>5</v>
      </c>
      <c r="J247" s="13"/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VLOOKUP(G248,Sheet2!A:J,10,0)</f>
        <v>5</v>
      </c>
      <c r="J248" s="13"/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VLOOKUP(G249,Sheet2!A:J,10,0)</f>
        <v>5</v>
      </c>
      <c r="J249" s="13"/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VLOOKUP(G250,Sheet2!A:J,10,0)</f>
        <v>5</v>
      </c>
      <c r="J250" s="13"/>
      <c r="K250" s="13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VLOOKUP(G251,Sheet2!A:J,10,0)</f>
        <v>5</v>
      </c>
      <c r="J251" s="13"/>
      <c r="K251" s="13">
        <v>46097</v>
      </c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VLOOKUP(G252,Sheet2!A:J,10,0)</f>
        <v>5</v>
      </c>
      <c r="J252" s="13"/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VLOOKUP(G253,Sheet2!A:J,10,0)</f>
        <v>5</v>
      </c>
      <c r="J253" s="13"/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VLOOKUP(G254,Sheet2!A:J,10,0)</f>
        <v>5</v>
      </c>
      <c r="J254" s="13"/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VLOOKUP(G255,Sheet2!A:J,10,0)</f>
        <v>5</v>
      </c>
      <c r="J255" s="13"/>
      <c r="K255" s="13">
        <v>46169</v>
      </c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VLOOKUP(G256,Sheet2!A:J,10,0)</f>
        <v>5</v>
      </c>
      <c r="J256" s="13"/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VLOOKUP(G257,Sheet2!A:J,10,0)</f>
        <v>5</v>
      </c>
      <c r="J257" s="13"/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VLOOKUP(G258,Sheet2!A:J,10,0)</f>
        <v>5</v>
      </c>
      <c r="J258" s="13"/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VLOOKUP(G259,Sheet2!A:J,10,0)</f>
        <v>5</v>
      </c>
      <c r="J259" s="13"/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VLOOKUP(G260,Sheet2!A:J,10,0)</f>
        <v>5</v>
      </c>
      <c r="J260" s="13"/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VLOOKUP(G261,Sheet2!A:J,10,0)</f>
        <v>5</v>
      </c>
      <c r="J261" s="13"/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VLOOKUP(G262,Sheet2!A:J,10,0)</f>
        <v>5</v>
      </c>
      <c r="J262" s="13"/>
      <c r="K262" s="13">
        <v>46169</v>
      </c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VLOOKUP(G263,Sheet2!A:J,10,0)</f>
        <v>6</v>
      </c>
      <c r="J263" s="13"/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VLOOKUP(G264,Sheet2!A:J,10,0)</f>
        <v>6</v>
      </c>
      <c r="J264" s="13"/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VLOOKUP(G265,Sheet2!A:J,10,0)</f>
        <v>6</v>
      </c>
      <c r="J265" s="13"/>
      <c r="K265" s="13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VLOOKUP(G266,Sheet2!A:J,10,0)</f>
        <v>6</v>
      </c>
      <c r="J266" s="13"/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VLOOKUP(G267,Sheet2!A:J,10,0)</f>
        <v>6</v>
      </c>
      <c r="J267" s="13"/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VLOOKUP(G268,Sheet2!A:J,10,0)</f>
        <v>6</v>
      </c>
      <c r="J268" s="13"/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VLOOKUP(G269,Sheet2!A:J,10,0)</f>
        <v>6</v>
      </c>
      <c r="J269" s="13"/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VLOOKUP(G270,Sheet2!A:J,10,0)</f>
        <v>6</v>
      </c>
      <c r="J270" s="13"/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VLOOKUP(G271,Sheet2!A:J,10,0)</f>
        <v>6</v>
      </c>
      <c r="J271" s="13"/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VLOOKUP(G272,Sheet2!A:J,10,0)</f>
        <v>6</v>
      </c>
      <c r="J272" s="13"/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VLOOKUP(G273,Sheet2!A:J,10,0)</f>
        <v>6</v>
      </c>
      <c r="J273" s="13"/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VLOOKUP(G274,Sheet2!A:J,10,0)</f>
        <v>6</v>
      </c>
      <c r="J274" s="13"/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VLOOKUP(G275,Sheet2!A:J,10,0)</f>
        <v>6</v>
      </c>
      <c r="J275" s="13"/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VLOOKUP(G276,Sheet2!A:J,10,0)</f>
        <v>6</v>
      </c>
      <c r="J276" s="13"/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VLOOKUP(G277,Sheet2!A:J,10,0)</f>
        <v>6</v>
      </c>
      <c r="J277" s="13"/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VLOOKUP(G278,Sheet2!A:J,10,0)</f>
        <v>6</v>
      </c>
      <c r="J278" s="13"/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VLOOKUP(G279,Sheet2!A:J,10,0)</f>
        <v>6</v>
      </c>
      <c r="J279" s="13"/>
      <c r="K279" s="13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VLOOKUP(G280,Sheet2!A:J,10,0)</f>
        <v>6</v>
      </c>
      <c r="J280" s="13"/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VLOOKUP(G281,Sheet2!A:J,10,0)</f>
        <v>6</v>
      </c>
      <c r="J281" s="13"/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VLOOKUP(G282,Sheet2!A:J,10,0)</f>
        <v>6</v>
      </c>
      <c r="J282" s="13"/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VLOOKUP(G283,Sheet2!A:J,10,0)</f>
        <v>6</v>
      </c>
      <c r="J283" s="13"/>
      <c r="K283" s="13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VLOOKUP(G284,Sheet2!A:J,10,0)</f>
        <v>6</v>
      </c>
      <c r="J284" s="13"/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VLOOKUP(G285,Sheet2!A:J,10,0)</f>
        <v>6</v>
      </c>
      <c r="J285" s="13"/>
      <c r="K285" s="13">
        <v>46169</v>
      </c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VLOOKUP(G286,Sheet2!A:J,10,0)</f>
        <v>6</v>
      </c>
      <c r="J286" s="13"/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VLOOKUP(G287,Sheet2!A:J,10,0)</f>
        <v>6</v>
      </c>
      <c r="J287" s="13"/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VLOOKUP(G288,Sheet2!A:J,10,0)</f>
        <v>6</v>
      </c>
      <c r="J288" s="13"/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VLOOKUP(G289,Sheet2!A:J,10,0)</f>
        <v>6</v>
      </c>
      <c r="J289" s="13"/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VLOOKUP(G290,Sheet2!A:J,10,0)</f>
        <v>6</v>
      </c>
      <c r="J290" s="13"/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VLOOKUP(G291,Sheet2!A:J,10,0)</f>
        <v>6</v>
      </c>
      <c r="J291" s="13"/>
      <c r="K291" s="13">
        <v>46169</v>
      </c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VLOOKUP(G292,Sheet2!A:J,10,0)</f>
        <v>6</v>
      </c>
      <c r="J292" s="13"/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VLOOKUP(G293,Sheet2!A:J,10,0)</f>
        <v>6</v>
      </c>
      <c r="J293" s="13"/>
      <c r="K293" s="13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VLOOKUP(G294,Sheet2!A:J,10,0)</f>
        <v>6</v>
      </c>
      <c r="J294" s="13"/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VLOOKUP(G295,Sheet2!A:J,10,0)</f>
        <v>6</v>
      </c>
      <c r="J295" s="13"/>
      <c r="K295" s="13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VLOOKUP(G296,Sheet2!A:J,10,0)</f>
        <v>6</v>
      </c>
      <c r="J296" s="13"/>
      <c r="K296" s="13">
        <v>46112</v>
      </c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VLOOKUP(G297,Sheet2!A:J,10,0)</f>
        <v>6</v>
      </c>
      <c r="J297" s="13"/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VLOOKUP(G298,Sheet2!A:J,10,0)</f>
        <v>6</v>
      </c>
      <c r="J298" s="13"/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VLOOKUP(G299,Sheet2!A:J,10,0)</f>
        <v>6</v>
      </c>
      <c r="J299" s="13"/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2009</v>
      </c>
      <c r="I300" s="3">
        <f>VLOOKUP(G300,Sheet2!A:J,10,0)</f>
        <v>12</v>
      </c>
      <c r="J300" s="13"/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2009</v>
      </c>
      <c r="I301" s="3">
        <f>VLOOKUP(G301,Sheet2!A:J,10,0)</f>
        <v>12</v>
      </c>
      <c r="J301" s="13"/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2009</v>
      </c>
      <c r="I302" s="3">
        <f>VLOOKUP(G302,Sheet2!A:J,10,0)</f>
        <v>12</v>
      </c>
      <c r="J302" s="13"/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2009</v>
      </c>
      <c r="I303" s="3">
        <f>VLOOKUP(G303,Sheet2!A:J,10,0)</f>
        <v>12</v>
      </c>
      <c r="J303" s="13"/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2009</v>
      </c>
      <c r="I304" s="3">
        <f>VLOOKUP(G304,Sheet2!A:J,10,0)</f>
        <v>12</v>
      </c>
      <c r="J304" s="13"/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2009</v>
      </c>
      <c r="I305" s="3">
        <f>VLOOKUP(G305,Sheet2!A:J,10,0)</f>
        <v>12</v>
      </c>
      <c r="J305" s="13"/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2009</v>
      </c>
      <c r="I306" s="3">
        <f>VLOOKUP(G306,Sheet2!A:J,10,0)</f>
        <v>12</v>
      </c>
      <c r="J306" s="13"/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2009</v>
      </c>
      <c r="I307" s="3">
        <f>VLOOKUP(G307,Sheet2!A:J,10,0)</f>
        <v>12</v>
      </c>
      <c r="J307" s="13"/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2009</v>
      </c>
      <c r="I308" s="3">
        <f>VLOOKUP(G308,Sheet2!A:J,10,0)</f>
        <v>12</v>
      </c>
      <c r="J308" s="13"/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2009</v>
      </c>
      <c r="I309" s="3">
        <f>VLOOKUP(G309,Sheet2!A:J,10,0)</f>
        <v>12</v>
      </c>
      <c r="J309" s="13"/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2009</v>
      </c>
      <c r="I310" s="3">
        <f>VLOOKUP(G310,Sheet2!A:J,10,0)</f>
        <v>12</v>
      </c>
      <c r="J310" s="13"/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t="s">
        <v>367</v>
      </c>
      <c r="H311" t="s">
        <v>2009</v>
      </c>
      <c r="I311" s="3">
        <f>VLOOKUP(G311,Sheet2!A:J,10,0)</f>
        <v>12</v>
      </c>
      <c r="J311" s="13"/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2009</v>
      </c>
      <c r="I312" s="3">
        <f>VLOOKUP(G312,Sheet2!A:J,10,0)</f>
        <v>12</v>
      </c>
      <c r="J312" s="13"/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2009</v>
      </c>
      <c r="I313" s="3">
        <f>VLOOKUP(G313,Sheet2!A:J,10,0)</f>
        <v>12</v>
      </c>
      <c r="J313" s="13"/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2009</v>
      </c>
      <c r="I314" s="3">
        <f>VLOOKUP(G314,Sheet2!A:J,10,0)</f>
        <v>12</v>
      </c>
      <c r="J314" s="13"/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2009</v>
      </c>
      <c r="I315" s="3">
        <f>VLOOKUP(G315,Sheet2!A:J,10,0)</f>
        <v>12</v>
      </c>
      <c r="J315" s="13"/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2009</v>
      </c>
      <c r="I316" s="3">
        <f>VLOOKUP(G316,Sheet2!A:J,10,0)</f>
        <v>12</v>
      </c>
      <c r="J316" s="13"/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2009</v>
      </c>
      <c r="I317" s="3">
        <f>VLOOKUP(G317,Sheet2!A:J,10,0)</f>
        <v>12</v>
      </c>
      <c r="J317" s="13"/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2009</v>
      </c>
      <c r="I318" s="3">
        <f>VLOOKUP(G318,Sheet2!A:J,10,0)</f>
        <v>12</v>
      </c>
      <c r="J318" s="13"/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2009</v>
      </c>
      <c r="I319" s="3">
        <f>VLOOKUP(G319,Sheet2!A:J,10,0)</f>
        <v>12</v>
      </c>
      <c r="J319" s="13"/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2009</v>
      </c>
      <c r="I320" s="3">
        <f>VLOOKUP(G320,Sheet2!A:J,10,0)</f>
        <v>12</v>
      </c>
      <c r="J320" s="13"/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2009</v>
      </c>
      <c r="I321" s="3">
        <f>VLOOKUP(G321,Sheet2!A:J,10,0)</f>
        <v>12</v>
      </c>
      <c r="J321" s="13"/>
      <c r="K321" s="13">
        <v>46156</v>
      </c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2009</v>
      </c>
      <c r="I322" s="3">
        <f>VLOOKUP(G322,Sheet2!A:J,10,0)</f>
        <v>12</v>
      </c>
      <c r="J322" s="13"/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2009</v>
      </c>
      <c r="I323" s="3">
        <f>VLOOKUP(G323,Sheet2!A:J,10,0)</f>
        <v>12</v>
      </c>
      <c r="J323" s="13"/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t="s">
        <v>367</v>
      </c>
      <c r="H324" t="s">
        <v>2009</v>
      </c>
      <c r="I324" s="3">
        <f>VLOOKUP(G324,Sheet2!A:J,10,0)</f>
        <v>12</v>
      </c>
      <c r="J324" s="13"/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t="s">
        <v>367</v>
      </c>
      <c r="H325" t="s">
        <v>2009</v>
      </c>
      <c r="I325" s="3">
        <f>VLOOKUP(G325,Sheet2!A:J,10,0)</f>
        <v>12</v>
      </c>
      <c r="J325" s="13"/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2009</v>
      </c>
      <c r="I326" s="3">
        <f>VLOOKUP(G326,Sheet2!A:J,10,0)</f>
        <v>12</v>
      </c>
      <c r="J326" s="13"/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2009</v>
      </c>
      <c r="I327" s="3">
        <f>VLOOKUP(G327,Sheet2!A:J,10,0)</f>
        <v>12</v>
      </c>
      <c r="J327" s="13"/>
      <c r="K327" s="13"/>
    </row>
    <row r="328" spans="1:1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2009</v>
      </c>
      <c r="I328" s="3">
        <f>VLOOKUP(G328,Sheet2!A:J,10,0)</f>
        <v>12</v>
      </c>
      <c r="J328" s="13"/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t="s">
        <v>367</v>
      </c>
      <c r="H329" t="s">
        <v>2009</v>
      </c>
      <c r="I329" s="3">
        <f>VLOOKUP(G329,Sheet2!A:J,10,0)</f>
        <v>12</v>
      </c>
      <c r="J329" s="13"/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2009</v>
      </c>
      <c r="I330" s="3">
        <f>VLOOKUP(G330,Sheet2!A:J,10,0)</f>
        <v>12</v>
      </c>
      <c r="J330" s="13"/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2009</v>
      </c>
      <c r="I331" s="3">
        <f>VLOOKUP(G331,Sheet2!A:J,10,0)</f>
        <v>12</v>
      </c>
      <c r="J331" s="13"/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t="s">
        <v>367</v>
      </c>
      <c r="H332" t="s">
        <v>2009</v>
      </c>
      <c r="I332" s="3">
        <f>VLOOKUP(G332,Sheet2!A:J,10,0)</f>
        <v>12</v>
      </c>
      <c r="J332" s="13"/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t="s">
        <v>367</v>
      </c>
      <c r="H333" t="s">
        <v>2009</v>
      </c>
      <c r="I333" s="3">
        <f>VLOOKUP(G333,Sheet2!A:J,10,0)</f>
        <v>12</v>
      </c>
      <c r="J333" s="13"/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t="s">
        <v>367</v>
      </c>
      <c r="H334" t="s">
        <v>2009</v>
      </c>
      <c r="I334" s="3">
        <f>VLOOKUP(G334,Sheet2!A:J,10,0)</f>
        <v>12</v>
      </c>
      <c r="J334" s="13"/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t="s">
        <v>367</v>
      </c>
      <c r="H335" t="s">
        <v>2009</v>
      </c>
      <c r="I335" s="3">
        <f>VLOOKUP(G335,Sheet2!A:J,10,0)</f>
        <v>12</v>
      </c>
      <c r="J335" s="13"/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t="s">
        <v>367</v>
      </c>
      <c r="H336" t="s">
        <v>2009</v>
      </c>
      <c r="I336" s="3">
        <f>VLOOKUP(G336,Sheet2!A:J,10,0)</f>
        <v>12</v>
      </c>
      <c r="J336" s="13"/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2009</v>
      </c>
      <c r="I337" s="3">
        <f>VLOOKUP(G337,Sheet2!A:J,10,0)</f>
        <v>12</v>
      </c>
      <c r="J337" s="13"/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2009</v>
      </c>
      <c r="I338" s="3">
        <f>VLOOKUP(G338,Sheet2!A:J,10,0)</f>
        <v>12</v>
      </c>
      <c r="J338" s="13"/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2009</v>
      </c>
      <c r="I339" s="3">
        <f>VLOOKUP(G339,Sheet2!A:J,10,0)</f>
        <v>12</v>
      </c>
      <c r="J339" s="13"/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2009</v>
      </c>
      <c r="I340" s="3">
        <f>VLOOKUP(G340,Sheet2!A:J,10,0)</f>
        <v>12</v>
      </c>
      <c r="J340" s="13" t="s">
        <v>1979</v>
      </c>
      <c r="K340" s="13">
        <v>46169</v>
      </c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t="s">
        <v>367</v>
      </c>
      <c r="H341" t="s">
        <v>2009</v>
      </c>
      <c r="I341" s="3">
        <f>VLOOKUP(G341,Sheet2!A:J,10,0)</f>
        <v>12</v>
      </c>
      <c r="J341" s="13"/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2009</v>
      </c>
      <c r="I342" s="3">
        <f>VLOOKUP(G342,Sheet2!A:J,10,0)</f>
        <v>12</v>
      </c>
      <c r="J342" s="13"/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t="s">
        <v>367</v>
      </c>
      <c r="H343" t="s">
        <v>2009</v>
      </c>
      <c r="I343" s="3">
        <f>VLOOKUP(G343,Sheet2!A:J,10,0)</f>
        <v>12</v>
      </c>
      <c r="J343" s="13"/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2009</v>
      </c>
      <c r="I344" s="3">
        <f>VLOOKUP(G344,Sheet2!A:J,10,0)</f>
        <v>12</v>
      </c>
      <c r="J344" s="13"/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t="s">
        <v>367</v>
      </c>
      <c r="H345" t="s">
        <v>2009</v>
      </c>
      <c r="I345" s="3">
        <f>VLOOKUP(G345,Sheet2!A:J,10,0)</f>
        <v>12</v>
      </c>
      <c r="J345" s="13"/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2009</v>
      </c>
      <c r="I346" s="3">
        <f>VLOOKUP(G346,Sheet2!A:J,10,0)</f>
        <v>12</v>
      </c>
      <c r="J346" s="13"/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t="s">
        <v>367</v>
      </c>
      <c r="H347" t="s">
        <v>2009</v>
      </c>
      <c r="I347" s="3">
        <f>VLOOKUP(G347,Sheet2!A:J,10,0)</f>
        <v>12</v>
      </c>
      <c r="J347" s="13"/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t="s">
        <v>367</v>
      </c>
      <c r="H348" t="s">
        <v>2009</v>
      </c>
      <c r="I348" s="3">
        <f>VLOOKUP(G348,Sheet2!A:J,10,0)</f>
        <v>12</v>
      </c>
      <c r="J348" s="13"/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2009</v>
      </c>
      <c r="I349" s="3">
        <f>VLOOKUP(G349,Sheet2!A:J,10,0)</f>
        <v>12</v>
      </c>
      <c r="J349" s="13"/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t="s">
        <v>367</v>
      </c>
      <c r="H350" t="s">
        <v>2009</v>
      </c>
      <c r="I350" s="3">
        <f>VLOOKUP(G350,Sheet2!A:J,10,0)</f>
        <v>12</v>
      </c>
      <c r="J350" s="13"/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2009</v>
      </c>
      <c r="I351" s="3">
        <f>VLOOKUP(G351,Sheet2!A:J,10,0)</f>
        <v>12</v>
      </c>
      <c r="J351" s="13"/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2009</v>
      </c>
      <c r="I352" s="3">
        <f>VLOOKUP(G352,Sheet2!A:J,10,0)</f>
        <v>12</v>
      </c>
      <c r="J352" s="13"/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t="s">
        <v>367</v>
      </c>
      <c r="H353" t="s">
        <v>2009</v>
      </c>
      <c r="I353" s="3">
        <f>VLOOKUP(G353,Sheet2!A:J,10,0)</f>
        <v>12</v>
      </c>
      <c r="J353" s="13"/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t="s">
        <v>367</v>
      </c>
      <c r="H354" t="s">
        <v>2009</v>
      </c>
      <c r="I354" s="3">
        <f>VLOOKUP(G354,Sheet2!A:J,10,0)</f>
        <v>12</v>
      </c>
      <c r="J354" s="13"/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2009</v>
      </c>
      <c r="I355" s="3">
        <f>VLOOKUP(G355,Sheet2!A:J,10,0)</f>
        <v>12</v>
      </c>
      <c r="J355" s="13"/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2009</v>
      </c>
      <c r="I356" s="3">
        <f>VLOOKUP(G356,Sheet2!A:J,10,0)</f>
        <v>12</v>
      </c>
      <c r="J356" s="13"/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2009</v>
      </c>
      <c r="I357" s="3">
        <f>VLOOKUP(G357,Sheet2!A:J,10,0)</f>
        <v>12</v>
      </c>
      <c r="J357" s="13"/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t="s">
        <v>367</v>
      </c>
      <c r="H358" t="s">
        <v>2009</v>
      </c>
      <c r="I358" s="3">
        <f>VLOOKUP(G358,Sheet2!A:J,10,0)</f>
        <v>12</v>
      </c>
      <c r="J358" s="13"/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2009</v>
      </c>
      <c r="I359" s="3">
        <f>VLOOKUP(G359,Sheet2!A:J,10,0)</f>
        <v>12</v>
      </c>
      <c r="J359" s="13"/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2009</v>
      </c>
      <c r="I360" s="3">
        <f>VLOOKUP(G360,Sheet2!A:J,10,0)</f>
        <v>12</v>
      </c>
      <c r="J360" s="13"/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2009</v>
      </c>
      <c r="I361" s="3">
        <f>VLOOKUP(G361,Sheet2!A:J,10,0)</f>
        <v>12</v>
      </c>
      <c r="J361" s="13"/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2009</v>
      </c>
      <c r="I362" s="3">
        <f>VLOOKUP(G362,Sheet2!A:J,10,0)</f>
        <v>12</v>
      </c>
      <c r="J362" s="13"/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2009</v>
      </c>
      <c r="I363" s="3">
        <f>VLOOKUP(G363,Sheet2!A:J,10,0)</f>
        <v>12</v>
      </c>
      <c r="J363" s="13"/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2009</v>
      </c>
      <c r="I364" s="3">
        <f>VLOOKUP(G364,Sheet2!A:J,10,0)</f>
        <v>12</v>
      </c>
      <c r="J364" s="13"/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2009</v>
      </c>
      <c r="I365" s="3">
        <f>VLOOKUP(G365,Sheet2!A:J,10,0)</f>
        <v>12</v>
      </c>
      <c r="J365" s="13"/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2009</v>
      </c>
      <c r="I366" s="3">
        <f>VLOOKUP(G366,Sheet2!A:J,10,0)</f>
        <v>12</v>
      </c>
      <c r="J366" s="13"/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2009</v>
      </c>
      <c r="I367" s="3">
        <f>VLOOKUP(G367,Sheet2!A:J,10,0)</f>
        <v>12</v>
      </c>
      <c r="J367" s="13"/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2009</v>
      </c>
      <c r="I368" s="3">
        <f>VLOOKUP(G368,Sheet2!A:J,10,0)</f>
        <v>12</v>
      </c>
      <c r="J368" s="13"/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2009</v>
      </c>
      <c r="I369" s="3">
        <f>VLOOKUP(G369,Sheet2!A:J,10,0)</f>
        <v>12</v>
      </c>
      <c r="J369" s="13"/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2009</v>
      </c>
      <c r="I370" s="3">
        <f>VLOOKUP(G370,Sheet2!A:J,10,0)</f>
        <v>12</v>
      </c>
      <c r="J370" s="13"/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2009</v>
      </c>
      <c r="I371" s="3">
        <f>VLOOKUP(G371,Sheet2!A:J,10,0)</f>
        <v>12</v>
      </c>
      <c r="J371" s="13"/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2009</v>
      </c>
      <c r="I372" s="3">
        <f>VLOOKUP(G372,Sheet2!A:J,10,0)</f>
        <v>12</v>
      </c>
      <c r="J372" s="13"/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2009</v>
      </c>
      <c r="I373" s="3">
        <f>VLOOKUP(G373,Sheet2!A:J,10,0)</f>
        <v>12</v>
      </c>
      <c r="J373" s="13"/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2009</v>
      </c>
      <c r="I374" s="3">
        <f>VLOOKUP(G374,Sheet2!A:J,10,0)</f>
        <v>12</v>
      </c>
      <c r="J374" s="13"/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2009</v>
      </c>
      <c r="I375" s="3">
        <f>VLOOKUP(G375,Sheet2!A:J,10,0)</f>
        <v>12</v>
      </c>
      <c r="J375" s="13"/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2009</v>
      </c>
      <c r="I376" s="3">
        <f>VLOOKUP(G376,Sheet2!A:J,10,0)</f>
        <v>12</v>
      </c>
      <c r="J376" s="13"/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2009</v>
      </c>
      <c r="I377" s="3">
        <f>VLOOKUP(G377,Sheet2!A:J,10,0)</f>
        <v>12</v>
      </c>
      <c r="J377" s="13"/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t="s">
        <v>367</v>
      </c>
      <c r="H378" t="s">
        <v>2009</v>
      </c>
      <c r="I378" s="3">
        <f>VLOOKUP(G378,Sheet2!A:J,10,0)</f>
        <v>12</v>
      </c>
      <c r="J378" s="13"/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t="s">
        <v>367</v>
      </c>
      <c r="H379" t="s">
        <v>2009</v>
      </c>
      <c r="I379" s="3">
        <f>VLOOKUP(G379,Sheet2!A:J,10,0)</f>
        <v>12</v>
      </c>
      <c r="J379" s="13"/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2009</v>
      </c>
      <c r="I380" s="3">
        <f>VLOOKUP(G380,Sheet2!A:J,10,0)</f>
        <v>12</v>
      </c>
      <c r="J380" s="13" t="s">
        <v>1979</v>
      </c>
      <c r="K380" s="13">
        <v>46169</v>
      </c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2009</v>
      </c>
      <c r="I381" s="3">
        <f>VLOOKUP(G381,Sheet2!A:J,10,0)</f>
        <v>12</v>
      </c>
      <c r="J381" s="13"/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2009</v>
      </c>
      <c r="I382" s="3">
        <f>VLOOKUP(G382,Sheet2!A:J,10,0)</f>
        <v>12</v>
      </c>
      <c r="J382" s="13"/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2009</v>
      </c>
      <c r="I383" s="3">
        <f>VLOOKUP(G383,Sheet2!A:J,10,0)</f>
        <v>12</v>
      </c>
      <c r="J383" s="13"/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2009</v>
      </c>
      <c r="I384" s="3">
        <f>VLOOKUP(G384,Sheet2!A:J,10,0)</f>
        <v>12</v>
      </c>
      <c r="J384" s="13"/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2009</v>
      </c>
      <c r="I385" s="3">
        <f>VLOOKUP(G385,Sheet2!A:J,10,0)</f>
        <v>12</v>
      </c>
      <c r="J385" s="13" t="s">
        <v>1979</v>
      </c>
      <c r="K385" s="13">
        <v>46169</v>
      </c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2009</v>
      </c>
      <c r="I386" s="3">
        <f>VLOOKUP(G386,Sheet2!A:J,10,0)</f>
        <v>12</v>
      </c>
      <c r="J386" s="13"/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2009</v>
      </c>
      <c r="I387" s="3">
        <f>VLOOKUP(G387,Sheet2!A:J,10,0)</f>
        <v>12</v>
      </c>
      <c r="J387" s="13"/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2009</v>
      </c>
      <c r="I388" s="3">
        <f>VLOOKUP(G388,Sheet2!A:J,10,0)</f>
        <v>12</v>
      </c>
      <c r="J388" s="13"/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2009</v>
      </c>
      <c r="I389" s="3">
        <f>VLOOKUP(G389,Sheet2!A:J,10,0)</f>
        <v>12</v>
      </c>
      <c r="J389" s="13"/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2009</v>
      </c>
      <c r="I390" s="3">
        <f>VLOOKUP(G390,Sheet2!A:J,10,0)</f>
        <v>12</v>
      </c>
      <c r="J390" s="13"/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2009</v>
      </c>
      <c r="I391" s="3">
        <f>VLOOKUP(G391,Sheet2!A:J,10,0)</f>
        <v>12</v>
      </c>
      <c r="J391" s="13"/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2009</v>
      </c>
      <c r="I392" s="3">
        <f>VLOOKUP(G392,Sheet2!A:J,10,0)</f>
        <v>12</v>
      </c>
      <c r="J392" s="13"/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2009</v>
      </c>
      <c r="I393" s="3">
        <f>VLOOKUP(G393,Sheet2!A:J,10,0)</f>
        <v>12</v>
      </c>
      <c r="J393" s="13"/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2009</v>
      </c>
      <c r="I394" s="3">
        <f>VLOOKUP(G394,Sheet2!A:J,10,0)</f>
        <v>12</v>
      </c>
      <c r="J394" s="13"/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2009</v>
      </c>
      <c r="I395" s="3">
        <f>VLOOKUP(G395,Sheet2!A:J,10,0)</f>
        <v>12</v>
      </c>
      <c r="J395" s="13"/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t="s">
        <v>367</v>
      </c>
      <c r="H396" t="s">
        <v>2009</v>
      </c>
      <c r="I396" s="3">
        <f>VLOOKUP(G396,Sheet2!A:J,10,0)</f>
        <v>12</v>
      </c>
      <c r="J396" s="13"/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2009</v>
      </c>
      <c r="I397" s="3">
        <f>VLOOKUP(G397,Sheet2!A:J,10,0)</f>
        <v>12</v>
      </c>
      <c r="J397" s="13"/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t="s">
        <v>367</v>
      </c>
      <c r="H398" t="s">
        <v>2009</v>
      </c>
      <c r="I398" s="3">
        <f>VLOOKUP(G398,Sheet2!A:J,10,0)</f>
        <v>12</v>
      </c>
      <c r="J398" s="13"/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2009</v>
      </c>
      <c r="I399" s="3">
        <f>VLOOKUP(G399,Sheet2!A:J,10,0)</f>
        <v>12</v>
      </c>
      <c r="J399" s="13"/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2009</v>
      </c>
      <c r="I400" s="3">
        <f>VLOOKUP(G400,Sheet2!A:J,10,0)</f>
        <v>12</v>
      </c>
      <c r="J400" s="13"/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2009</v>
      </c>
      <c r="I401" s="3">
        <f>VLOOKUP(G401,Sheet2!A:J,10,0)</f>
        <v>12</v>
      </c>
      <c r="J401" s="13"/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2009</v>
      </c>
      <c r="I402" s="3">
        <f>VLOOKUP(G402,Sheet2!A:J,10,0)</f>
        <v>12</v>
      </c>
      <c r="J402" s="13"/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2009</v>
      </c>
      <c r="I403" s="3">
        <f>VLOOKUP(G403,Sheet2!A:J,10,0)</f>
        <v>12</v>
      </c>
      <c r="J403" s="13"/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t="s">
        <v>367</v>
      </c>
      <c r="H404" t="s">
        <v>2009</v>
      </c>
      <c r="I404" s="3">
        <f>VLOOKUP(G404,Sheet2!A:J,10,0)</f>
        <v>12</v>
      </c>
      <c r="J404" s="13"/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2009</v>
      </c>
      <c r="I405" s="3">
        <f>VLOOKUP(G405,Sheet2!A:J,10,0)</f>
        <v>12</v>
      </c>
      <c r="J405" s="13"/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2009</v>
      </c>
      <c r="I406" s="3">
        <f>VLOOKUP(G406,Sheet2!A:J,10,0)</f>
        <v>12</v>
      </c>
      <c r="J406" s="13"/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2009</v>
      </c>
      <c r="I407" s="3">
        <f>VLOOKUP(G407,Sheet2!A:J,10,0)</f>
        <v>12</v>
      </c>
      <c r="J407" s="13" t="s">
        <v>1979</v>
      </c>
      <c r="K407" s="13">
        <v>46169</v>
      </c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2009</v>
      </c>
      <c r="I408" s="3">
        <f>VLOOKUP(G408,Sheet2!A:J,10,0)</f>
        <v>12</v>
      </c>
      <c r="J408" s="13"/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t="s">
        <v>367</v>
      </c>
      <c r="H409" t="s">
        <v>2009</v>
      </c>
      <c r="I409" s="3">
        <f>VLOOKUP(G409,Sheet2!A:J,10,0)</f>
        <v>12</v>
      </c>
      <c r="J409" s="13"/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2009</v>
      </c>
      <c r="I410" s="3">
        <f>VLOOKUP(G410,Sheet2!A:J,10,0)</f>
        <v>12</v>
      </c>
      <c r="J410" s="13"/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2009</v>
      </c>
      <c r="I411" s="3">
        <f>VLOOKUP(G411,Sheet2!A:J,10,0)</f>
        <v>12</v>
      </c>
      <c r="J411" s="13"/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2009</v>
      </c>
      <c r="I412" s="3">
        <f>VLOOKUP(G412,Sheet2!A:J,10,0)</f>
        <v>12</v>
      </c>
      <c r="J412" s="13"/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2009</v>
      </c>
      <c r="I413" s="3">
        <f>VLOOKUP(G413,Sheet2!A:J,10,0)</f>
        <v>12</v>
      </c>
      <c r="J413" s="13"/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2009</v>
      </c>
      <c r="I414" s="3">
        <f>VLOOKUP(G414,Sheet2!A:J,10,0)</f>
        <v>12</v>
      </c>
      <c r="J414" s="13"/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2009</v>
      </c>
      <c r="I415" s="3">
        <f>VLOOKUP(G415,Sheet2!A:J,10,0)</f>
        <v>12</v>
      </c>
      <c r="J415" s="13"/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t="s">
        <v>367</v>
      </c>
      <c r="H416" t="s">
        <v>2009</v>
      </c>
      <c r="I416" s="3">
        <f>VLOOKUP(G416,Sheet2!A:J,10,0)</f>
        <v>12</v>
      </c>
      <c r="J416" s="13"/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2009</v>
      </c>
      <c r="I417" s="3">
        <f>VLOOKUP(G417,Sheet2!A:J,10,0)</f>
        <v>12</v>
      </c>
      <c r="J417" s="13"/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t="s">
        <v>367</v>
      </c>
      <c r="H418" t="s">
        <v>2009</v>
      </c>
      <c r="I418" s="3">
        <f>VLOOKUP(G418,Sheet2!A:J,10,0)</f>
        <v>12</v>
      </c>
      <c r="J418" s="13"/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t="s">
        <v>367</v>
      </c>
      <c r="H419" t="s">
        <v>2009</v>
      </c>
      <c r="I419" s="3">
        <f>VLOOKUP(G419,Sheet2!A:J,10,0)</f>
        <v>12</v>
      </c>
      <c r="J419" s="13"/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t="s">
        <v>367</v>
      </c>
      <c r="H420" t="s">
        <v>2009</v>
      </c>
      <c r="I420" s="3">
        <f>VLOOKUP(G420,Sheet2!A:J,10,0)</f>
        <v>12</v>
      </c>
      <c r="J420" s="13"/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t="s">
        <v>367</v>
      </c>
      <c r="H421" t="s">
        <v>2009</v>
      </c>
      <c r="I421" s="3">
        <f>VLOOKUP(G421,Sheet2!A:J,10,0)</f>
        <v>12</v>
      </c>
      <c r="J421" s="13"/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2009</v>
      </c>
      <c r="I422" s="3">
        <f>VLOOKUP(G422,Sheet2!A:J,10,0)</f>
        <v>12</v>
      </c>
      <c r="J422" s="13"/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t="s">
        <v>367</v>
      </c>
      <c r="H423" t="s">
        <v>2009</v>
      </c>
      <c r="I423" s="3">
        <f>VLOOKUP(G423,Sheet2!A:J,10,0)</f>
        <v>12</v>
      </c>
      <c r="J423" s="13"/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2009</v>
      </c>
      <c r="I424" s="3">
        <f>VLOOKUP(G424,Sheet2!A:J,10,0)</f>
        <v>12</v>
      </c>
      <c r="J424" s="13"/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2009</v>
      </c>
      <c r="I425" s="3">
        <f>VLOOKUP(G425,Sheet2!A:J,10,0)</f>
        <v>12</v>
      </c>
      <c r="J425" s="13"/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2009</v>
      </c>
      <c r="I426" s="3">
        <f>VLOOKUP(G426,Sheet2!A:J,10,0)</f>
        <v>12</v>
      </c>
      <c r="J426" s="13"/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2009</v>
      </c>
      <c r="I427" s="3">
        <f>VLOOKUP(G427,Sheet2!A:J,10,0)</f>
        <v>12</v>
      </c>
      <c r="J427" s="13"/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2009</v>
      </c>
      <c r="I428" s="3">
        <f>VLOOKUP(G428,Sheet2!A:J,10,0)</f>
        <v>12</v>
      </c>
      <c r="J428" s="13"/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2009</v>
      </c>
      <c r="I429" s="3">
        <f>VLOOKUP(G429,Sheet2!A:J,10,0)</f>
        <v>12</v>
      </c>
      <c r="J429" s="13"/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2009</v>
      </c>
      <c r="I430" s="3">
        <f>VLOOKUP(G430,Sheet2!A:J,10,0)</f>
        <v>12</v>
      </c>
      <c r="J430" s="13"/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t="s">
        <v>367</v>
      </c>
      <c r="H431" t="s">
        <v>2009</v>
      </c>
      <c r="I431" s="3">
        <f>VLOOKUP(G431,Sheet2!A:J,10,0)</f>
        <v>12</v>
      </c>
      <c r="J431" s="13"/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VLOOKUP(G432,Sheet2!A:J,10,0)</f>
        <v>11</v>
      </c>
      <c r="J432" s="13"/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VLOOKUP(G433,Sheet2!A:J,10,0)</f>
        <v>11</v>
      </c>
      <c r="J433" s="13"/>
      <c r="K433" s="13">
        <v>46119</v>
      </c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VLOOKUP(G434,Sheet2!A:J,10,0)</f>
        <v>11</v>
      </c>
      <c r="J434" s="13"/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VLOOKUP(G435,Sheet2!A:J,10,0)</f>
        <v>11</v>
      </c>
      <c r="J435" s="13"/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VLOOKUP(G436,Sheet2!A:J,10,0)</f>
        <v>11</v>
      </c>
      <c r="J436" s="13"/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VLOOKUP(G437,Sheet2!A:J,10,0)</f>
        <v>11</v>
      </c>
      <c r="J437" s="13"/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VLOOKUP(G438,Sheet2!A:J,10,0)</f>
        <v>11</v>
      </c>
      <c r="J438" s="13"/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VLOOKUP(G439,Sheet2!A:J,10,0)</f>
        <v>11</v>
      </c>
      <c r="J439" s="13"/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VLOOKUP(G440,Sheet2!A:J,10,0)</f>
        <v>11</v>
      </c>
      <c r="J440" s="13"/>
      <c r="K440" s="13">
        <v>46119</v>
      </c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VLOOKUP(G441,Sheet2!A:J,10,0)</f>
        <v>11</v>
      </c>
      <c r="J441" s="13"/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VLOOKUP(G442,Sheet2!A:J,10,0)</f>
        <v>11</v>
      </c>
      <c r="J442" s="13"/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VLOOKUP(G443,Sheet2!A:J,10,0)</f>
        <v>11</v>
      </c>
      <c r="J443" s="13"/>
      <c r="K443" s="13">
        <v>46119</v>
      </c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VLOOKUP(G444,Sheet2!A:J,10,0)</f>
        <v>11</v>
      </c>
      <c r="J444" s="13"/>
      <c r="K444" s="13"/>
    </row>
    <row r="445" spans="1:11">
      <c r="A445" s="4" t="s">
        <v>390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t="s">
        <v>368</v>
      </c>
      <c r="H445" t="s">
        <v>237</v>
      </c>
      <c r="I445" s="3">
        <f>VLOOKUP(G445,Sheet2!A:J,10,0)</f>
        <v>11</v>
      </c>
      <c r="J445" s="13"/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VLOOKUP(G446,Sheet2!A:J,10,0)</f>
        <v>11</v>
      </c>
      <c r="J446" s="13"/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VLOOKUP(G447,Sheet2!A:J,10,0)</f>
        <v>11</v>
      </c>
      <c r="J447" s="13"/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VLOOKUP(G448,Sheet2!A:J,10,0)</f>
        <v>11</v>
      </c>
      <c r="J448" s="13"/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VLOOKUP(G449,Sheet2!A:J,10,0)</f>
        <v>11</v>
      </c>
      <c r="J449" s="13"/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VLOOKUP(G450,Sheet2!A:J,10,0)</f>
        <v>11</v>
      </c>
      <c r="J450" s="13"/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VLOOKUP(G451,Sheet2!A:J,10,0)</f>
        <v>11</v>
      </c>
      <c r="J451" s="13"/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VLOOKUP(G452,Sheet2!A:J,10,0)</f>
        <v>11</v>
      </c>
      <c r="J452" s="13"/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VLOOKUP(G453,Sheet2!A:J,10,0)</f>
        <v>11</v>
      </c>
      <c r="J453" s="13"/>
      <c r="K453" s="13">
        <v>46119</v>
      </c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VLOOKUP(G454,Sheet2!A:J,10,0)</f>
        <v>11</v>
      </c>
      <c r="J454" s="13"/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VLOOKUP(G455,Sheet2!A:J,10,0)</f>
        <v>11</v>
      </c>
      <c r="J455" s="13"/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VLOOKUP(G456,Sheet2!A:J,10,0)</f>
        <v>11</v>
      </c>
      <c r="J456" s="13"/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VLOOKUP(G457,Sheet2!A:J,10,0)</f>
        <v>11</v>
      </c>
      <c r="J457" s="13"/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VLOOKUP(G458,Sheet2!A:J,10,0)</f>
        <v>11</v>
      </c>
      <c r="J458" s="13"/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VLOOKUP(G459,Sheet2!A:J,10,0)</f>
        <v>11</v>
      </c>
      <c r="J459" s="13"/>
      <c r="K459" s="13">
        <v>46119</v>
      </c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VLOOKUP(G460,Sheet2!A:J,10,0)</f>
        <v>11</v>
      </c>
      <c r="J460" s="13"/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VLOOKUP(G461,Sheet2!A:J,10,0)</f>
        <v>11</v>
      </c>
      <c r="J461" s="13"/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VLOOKUP(G462,Sheet2!A:J,10,0)</f>
        <v>11</v>
      </c>
      <c r="J462" s="13"/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VLOOKUP(G463,Sheet2!A:J,10,0)</f>
        <v>11</v>
      </c>
      <c r="J463" s="13"/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VLOOKUP(G464,Sheet2!A:J,10,0)</f>
        <v>11</v>
      </c>
      <c r="J464" s="13"/>
      <c r="K464" s="13">
        <v>46169</v>
      </c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VLOOKUP(G465,Sheet2!A:J,10,0)</f>
        <v>11</v>
      </c>
      <c r="J465" s="13"/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VLOOKUP(G466,Sheet2!A:J,10,0)</f>
        <v>11</v>
      </c>
      <c r="J466" s="13"/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VLOOKUP(G467,Sheet2!A:J,10,0)</f>
        <v>11</v>
      </c>
      <c r="J467" s="13"/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VLOOKUP(G468,Sheet2!A:J,10,0)</f>
        <v>11</v>
      </c>
      <c r="J468" s="13"/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VLOOKUP(G469,Sheet2!A:J,10,0)</f>
        <v>11</v>
      </c>
      <c r="J469" s="13"/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VLOOKUP(G470,Sheet2!A:J,10,0)</f>
        <v>11</v>
      </c>
      <c r="J470" s="13"/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VLOOKUP(G471,Sheet2!A:J,10,0)</f>
        <v>11</v>
      </c>
      <c r="J471" s="13"/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VLOOKUP(G472,Sheet2!A:J,10,0)</f>
        <v>11</v>
      </c>
      <c r="J472" s="13"/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VLOOKUP(G473,Sheet2!A:J,10,0)</f>
        <v>11</v>
      </c>
      <c r="J473" s="13"/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VLOOKUP(G474,Sheet2!A:J,10,0)</f>
        <v>11</v>
      </c>
      <c r="J474" s="13"/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VLOOKUP(G475,Sheet2!A:J,10,0)</f>
        <v>11</v>
      </c>
      <c r="J475" s="13"/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VLOOKUP(G476,Sheet2!A:J,10,0)</f>
        <v>11</v>
      </c>
      <c r="J476" s="13"/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VLOOKUP(G477,Sheet2!A:J,10,0)</f>
        <v>11</v>
      </c>
      <c r="J477" s="13"/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VLOOKUP(G478,Sheet2!A:J,10,0)</f>
        <v>11</v>
      </c>
      <c r="J478" s="13"/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VLOOKUP(G479,Sheet2!A:J,10,0)</f>
        <v>11</v>
      </c>
      <c r="J479" s="13"/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VLOOKUP(G480,Sheet2!A:J,10,0)</f>
        <v>11</v>
      </c>
      <c r="J480" s="13"/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VLOOKUP(G481,Sheet2!A:J,10,0)</f>
        <v>11</v>
      </c>
      <c r="J481" s="13"/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VLOOKUP(G482,Sheet2!A:J,10,0)</f>
        <v>11</v>
      </c>
      <c r="J482" s="13"/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VLOOKUP(G483,Sheet2!A:J,10,0)</f>
        <v>11</v>
      </c>
      <c r="J483" s="13"/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VLOOKUP(G484,Sheet2!A:J,10,0)</f>
        <v>11</v>
      </c>
      <c r="J484" s="13"/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VLOOKUP(G485,Sheet2!A:J,10,0)</f>
        <v>11</v>
      </c>
      <c r="J485" s="13"/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VLOOKUP(G486,Sheet2!A:J,10,0)</f>
        <v>11</v>
      </c>
      <c r="J486" s="13"/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VLOOKUP(G487,Sheet2!A:J,10,0)</f>
        <v>11</v>
      </c>
      <c r="J487" s="13"/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VLOOKUP(G488,Sheet2!A:J,10,0)</f>
        <v>11</v>
      </c>
      <c r="J488" s="13"/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VLOOKUP(G489,Sheet2!A:J,10,0)</f>
        <v>11</v>
      </c>
      <c r="J489" s="13"/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VLOOKUP(G490,Sheet2!A:J,10,0)</f>
        <v>11</v>
      </c>
      <c r="J490" s="13"/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VLOOKUP(G491,Sheet2!A:J,10,0)</f>
        <v>11</v>
      </c>
      <c r="J491" s="13"/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VLOOKUP(G492,Sheet2!A:J,10,0)</f>
        <v>11</v>
      </c>
      <c r="J492" s="13"/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VLOOKUP(G493,Sheet2!A:J,10,0)</f>
        <v>11</v>
      </c>
      <c r="J493" s="13"/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VLOOKUP(G494,Sheet2!A:J,10,0)</f>
        <v>11</v>
      </c>
      <c r="J494" s="13"/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VLOOKUP(G495,Sheet2!A:J,10,0)</f>
        <v>11</v>
      </c>
      <c r="J495" s="13"/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VLOOKUP(G496,Sheet2!A:J,10,0)</f>
        <v>11</v>
      </c>
      <c r="J496" s="13"/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VLOOKUP(G497,Sheet2!A:J,10,0)</f>
        <v>11</v>
      </c>
      <c r="J497" s="13"/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VLOOKUP(G498,Sheet2!A:J,10,0)</f>
        <v>11</v>
      </c>
      <c r="J498" s="13"/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VLOOKUP(G499,Sheet2!A:J,10,0)</f>
        <v>11</v>
      </c>
      <c r="J499" s="13"/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VLOOKUP(G500,Sheet2!A:J,10,0)</f>
        <v>11</v>
      </c>
      <c r="J500" s="13"/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VLOOKUP(G501,Sheet2!A:J,10,0)</f>
        <v>11</v>
      </c>
      <c r="J501" s="13"/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VLOOKUP(G502,Sheet2!A:J,10,0)</f>
        <v>11</v>
      </c>
      <c r="J502" s="13"/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VLOOKUP(G503,Sheet2!A:J,10,0)</f>
        <v>11</v>
      </c>
      <c r="J503" s="13"/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VLOOKUP(G504,Sheet2!A:J,10,0)</f>
        <v>11</v>
      </c>
      <c r="J504" s="13"/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VLOOKUP(G505,Sheet2!A:J,10,0)</f>
        <v>11</v>
      </c>
      <c r="J505" s="13"/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VLOOKUP(G506,Sheet2!A:J,10,0)</f>
        <v>11</v>
      </c>
      <c r="J506" s="13"/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VLOOKUP(G507,Sheet2!A:J,10,0)</f>
        <v>11</v>
      </c>
      <c r="J507" s="13"/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VLOOKUP(G508,Sheet2!A:J,10,0)</f>
        <v>11</v>
      </c>
      <c r="J508" s="13"/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VLOOKUP(G509,Sheet2!A:J,10,0)</f>
        <v>11</v>
      </c>
      <c r="J509" s="13"/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VLOOKUP(G510,Sheet2!A:J,10,0)</f>
        <v>11</v>
      </c>
      <c r="J510" s="13"/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VLOOKUP(G511,Sheet2!A:J,10,0)</f>
        <v>11</v>
      </c>
      <c r="J511" s="13"/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VLOOKUP(G512,Sheet2!A:J,10,0)</f>
        <v>11</v>
      </c>
      <c r="J512" s="13"/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VLOOKUP(G513,Sheet2!A:J,10,0)</f>
        <v>11</v>
      </c>
      <c r="J513" s="13"/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VLOOKUP(G514,Sheet2!A:J,10,0)</f>
        <v>11</v>
      </c>
      <c r="J514" s="13"/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VLOOKUP(G515,Sheet2!A:J,10,0)</f>
        <v>11</v>
      </c>
      <c r="J515" s="13"/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VLOOKUP(G516,Sheet2!A:J,10,0)</f>
        <v>11</v>
      </c>
      <c r="J516" s="13"/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VLOOKUP(G517,Sheet2!A:J,10,0)</f>
        <v>11</v>
      </c>
      <c r="J517" s="13"/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VLOOKUP(G518,Sheet2!A:J,10,0)</f>
        <v>11</v>
      </c>
      <c r="J518" s="13"/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VLOOKUP(G519,Sheet2!A:J,10,0)</f>
        <v>11</v>
      </c>
      <c r="J519" s="13"/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VLOOKUP(G520,Sheet2!A:J,10,0)</f>
        <v>11</v>
      </c>
      <c r="J520" s="13"/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VLOOKUP(G521,Sheet2!A:J,10,0)</f>
        <v>11</v>
      </c>
      <c r="J521" s="13"/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VLOOKUP(G522,Sheet2!A:J,10,0)</f>
        <v>11</v>
      </c>
      <c r="J522" s="13"/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VLOOKUP(G523,Sheet2!A:J,10,0)</f>
        <v>11</v>
      </c>
      <c r="J523" s="13"/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VLOOKUP(G524,Sheet2!A:J,10,0)</f>
        <v>11</v>
      </c>
      <c r="J524" s="13"/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VLOOKUP(G525,Sheet2!A:J,10,0)</f>
        <v>11</v>
      </c>
      <c r="J525" s="13"/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VLOOKUP(G526,Sheet2!A:J,10,0)</f>
        <v>11</v>
      </c>
      <c r="J526" s="13"/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VLOOKUP(G527,Sheet2!A:J,10,0)</f>
        <v>11</v>
      </c>
      <c r="J527" s="13"/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VLOOKUP(G528,Sheet2!A:J,10,0)</f>
        <v>11</v>
      </c>
      <c r="J528" s="13"/>
      <c r="K528" s="13">
        <v>46169</v>
      </c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VLOOKUP(G529,Sheet2!A:J,10,0)</f>
        <v>11</v>
      </c>
      <c r="J529" s="13"/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VLOOKUP(G530,Sheet2!A:J,10,0)</f>
        <v>11</v>
      </c>
      <c r="J530" s="13"/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VLOOKUP(G531,Sheet2!A:J,10,0)</f>
        <v>11</v>
      </c>
      <c r="J531" s="13"/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VLOOKUP(G532,Sheet2!A:J,10,0)</f>
        <v>11</v>
      </c>
      <c r="J532" s="13"/>
      <c r="K532" s="13">
        <v>46169</v>
      </c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VLOOKUP(G533,Sheet2!A:J,10,0)</f>
        <v>11</v>
      </c>
      <c r="J533" s="13"/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VLOOKUP(G534,Sheet2!A:J,10,0)</f>
        <v>11</v>
      </c>
      <c r="J534" s="13"/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VLOOKUP(G535,Sheet2!A:J,10,0)</f>
        <v>11</v>
      </c>
      <c r="J535" s="13"/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VLOOKUP(G536,Sheet2!A:J,10,0)</f>
        <v>11</v>
      </c>
      <c r="J536" s="13"/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VLOOKUP(G537,Sheet2!A:J,10,0)</f>
        <v>11</v>
      </c>
      <c r="J537" s="13"/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VLOOKUP(G538,Sheet2!A:J,10,0)</f>
        <v>11</v>
      </c>
      <c r="J538" s="13"/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VLOOKUP(G539,Sheet2!A:J,10,0)</f>
        <v>11</v>
      </c>
      <c r="J539" s="13"/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VLOOKUP(G540,Sheet2!A:J,10,0)</f>
        <v>11</v>
      </c>
      <c r="J540" s="13"/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VLOOKUP(G541,Sheet2!A:J,10,0)</f>
        <v>11</v>
      </c>
      <c r="J541" s="13"/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VLOOKUP(G542,Sheet2!A:J,10,0)</f>
        <v>11</v>
      </c>
      <c r="J542" s="13"/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VLOOKUP(G543,Sheet2!A:J,10,0)</f>
        <v>11</v>
      </c>
      <c r="J543" s="13"/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VLOOKUP(G544,Sheet2!A:J,10,0)</f>
        <v>11</v>
      </c>
      <c r="J544" s="13"/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VLOOKUP(G545,Sheet2!A:J,10,0)</f>
        <v>11</v>
      </c>
      <c r="J545" s="13"/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VLOOKUP(G546,Sheet2!A:J,10,0)</f>
        <v>11</v>
      </c>
      <c r="J546" s="13"/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VLOOKUP(G547,Sheet2!A:J,10,0)</f>
        <v>11</v>
      </c>
      <c r="J547" s="13"/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VLOOKUP(G548,Sheet2!A:J,10,0)</f>
        <v>11</v>
      </c>
      <c r="J548" s="13"/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VLOOKUP(G549,Sheet2!A:J,10,0)</f>
        <v>11</v>
      </c>
      <c r="J549" s="13"/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VLOOKUP(G550,Sheet2!A:J,10,0)</f>
        <v>11</v>
      </c>
      <c r="J550" s="13"/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VLOOKUP(G551,Sheet2!A:J,10,0)</f>
        <v>11</v>
      </c>
      <c r="J551" s="13"/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VLOOKUP(G552,Sheet2!A:J,10,0)</f>
        <v>11</v>
      </c>
      <c r="J552" s="13"/>
      <c r="K552" s="13">
        <v>46169</v>
      </c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VLOOKUP(G553,Sheet2!A:J,10,0)</f>
        <v>11</v>
      </c>
      <c r="J553" s="13"/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VLOOKUP(G554,Sheet2!A:J,10,0)</f>
        <v>11</v>
      </c>
      <c r="J554" s="13"/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VLOOKUP(G555,Sheet2!A:J,10,0)</f>
        <v>11</v>
      </c>
      <c r="J555" s="13"/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VLOOKUP(G556,Sheet2!A:J,10,0)</f>
        <v>11</v>
      </c>
      <c r="J556" s="13"/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VLOOKUP(G557,Sheet2!A:J,10,0)</f>
        <v>11</v>
      </c>
      <c r="J557" s="13"/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VLOOKUP(G558,Sheet2!A:J,10,0)</f>
        <v>11</v>
      </c>
      <c r="J558" s="13"/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VLOOKUP(G559,Sheet2!A:J,10,0)</f>
        <v>11</v>
      </c>
      <c r="J559" s="13"/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VLOOKUP(G560,Sheet2!A:J,10,0)</f>
        <v>11</v>
      </c>
      <c r="J560" s="13"/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VLOOKUP(G561,Sheet2!A:J,10,0)</f>
        <v>11</v>
      </c>
      <c r="J561" s="13"/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VLOOKUP(G562,Sheet2!A:J,10,0)</f>
        <v>11</v>
      </c>
      <c r="J562" s="13"/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VLOOKUP(G563,Sheet2!A:J,10,0)</f>
        <v>11</v>
      </c>
      <c r="J563" s="13"/>
      <c r="K563" s="13"/>
    </row>
    <row r="564" spans="1:11">
      <c r="A564" s="3" t="s">
        <v>1281</v>
      </c>
      <c r="B564" s="1" t="s">
        <v>1657</v>
      </c>
      <c r="C564" s="1" t="s">
        <v>1658</v>
      </c>
      <c r="D564" s="3" t="s">
        <v>7</v>
      </c>
      <c r="E564" s="1" t="s">
        <v>14</v>
      </c>
      <c r="F564" s="5">
        <v>46185.592997685184</v>
      </c>
      <c r="G564" t="s">
        <v>945</v>
      </c>
      <c r="H564" t="s">
        <v>657</v>
      </c>
      <c r="I564" s="3">
        <f>VLOOKUP(G564,Sheet2!A:J,10,0)</f>
        <v>23</v>
      </c>
      <c r="J564" s="13"/>
      <c r="K564" s="13"/>
    </row>
    <row r="565" spans="1:11">
      <c r="A565" s="4" t="s">
        <v>1282</v>
      </c>
      <c r="B565" s="2" t="s">
        <v>1657</v>
      </c>
      <c r="C565" s="2" t="s">
        <v>1658</v>
      </c>
      <c r="D565" s="4" t="s">
        <v>7</v>
      </c>
      <c r="E565" s="2" t="s">
        <v>14</v>
      </c>
      <c r="F565" s="6">
        <v>46185.597094907411</v>
      </c>
      <c r="G565" t="s">
        <v>945</v>
      </c>
      <c r="H565" t="s">
        <v>657</v>
      </c>
      <c r="I565" s="3">
        <f>VLOOKUP(G565,Sheet2!A:J,10,0)</f>
        <v>23</v>
      </c>
      <c r="J565" s="13"/>
      <c r="K565" s="13"/>
    </row>
    <row r="566" spans="1:11">
      <c r="A566" s="3" t="s">
        <v>1283</v>
      </c>
      <c r="B566" s="1" t="s">
        <v>1657</v>
      </c>
      <c r="C566" s="1" t="s">
        <v>1658</v>
      </c>
      <c r="D566" s="3" t="s">
        <v>7</v>
      </c>
      <c r="E566" s="1" t="s">
        <v>14</v>
      </c>
      <c r="F566" s="5">
        <v>46189.416759259257</v>
      </c>
      <c r="G566" t="s">
        <v>945</v>
      </c>
      <c r="H566" t="s">
        <v>657</v>
      </c>
      <c r="I566" s="3">
        <f>VLOOKUP(G566,Sheet2!A:J,10,0)</f>
        <v>23</v>
      </c>
      <c r="J566" s="13"/>
      <c r="K566" s="13"/>
    </row>
    <row r="567" spans="1:11">
      <c r="A567" s="4" t="s">
        <v>1284</v>
      </c>
      <c r="B567" s="2" t="s">
        <v>1657</v>
      </c>
      <c r="C567" s="2" t="s">
        <v>1658</v>
      </c>
      <c r="D567" s="4" t="s">
        <v>7</v>
      </c>
      <c r="E567" s="2" t="s">
        <v>14</v>
      </c>
      <c r="F567" s="6">
        <v>46189.446655092594</v>
      </c>
      <c r="G567" t="s">
        <v>945</v>
      </c>
      <c r="H567" t="s">
        <v>657</v>
      </c>
      <c r="I567" s="3">
        <f>VLOOKUP(G567,Sheet2!A:J,10,0)</f>
        <v>23</v>
      </c>
      <c r="J567" s="13"/>
      <c r="K567" s="13"/>
    </row>
    <row r="568" spans="1:11">
      <c r="A568" s="3" t="s">
        <v>1285</v>
      </c>
      <c r="B568" s="1" t="s">
        <v>1657</v>
      </c>
      <c r="C568" s="1" t="s">
        <v>1658</v>
      </c>
      <c r="D568" s="3" t="s">
        <v>7</v>
      </c>
      <c r="E568" s="1" t="s">
        <v>14</v>
      </c>
      <c r="F568" s="5">
        <v>46189.430694444447</v>
      </c>
      <c r="G568" t="s">
        <v>945</v>
      </c>
      <c r="H568" t="s">
        <v>657</v>
      </c>
      <c r="I568" s="3">
        <f>VLOOKUP(G568,Sheet2!A:J,10,0)</f>
        <v>23</v>
      </c>
      <c r="J568" s="13"/>
      <c r="K568" s="13"/>
    </row>
    <row r="569" spans="1:11">
      <c r="A569" s="4" t="s">
        <v>1286</v>
      </c>
      <c r="B569" s="2" t="s">
        <v>1657</v>
      </c>
      <c r="C569" s="2" t="s">
        <v>1658</v>
      </c>
      <c r="D569" s="4" t="s">
        <v>7</v>
      </c>
      <c r="E569" s="2" t="s">
        <v>14</v>
      </c>
      <c r="F569" s="6">
        <v>46185.492685185185</v>
      </c>
      <c r="G569" t="s">
        <v>945</v>
      </c>
      <c r="H569" t="s">
        <v>657</v>
      </c>
      <c r="I569" s="3">
        <f>VLOOKUP(G569,Sheet2!A:J,10,0)</f>
        <v>23</v>
      </c>
      <c r="J569" s="13"/>
      <c r="K569" s="13"/>
    </row>
    <row r="570" spans="1:11">
      <c r="A570" s="3" t="s">
        <v>1287</v>
      </c>
      <c r="B570" s="1" t="s">
        <v>1657</v>
      </c>
      <c r="C570" s="1" t="s">
        <v>1658</v>
      </c>
      <c r="D570" s="3" t="s">
        <v>7</v>
      </c>
      <c r="E570" s="1" t="s">
        <v>14</v>
      </c>
      <c r="F570" s="5">
        <v>46185.497442129628</v>
      </c>
      <c r="G570" t="s">
        <v>945</v>
      </c>
      <c r="H570" t="s">
        <v>657</v>
      </c>
      <c r="I570" s="3">
        <f>VLOOKUP(G570,Sheet2!A:J,10,0)</f>
        <v>23</v>
      </c>
      <c r="J570" s="13"/>
      <c r="K570" s="13"/>
    </row>
    <row r="571" spans="1:11">
      <c r="A571" s="4" t="s">
        <v>1288</v>
      </c>
      <c r="B571" s="2" t="s">
        <v>1657</v>
      </c>
      <c r="C571" s="2" t="s">
        <v>1658</v>
      </c>
      <c r="D571" s="4" t="s">
        <v>7</v>
      </c>
      <c r="E571" s="2" t="s">
        <v>14</v>
      </c>
      <c r="F571" s="6">
        <v>46189.432962962965</v>
      </c>
      <c r="G571" t="s">
        <v>945</v>
      </c>
      <c r="H571" t="s">
        <v>657</v>
      </c>
      <c r="I571" s="3">
        <f>VLOOKUP(G571,Sheet2!A:J,10,0)</f>
        <v>23</v>
      </c>
      <c r="J571" s="13"/>
      <c r="K571" s="13"/>
    </row>
    <row r="572" spans="1:11">
      <c r="A572" s="3" t="s">
        <v>1289</v>
      </c>
      <c r="B572" s="1" t="s">
        <v>1657</v>
      </c>
      <c r="C572" s="1" t="s">
        <v>1658</v>
      </c>
      <c r="D572" s="3" t="s">
        <v>7</v>
      </c>
      <c r="E572" s="1" t="s">
        <v>14</v>
      </c>
      <c r="F572" s="5">
        <v>46189.436377314814</v>
      </c>
      <c r="G572" t="s">
        <v>945</v>
      </c>
      <c r="H572" t="s">
        <v>657</v>
      </c>
      <c r="I572" s="3">
        <f>VLOOKUP(G572,Sheet2!A:J,10,0)</f>
        <v>23</v>
      </c>
      <c r="J572" s="13"/>
      <c r="K572" s="13"/>
    </row>
    <row r="573" spans="1:11">
      <c r="A573" s="4" t="s">
        <v>1290</v>
      </c>
      <c r="B573" s="2" t="s">
        <v>1657</v>
      </c>
      <c r="C573" s="2" t="s">
        <v>1658</v>
      </c>
      <c r="D573" s="4" t="s">
        <v>7</v>
      </c>
      <c r="E573" s="2" t="s">
        <v>14</v>
      </c>
      <c r="F573" s="6">
        <v>46189.438240740739</v>
      </c>
      <c r="G573" t="s">
        <v>945</v>
      </c>
      <c r="H573" t="s">
        <v>657</v>
      </c>
      <c r="I573" s="3">
        <f>VLOOKUP(G573,Sheet2!A:J,10,0)</f>
        <v>23</v>
      </c>
      <c r="J573" s="13"/>
      <c r="K573" s="13"/>
    </row>
    <row r="574" spans="1:11">
      <c r="A574" s="3" t="s">
        <v>1291</v>
      </c>
      <c r="B574" s="1" t="s">
        <v>1657</v>
      </c>
      <c r="C574" s="1" t="s">
        <v>1658</v>
      </c>
      <c r="D574" s="3" t="s">
        <v>7</v>
      </c>
      <c r="E574" s="1" t="s">
        <v>14</v>
      </c>
      <c r="F574" s="5">
        <v>46189.4137962963</v>
      </c>
      <c r="G574" t="s">
        <v>945</v>
      </c>
      <c r="H574" t="s">
        <v>657</v>
      </c>
      <c r="I574" s="3">
        <f>VLOOKUP(G574,Sheet2!A:J,10,0)</f>
        <v>23</v>
      </c>
      <c r="J574" s="13"/>
      <c r="K574" s="13"/>
    </row>
    <row r="575" spans="1:11">
      <c r="A575" s="4" t="s">
        <v>1292</v>
      </c>
      <c r="B575" s="2" t="s">
        <v>1657</v>
      </c>
      <c r="C575" s="2" t="s">
        <v>1658</v>
      </c>
      <c r="D575" s="4" t="s">
        <v>7</v>
      </c>
      <c r="E575" s="2" t="s">
        <v>14</v>
      </c>
      <c r="F575" s="6">
        <v>46185.517500000002</v>
      </c>
      <c r="G575" t="s">
        <v>945</v>
      </c>
      <c r="H575" t="s">
        <v>657</v>
      </c>
      <c r="I575" s="3">
        <f>VLOOKUP(G575,Sheet2!A:J,10,0)</f>
        <v>23</v>
      </c>
      <c r="J575" s="13"/>
      <c r="K575" s="13"/>
    </row>
    <row r="576" spans="1:11">
      <c r="A576" s="3" t="s">
        <v>1293</v>
      </c>
      <c r="B576" s="1" t="s">
        <v>1657</v>
      </c>
      <c r="C576" s="1" t="s">
        <v>1658</v>
      </c>
      <c r="D576" s="3" t="s">
        <v>7</v>
      </c>
      <c r="E576" s="1" t="s">
        <v>14</v>
      </c>
      <c r="F576" s="5">
        <v>46189.39576388889</v>
      </c>
      <c r="G576" t="s">
        <v>945</v>
      </c>
      <c r="H576" t="s">
        <v>657</v>
      </c>
      <c r="I576" s="3">
        <f>VLOOKUP(G576,Sheet2!A:J,10,0)</f>
        <v>23</v>
      </c>
      <c r="J576" s="13"/>
      <c r="K576" s="13"/>
    </row>
    <row r="577" spans="1:11">
      <c r="A577" s="4" t="s">
        <v>1294</v>
      </c>
      <c r="B577" s="2" t="s">
        <v>1657</v>
      </c>
      <c r="C577" s="2" t="s">
        <v>1658</v>
      </c>
      <c r="D577" s="4" t="s">
        <v>7</v>
      </c>
      <c r="E577" s="2" t="s">
        <v>14</v>
      </c>
      <c r="F577" s="6">
        <v>46189.403692129628</v>
      </c>
      <c r="G577" t="s">
        <v>945</v>
      </c>
      <c r="H577" t="s">
        <v>657</v>
      </c>
      <c r="I577" s="3">
        <f>VLOOKUP(G577,Sheet2!A:J,10,0)</f>
        <v>23</v>
      </c>
      <c r="J577" s="13"/>
      <c r="K577" s="13"/>
    </row>
    <row r="578" spans="1:11">
      <c r="A578" s="3" t="s">
        <v>1295</v>
      </c>
      <c r="B578" s="1" t="s">
        <v>1657</v>
      </c>
      <c r="C578" s="1" t="s">
        <v>1658</v>
      </c>
      <c r="D578" s="3" t="s">
        <v>7</v>
      </c>
      <c r="E578" s="1" t="s">
        <v>14</v>
      </c>
      <c r="F578" s="5">
        <v>46186.304375</v>
      </c>
      <c r="G578" t="s">
        <v>945</v>
      </c>
      <c r="H578" t="s">
        <v>657</v>
      </c>
      <c r="I578" s="3">
        <f>VLOOKUP(G578,Sheet2!A:J,10,0)</f>
        <v>23</v>
      </c>
      <c r="J578" s="13"/>
      <c r="K578" s="13"/>
    </row>
    <row r="579" spans="1:11">
      <c r="A579" s="4" t="s">
        <v>1296</v>
      </c>
      <c r="B579" s="2" t="s">
        <v>1657</v>
      </c>
      <c r="C579" s="2" t="s">
        <v>1658</v>
      </c>
      <c r="D579" s="4" t="s">
        <v>7</v>
      </c>
      <c r="E579" s="2" t="s">
        <v>14</v>
      </c>
      <c r="F579" s="6">
        <v>46189.397546296299</v>
      </c>
      <c r="G579" t="s">
        <v>945</v>
      </c>
      <c r="H579" t="s">
        <v>657</v>
      </c>
      <c r="I579" s="3">
        <f>VLOOKUP(G579,Sheet2!A:J,10,0)</f>
        <v>23</v>
      </c>
      <c r="J579" s="13"/>
      <c r="K579" s="13"/>
    </row>
    <row r="580" spans="1:11">
      <c r="A580" s="3" t="s">
        <v>1297</v>
      </c>
      <c r="B580" s="1" t="s">
        <v>1657</v>
      </c>
      <c r="C580" s="1" t="s">
        <v>1658</v>
      </c>
      <c r="D580" s="3" t="s">
        <v>7</v>
      </c>
      <c r="E580" s="1" t="s">
        <v>14</v>
      </c>
      <c r="F580" s="5">
        <v>46186.287789351853</v>
      </c>
      <c r="G580" t="s">
        <v>945</v>
      </c>
      <c r="H580" t="s">
        <v>657</v>
      </c>
      <c r="I580" s="3">
        <f>VLOOKUP(G580,Sheet2!A:J,10,0)</f>
        <v>23</v>
      </c>
      <c r="J580" s="13"/>
      <c r="K580" s="13"/>
    </row>
    <row r="581" spans="1:11">
      <c r="A581" s="4" t="s">
        <v>1298</v>
      </c>
      <c r="B581" s="2" t="s">
        <v>1657</v>
      </c>
      <c r="C581" s="2" t="s">
        <v>1658</v>
      </c>
      <c r="D581" s="4" t="s">
        <v>7</v>
      </c>
      <c r="E581" s="2" t="s">
        <v>14</v>
      </c>
      <c r="F581" s="6">
        <v>46189.391759259262</v>
      </c>
      <c r="G581" t="s">
        <v>945</v>
      </c>
      <c r="H581" t="s">
        <v>657</v>
      </c>
      <c r="I581" s="3">
        <f>VLOOKUP(G581,Sheet2!A:J,10,0)</f>
        <v>23</v>
      </c>
      <c r="J581" s="13"/>
      <c r="K581" s="13"/>
    </row>
    <row r="582" spans="1:11">
      <c r="A582" s="3" t="s">
        <v>1299</v>
      </c>
      <c r="B582" s="1" t="s">
        <v>1657</v>
      </c>
      <c r="C582" s="1" t="s">
        <v>1658</v>
      </c>
      <c r="D582" s="3" t="s">
        <v>7</v>
      </c>
      <c r="E582" s="1" t="s">
        <v>14</v>
      </c>
      <c r="F582" s="5">
        <v>46189.457430555558</v>
      </c>
      <c r="G582" t="s">
        <v>945</v>
      </c>
      <c r="H582" t="s">
        <v>657</v>
      </c>
      <c r="I582" s="3">
        <f>VLOOKUP(G582,Sheet2!A:J,10,0)</f>
        <v>23</v>
      </c>
      <c r="J582" s="13"/>
      <c r="K582" s="13"/>
    </row>
    <row r="583" spans="1:11">
      <c r="A583" s="4" t="s">
        <v>1300</v>
      </c>
      <c r="B583" s="2" t="s">
        <v>1657</v>
      </c>
      <c r="C583" s="2" t="s">
        <v>1658</v>
      </c>
      <c r="D583" s="4" t="s">
        <v>7</v>
      </c>
      <c r="E583" s="2" t="s">
        <v>14</v>
      </c>
      <c r="F583" s="6">
        <v>46189.383379629631</v>
      </c>
      <c r="G583" t="s">
        <v>945</v>
      </c>
      <c r="H583" t="s">
        <v>657</v>
      </c>
      <c r="I583" s="3">
        <f>VLOOKUP(G583,Sheet2!A:J,10,0)</f>
        <v>23</v>
      </c>
      <c r="J583" s="13"/>
      <c r="K583" s="13"/>
    </row>
    <row r="584" spans="1:11">
      <c r="A584" s="3" t="s">
        <v>1301</v>
      </c>
      <c r="B584" s="1" t="s">
        <v>1657</v>
      </c>
      <c r="C584" s="1" t="s">
        <v>1658</v>
      </c>
      <c r="D584" s="3" t="s">
        <v>7</v>
      </c>
      <c r="E584" s="1" t="s">
        <v>14</v>
      </c>
      <c r="F584" s="5">
        <v>46189.402233796296</v>
      </c>
      <c r="G584" t="s">
        <v>945</v>
      </c>
      <c r="H584" t="s">
        <v>657</v>
      </c>
      <c r="I584" s="3">
        <f>VLOOKUP(G584,Sheet2!A:J,10,0)</f>
        <v>23</v>
      </c>
      <c r="J584" s="13"/>
      <c r="K584" s="13"/>
    </row>
    <row r="585" spans="1:11">
      <c r="A585" s="4" t="s">
        <v>1302</v>
      </c>
      <c r="B585" s="2" t="s">
        <v>1657</v>
      </c>
      <c r="C585" s="2" t="s">
        <v>1658</v>
      </c>
      <c r="D585" s="4" t="s">
        <v>7</v>
      </c>
      <c r="E585" s="2" t="s">
        <v>14</v>
      </c>
      <c r="F585" s="6">
        <v>46189.379641203705</v>
      </c>
      <c r="G585" t="s">
        <v>945</v>
      </c>
      <c r="H585" t="s">
        <v>657</v>
      </c>
      <c r="I585" s="3">
        <f>VLOOKUP(G585,Sheet2!A:J,10,0)</f>
        <v>23</v>
      </c>
      <c r="J585" s="13"/>
      <c r="K585" s="13"/>
    </row>
    <row r="586" spans="1:11">
      <c r="A586" s="3" t="s">
        <v>1303</v>
      </c>
      <c r="B586" s="1" t="s">
        <v>1657</v>
      </c>
      <c r="C586" s="1" t="s">
        <v>1658</v>
      </c>
      <c r="D586" s="3" t="s">
        <v>7</v>
      </c>
      <c r="E586" s="1" t="s">
        <v>14</v>
      </c>
      <c r="F586" s="5">
        <v>46186.276145833333</v>
      </c>
      <c r="G586" t="s">
        <v>945</v>
      </c>
      <c r="H586" t="s">
        <v>657</v>
      </c>
      <c r="I586" s="3">
        <f>VLOOKUP(G586,Sheet2!A:J,10,0)</f>
        <v>23</v>
      </c>
      <c r="J586" s="13"/>
      <c r="K586" s="13"/>
    </row>
    <row r="587" spans="1:11">
      <c r="A587" s="4" t="s">
        <v>1304</v>
      </c>
      <c r="B587" s="2" t="s">
        <v>1657</v>
      </c>
      <c r="C587" s="2" t="s">
        <v>1658</v>
      </c>
      <c r="D587" s="4" t="s">
        <v>7</v>
      </c>
      <c r="E587" s="2" t="s">
        <v>14</v>
      </c>
      <c r="F587" s="6">
        <v>46186.27851851852</v>
      </c>
      <c r="G587" t="s">
        <v>945</v>
      </c>
      <c r="H587" t="s">
        <v>657</v>
      </c>
      <c r="I587" s="3">
        <f>VLOOKUP(G587,Sheet2!A:J,10,0)</f>
        <v>23</v>
      </c>
      <c r="J587" s="13"/>
      <c r="K587" s="13"/>
    </row>
    <row r="588" spans="1:11">
      <c r="A588" s="3" t="s">
        <v>1305</v>
      </c>
      <c r="B588" s="1" t="s">
        <v>1657</v>
      </c>
      <c r="C588" s="1" t="s">
        <v>1658</v>
      </c>
      <c r="D588" s="3" t="s">
        <v>7</v>
      </c>
      <c r="E588" s="1" t="s">
        <v>14</v>
      </c>
      <c r="F588" s="5">
        <v>46189.400821759256</v>
      </c>
      <c r="G588" t="s">
        <v>945</v>
      </c>
      <c r="H588" t="s">
        <v>657</v>
      </c>
      <c r="I588" s="3">
        <f>VLOOKUP(G588,Sheet2!A:J,10,0)</f>
        <v>23</v>
      </c>
      <c r="J588" s="13"/>
      <c r="K588" s="13"/>
    </row>
    <row r="589" spans="1:11">
      <c r="A589" s="4" t="s">
        <v>1306</v>
      </c>
      <c r="B589" s="2" t="s">
        <v>1657</v>
      </c>
      <c r="C589" s="2" t="s">
        <v>1658</v>
      </c>
      <c r="D589" s="4" t="s">
        <v>7</v>
      </c>
      <c r="E589" s="2" t="s">
        <v>14</v>
      </c>
      <c r="F589" s="6">
        <v>46189.390115740738</v>
      </c>
      <c r="G589" t="s">
        <v>945</v>
      </c>
      <c r="H589" t="s">
        <v>657</v>
      </c>
      <c r="I589" s="3">
        <f>VLOOKUP(G589,Sheet2!A:J,10,0)</f>
        <v>23</v>
      </c>
      <c r="J589" s="13"/>
      <c r="K589" s="13"/>
    </row>
    <row r="590" spans="1:11">
      <c r="A590" s="3" t="s">
        <v>1307</v>
      </c>
      <c r="B590" s="1" t="s">
        <v>1657</v>
      </c>
      <c r="C590" s="1" t="s">
        <v>1658</v>
      </c>
      <c r="D590" s="3" t="s">
        <v>7</v>
      </c>
      <c r="E590" s="1" t="s">
        <v>14</v>
      </c>
      <c r="F590" s="5">
        <v>46189.460729166669</v>
      </c>
      <c r="G590" t="s">
        <v>945</v>
      </c>
      <c r="H590" t="s">
        <v>657</v>
      </c>
      <c r="I590" s="3">
        <f>VLOOKUP(G590,Sheet2!A:J,10,0)</f>
        <v>23</v>
      </c>
      <c r="J590" s="13"/>
      <c r="K590" s="13"/>
    </row>
    <row r="591" spans="1:11">
      <c r="A591" s="4" t="s">
        <v>1308</v>
      </c>
      <c r="B591" s="2" t="s">
        <v>1657</v>
      </c>
      <c r="C591" s="2" t="s">
        <v>1658</v>
      </c>
      <c r="D591" s="4" t="s">
        <v>7</v>
      </c>
      <c r="E591" s="2" t="s">
        <v>14</v>
      </c>
      <c r="F591" s="6">
        <v>46189.459062499998</v>
      </c>
      <c r="G591" t="s">
        <v>945</v>
      </c>
      <c r="H591" t="s">
        <v>657</v>
      </c>
      <c r="I591" s="3">
        <f>VLOOKUP(G591,Sheet2!A:J,10,0)</f>
        <v>23</v>
      </c>
      <c r="J591" s="13"/>
      <c r="K591" s="13"/>
    </row>
    <row r="592" spans="1:11">
      <c r="A592" s="3" t="s">
        <v>1309</v>
      </c>
      <c r="B592" s="1" t="s">
        <v>1657</v>
      </c>
      <c r="C592" s="1" t="s">
        <v>1658</v>
      </c>
      <c r="D592" s="3" t="s">
        <v>7</v>
      </c>
      <c r="E592" s="1" t="s">
        <v>14</v>
      </c>
      <c r="F592" s="5">
        <v>46185.640960648147</v>
      </c>
      <c r="G592" t="s">
        <v>945</v>
      </c>
      <c r="H592" t="s">
        <v>657</v>
      </c>
      <c r="I592" s="3">
        <f>VLOOKUP(G592,Sheet2!A:J,10,0)</f>
        <v>23</v>
      </c>
      <c r="J592" s="13"/>
      <c r="K592" s="13"/>
    </row>
    <row r="593" spans="1:11">
      <c r="A593" s="4" t="s">
        <v>1310</v>
      </c>
      <c r="B593" s="2" t="s">
        <v>1657</v>
      </c>
      <c r="C593" s="2" t="s">
        <v>1658</v>
      </c>
      <c r="D593" s="4" t="s">
        <v>7</v>
      </c>
      <c r="E593" s="2" t="s">
        <v>14</v>
      </c>
      <c r="F593" s="6">
        <v>46185.644386574073</v>
      </c>
      <c r="G593" t="s">
        <v>945</v>
      </c>
      <c r="H593" t="s">
        <v>657</v>
      </c>
      <c r="I593" s="3">
        <f>VLOOKUP(G593,Sheet2!A:J,10,0)</f>
        <v>23</v>
      </c>
      <c r="J593" s="13"/>
      <c r="K593" s="13"/>
    </row>
    <row r="594" spans="1:11">
      <c r="A594" s="3" t="s">
        <v>1311</v>
      </c>
      <c r="B594" s="1" t="s">
        <v>1659</v>
      </c>
      <c r="C594" s="1" t="s">
        <v>1660</v>
      </c>
      <c r="D594" s="3" t="s">
        <v>7</v>
      </c>
      <c r="E594" s="1" t="s">
        <v>14</v>
      </c>
      <c r="F594" s="5">
        <v>46189.46261574074</v>
      </c>
      <c r="G594" t="s">
        <v>945</v>
      </c>
      <c r="H594" t="s">
        <v>657</v>
      </c>
      <c r="I594" s="3">
        <f>VLOOKUP(G594,Sheet2!A:J,10,0)</f>
        <v>23</v>
      </c>
      <c r="J594" s="13"/>
      <c r="K594" s="13"/>
    </row>
    <row r="595" spans="1:11">
      <c r="A595" s="4" t="s">
        <v>1312</v>
      </c>
      <c r="B595" s="2" t="s">
        <v>1657</v>
      </c>
      <c r="C595" s="2" t="s">
        <v>1658</v>
      </c>
      <c r="D595" s="4" t="s">
        <v>7</v>
      </c>
      <c r="E595" s="2" t="s">
        <v>14</v>
      </c>
      <c r="F595" s="6">
        <v>46188.354432870372</v>
      </c>
      <c r="G595" t="s">
        <v>945</v>
      </c>
      <c r="H595" t="s">
        <v>657</v>
      </c>
      <c r="I595" s="3">
        <f>VLOOKUP(G595,Sheet2!A:J,10,0)</f>
        <v>23</v>
      </c>
      <c r="J595" s="13"/>
      <c r="K595" s="13"/>
    </row>
    <row r="596" spans="1:11">
      <c r="A596" s="3" t="s">
        <v>1313</v>
      </c>
      <c r="B596" s="1" t="s">
        <v>1657</v>
      </c>
      <c r="C596" s="1" t="s">
        <v>1658</v>
      </c>
      <c r="D596" s="3" t="s">
        <v>7</v>
      </c>
      <c r="E596" s="1" t="s">
        <v>14</v>
      </c>
      <c r="F596" s="5">
        <v>46186.339502314811</v>
      </c>
      <c r="G596" t="s">
        <v>945</v>
      </c>
      <c r="H596" t="s">
        <v>657</v>
      </c>
      <c r="I596" s="3">
        <f>VLOOKUP(G596,Sheet2!A:J,10,0)</f>
        <v>23</v>
      </c>
      <c r="J596" s="13"/>
      <c r="K596" s="13"/>
    </row>
    <row r="597" spans="1:11">
      <c r="A597" s="4" t="s">
        <v>1314</v>
      </c>
      <c r="B597" s="2" t="s">
        <v>1657</v>
      </c>
      <c r="C597" s="2" t="s">
        <v>1658</v>
      </c>
      <c r="D597" s="4" t="s">
        <v>7</v>
      </c>
      <c r="E597" s="2" t="s">
        <v>14</v>
      </c>
      <c r="F597" s="6">
        <v>46189.488877314812</v>
      </c>
      <c r="G597" t="s">
        <v>945</v>
      </c>
      <c r="H597" t="s">
        <v>657</v>
      </c>
      <c r="I597" s="3">
        <f>VLOOKUP(G597,Sheet2!A:J,10,0)</f>
        <v>23</v>
      </c>
      <c r="J597" s="13"/>
      <c r="K597" s="13"/>
    </row>
    <row r="598" spans="1:11">
      <c r="A598" s="3" t="s">
        <v>1315</v>
      </c>
      <c r="B598" s="1" t="s">
        <v>1657</v>
      </c>
      <c r="C598" s="1" t="s">
        <v>1658</v>
      </c>
      <c r="D598" s="3" t="s">
        <v>7</v>
      </c>
      <c r="E598" s="1" t="s">
        <v>14</v>
      </c>
      <c r="F598" s="5">
        <v>46189.39335648148</v>
      </c>
      <c r="G598" t="s">
        <v>945</v>
      </c>
      <c r="H598" t="s">
        <v>657</v>
      </c>
      <c r="I598" s="3">
        <f>VLOOKUP(G598,Sheet2!A:J,10,0)</f>
        <v>23</v>
      </c>
      <c r="J598" s="13"/>
      <c r="K598" s="13"/>
    </row>
    <row r="599" spans="1:11">
      <c r="A599" s="4" t="s">
        <v>1316</v>
      </c>
      <c r="B599" s="2" t="s">
        <v>1657</v>
      </c>
      <c r="C599" s="2" t="s">
        <v>1658</v>
      </c>
      <c r="D599" s="4" t="s">
        <v>7</v>
      </c>
      <c r="E599" s="2" t="s">
        <v>14</v>
      </c>
      <c r="F599" s="6">
        <v>46188.3828587963</v>
      </c>
      <c r="G599" t="s">
        <v>945</v>
      </c>
      <c r="H599" t="s">
        <v>657</v>
      </c>
      <c r="I599" s="3">
        <f>VLOOKUP(G599,Sheet2!A:J,10,0)</f>
        <v>23</v>
      </c>
      <c r="J599" s="13"/>
      <c r="K599" s="13"/>
    </row>
    <row r="600" spans="1:11">
      <c r="A600" s="3" t="s">
        <v>1317</v>
      </c>
      <c r="B600" s="1" t="s">
        <v>1657</v>
      </c>
      <c r="C600" s="1" t="s">
        <v>1658</v>
      </c>
      <c r="D600" s="3" t="s">
        <v>7</v>
      </c>
      <c r="E600" s="1" t="s">
        <v>14</v>
      </c>
      <c r="F600" s="5">
        <v>46189.358715277776</v>
      </c>
      <c r="G600" t="s">
        <v>945</v>
      </c>
      <c r="H600" t="s">
        <v>657</v>
      </c>
      <c r="I600" s="3">
        <f>VLOOKUP(G600,Sheet2!A:J,10,0)</f>
        <v>23</v>
      </c>
      <c r="J600" s="13"/>
      <c r="K600" s="13"/>
    </row>
    <row r="601" spans="1:11">
      <c r="A601" s="4" t="s">
        <v>1318</v>
      </c>
      <c r="B601" s="2" t="s">
        <v>1657</v>
      </c>
      <c r="C601" s="2" t="s">
        <v>1658</v>
      </c>
      <c r="D601" s="4" t="s">
        <v>7</v>
      </c>
      <c r="E601" s="2" t="s">
        <v>14</v>
      </c>
      <c r="F601" s="6">
        <v>46186.325833333336</v>
      </c>
      <c r="G601" t="s">
        <v>945</v>
      </c>
      <c r="H601" t="s">
        <v>657</v>
      </c>
      <c r="I601" s="3">
        <f>VLOOKUP(G601,Sheet2!A:J,10,0)</f>
        <v>23</v>
      </c>
      <c r="J601" s="13"/>
      <c r="K601" s="13"/>
    </row>
    <row r="602" spans="1:11">
      <c r="A602" s="3" t="s">
        <v>1319</v>
      </c>
      <c r="B602" s="1" t="s">
        <v>1657</v>
      </c>
      <c r="C602" s="1" t="s">
        <v>1658</v>
      </c>
      <c r="D602" s="3" t="s">
        <v>7</v>
      </c>
      <c r="E602" s="1" t="s">
        <v>14</v>
      </c>
      <c r="F602" s="5">
        <v>46189.405833333331</v>
      </c>
      <c r="G602" t="s">
        <v>945</v>
      </c>
      <c r="H602" t="s">
        <v>657</v>
      </c>
      <c r="I602" s="3">
        <f>VLOOKUP(G602,Sheet2!A:J,10,0)</f>
        <v>23</v>
      </c>
      <c r="J602" s="13"/>
      <c r="K602" s="13"/>
    </row>
    <row r="603" spans="1:11">
      <c r="A603" s="4" t="s">
        <v>1320</v>
      </c>
      <c r="B603" s="2" t="s">
        <v>1657</v>
      </c>
      <c r="C603" s="2" t="s">
        <v>1658</v>
      </c>
      <c r="D603" s="4" t="s">
        <v>7</v>
      </c>
      <c r="E603" s="2" t="s">
        <v>14</v>
      </c>
      <c r="F603" s="6">
        <v>46189.377627314818</v>
      </c>
      <c r="G603" t="s">
        <v>945</v>
      </c>
      <c r="H603" t="s">
        <v>657</v>
      </c>
      <c r="I603" s="3">
        <f>VLOOKUP(G603,Sheet2!A:J,10,0)</f>
        <v>23</v>
      </c>
      <c r="J603" s="13"/>
      <c r="K603" s="13"/>
    </row>
    <row r="604" spans="1:11">
      <c r="A604" s="3" t="s">
        <v>1321</v>
      </c>
      <c r="B604" s="1" t="s">
        <v>1657</v>
      </c>
      <c r="C604" s="1" t="s">
        <v>1658</v>
      </c>
      <c r="D604" s="3" t="s">
        <v>7</v>
      </c>
      <c r="E604" s="1" t="s">
        <v>14</v>
      </c>
      <c r="F604" s="5">
        <v>46186.318298611113</v>
      </c>
      <c r="G604" t="s">
        <v>945</v>
      </c>
      <c r="H604" t="s">
        <v>657</v>
      </c>
      <c r="I604" s="3">
        <f>VLOOKUP(G604,Sheet2!A:J,10,0)</f>
        <v>23</v>
      </c>
      <c r="J604" s="13"/>
      <c r="K604" s="13"/>
    </row>
    <row r="605" spans="1:11">
      <c r="A605" s="4" t="s">
        <v>1322</v>
      </c>
      <c r="B605" s="2" t="s">
        <v>1657</v>
      </c>
      <c r="C605" s="2" t="s">
        <v>1658</v>
      </c>
      <c r="D605" s="4" t="s">
        <v>7</v>
      </c>
      <c r="E605" s="2" t="s">
        <v>14</v>
      </c>
      <c r="F605" s="6">
        <v>46189.39912037037</v>
      </c>
      <c r="G605" t="s">
        <v>945</v>
      </c>
      <c r="H605" t="s">
        <v>657</v>
      </c>
      <c r="I605" s="3">
        <f>VLOOKUP(G605,Sheet2!A:J,10,0)</f>
        <v>23</v>
      </c>
      <c r="J605" s="13"/>
      <c r="K605" s="13"/>
    </row>
    <row r="606" spans="1:11">
      <c r="A606" s="3" t="s">
        <v>1323</v>
      </c>
      <c r="B606" s="1" t="s">
        <v>1657</v>
      </c>
      <c r="C606" s="1" t="s">
        <v>1658</v>
      </c>
      <c r="D606" s="3" t="s">
        <v>7</v>
      </c>
      <c r="E606" s="1" t="s">
        <v>14</v>
      </c>
      <c r="F606" s="5">
        <v>46189.381793981483</v>
      </c>
      <c r="G606" t="s">
        <v>945</v>
      </c>
      <c r="H606" t="s">
        <v>657</v>
      </c>
      <c r="I606" s="3">
        <f>VLOOKUP(G606,Sheet2!A:J,10,0)</f>
        <v>23</v>
      </c>
      <c r="J606" s="13"/>
      <c r="K606" s="13"/>
    </row>
    <row r="607" spans="1:11">
      <c r="A607" s="4" t="s">
        <v>1324</v>
      </c>
      <c r="B607" s="2" t="s">
        <v>1657</v>
      </c>
      <c r="C607" s="2" t="s">
        <v>1658</v>
      </c>
      <c r="D607" s="4" t="s">
        <v>7</v>
      </c>
      <c r="E607" s="2" t="s">
        <v>14</v>
      </c>
      <c r="F607" s="6">
        <v>46188.326504629629</v>
      </c>
      <c r="G607" t="s">
        <v>945</v>
      </c>
      <c r="H607" t="s">
        <v>657</v>
      </c>
      <c r="I607" s="3">
        <f>VLOOKUP(G607,Sheet2!A:J,10,0)</f>
        <v>23</v>
      </c>
      <c r="J607" s="13"/>
      <c r="K607" s="13"/>
    </row>
    <row r="608" spans="1:11">
      <c r="A608" s="3" t="s">
        <v>1325</v>
      </c>
      <c r="B608" s="1" t="s">
        <v>1657</v>
      </c>
      <c r="C608" s="1" t="s">
        <v>1658</v>
      </c>
      <c r="D608" s="3" t="s">
        <v>7</v>
      </c>
      <c r="E608" s="1" t="s">
        <v>14</v>
      </c>
      <c r="F608" s="5">
        <v>46189.451516203706</v>
      </c>
      <c r="G608" t="s">
        <v>945</v>
      </c>
      <c r="H608" t="s">
        <v>657</v>
      </c>
      <c r="I608" s="3">
        <f>VLOOKUP(G608,Sheet2!A:J,10,0)</f>
        <v>23</v>
      </c>
      <c r="J608" s="13"/>
      <c r="K608" s="13"/>
    </row>
    <row r="609" spans="1:11">
      <c r="A609" s="4" t="s">
        <v>1326</v>
      </c>
      <c r="B609" s="2" t="s">
        <v>1657</v>
      </c>
      <c r="C609" s="2" t="s">
        <v>1658</v>
      </c>
      <c r="D609" s="4" t="s">
        <v>7</v>
      </c>
      <c r="E609" s="2" t="s">
        <v>14</v>
      </c>
      <c r="F609" s="6">
        <v>46185.628298611111</v>
      </c>
      <c r="G609" t="s">
        <v>945</v>
      </c>
      <c r="H609" t="s">
        <v>657</v>
      </c>
      <c r="I609" s="3">
        <f>VLOOKUP(G609,Sheet2!A:J,10,0)</f>
        <v>23</v>
      </c>
      <c r="J609" s="13"/>
      <c r="K609" s="13"/>
    </row>
    <row r="610" spans="1:11">
      <c r="A610" s="3" t="s">
        <v>1327</v>
      </c>
      <c r="B610" s="1" t="s">
        <v>1657</v>
      </c>
      <c r="C610" s="1" t="s">
        <v>1658</v>
      </c>
      <c r="D610" s="3" t="s">
        <v>7</v>
      </c>
      <c r="E610" s="1" t="s">
        <v>14</v>
      </c>
      <c r="F610" s="5">
        <v>46189.466273148151</v>
      </c>
      <c r="G610" t="s">
        <v>945</v>
      </c>
      <c r="H610" t="s">
        <v>657</v>
      </c>
      <c r="I610" s="3">
        <f>VLOOKUP(G610,Sheet2!A:J,10,0)</f>
        <v>23</v>
      </c>
      <c r="J610" s="13"/>
      <c r="K610" s="13"/>
    </row>
    <row r="611" spans="1:11">
      <c r="A611" s="4" t="s">
        <v>1328</v>
      </c>
      <c r="B611" s="2" t="s">
        <v>1659</v>
      </c>
      <c r="C611" s="2" t="s">
        <v>1660</v>
      </c>
      <c r="D611" s="4" t="s">
        <v>7</v>
      </c>
      <c r="E611" s="2" t="s">
        <v>14</v>
      </c>
      <c r="F611" s="6">
        <v>46189.464085648149</v>
      </c>
      <c r="G611" t="s">
        <v>945</v>
      </c>
      <c r="H611" t="s">
        <v>657</v>
      </c>
      <c r="I611" s="3">
        <f>VLOOKUP(G611,Sheet2!A:J,10,0)</f>
        <v>23</v>
      </c>
      <c r="J611" s="13"/>
      <c r="K611" s="13"/>
    </row>
    <row r="612" spans="1:11">
      <c r="A612" s="3" t="s">
        <v>1329</v>
      </c>
      <c r="B612" s="1" t="s">
        <v>1657</v>
      </c>
      <c r="C612" s="1" t="s">
        <v>1658</v>
      </c>
      <c r="D612" s="3" t="s">
        <v>7</v>
      </c>
      <c r="E612" s="1" t="s">
        <v>14</v>
      </c>
      <c r="F612" s="5">
        <v>46189.469872685186</v>
      </c>
      <c r="G612" t="s">
        <v>945</v>
      </c>
      <c r="H612" t="s">
        <v>657</v>
      </c>
      <c r="I612" s="3">
        <f>VLOOKUP(G612,Sheet2!A:J,10,0)</f>
        <v>23</v>
      </c>
      <c r="J612" s="13"/>
      <c r="K612" s="13"/>
    </row>
    <row r="613" spans="1:11">
      <c r="A613" s="4" t="s">
        <v>1330</v>
      </c>
      <c r="B613" s="2" t="s">
        <v>1657</v>
      </c>
      <c r="C613" s="2" t="s">
        <v>1658</v>
      </c>
      <c r="D613" s="4" t="s">
        <v>7</v>
      </c>
      <c r="E613" s="2" t="s">
        <v>14</v>
      </c>
      <c r="F613" s="6">
        <v>46189.467569444445</v>
      </c>
      <c r="G613" t="s">
        <v>945</v>
      </c>
      <c r="H613" t="s">
        <v>657</v>
      </c>
      <c r="I613" s="3">
        <f>VLOOKUP(G613,Sheet2!A:J,10,0)</f>
        <v>23</v>
      </c>
      <c r="J613" s="13"/>
      <c r="K613" s="13"/>
    </row>
    <row r="614" spans="1:11">
      <c r="A614" s="3" t="s">
        <v>1331</v>
      </c>
      <c r="B614" s="1" t="s">
        <v>1657</v>
      </c>
      <c r="C614" s="1" t="s">
        <v>1658</v>
      </c>
      <c r="D614" s="3" t="s">
        <v>7</v>
      </c>
      <c r="E614" s="1" t="s">
        <v>14</v>
      </c>
      <c r="F614" s="5">
        <v>46189.372129629628</v>
      </c>
      <c r="G614" t="s">
        <v>945</v>
      </c>
      <c r="H614" t="s">
        <v>657</v>
      </c>
      <c r="I614" s="3">
        <f>VLOOKUP(G614,Sheet2!A:J,10,0)</f>
        <v>23</v>
      </c>
      <c r="J614" s="13"/>
      <c r="K614" s="13"/>
    </row>
    <row r="615" spans="1:11">
      <c r="A615" s="4" t="s">
        <v>1332</v>
      </c>
      <c r="B615" s="2" t="s">
        <v>1657</v>
      </c>
      <c r="C615" s="2" t="s">
        <v>1658</v>
      </c>
      <c r="D615" s="4" t="s">
        <v>7</v>
      </c>
      <c r="E615" s="2" t="s">
        <v>14</v>
      </c>
      <c r="F615" s="6">
        <v>46189.370462962965</v>
      </c>
      <c r="G615" t="s">
        <v>945</v>
      </c>
      <c r="H615" t="s">
        <v>657</v>
      </c>
      <c r="I615" s="3">
        <f>VLOOKUP(G615,Sheet2!A:J,10,0)</f>
        <v>23</v>
      </c>
      <c r="J615" s="13"/>
      <c r="K615" s="13"/>
    </row>
    <row r="616" spans="1:11">
      <c r="A616" s="3" t="s">
        <v>1333</v>
      </c>
      <c r="B616" s="1" t="s">
        <v>1657</v>
      </c>
      <c r="C616" s="1" t="s">
        <v>1658</v>
      </c>
      <c r="D616" s="3" t="s">
        <v>7</v>
      </c>
      <c r="E616" s="1" t="s">
        <v>14</v>
      </c>
      <c r="F616" s="5">
        <v>46188.385960648149</v>
      </c>
      <c r="G616" t="s">
        <v>945</v>
      </c>
      <c r="H616" t="s">
        <v>657</v>
      </c>
      <c r="I616" s="3">
        <f>VLOOKUP(G616,Sheet2!A:J,10,0)</f>
        <v>23</v>
      </c>
      <c r="J616" s="13"/>
      <c r="K616" s="13"/>
    </row>
    <row r="617" spans="1:11">
      <c r="A617" s="4" t="s">
        <v>1334</v>
      </c>
      <c r="B617" s="2" t="s">
        <v>1657</v>
      </c>
      <c r="C617" s="2" t="s">
        <v>1658</v>
      </c>
      <c r="D617" s="4" t="s">
        <v>7</v>
      </c>
      <c r="E617" s="2" t="s">
        <v>14</v>
      </c>
      <c r="F617" s="6">
        <v>46189.454942129632</v>
      </c>
      <c r="G617" t="s">
        <v>945</v>
      </c>
      <c r="H617" t="s">
        <v>657</v>
      </c>
      <c r="I617" s="3">
        <f>VLOOKUP(G617,Sheet2!A:J,10,0)</f>
        <v>23</v>
      </c>
      <c r="J617" s="13"/>
      <c r="K617" s="13"/>
    </row>
    <row r="618" spans="1:11">
      <c r="A618" s="3" t="s">
        <v>1335</v>
      </c>
      <c r="B618" s="1" t="s">
        <v>1657</v>
      </c>
      <c r="C618" s="1" t="s">
        <v>1658</v>
      </c>
      <c r="D618" s="3" t="s">
        <v>7</v>
      </c>
      <c r="E618" s="1" t="s">
        <v>14</v>
      </c>
      <c r="F618" s="5">
        <v>46189.439930555556</v>
      </c>
      <c r="G618" t="s">
        <v>945</v>
      </c>
      <c r="H618" t="s">
        <v>657</v>
      </c>
      <c r="I618" s="3">
        <f>VLOOKUP(G618,Sheet2!A:J,10,0)</f>
        <v>23</v>
      </c>
      <c r="J618" s="13"/>
      <c r="K618" s="13"/>
    </row>
    <row r="619" spans="1:11">
      <c r="A619" s="4" t="s">
        <v>1336</v>
      </c>
      <c r="B619" s="2" t="s">
        <v>1657</v>
      </c>
      <c r="C619" s="2" t="s">
        <v>1658</v>
      </c>
      <c r="D619" s="4" t="s">
        <v>7</v>
      </c>
      <c r="E619" s="2" t="s">
        <v>14</v>
      </c>
      <c r="F619" s="6">
        <v>46189.453298611108</v>
      </c>
      <c r="G619" t="s">
        <v>945</v>
      </c>
      <c r="H619" t="s">
        <v>657</v>
      </c>
      <c r="I619" s="3">
        <f>VLOOKUP(G619,Sheet2!A:J,10,0)</f>
        <v>23</v>
      </c>
      <c r="J619" s="13"/>
      <c r="K619" s="13"/>
    </row>
    <row r="620" spans="1:11">
      <c r="A620" s="3" t="s">
        <v>1337</v>
      </c>
      <c r="B620" s="1" t="s">
        <v>1657</v>
      </c>
      <c r="C620" s="1" t="s">
        <v>1658</v>
      </c>
      <c r="D620" s="3" t="s">
        <v>7</v>
      </c>
      <c r="E620" s="1" t="s">
        <v>14</v>
      </c>
      <c r="F620" s="5">
        <v>46189.441331018519</v>
      </c>
      <c r="G620" t="s">
        <v>945</v>
      </c>
      <c r="H620" t="s">
        <v>657</v>
      </c>
      <c r="I620" s="3">
        <f>VLOOKUP(G620,Sheet2!A:J,10,0)</f>
        <v>23</v>
      </c>
      <c r="J620" s="13"/>
      <c r="K620" s="13"/>
    </row>
    <row r="621" spans="1:11">
      <c r="A621" s="4" t="s">
        <v>1338</v>
      </c>
      <c r="B621" s="2" t="s">
        <v>1657</v>
      </c>
      <c r="C621" s="2" t="s">
        <v>1658</v>
      </c>
      <c r="D621" s="4" t="s">
        <v>7</v>
      </c>
      <c r="E621" s="2" t="s">
        <v>14</v>
      </c>
      <c r="F621" s="6">
        <v>46189.44809027778</v>
      </c>
      <c r="G621" t="s">
        <v>945</v>
      </c>
      <c r="H621" t="s">
        <v>657</v>
      </c>
      <c r="I621" s="3">
        <f>VLOOKUP(G621,Sheet2!A:J,10,0)</f>
        <v>23</v>
      </c>
      <c r="J621" s="13"/>
      <c r="K621" s="13"/>
    </row>
    <row r="622" spans="1:11">
      <c r="A622" s="3" t="s">
        <v>1339</v>
      </c>
      <c r="B622" s="1" t="s">
        <v>1657</v>
      </c>
      <c r="C622" s="1" t="s">
        <v>1658</v>
      </c>
      <c r="D622" s="3" t="s">
        <v>7</v>
      </c>
      <c r="E622" s="1" t="s">
        <v>14</v>
      </c>
      <c r="F622" s="5">
        <v>46185.512800925928</v>
      </c>
      <c r="G622" t="s">
        <v>945</v>
      </c>
      <c r="H622" t="s">
        <v>657</v>
      </c>
      <c r="I622" s="3">
        <f>VLOOKUP(G622,Sheet2!A:J,10,0)</f>
        <v>23</v>
      </c>
      <c r="J622" s="13"/>
      <c r="K622" s="13"/>
    </row>
    <row r="623" spans="1:11">
      <c r="A623" s="4" t="s">
        <v>1340</v>
      </c>
      <c r="B623" s="2" t="s">
        <v>1657</v>
      </c>
      <c r="C623" s="2" t="s">
        <v>1658</v>
      </c>
      <c r="D623" s="4" t="s">
        <v>7</v>
      </c>
      <c r="E623" s="2" t="s">
        <v>14</v>
      </c>
      <c r="F623" s="6">
        <v>46188.328356481485</v>
      </c>
      <c r="G623" t="s">
        <v>945</v>
      </c>
      <c r="H623" t="s">
        <v>657</v>
      </c>
      <c r="I623" s="3">
        <f>VLOOKUP(G623,Sheet2!A:J,10,0)</f>
        <v>23</v>
      </c>
      <c r="J623" s="13"/>
      <c r="K623" s="13"/>
    </row>
    <row r="624" spans="1:11">
      <c r="A624" s="3" t="s">
        <v>1341</v>
      </c>
      <c r="B624" s="1" t="s">
        <v>1657</v>
      </c>
      <c r="C624" s="1" t="s">
        <v>1658</v>
      </c>
      <c r="D624" s="3" t="s">
        <v>7</v>
      </c>
      <c r="E624" s="1" t="s">
        <v>14</v>
      </c>
      <c r="F624" s="5">
        <v>46189.365162037036</v>
      </c>
      <c r="G624" t="s">
        <v>945</v>
      </c>
      <c r="H624" t="s">
        <v>657</v>
      </c>
      <c r="I624" s="3">
        <f>VLOOKUP(G624,Sheet2!A:J,10,0)</f>
        <v>23</v>
      </c>
      <c r="J624" s="13"/>
      <c r="K624" s="13"/>
    </row>
    <row r="625" spans="1:11">
      <c r="A625" s="4" t="s">
        <v>1342</v>
      </c>
      <c r="B625" s="2" t="s">
        <v>1657</v>
      </c>
      <c r="C625" s="2" t="s">
        <v>1658</v>
      </c>
      <c r="D625" s="4" t="s">
        <v>7</v>
      </c>
      <c r="E625" s="2" t="s">
        <v>14</v>
      </c>
      <c r="F625" s="6">
        <v>46189.485833333332</v>
      </c>
      <c r="G625" t="s">
        <v>945</v>
      </c>
      <c r="H625" t="s">
        <v>657</v>
      </c>
      <c r="I625" s="3">
        <f>VLOOKUP(G625,Sheet2!A:J,10,0)</f>
        <v>23</v>
      </c>
      <c r="J625" s="13"/>
      <c r="K625" s="13"/>
    </row>
    <row r="626" spans="1:11">
      <c r="A626" s="3" t="s">
        <v>1343</v>
      </c>
      <c r="B626" s="1" t="s">
        <v>1657</v>
      </c>
      <c r="C626" s="1" t="s">
        <v>1658</v>
      </c>
      <c r="D626" s="3" t="s">
        <v>7</v>
      </c>
      <c r="E626" s="1" t="s">
        <v>14</v>
      </c>
      <c r="F626" s="5">
        <v>46186.378912037035</v>
      </c>
      <c r="G626" t="s">
        <v>945</v>
      </c>
      <c r="H626" t="s">
        <v>657</v>
      </c>
      <c r="I626" s="3">
        <f>VLOOKUP(G626,Sheet2!A:J,10,0)</f>
        <v>23</v>
      </c>
      <c r="J626" s="13"/>
      <c r="K626" s="13"/>
    </row>
    <row r="627" spans="1:11">
      <c r="A627" s="4" t="s">
        <v>1344</v>
      </c>
      <c r="B627" s="2" t="s">
        <v>1657</v>
      </c>
      <c r="C627" s="2" t="s">
        <v>1658</v>
      </c>
      <c r="D627" s="4" t="s">
        <v>7</v>
      </c>
      <c r="E627" s="2" t="s">
        <v>14</v>
      </c>
      <c r="F627" s="6">
        <v>46189.373912037037</v>
      </c>
      <c r="G627" t="s">
        <v>945</v>
      </c>
      <c r="H627" t="s">
        <v>657</v>
      </c>
      <c r="I627" s="3">
        <f>VLOOKUP(G627,Sheet2!A:J,10,0)</f>
        <v>23</v>
      </c>
      <c r="J627" s="13"/>
      <c r="K627" s="13"/>
    </row>
    <row r="628" spans="1:11">
      <c r="A628" s="3" t="s">
        <v>1345</v>
      </c>
      <c r="B628" s="1" t="s">
        <v>1657</v>
      </c>
      <c r="C628" s="1" t="s">
        <v>1658</v>
      </c>
      <c r="D628" s="3" t="s">
        <v>7</v>
      </c>
      <c r="E628" s="1" t="s">
        <v>14</v>
      </c>
      <c r="F628" s="5">
        <v>46189.367037037038</v>
      </c>
      <c r="G628" t="s">
        <v>945</v>
      </c>
      <c r="H628" t="s">
        <v>657</v>
      </c>
      <c r="I628" s="3">
        <f>VLOOKUP(G628,Sheet2!A:J,10,0)</f>
        <v>23</v>
      </c>
      <c r="J628" s="13"/>
      <c r="K628" s="13"/>
    </row>
    <row r="629" spans="1:11">
      <c r="A629" s="4" t="s">
        <v>1346</v>
      </c>
      <c r="B629" s="2" t="s">
        <v>1657</v>
      </c>
      <c r="C629" s="2" t="s">
        <v>1658</v>
      </c>
      <c r="D629" s="4" t="s">
        <v>7</v>
      </c>
      <c r="E629" s="2" t="s">
        <v>14</v>
      </c>
      <c r="F629" s="6">
        <v>46189.368796296294</v>
      </c>
      <c r="G629" t="s">
        <v>945</v>
      </c>
      <c r="H629" t="s">
        <v>657</v>
      </c>
      <c r="I629" s="3">
        <f>VLOOKUP(G629,Sheet2!A:J,10,0)</f>
        <v>23</v>
      </c>
      <c r="J629" s="13"/>
      <c r="K629" s="13"/>
    </row>
    <row r="630" spans="1:11">
      <c r="A630" s="3" t="s">
        <v>1347</v>
      </c>
      <c r="B630" s="1" t="s">
        <v>1657</v>
      </c>
      <c r="C630" s="1" t="s">
        <v>1658</v>
      </c>
      <c r="D630" s="3" t="s">
        <v>7</v>
      </c>
      <c r="E630" s="1" t="s">
        <v>14</v>
      </c>
      <c r="F630" s="5">
        <v>46189.362719907411</v>
      </c>
      <c r="G630" t="s">
        <v>945</v>
      </c>
      <c r="H630" t="s">
        <v>657</v>
      </c>
      <c r="I630" s="3">
        <f>VLOOKUP(G630,Sheet2!A:J,10,0)</f>
        <v>23</v>
      </c>
      <c r="J630" s="13"/>
      <c r="K630" s="13"/>
    </row>
    <row r="631" spans="1:11">
      <c r="A631" s="4" t="s">
        <v>1348</v>
      </c>
      <c r="B631" s="2" t="s">
        <v>1657</v>
      </c>
      <c r="C631" s="2" t="s">
        <v>1658</v>
      </c>
      <c r="D631" s="4" t="s">
        <v>7</v>
      </c>
      <c r="E631" s="2" t="s">
        <v>14</v>
      </c>
      <c r="F631" s="6">
        <v>46189.357106481482</v>
      </c>
      <c r="G631" t="s">
        <v>945</v>
      </c>
      <c r="H631" t="s">
        <v>657</v>
      </c>
      <c r="I631" s="3">
        <f>VLOOKUP(G631,Sheet2!A:J,10,0)</f>
        <v>23</v>
      </c>
      <c r="J631" s="13"/>
      <c r="K631" s="13"/>
    </row>
    <row r="632" spans="1:11">
      <c r="A632" s="3" t="s">
        <v>1349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t="s">
        <v>945</v>
      </c>
      <c r="H632" t="s">
        <v>657</v>
      </c>
      <c r="I632" s="3">
        <f>VLOOKUP(G632,Sheet2!A:J,10,0)</f>
        <v>23</v>
      </c>
      <c r="J632" s="13"/>
      <c r="K632" s="13"/>
    </row>
    <row r="633" spans="1:11">
      <c r="A633" s="4" t="s">
        <v>1350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t="s">
        <v>945</v>
      </c>
      <c r="H633" t="s">
        <v>657</v>
      </c>
      <c r="I633" s="3">
        <f>VLOOKUP(G633,Sheet2!A:J,10,0)</f>
        <v>23</v>
      </c>
      <c r="J633" s="13"/>
      <c r="K633" s="13"/>
    </row>
    <row r="634" spans="1:11">
      <c r="A634" s="3" t="s">
        <v>1351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t="s">
        <v>945</v>
      </c>
      <c r="H634" t="s">
        <v>657</v>
      </c>
      <c r="I634" s="3">
        <f>VLOOKUP(G634,Sheet2!A:J,10,0)</f>
        <v>23</v>
      </c>
      <c r="J634" s="13"/>
      <c r="K634" s="13"/>
    </row>
    <row r="635" spans="1:11">
      <c r="A635" s="4" t="s">
        <v>1352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t="s">
        <v>945</v>
      </c>
      <c r="H635" t="s">
        <v>657</v>
      </c>
      <c r="I635" s="3">
        <f>VLOOKUP(G635,Sheet2!A:J,10,0)</f>
        <v>23</v>
      </c>
      <c r="J635" s="13"/>
      <c r="K635" s="13"/>
    </row>
    <row r="636" spans="1:11">
      <c r="A636" s="3" t="s">
        <v>1353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t="s">
        <v>945</v>
      </c>
      <c r="H636" t="s">
        <v>657</v>
      </c>
      <c r="I636" s="3">
        <f>VLOOKUP(G636,Sheet2!A:J,10,0)</f>
        <v>23</v>
      </c>
      <c r="J636" s="13"/>
      <c r="K636" s="13"/>
    </row>
    <row r="637" spans="1:11">
      <c r="A637" s="4" t="s">
        <v>1354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t="s">
        <v>945</v>
      </c>
      <c r="H637" t="s">
        <v>657</v>
      </c>
      <c r="I637" s="3">
        <f>VLOOKUP(G637,Sheet2!A:J,10,0)</f>
        <v>23</v>
      </c>
      <c r="J637" s="13"/>
      <c r="K637" s="13"/>
    </row>
    <row r="638" spans="1:11">
      <c r="A638" s="3" t="s">
        <v>1355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945</v>
      </c>
      <c r="H638" t="s">
        <v>657</v>
      </c>
      <c r="I638" s="3">
        <f>VLOOKUP(G638,Sheet2!A:J,10,0)</f>
        <v>23</v>
      </c>
      <c r="J638" s="13"/>
      <c r="K638" s="13"/>
    </row>
    <row r="639" spans="1:11">
      <c r="A639" s="4" t="s">
        <v>1356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945</v>
      </c>
      <c r="H639" t="s">
        <v>657</v>
      </c>
      <c r="I639" s="3">
        <f>VLOOKUP(G639,Sheet2!A:J,10,0)</f>
        <v>23</v>
      </c>
      <c r="J639" s="13"/>
      <c r="K639" s="13"/>
    </row>
    <row r="640" spans="1:11">
      <c r="A640" s="3" t="s">
        <v>1357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945</v>
      </c>
      <c r="H640" t="s">
        <v>657</v>
      </c>
      <c r="I640" s="3">
        <f>VLOOKUP(G640,Sheet2!A:J,10,0)</f>
        <v>23</v>
      </c>
      <c r="J640" s="13"/>
      <c r="K640" s="13"/>
    </row>
    <row r="641" spans="1:11">
      <c r="A641" s="4" t="s">
        <v>1358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945</v>
      </c>
      <c r="H641" t="s">
        <v>657</v>
      </c>
      <c r="I641" s="3">
        <f>VLOOKUP(G641,Sheet2!A:J,10,0)</f>
        <v>23</v>
      </c>
      <c r="J641" s="13"/>
      <c r="K641" s="13"/>
    </row>
    <row r="642" spans="1:11">
      <c r="A642" s="3" t="s">
        <v>1359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945</v>
      </c>
      <c r="H642" t="s">
        <v>657</v>
      </c>
      <c r="I642" s="3">
        <f>VLOOKUP(G642,Sheet2!A:J,10,0)</f>
        <v>23</v>
      </c>
      <c r="J642" s="13"/>
      <c r="K642" s="13"/>
    </row>
    <row r="643" spans="1:11">
      <c r="A643" s="4" t="s">
        <v>1360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945</v>
      </c>
      <c r="H643" t="s">
        <v>657</v>
      </c>
      <c r="I643" s="3">
        <f>VLOOKUP(G643,Sheet2!A:J,10,0)</f>
        <v>23</v>
      </c>
      <c r="J643" s="13"/>
      <c r="K643" s="13"/>
    </row>
    <row r="644" spans="1:11">
      <c r="A644" s="3" t="s">
        <v>1361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945</v>
      </c>
      <c r="H644" t="s">
        <v>657</v>
      </c>
      <c r="I644" s="3">
        <f>VLOOKUP(G644,Sheet2!A:J,10,0)</f>
        <v>23</v>
      </c>
      <c r="J644" s="13"/>
      <c r="K644" s="13"/>
    </row>
    <row r="645" spans="1:11">
      <c r="A645" s="4" t="s">
        <v>1362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945</v>
      </c>
      <c r="H645" t="s">
        <v>657</v>
      </c>
      <c r="I645" s="3">
        <f>VLOOKUP(G645,Sheet2!A:J,10,0)</f>
        <v>23</v>
      </c>
      <c r="J645" s="13"/>
      <c r="K645" s="13"/>
    </row>
    <row r="646" spans="1:11">
      <c r="A646" s="3" t="s">
        <v>1363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945</v>
      </c>
      <c r="H646" t="s">
        <v>657</v>
      </c>
      <c r="I646" s="3">
        <f>VLOOKUP(G646,Sheet2!A:J,10,0)</f>
        <v>23</v>
      </c>
      <c r="J646" s="13"/>
      <c r="K646" s="13"/>
    </row>
    <row r="647" spans="1:11">
      <c r="A647" s="4" t="s">
        <v>1364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945</v>
      </c>
      <c r="H647" t="s">
        <v>657</v>
      </c>
      <c r="I647" s="3">
        <f>VLOOKUP(G647,Sheet2!A:J,10,0)</f>
        <v>23</v>
      </c>
      <c r="J647" s="13"/>
      <c r="K647" s="13"/>
    </row>
    <row r="648" spans="1:11">
      <c r="A648" s="3" t="s">
        <v>1365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945</v>
      </c>
      <c r="H648" t="s">
        <v>657</v>
      </c>
      <c r="I648" s="3">
        <f>VLOOKUP(G648,Sheet2!A:J,10,0)</f>
        <v>23</v>
      </c>
      <c r="J648" s="13"/>
      <c r="K648" s="13"/>
    </row>
    <row r="649" spans="1:11">
      <c r="A649" s="4" t="s">
        <v>1366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945</v>
      </c>
      <c r="H649" t="s">
        <v>657</v>
      </c>
      <c r="I649" s="3">
        <f>VLOOKUP(G649,Sheet2!A:J,10,0)</f>
        <v>23</v>
      </c>
      <c r="J649" s="13"/>
      <c r="K649" s="13"/>
    </row>
    <row r="650" spans="1:11">
      <c r="A650" s="3" t="s">
        <v>1367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945</v>
      </c>
      <c r="H650" t="s">
        <v>657</v>
      </c>
      <c r="I650" s="3">
        <f>VLOOKUP(G650,Sheet2!A:J,10,0)</f>
        <v>23</v>
      </c>
      <c r="J650" s="13"/>
      <c r="K650" s="13"/>
    </row>
    <row r="651" spans="1:11">
      <c r="A651" s="4" t="s">
        <v>1368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945</v>
      </c>
      <c r="H651" t="s">
        <v>657</v>
      </c>
      <c r="I651" s="3">
        <f>VLOOKUP(G651,Sheet2!A:J,10,0)</f>
        <v>23</v>
      </c>
      <c r="J651" s="13"/>
      <c r="K651" s="13"/>
    </row>
    <row r="652" spans="1:11">
      <c r="A652" s="3" t="s">
        <v>1369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945</v>
      </c>
      <c r="H652" t="s">
        <v>657</v>
      </c>
      <c r="I652" s="3">
        <f>VLOOKUP(G652,Sheet2!A:J,10,0)</f>
        <v>23</v>
      </c>
      <c r="J652" s="13"/>
      <c r="K652" s="13"/>
    </row>
    <row r="653" spans="1:11">
      <c r="A653" s="4" t="s">
        <v>1370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945</v>
      </c>
      <c r="H653" t="s">
        <v>657</v>
      </c>
      <c r="I653" s="3">
        <f>VLOOKUP(G653,Sheet2!A:J,10,0)</f>
        <v>23</v>
      </c>
      <c r="J653" s="13"/>
      <c r="K653" s="13"/>
    </row>
    <row r="654" spans="1:11">
      <c r="A654" s="3" t="s">
        <v>1371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945</v>
      </c>
      <c r="H654" t="s">
        <v>657</v>
      </c>
      <c r="I654" s="3">
        <f>VLOOKUP(G654,Sheet2!A:J,10,0)</f>
        <v>23</v>
      </c>
      <c r="J654" s="13"/>
      <c r="K654" s="13"/>
    </row>
    <row r="655" spans="1:11">
      <c r="A655" s="4" t="s">
        <v>1372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945</v>
      </c>
      <c r="H655" t="s">
        <v>657</v>
      </c>
      <c r="I655" s="3">
        <f>VLOOKUP(G655,Sheet2!A:J,10,0)</f>
        <v>23</v>
      </c>
      <c r="J655" s="13"/>
      <c r="K655" s="13"/>
    </row>
    <row r="656" spans="1:11">
      <c r="A656" s="3" t="s">
        <v>1373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945</v>
      </c>
      <c r="H656" t="s">
        <v>657</v>
      </c>
      <c r="I656" s="3">
        <f>VLOOKUP(G656,Sheet2!A:J,10,0)</f>
        <v>23</v>
      </c>
      <c r="J656" s="13"/>
      <c r="K656" s="13"/>
    </row>
    <row r="657" spans="1:11">
      <c r="A657" s="4" t="s">
        <v>1374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945</v>
      </c>
      <c r="H657" t="s">
        <v>657</v>
      </c>
      <c r="I657" s="3">
        <f>VLOOKUP(G657,Sheet2!A:J,10,0)</f>
        <v>23</v>
      </c>
      <c r="J657" s="13"/>
      <c r="K657" s="13"/>
    </row>
    <row r="658" spans="1:11">
      <c r="A658" s="3" t="s">
        <v>1375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945</v>
      </c>
      <c r="H658" t="s">
        <v>657</v>
      </c>
      <c r="I658" s="3">
        <f>VLOOKUP(G658,Sheet2!A:J,10,0)</f>
        <v>23</v>
      </c>
      <c r="J658" s="13"/>
      <c r="K658" s="13"/>
    </row>
    <row r="659" spans="1:11">
      <c r="A659" s="4" t="s">
        <v>1376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945</v>
      </c>
      <c r="H659" t="s">
        <v>657</v>
      </c>
      <c r="I659" s="3">
        <f>VLOOKUP(G659,Sheet2!A:J,10,0)</f>
        <v>23</v>
      </c>
      <c r="J659" s="13"/>
      <c r="K659" s="13"/>
    </row>
    <row r="660" spans="1:11">
      <c r="A660" s="3" t="s">
        <v>1377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945</v>
      </c>
      <c r="H660" t="s">
        <v>657</v>
      </c>
      <c r="I660" s="3">
        <f>VLOOKUP(G660,Sheet2!A:J,10,0)</f>
        <v>23</v>
      </c>
      <c r="J660" s="13"/>
      <c r="K660" s="13"/>
    </row>
    <row r="661" spans="1:11">
      <c r="A661" s="4" t="s">
        <v>1378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945</v>
      </c>
      <c r="H661" t="s">
        <v>657</v>
      </c>
      <c r="I661" s="3">
        <f>VLOOKUP(G661,Sheet2!A:J,10,0)</f>
        <v>23</v>
      </c>
      <c r="J661" s="13"/>
      <c r="K661" s="13"/>
    </row>
    <row r="662" spans="1:11">
      <c r="A662" s="3" t="s">
        <v>1379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945</v>
      </c>
      <c r="H662" t="s">
        <v>657</v>
      </c>
      <c r="I662" s="3">
        <f>VLOOKUP(G662,Sheet2!A:J,10,0)</f>
        <v>23</v>
      </c>
      <c r="J662" s="13"/>
      <c r="K662" s="13"/>
    </row>
    <row r="663" spans="1:11">
      <c r="A663" s="4" t="s">
        <v>1380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945</v>
      </c>
      <c r="H663" t="s">
        <v>657</v>
      </c>
      <c r="I663" s="3">
        <f>VLOOKUP(G663,Sheet2!A:J,10,0)</f>
        <v>23</v>
      </c>
      <c r="J663" s="13"/>
      <c r="K663" s="13"/>
    </row>
    <row r="664" spans="1:11">
      <c r="A664" s="3" t="s">
        <v>1381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945</v>
      </c>
      <c r="H664" t="s">
        <v>657</v>
      </c>
      <c r="I664" s="3">
        <f>VLOOKUP(G664,Sheet2!A:J,10,0)</f>
        <v>23</v>
      </c>
      <c r="J664" s="13"/>
      <c r="K664" s="13"/>
    </row>
    <row r="665" spans="1:11">
      <c r="A665" s="4" t="s">
        <v>1382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945</v>
      </c>
      <c r="H665" t="s">
        <v>657</v>
      </c>
      <c r="I665" s="3">
        <f>VLOOKUP(G665,Sheet2!A:J,10,0)</f>
        <v>23</v>
      </c>
      <c r="J665" s="13"/>
      <c r="K665" s="13"/>
    </row>
    <row r="666" spans="1:11">
      <c r="A666" s="3" t="s">
        <v>1383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945</v>
      </c>
      <c r="H666" t="s">
        <v>657</v>
      </c>
      <c r="I666" s="3">
        <f>VLOOKUP(G666,Sheet2!A:J,10,0)</f>
        <v>23</v>
      </c>
      <c r="J666" s="13"/>
      <c r="K666" s="13"/>
    </row>
    <row r="667" spans="1:11">
      <c r="A667" s="4" t="s">
        <v>1384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945</v>
      </c>
      <c r="H667" t="s">
        <v>657</v>
      </c>
      <c r="I667" s="3">
        <f>VLOOKUP(G667,Sheet2!A:J,10,0)</f>
        <v>23</v>
      </c>
      <c r="J667" s="13"/>
      <c r="K667" s="13"/>
    </row>
    <row r="668" spans="1:11">
      <c r="A668" s="3" t="s">
        <v>1385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945</v>
      </c>
      <c r="H668" t="s">
        <v>657</v>
      </c>
      <c r="I668" s="3">
        <f>VLOOKUP(G668,Sheet2!A:J,10,0)</f>
        <v>23</v>
      </c>
      <c r="J668" s="13"/>
      <c r="K668" s="13"/>
    </row>
    <row r="669" spans="1:11">
      <c r="A669" s="4" t="s">
        <v>1386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945</v>
      </c>
      <c r="H669" t="s">
        <v>657</v>
      </c>
      <c r="I669" s="3">
        <f>VLOOKUP(G669,Sheet2!A:J,10,0)</f>
        <v>23</v>
      </c>
      <c r="J669" s="13"/>
      <c r="K669" s="13"/>
    </row>
    <row r="670" spans="1:11">
      <c r="A670" s="3" t="s">
        <v>1387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945</v>
      </c>
      <c r="H670" t="s">
        <v>657</v>
      </c>
      <c r="I670" s="3">
        <f>VLOOKUP(G670,Sheet2!A:J,10,0)</f>
        <v>23</v>
      </c>
      <c r="J670" s="13"/>
      <c r="K670" s="13"/>
    </row>
    <row r="671" spans="1:11">
      <c r="A671" s="4" t="s">
        <v>1388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945</v>
      </c>
      <c r="H671" t="s">
        <v>657</v>
      </c>
      <c r="I671" s="3">
        <f>VLOOKUP(G671,Sheet2!A:J,10,0)</f>
        <v>23</v>
      </c>
      <c r="J671" s="13"/>
      <c r="K671" s="13"/>
    </row>
    <row r="672" spans="1:11">
      <c r="A672" s="3" t="s">
        <v>1389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945</v>
      </c>
      <c r="H672" t="s">
        <v>657</v>
      </c>
      <c r="I672" s="3">
        <f>VLOOKUP(G672,Sheet2!A:J,10,0)</f>
        <v>23</v>
      </c>
      <c r="J672" s="13"/>
      <c r="K672" s="13"/>
    </row>
    <row r="673" spans="1:11">
      <c r="A673" s="4" t="s">
        <v>1390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945</v>
      </c>
      <c r="H673" t="s">
        <v>657</v>
      </c>
      <c r="I673" s="3">
        <f>VLOOKUP(G673,Sheet2!A:J,10,0)</f>
        <v>23</v>
      </c>
      <c r="J673" s="13"/>
      <c r="K673" s="13"/>
    </row>
    <row r="674" spans="1:11">
      <c r="A674" s="3" t="s">
        <v>1391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945</v>
      </c>
      <c r="H674" t="s">
        <v>657</v>
      </c>
      <c r="I674" s="3">
        <f>VLOOKUP(G674,Sheet2!A:J,10,0)</f>
        <v>23</v>
      </c>
      <c r="J674" s="13"/>
      <c r="K674" s="13"/>
    </row>
    <row r="675" spans="1:11">
      <c r="A675" s="4" t="s">
        <v>1392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945</v>
      </c>
      <c r="H675" t="s">
        <v>657</v>
      </c>
      <c r="I675" s="3">
        <f>VLOOKUP(G675,Sheet2!A:J,10,0)</f>
        <v>23</v>
      </c>
      <c r="J675" s="13"/>
      <c r="K675" s="13"/>
    </row>
    <row r="676" spans="1:11">
      <c r="A676" s="3" t="s">
        <v>1393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945</v>
      </c>
      <c r="H676" t="s">
        <v>657</v>
      </c>
      <c r="I676" s="3">
        <f>VLOOKUP(G676,Sheet2!A:J,10,0)</f>
        <v>23</v>
      </c>
      <c r="J676" s="13"/>
      <c r="K676" s="13"/>
    </row>
    <row r="677" spans="1:11">
      <c r="A677" s="4" t="s">
        <v>1394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945</v>
      </c>
      <c r="H677" t="s">
        <v>657</v>
      </c>
      <c r="I677" s="3">
        <f>VLOOKUP(G677,Sheet2!A:J,10,0)</f>
        <v>23</v>
      </c>
      <c r="J677" s="13"/>
      <c r="K677" s="13"/>
    </row>
    <row r="678" spans="1:11">
      <c r="A678" s="3" t="s">
        <v>1395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945</v>
      </c>
      <c r="H678" t="s">
        <v>657</v>
      </c>
      <c r="I678" s="3">
        <f>VLOOKUP(G678,Sheet2!A:J,10,0)</f>
        <v>23</v>
      </c>
      <c r="J678" s="13"/>
      <c r="K678" s="13"/>
    </row>
    <row r="679" spans="1:11">
      <c r="A679" s="4" t="s">
        <v>1396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945</v>
      </c>
      <c r="H679" t="s">
        <v>657</v>
      </c>
      <c r="I679" s="3">
        <f>VLOOKUP(G679,Sheet2!A:J,10,0)</f>
        <v>23</v>
      </c>
      <c r="J679" s="13"/>
      <c r="K679" s="13"/>
    </row>
    <row r="680" spans="1:11">
      <c r="A680" s="3" t="s">
        <v>1397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945</v>
      </c>
      <c r="H680" t="s">
        <v>657</v>
      </c>
      <c r="I680" s="3">
        <f>VLOOKUP(G680,Sheet2!A:J,10,0)</f>
        <v>23</v>
      </c>
      <c r="J680" s="13"/>
      <c r="K680" s="13"/>
    </row>
    <row r="681" spans="1:11">
      <c r="A681" s="4" t="s">
        <v>1398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945</v>
      </c>
      <c r="H681" t="s">
        <v>657</v>
      </c>
      <c r="I681" s="3">
        <f>VLOOKUP(G681,Sheet2!A:J,10,0)</f>
        <v>23</v>
      </c>
      <c r="J681" s="13"/>
      <c r="K681" s="13"/>
    </row>
    <row r="682" spans="1:11">
      <c r="A682" s="3" t="s">
        <v>1399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945</v>
      </c>
      <c r="H682" t="s">
        <v>657</v>
      </c>
      <c r="I682" s="3">
        <f>VLOOKUP(G682,Sheet2!A:J,10,0)</f>
        <v>23</v>
      </c>
      <c r="J682" s="13"/>
      <c r="K682" s="13"/>
    </row>
    <row r="683" spans="1:11">
      <c r="A683" s="4" t="s">
        <v>1400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945</v>
      </c>
      <c r="H683" t="s">
        <v>657</v>
      </c>
      <c r="I683" s="3">
        <f>VLOOKUP(G683,Sheet2!A:J,10,0)</f>
        <v>23</v>
      </c>
      <c r="J683" s="13"/>
      <c r="K683" s="13"/>
    </row>
    <row r="684" spans="1:11">
      <c r="A684" s="3" t="s">
        <v>1401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945</v>
      </c>
      <c r="H684" t="s">
        <v>657</v>
      </c>
      <c r="I684" s="3">
        <f>VLOOKUP(G684,Sheet2!A:J,10,0)</f>
        <v>23</v>
      </c>
      <c r="J684" s="13"/>
      <c r="K684" s="13"/>
    </row>
    <row r="685" spans="1:11">
      <c r="A685" s="4" t="s">
        <v>1402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945</v>
      </c>
      <c r="H685" t="s">
        <v>657</v>
      </c>
      <c r="I685" s="3">
        <f>VLOOKUP(G685,Sheet2!A:J,10,0)</f>
        <v>23</v>
      </c>
      <c r="J685" s="13"/>
      <c r="K685" s="13"/>
    </row>
    <row r="686" spans="1:11">
      <c r="A686" s="3" t="s">
        <v>1403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945</v>
      </c>
      <c r="H686" t="s">
        <v>657</v>
      </c>
      <c r="I686" s="3">
        <f>VLOOKUP(G686,Sheet2!A:J,10,0)</f>
        <v>23</v>
      </c>
      <c r="J686" s="13"/>
      <c r="K686" s="13"/>
    </row>
    <row r="687" spans="1:11">
      <c r="A687" s="4" t="s">
        <v>1404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945</v>
      </c>
      <c r="H687" t="s">
        <v>657</v>
      </c>
      <c r="I687" s="3">
        <f>VLOOKUP(G687,Sheet2!A:J,10,0)</f>
        <v>23</v>
      </c>
      <c r="J687" s="13"/>
      <c r="K687" s="13"/>
    </row>
    <row r="688" spans="1:11">
      <c r="A688" s="3" t="s">
        <v>1405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945</v>
      </c>
      <c r="H688" t="s">
        <v>657</v>
      </c>
      <c r="I688" s="3">
        <f>VLOOKUP(G688,Sheet2!A:J,10,0)</f>
        <v>23</v>
      </c>
      <c r="J688" s="13"/>
      <c r="K688" s="13"/>
    </row>
    <row r="689" spans="1:11">
      <c r="A689" s="4" t="s">
        <v>1406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945</v>
      </c>
      <c r="H689" t="s">
        <v>657</v>
      </c>
      <c r="I689" s="3">
        <f>VLOOKUP(G689,Sheet2!A:J,10,0)</f>
        <v>23</v>
      </c>
      <c r="J689" s="13"/>
      <c r="K689" s="13"/>
    </row>
    <row r="690" spans="1:11">
      <c r="A690" s="3" t="s">
        <v>1407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945</v>
      </c>
      <c r="H690" t="s">
        <v>657</v>
      </c>
      <c r="I690" s="3">
        <f>VLOOKUP(G690,Sheet2!A:J,10,0)</f>
        <v>23</v>
      </c>
      <c r="J690" s="13"/>
      <c r="K690" s="13"/>
    </row>
    <row r="691" spans="1:11">
      <c r="A691" s="4" t="s">
        <v>1408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945</v>
      </c>
      <c r="H691" t="s">
        <v>657</v>
      </c>
      <c r="I691" s="3">
        <f>VLOOKUP(G691,Sheet2!A:J,10,0)</f>
        <v>23</v>
      </c>
      <c r="J691" s="13"/>
      <c r="K691" s="13"/>
    </row>
    <row r="692" spans="1:11">
      <c r="A692" s="3" t="s">
        <v>1409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945</v>
      </c>
      <c r="H692" t="s">
        <v>657</v>
      </c>
      <c r="I692" s="3">
        <f>VLOOKUP(G692,Sheet2!A:J,10,0)</f>
        <v>23</v>
      </c>
      <c r="J692" s="13"/>
      <c r="K692" s="13"/>
    </row>
    <row r="693" spans="1:11">
      <c r="A693" s="4" t="s">
        <v>1410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945</v>
      </c>
      <c r="H693" t="s">
        <v>657</v>
      </c>
      <c r="I693" s="3">
        <f>VLOOKUP(G693,Sheet2!A:J,10,0)</f>
        <v>23</v>
      </c>
      <c r="J693" s="13"/>
      <c r="K693" s="13"/>
    </row>
    <row r="694" spans="1:11">
      <c r="A694" s="3" t="s">
        <v>1411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945</v>
      </c>
      <c r="H694" t="s">
        <v>657</v>
      </c>
      <c r="I694" s="3">
        <f>VLOOKUP(G694,Sheet2!A:J,10,0)</f>
        <v>23</v>
      </c>
      <c r="J694" s="13"/>
      <c r="K694" s="13"/>
    </row>
    <row r="695" spans="1:11">
      <c r="A695" s="4" t="s">
        <v>1412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945</v>
      </c>
      <c r="H695" t="s">
        <v>657</v>
      </c>
      <c r="I695" s="3">
        <f>VLOOKUP(G695,Sheet2!A:J,10,0)</f>
        <v>23</v>
      </c>
      <c r="J695" s="13"/>
      <c r="K695" s="13"/>
    </row>
    <row r="696" spans="1:11">
      <c r="A696" s="3" t="s">
        <v>1413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945</v>
      </c>
      <c r="H696" t="s">
        <v>657</v>
      </c>
      <c r="I696" s="3">
        <f>VLOOKUP(G696,Sheet2!A:J,10,0)</f>
        <v>23</v>
      </c>
      <c r="J696" s="13"/>
      <c r="K696" s="13"/>
    </row>
    <row r="697" spans="1:11">
      <c r="A697" s="4" t="s">
        <v>1414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945</v>
      </c>
      <c r="H697" t="s">
        <v>657</v>
      </c>
      <c r="I697" s="3">
        <f>VLOOKUP(G697,Sheet2!A:J,10,0)</f>
        <v>23</v>
      </c>
      <c r="J697" s="13"/>
      <c r="K697" s="13"/>
    </row>
    <row r="698" spans="1:11">
      <c r="A698" s="3" t="s">
        <v>1415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945</v>
      </c>
      <c r="H698" t="s">
        <v>657</v>
      </c>
      <c r="I698" s="3">
        <f>VLOOKUP(G698,Sheet2!A:J,10,0)</f>
        <v>23</v>
      </c>
      <c r="J698" s="13"/>
      <c r="K698" s="13"/>
    </row>
    <row r="699" spans="1:11">
      <c r="A699" s="4" t="s">
        <v>1416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945</v>
      </c>
      <c r="H699" t="s">
        <v>657</v>
      </c>
      <c r="I699" s="3">
        <f>VLOOKUP(G699,Sheet2!A:J,10,0)</f>
        <v>23</v>
      </c>
      <c r="J699" s="13"/>
      <c r="K699" s="13"/>
    </row>
    <row r="700" spans="1:11">
      <c r="A700" s="3" t="s">
        <v>1417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945</v>
      </c>
      <c r="H700" t="s">
        <v>657</v>
      </c>
      <c r="I700" s="3">
        <f>VLOOKUP(G700,Sheet2!A:J,10,0)</f>
        <v>23</v>
      </c>
      <c r="J700" s="13"/>
      <c r="K700" s="13"/>
    </row>
    <row r="701" spans="1:11">
      <c r="A701" s="4" t="s">
        <v>1418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945</v>
      </c>
      <c r="H701" t="s">
        <v>657</v>
      </c>
      <c r="I701" s="3">
        <f>VLOOKUP(G701,Sheet2!A:J,10,0)</f>
        <v>23</v>
      </c>
      <c r="J701" s="13"/>
      <c r="K701" s="13"/>
    </row>
    <row r="702" spans="1:11">
      <c r="A702" s="3" t="s">
        <v>1419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945</v>
      </c>
      <c r="H702" t="s">
        <v>657</v>
      </c>
      <c r="I702" s="3">
        <f>VLOOKUP(G702,Sheet2!A:J,10,0)</f>
        <v>23</v>
      </c>
      <c r="J702" s="13"/>
      <c r="K702" s="13"/>
    </row>
    <row r="703" spans="1:11">
      <c r="A703" s="4" t="s">
        <v>1420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945</v>
      </c>
      <c r="H703" t="s">
        <v>657</v>
      </c>
      <c r="I703" s="3">
        <f>VLOOKUP(G703,Sheet2!A:J,10,0)</f>
        <v>23</v>
      </c>
      <c r="J703" s="13"/>
      <c r="K703" s="13"/>
    </row>
    <row r="704" spans="1:11">
      <c r="A704" s="3" t="s">
        <v>1421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945</v>
      </c>
      <c r="H704" t="s">
        <v>657</v>
      </c>
      <c r="I704" s="3">
        <f>VLOOKUP(G704,Sheet2!A:J,10,0)</f>
        <v>23</v>
      </c>
      <c r="J704" s="13"/>
      <c r="K704" s="13"/>
    </row>
    <row r="705" spans="1:11">
      <c r="A705" s="4" t="s">
        <v>1422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945</v>
      </c>
      <c r="H705" t="s">
        <v>657</v>
      </c>
      <c r="I705" s="3">
        <f>VLOOKUP(G705,Sheet2!A:J,10,0)</f>
        <v>23</v>
      </c>
      <c r="J705" s="13"/>
      <c r="K705" s="13"/>
    </row>
    <row r="706" spans="1:11">
      <c r="A706" s="3" t="s">
        <v>1423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945</v>
      </c>
      <c r="H706" t="s">
        <v>657</v>
      </c>
      <c r="I706" s="3">
        <f>VLOOKUP(G706,Sheet2!A:J,10,0)</f>
        <v>23</v>
      </c>
      <c r="J706" s="13"/>
      <c r="K706" s="13"/>
    </row>
    <row r="707" spans="1:11">
      <c r="A707" s="4" t="s">
        <v>1424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945</v>
      </c>
      <c r="H707" t="s">
        <v>657</v>
      </c>
      <c r="I707" s="3">
        <f>VLOOKUP(G707,Sheet2!A:J,10,0)</f>
        <v>23</v>
      </c>
      <c r="J707" s="13"/>
      <c r="K707" s="13"/>
    </row>
    <row r="708" spans="1:11">
      <c r="A708" s="3" t="s">
        <v>1425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945</v>
      </c>
      <c r="H708" t="s">
        <v>657</v>
      </c>
      <c r="I708" s="3">
        <f>VLOOKUP(G708,Sheet2!A:J,10,0)</f>
        <v>23</v>
      </c>
      <c r="J708" s="13"/>
      <c r="K708" s="13"/>
    </row>
    <row r="709" spans="1:11">
      <c r="A709" s="4" t="s">
        <v>1426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945</v>
      </c>
      <c r="H709" t="s">
        <v>657</v>
      </c>
      <c r="I709" s="3">
        <f>VLOOKUP(G709,Sheet2!A:J,10,0)</f>
        <v>23</v>
      </c>
      <c r="J709" s="13"/>
      <c r="K709" s="13"/>
    </row>
    <row r="710" spans="1:11">
      <c r="A710" s="3" t="s">
        <v>1427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945</v>
      </c>
      <c r="H710" t="s">
        <v>657</v>
      </c>
      <c r="I710" s="3">
        <f>VLOOKUP(G710,Sheet2!A:J,10,0)</f>
        <v>23</v>
      </c>
      <c r="J710" s="13"/>
      <c r="K710" s="13"/>
    </row>
    <row r="711" spans="1:11">
      <c r="A711" s="4" t="s">
        <v>1428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945</v>
      </c>
      <c r="H711" t="s">
        <v>657</v>
      </c>
      <c r="I711" s="3">
        <f>VLOOKUP(G711,Sheet2!A:J,10,0)</f>
        <v>23</v>
      </c>
      <c r="J711" s="13"/>
      <c r="K711" s="13"/>
    </row>
    <row r="712" spans="1:11">
      <c r="A712" s="3" t="s">
        <v>1429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945</v>
      </c>
      <c r="H712" t="s">
        <v>657</v>
      </c>
      <c r="I712" s="3">
        <f>VLOOKUP(G712,Sheet2!A:J,10,0)</f>
        <v>23</v>
      </c>
      <c r="J712" s="13"/>
      <c r="K712" s="13"/>
    </row>
    <row r="713" spans="1:11">
      <c r="A713" s="4" t="s">
        <v>1430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945</v>
      </c>
      <c r="H713" t="s">
        <v>657</v>
      </c>
      <c r="I713" s="3">
        <f>VLOOKUP(G713,Sheet2!A:J,10,0)</f>
        <v>23</v>
      </c>
      <c r="J713" s="13"/>
      <c r="K713" s="13"/>
    </row>
    <row r="714" spans="1:11">
      <c r="A714" s="3" t="s">
        <v>1431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945</v>
      </c>
      <c r="H714" t="s">
        <v>657</v>
      </c>
      <c r="I714" s="3">
        <f>VLOOKUP(G714,Sheet2!A:J,10,0)</f>
        <v>23</v>
      </c>
      <c r="J714" s="13"/>
      <c r="K714" s="13"/>
    </row>
    <row r="715" spans="1:11">
      <c r="A715" s="4" t="s">
        <v>1432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945</v>
      </c>
      <c r="H715" t="s">
        <v>657</v>
      </c>
      <c r="I715" s="3">
        <f>VLOOKUP(G715,Sheet2!A:J,10,0)</f>
        <v>23</v>
      </c>
      <c r="J715" s="13"/>
      <c r="K715" s="13"/>
    </row>
    <row r="716" spans="1:11">
      <c r="A716" s="3" t="s">
        <v>1433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945</v>
      </c>
      <c r="H716" t="s">
        <v>657</v>
      </c>
      <c r="I716" s="3">
        <f>VLOOKUP(G716,Sheet2!A:J,10,0)</f>
        <v>23</v>
      </c>
      <c r="J716" s="13"/>
      <c r="K716" s="13"/>
    </row>
    <row r="717" spans="1:11">
      <c r="A717" s="4" t="s">
        <v>1434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945</v>
      </c>
      <c r="H717" t="s">
        <v>657</v>
      </c>
      <c r="I717" s="3">
        <f>VLOOKUP(G717,Sheet2!A:J,10,0)</f>
        <v>23</v>
      </c>
      <c r="J717" s="13"/>
      <c r="K717" s="13"/>
    </row>
    <row r="718" spans="1:11">
      <c r="A718" s="3" t="s">
        <v>1435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945</v>
      </c>
      <c r="H718" t="s">
        <v>657</v>
      </c>
      <c r="I718" s="3">
        <f>VLOOKUP(G718,Sheet2!A:J,10,0)</f>
        <v>23</v>
      </c>
      <c r="J718" s="13"/>
      <c r="K718" s="13"/>
    </row>
    <row r="719" spans="1:11">
      <c r="A719" s="4" t="s">
        <v>1436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945</v>
      </c>
      <c r="H719" t="s">
        <v>657</v>
      </c>
      <c r="I719" s="3">
        <f>VLOOKUP(G719,Sheet2!A:J,10,0)</f>
        <v>23</v>
      </c>
      <c r="J719" s="13"/>
      <c r="K719" s="13"/>
    </row>
    <row r="720" spans="1:11">
      <c r="A720" s="3" t="s">
        <v>1437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945</v>
      </c>
      <c r="H720" t="s">
        <v>657</v>
      </c>
      <c r="I720" s="3">
        <f>VLOOKUP(G720,Sheet2!A:J,10,0)</f>
        <v>23</v>
      </c>
      <c r="J720" s="13"/>
      <c r="K720" s="13"/>
    </row>
    <row r="721" spans="1:11">
      <c r="A721" s="4" t="s">
        <v>1438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945</v>
      </c>
      <c r="H721" t="s">
        <v>657</v>
      </c>
      <c r="I721" s="3">
        <f>VLOOKUP(G721,Sheet2!A:J,10,0)</f>
        <v>23</v>
      </c>
      <c r="J721" s="13"/>
      <c r="K721" s="13"/>
    </row>
    <row r="722" spans="1:11">
      <c r="A722" s="3" t="s">
        <v>1439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945</v>
      </c>
      <c r="H722" t="s">
        <v>657</v>
      </c>
      <c r="I722" s="3">
        <f>VLOOKUP(G722,Sheet2!A:J,10,0)</f>
        <v>23</v>
      </c>
      <c r="J722" s="13"/>
      <c r="K722" s="13"/>
    </row>
    <row r="723" spans="1:11">
      <c r="A723" s="4" t="s">
        <v>1440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945</v>
      </c>
      <c r="H723" t="s">
        <v>657</v>
      </c>
      <c r="I723" s="3">
        <f>VLOOKUP(G723,Sheet2!A:J,10,0)</f>
        <v>23</v>
      </c>
      <c r="J723" s="13"/>
      <c r="K723" s="13"/>
    </row>
    <row r="724" spans="1:11">
      <c r="A724" s="3" t="s">
        <v>1441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945</v>
      </c>
      <c r="H724" t="s">
        <v>657</v>
      </c>
      <c r="I724" s="3">
        <f>VLOOKUP(G724,Sheet2!A:J,10,0)</f>
        <v>23</v>
      </c>
      <c r="J724" s="13"/>
      <c r="K724" s="13"/>
    </row>
    <row r="725" spans="1:11">
      <c r="A725" s="4" t="s">
        <v>1442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945</v>
      </c>
      <c r="H725" t="s">
        <v>657</v>
      </c>
      <c r="I725" s="3">
        <f>VLOOKUP(G725,Sheet2!A:J,10,0)</f>
        <v>23</v>
      </c>
      <c r="J725" s="13"/>
      <c r="K725" s="13"/>
    </row>
    <row r="726" spans="1:11">
      <c r="A726" s="3" t="s">
        <v>1443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945</v>
      </c>
      <c r="H726" t="s">
        <v>657</v>
      </c>
      <c r="I726" s="3">
        <f>VLOOKUP(G726,Sheet2!A:J,10,0)</f>
        <v>23</v>
      </c>
      <c r="J726" s="13"/>
      <c r="K726" s="13"/>
    </row>
    <row r="727" spans="1:11">
      <c r="A727" s="4" t="s">
        <v>1444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945</v>
      </c>
      <c r="H727" t="s">
        <v>657</v>
      </c>
      <c r="I727" s="3">
        <f>VLOOKUP(G727,Sheet2!A:J,10,0)</f>
        <v>23</v>
      </c>
      <c r="J727" s="13"/>
      <c r="K727" s="13"/>
    </row>
    <row r="728" spans="1:11">
      <c r="A728" s="3" t="s">
        <v>1445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945</v>
      </c>
      <c r="H728" t="s">
        <v>657</v>
      </c>
      <c r="I728" s="3">
        <f>VLOOKUP(G728,Sheet2!A:J,10,0)</f>
        <v>23</v>
      </c>
      <c r="J728" s="13"/>
      <c r="K728" s="13"/>
    </row>
    <row r="729" spans="1:11">
      <c r="A729" s="4" t="s">
        <v>1446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945</v>
      </c>
      <c r="H729" t="s">
        <v>657</v>
      </c>
      <c r="I729" s="3">
        <f>VLOOKUP(G729,Sheet2!A:J,10,0)</f>
        <v>23</v>
      </c>
      <c r="J729" s="13"/>
      <c r="K729" s="13"/>
    </row>
    <row r="730" spans="1:11">
      <c r="A730" s="3" t="s">
        <v>1447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945</v>
      </c>
      <c r="H730" t="s">
        <v>657</v>
      </c>
      <c r="I730" s="3">
        <f>VLOOKUP(G730,Sheet2!A:J,10,0)</f>
        <v>23</v>
      </c>
      <c r="J730" s="13"/>
      <c r="K730" s="13"/>
    </row>
    <row r="731" spans="1:11">
      <c r="A731" s="4" t="s">
        <v>1448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945</v>
      </c>
      <c r="H731" t="s">
        <v>657</v>
      </c>
      <c r="I731" s="3">
        <f>VLOOKUP(G731,Sheet2!A:J,10,0)</f>
        <v>23</v>
      </c>
      <c r="J731" s="13"/>
      <c r="K731" s="13"/>
    </row>
    <row r="732" spans="1:11">
      <c r="A732" s="3" t="s">
        <v>1449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945</v>
      </c>
      <c r="H732" t="s">
        <v>657</v>
      </c>
      <c r="I732" s="3">
        <f>VLOOKUP(G732,Sheet2!A:J,10,0)</f>
        <v>23</v>
      </c>
      <c r="J732" s="13"/>
      <c r="K732" s="13"/>
    </row>
    <row r="733" spans="1:11">
      <c r="A733" s="4" t="s">
        <v>1450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945</v>
      </c>
      <c r="H733" t="s">
        <v>657</v>
      </c>
      <c r="I733" s="3">
        <f>VLOOKUP(G733,Sheet2!A:J,10,0)</f>
        <v>23</v>
      </c>
      <c r="J733" s="13"/>
      <c r="K733" s="13"/>
    </row>
    <row r="734" spans="1:11">
      <c r="A734" s="3" t="s">
        <v>1451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945</v>
      </c>
      <c r="H734" t="s">
        <v>657</v>
      </c>
      <c r="I734" s="3">
        <f>VLOOKUP(G734,Sheet2!A:J,10,0)</f>
        <v>23</v>
      </c>
      <c r="J734" s="13"/>
      <c r="K734" s="13"/>
    </row>
    <row r="735" spans="1:11">
      <c r="A735" s="4" t="s">
        <v>1452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945</v>
      </c>
      <c r="H735" t="s">
        <v>657</v>
      </c>
      <c r="I735" s="3">
        <f>VLOOKUP(G735,Sheet2!A:J,10,0)</f>
        <v>23</v>
      </c>
      <c r="J735" s="13"/>
      <c r="K735" s="13"/>
    </row>
    <row r="736" spans="1:11">
      <c r="A736" s="3" t="s">
        <v>1453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945</v>
      </c>
      <c r="H736" t="s">
        <v>657</v>
      </c>
      <c r="I736" s="3">
        <f>VLOOKUP(G736,Sheet2!A:J,10,0)</f>
        <v>23</v>
      </c>
      <c r="J736" s="13"/>
      <c r="K736" s="13"/>
    </row>
    <row r="737" spans="1:11">
      <c r="A737" s="4" t="s">
        <v>1454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945</v>
      </c>
      <c r="H737" t="s">
        <v>657</v>
      </c>
      <c r="I737" s="3">
        <f>VLOOKUP(G737,Sheet2!A:J,10,0)</f>
        <v>23</v>
      </c>
      <c r="J737" s="13"/>
      <c r="K737" s="13"/>
    </row>
    <row r="738" spans="1:11">
      <c r="A738" s="3" t="s">
        <v>1455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945</v>
      </c>
      <c r="H738" t="s">
        <v>657</v>
      </c>
      <c r="I738" s="3">
        <f>VLOOKUP(G738,Sheet2!A:J,10,0)</f>
        <v>23</v>
      </c>
      <c r="J738" s="13"/>
      <c r="K738" s="13"/>
    </row>
    <row r="739" spans="1:11">
      <c r="A739" s="4" t="s">
        <v>1456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945</v>
      </c>
      <c r="H739" t="s">
        <v>657</v>
      </c>
      <c r="I739" s="3">
        <f>VLOOKUP(G739,Sheet2!A:J,10,0)</f>
        <v>23</v>
      </c>
      <c r="J739" s="13"/>
      <c r="K739" s="13"/>
    </row>
    <row r="740" spans="1:11">
      <c r="A740" s="3" t="s">
        <v>1457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945</v>
      </c>
      <c r="H740" t="s">
        <v>657</v>
      </c>
      <c r="I740" s="3">
        <f>VLOOKUP(G740,Sheet2!A:J,10,0)</f>
        <v>23</v>
      </c>
      <c r="J740" s="13"/>
      <c r="K740" s="13"/>
    </row>
    <row r="741" spans="1:11">
      <c r="A741" s="4" t="s">
        <v>1458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945</v>
      </c>
      <c r="H741" t="s">
        <v>657</v>
      </c>
      <c r="I741" s="3">
        <f>VLOOKUP(G741,Sheet2!A:J,10,0)</f>
        <v>23</v>
      </c>
      <c r="J741" s="13"/>
      <c r="K741" s="13"/>
    </row>
    <row r="742" spans="1:11">
      <c r="A742" s="3" t="s">
        <v>1459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945</v>
      </c>
      <c r="H742" t="s">
        <v>657</v>
      </c>
      <c r="I742" s="3">
        <f>VLOOKUP(G742,Sheet2!A:J,10,0)</f>
        <v>23</v>
      </c>
      <c r="J742" s="13"/>
      <c r="K742" s="13"/>
    </row>
    <row r="743" spans="1:11">
      <c r="A743" s="4" t="s">
        <v>1460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945</v>
      </c>
      <c r="H743" t="s">
        <v>657</v>
      </c>
      <c r="I743" s="3">
        <f>VLOOKUP(G743,Sheet2!A:J,10,0)</f>
        <v>23</v>
      </c>
      <c r="J743" s="13"/>
      <c r="K743" s="13"/>
    </row>
    <row r="744" spans="1:11">
      <c r="A744" s="3" t="s">
        <v>1461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945</v>
      </c>
      <c r="H744" t="s">
        <v>657</v>
      </c>
      <c r="I744" s="3">
        <f>VLOOKUP(G744,Sheet2!A:J,10,0)</f>
        <v>23</v>
      </c>
      <c r="J744" s="13"/>
      <c r="K744" s="13"/>
    </row>
    <row r="745" spans="1:11">
      <c r="A745" s="4" t="s">
        <v>1462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945</v>
      </c>
      <c r="H745" t="s">
        <v>657</v>
      </c>
      <c r="I745" s="3">
        <f>VLOOKUP(G745,Sheet2!A:J,10,0)</f>
        <v>23</v>
      </c>
      <c r="J745" s="13"/>
      <c r="K745" s="13"/>
    </row>
    <row r="746" spans="1:11">
      <c r="A746" s="3" t="s">
        <v>1463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945</v>
      </c>
      <c r="H746" t="s">
        <v>657</v>
      </c>
      <c r="I746" s="3">
        <f>VLOOKUP(G746,Sheet2!A:J,10,0)</f>
        <v>23</v>
      </c>
      <c r="J746" s="13"/>
      <c r="K746" s="13"/>
    </row>
    <row r="747" spans="1:11">
      <c r="A747" s="4" t="s">
        <v>1464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945</v>
      </c>
      <c r="H747" t="s">
        <v>657</v>
      </c>
      <c r="I747" s="3">
        <f>VLOOKUP(G747,Sheet2!A:J,10,0)</f>
        <v>23</v>
      </c>
      <c r="J747" s="13"/>
      <c r="K747" s="13"/>
    </row>
    <row r="748" spans="1:11">
      <c r="A748" s="3" t="s">
        <v>1465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945</v>
      </c>
      <c r="H748" t="s">
        <v>657</v>
      </c>
      <c r="I748" s="3">
        <f>VLOOKUP(G748,Sheet2!A:J,10,0)</f>
        <v>23</v>
      </c>
      <c r="J748" s="13"/>
      <c r="K748" s="13"/>
    </row>
    <row r="749" spans="1:11">
      <c r="A749" s="4" t="s">
        <v>1466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945</v>
      </c>
      <c r="H749" t="s">
        <v>657</v>
      </c>
      <c r="I749" s="3">
        <f>VLOOKUP(G749,Sheet2!A:J,10,0)</f>
        <v>23</v>
      </c>
      <c r="J749" s="13"/>
      <c r="K749" s="13"/>
    </row>
    <row r="750" spans="1:11">
      <c r="A750" s="3" t="s">
        <v>1467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945</v>
      </c>
      <c r="H750" t="s">
        <v>657</v>
      </c>
      <c r="I750" s="3">
        <f>VLOOKUP(G750,Sheet2!A:J,10,0)</f>
        <v>23</v>
      </c>
      <c r="J750" s="13"/>
      <c r="K750" s="13"/>
    </row>
    <row r="751" spans="1:11">
      <c r="A751" s="4" t="s">
        <v>1468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945</v>
      </c>
      <c r="H751" t="s">
        <v>657</v>
      </c>
      <c r="I751" s="3">
        <f>VLOOKUP(G751,Sheet2!A:J,10,0)</f>
        <v>23</v>
      </c>
      <c r="J751" s="13"/>
      <c r="K751" s="13"/>
    </row>
    <row r="752" spans="1:11">
      <c r="A752" s="3" t="s">
        <v>1469</v>
      </c>
      <c r="B752" s="1" t="s">
        <v>1657</v>
      </c>
      <c r="C752" s="1" t="s">
        <v>1658</v>
      </c>
      <c r="D752" s="3" t="s">
        <v>7</v>
      </c>
      <c r="E752" s="1" t="s">
        <v>14</v>
      </c>
      <c r="F752" s="5">
        <v>46191.287939814814</v>
      </c>
      <c r="G752" t="s">
        <v>944</v>
      </c>
      <c r="H752" t="s">
        <v>658</v>
      </c>
      <c r="I752" s="3">
        <f>VLOOKUP(G752,Sheet2!A:J,10,0)</f>
        <v>24</v>
      </c>
      <c r="J752" s="13"/>
      <c r="K752" s="13"/>
    </row>
    <row r="753" spans="1:11">
      <c r="A753" s="4" t="s">
        <v>1470</v>
      </c>
      <c r="B753" s="2" t="s">
        <v>1657</v>
      </c>
      <c r="C753" s="2" t="s">
        <v>1658</v>
      </c>
      <c r="D753" s="4" t="s">
        <v>7</v>
      </c>
      <c r="E753" s="2" t="s">
        <v>14</v>
      </c>
      <c r="F753" s="6">
        <v>46186.556319444448</v>
      </c>
      <c r="G753" t="s">
        <v>944</v>
      </c>
      <c r="H753" t="s">
        <v>658</v>
      </c>
      <c r="I753" s="3">
        <f>VLOOKUP(G753,Sheet2!A:J,10,0)</f>
        <v>24</v>
      </c>
      <c r="J753" s="13"/>
      <c r="K753" s="13"/>
    </row>
    <row r="754" spans="1:11">
      <c r="A754" s="3" t="s">
        <v>1471</v>
      </c>
      <c r="B754" s="1" t="s">
        <v>1657</v>
      </c>
      <c r="C754" s="1" t="s">
        <v>1658</v>
      </c>
      <c r="D754" s="3" t="s">
        <v>7</v>
      </c>
      <c r="E754" s="1" t="s">
        <v>14</v>
      </c>
      <c r="F754" s="5">
        <v>46186.55673611111</v>
      </c>
      <c r="G754" t="s">
        <v>944</v>
      </c>
      <c r="H754" t="s">
        <v>658</v>
      </c>
      <c r="I754" s="3">
        <f>VLOOKUP(G754,Sheet2!A:J,10,0)</f>
        <v>24</v>
      </c>
      <c r="J754" s="13"/>
      <c r="K754" s="13"/>
    </row>
    <row r="755" spans="1:11">
      <c r="A755" s="4" t="s">
        <v>1472</v>
      </c>
      <c r="B755" s="2" t="s">
        <v>648</v>
      </c>
      <c r="C755" s="2" t="s">
        <v>649</v>
      </c>
      <c r="D755" s="4" t="s">
        <v>7</v>
      </c>
      <c r="E755" s="2" t="s">
        <v>14</v>
      </c>
      <c r="F755" s="6">
        <v>46188.3981712963</v>
      </c>
      <c r="G755" t="s">
        <v>944</v>
      </c>
      <c r="H755" t="s">
        <v>658</v>
      </c>
      <c r="I755" s="3">
        <f>VLOOKUP(G755,Sheet2!A:J,10,0)</f>
        <v>24</v>
      </c>
      <c r="J755" s="13"/>
      <c r="K755" s="13"/>
    </row>
    <row r="756" spans="1:11">
      <c r="A756" s="3" t="s">
        <v>1473</v>
      </c>
      <c r="B756" s="1" t="s">
        <v>1657</v>
      </c>
      <c r="C756" s="1" t="s">
        <v>1658</v>
      </c>
      <c r="D756" s="3" t="s">
        <v>7</v>
      </c>
      <c r="E756" s="1" t="s">
        <v>14</v>
      </c>
      <c r="F756" s="5">
        <v>46188.321331018517</v>
      </c>
      <c r="G756" t="s">
        <v>944</v>
      </c>
      <c r="H756" t="s">
        <v>658</v>
      </c>
      <c r="I756" s="3">
        <f>VLOOKUP(G756,Sheet2!A:J,10,0)</f>
        <v>24</v>
      </c>
      <c r="J756" s="13"/>
      <c r="K756" s="13"/>
    </row>
    <row r="757" spans="1:11">
      <c r="A757" s="4" t="s">
        <v>1474</v>
      </c>
      <c r="B757" s="2" t="s">
        <v>1657</v>
      </c>
      <c r="C757" s="2" t="s">
        <v>1658</v>
      </c>
      <c r="D757" s="4" t="s">
        <v>7</v>
      </c>
      <c r="E757" s="2" t="s">
        <v>14</v>
      </c>
      <c r="F757" s="6">
        <v>46189.288182870368</v>
      </c>
      <c r="G757" t="s">
        <v>944</v>
      </c>
      <c r="H757" t="s">
        <v>658</v>
      </c>
      <c r="I757" s="3">
        <f>VLOOKUP(G757,Sheet2!A:J,10,0)</f>
        <v>24</v>
      </c>
      <c r="J757" s="13"/>
      <c r="K757" s="13"/>
    </row>
    <row r="758" spans="1:11">
      <c r="A758" s="3" t="s">
        <v>1475</v>
      </c>
      <c r="B758" s="1" t="s">
        <v>1657</v>
      </c>
      <c r="C758" s="1" t="s">
        <v>1658</v>
      </c>
      <c r="D758" s="3" t="s">
        <v>7</v>
      </c>
      <c r="E758" s="1" t="s">
        <v>14</v>
      </c>
      <c r="F758" s="5">
        <v>46188.336759259262</v>
      </c>
      <c r="G758" t="s">
        <v>944</v>
      </c>
      <c r="H758" t="s">
        <v>658</v>
      </c>
      <c r="I758" s="3">
        <f>VLOOKUP(G758,Sheet2!A:J,10,0)</f>
        <v>24</v>
      </c>
      <c r="J758" s="13"/>
      <c r="K758" s="13"/>
    </row>
    <row r="759" spans="1:11">
      <c r="A759" s="4" t="s">
        <v>1476</v>
      </c>
      <c r="B759" s="2" t="s">
        <v>1657</v>
      </c>
      <c r="C759" s="2" t="s">
        <v>1658</v>
      </c>
      <c r="D759" s="4" t="s">
        <v>7</v>
      </c>
      <c r="E759" s="2" t="s">
        <v>14</v>
      </c>
      <c r="F759" s="6">
        <v>46188.338368055556</v>
      </c>
      <c r="G759" t="s">
        <v>944</v>
      </c>
      <c r="H759" t="s">
        <v>658</v>
      </c>
      <c r="I759" s="3">
        <f>VLOOKUP(G759,Sheet2!A:J,10,0)</f>
        <v>24</v>
      </c>
      <c r="J759" s="13"/>
      <c r="K759" s="13"/>
    </row>
    <row r="760" spans="1:11">
      <c r="A760" s="3" t="s">
        <v>1477</v>
      </c>
      <c r="B760" s="1" t="s">
        <v>1657</v>
      </c>
      <c r="C760" s="1" t="s">
        <v>1658</v>
      </c>
      <c r="D760" s="3" t="s">
        <v>7</v>
      </c>
      <c r="E760" s="1" t="s">
        <v>14</v>
      </c>
      <c r="F760" s="5">
        <v>46188.340462962966</v>
      </c>
      <c r="G760" t="s">
        <v>944</v>
      </c>
      <c r="H760" t="s">
        <v>658</v>
      </c>
      <c r="I760" s="3">
        <f>VLOOKUP(G760,Sheet2!A:J,10,0)</f>
        <v>24</v>
      </c>
      <c r="J760" s="13"/>
      <c r="K760" s="13"/>
    </row>
    <row r="761" spans="1:11">
      <c r="A761" s="4" t="s">
        <v>1478</v>
      </c>
      <c r="B761" s="2" t="s">
        <v>1657</v>
      </c>
      <c r="C761" s="2" t="s">
        <v>1658</v>
      </c>
      <c r="D761" s="4" t="s">
        <v>7</v>
      </c>
      <c r="E761" s="2" t="s">
        <v>14</v>
      </c>
      <c r="F761" s="6">
        <v>46191.285752314812</v>
      </c>
      <c r="G761" t="s">
        <v>944</v>
      </c>
      <c r="H761" t="s">
        <v>658</v>
      </c>
      <c r="I761" s="3">
        <f>VLOOKUP(G761,Sheet2!A:J,10,0)</f>
        <v>24</v>
      </c>
      <c r="J761" s="13"/>
      <c r="K761" s="13"/>
    </row>
    <row r="762" spans="1:11">
      <c r="A762" s="3" t="s">
        <v>1479</v>
      </c>
      <c r="B762" s="1" t="s">
        <v>1657</v>
      </c>
      <c r="C762" s="1" t="s">
        <v>1658</v>
      </c>
      <c r="D762" s="3" t="s">
        <v>7</v>
      </c>
      <c r="E762" s="1" t="s">
        <v>14</v>
      </c>
      <c r="F762" s="5">
        <v>46188.826435185183</v>
      </c>
      <c r="G762" t="s">
        <v>944</v>
      </c>
      <c r="H762" t="s">
        <v>658</v>
      </c>
      <c r="I762" s="3">
        <f>VLOOKUP(G762,Sheet2!A:J,10,0)</f>
        <v>24</v>
      </c>
      <c r="J762" s="13"/>
      <c r="K762" s="13"/>
    </row>
    <row r="763" spans="1:11">
      <c r="A763" s="4" t="s">
        <v>1480</v>
      </c>
      <c r="B763" s="2" t="s">
        <v>1657</v>
      </c>
      <c r="C763" s="2" t="s">
        <v>1658</v>
      </c>
      <c r="D763" s="4" t="s">
        <v>7</v>
      </c>
      <c r="E763" s="2" t="s">
        <v>14</v>
      </c>
      <c r="F763" s="6">
        <v>46188.830046296294</v>
      </c>
      <c r="G763" t="s">
        <v>944</v>
      </c>
      <c r="H763" t="s">
        <v>658</v>
      </c>
      <c r="I763" s="3">
        <f>VLOOKUP(G763,Sheet2!A:J,10,0)</f>
        <v>24</v>
      </c>
      <c r="J763" s="13"/>
      <c r="K763" s="13"/>
    </row>
    <row r="764" spans="1:11">
      <c r="A764" s="3" t="s">
        <v>1481</v>
      </c>
      <c r="B764" s="1" t="s">
        <v>1657</v>
      </c>
      <c r="C764" s="1" t="s">
        <v>1658</v>
      </c>
      <c r="D764" s="3" t="s">
        <v>7</v>
      </c>
      <c r="E764" s="1" t="s">
        <v>14</v>
      </c>
      <c r="F764" s="5">
        <v>46188.828356481485</v>
      </c>
      <c r="G764" t="s">
        <v>944</v>
      </c>
      <c r="H764" t="s">
        <v>658</v>
      </c>
      <c r="I764" s="3">
        <f>VLOOKUP(G764,Sheet2!A:J,10,0)</f>
        <v>24</v>
      </c>
      <c r="J764" s="13"/>
      <c r="K764" s="13"/>
    </row>
    <row r="765" spans="1:11">
      <c r="A765" s="4" t="s">
        <v>1482</v>
      </c>
      <c r="B765" s="2" t="s">
        <v>1657</v>
      </c>
      <c r="C765" s="2" t="s">
        <v>1658</v>
      </c>
      <c r="D765" s="4" t="s">
        <v>7</v>
      </c>
      <c r="E765" s="2" t="s">
        <v>14</v>
      </c>
      <c r="F765" s="6">
        <v>46188.831793981481</v>
      </c>
      <c r="G765" t="s">
        <v>944</v>
      </c>
      <c r="H765" t="s">
        <v>658</v>
      </c>
      <c r="I765" s="3">
        <f>VLOOKUP(G765,Sheet2!A:J,10,0)</f>
        <v>24</v>
      </c>
      <c r="J765" s="13"/>
      <c r="K765" s="13"/>
    </row>
    <row r="766" spans="1:11">
      <c r="A766" s="3" t="s">
        <v>1483</v>
      </c>
      <c r="B766" s="1" t="s">
        <v>1657</v>
      </c>
      <c r="C766" s="1" t="s">
        <v>1658</v>
      </c>
      <c r="D766" s="3" t="s">
        <v>7</v>
      </c>
      <c r="E766" s="1" t="s">
        <v>14</v>
      </c>
      <c r="F766" s="5">
        <v>46188.862314814818</v>
      </c>
      <c r="G766" t="s">
        <v>944</v>
      </c>
      <c r="H766" t="s">
        <v>658</v>
      </c>
      <c r="I766" s="3">
        <f>VLOOKUP(G766,Sheet2!A:J,10,0)</f>
        <v>24</v>
      </c>
      <c r="J766" s="13"/>
      <c r="K766" s="13"/>
    </row>
    <row r="767" spans="1:11">
      <c r="A767" s="4" t="s">
        <v>1484</v>
      </c>
      <c r="B767" s="2" t="s">
        <v>1657</v>
      </c>
      <c r="C767" s="2" t="s">
        <v>1658</v>
      </c>
      <c r="D767" s="4" t="s">
        <v>7</v>
      </c>
      <c r="E767" s="2" t="s">
        <v>14</v>
      </c>
      <c r="F767" s="6">
        <v>46188.824374999997</v>
      </c>
      <c r="G767" t="s">
        <v>944</v>
      </c>
      <c r="H767" t="s">
        <v>658</v>
      </c>
      <c r="I767" s="3">
        <f>VLOOKUP(G767,Sheet2!A:J,10,0)</f>
        <v>24</v>
      </c>
      <c r="J767" s="13"/>
      <c r="K767" s="13"/>
    </row>
    <row r="768" spans="1:11">
      <c r="A768" s="3" t="s">
        <v>1485</v>
      </c>
      <c r="B768" s="1" t="s">
        <v>1657</v>
      </c>
      <c r="C768" s="1" t="s">
        <v>1658</v>
      </c>
      <c r="D768" s="3" t="s">
        <v>7</v>
      </c>
      <c r="E768" s="1" t="s">
        <v>14</v>
      </c>
      <c r="F768" s="5">
        <v>46188.86414351852</v>
      </c>
      <c r="G768" t="s">
        <v>944</v>
      </c>
      <c r="H768" t="s">
        <v>658</v>
      </c>
      <c r="I768" s="3">
        <f>VLOOKUP(G768,Sheet2!A:J,10,0)</f>
        <v>24</v>
      </c>
      <c r="J768" s="13"/>
      <c r="K768" s="13"/>
    </row>
    <row r="769" spans="1:11">
      <c r="A769" s="4" t="s">
        <v>1486</v>
      </c>
      <c r="B769" s="2" t="s">
        <v>1657</v>
      </c>
      <c r="C769" s="2" t="s">
        <v>1658</v>
      </c>
      <c r="D769" s="4" t="s">
        <v>7</v>
      </c>
      <c r="E769" s="2" t="s">
        <v>14</v>
      </c>
      <c r="F769" s="6">
        <v>46188.868530092594</v>
      </c>
      <c r="G769" t="s">
        <v>944</v>
      </c>
      <c r="H769" t="s">
        <v>658</v>
      </c>
      <c r="I769" s="3">
        <f>VLOOKUP(G769,Sheet2!A:J,10,0)</f>
        <v>24</v>
      </c>
      <c r="J769" s="13"/>
      <c r="K769" s="13"/>
    </row>
    <row r="770" spans="1:11">
      <c r="A770" s="3" t="s">
        <v>1487</v>
      </c>
      <c r="B770" s="1" t="s">
        <v>1657</v>
      </c>
      <c r="C770" s="1" t="s">
        <v>1658</v>
      </c>
      <c r="D770" s="3" t="s">
        <v>7</v>
      </c>
      <c r="E770" s="1" t="s">
        <v>14</v>
      </c>
      <c r="F770" s="5">
        <v>46188.871504629627</v>
      </c>
      <c r="G770" t="s">
        <v>944</v>
      </c>
      <c r="H770" t="s">
        <v>658</v>
      </c>
      <c r="I770" s="3">
        <f>VLOOKUP(G770,Sheet2!A:J,10,0)</f>
        <v>24</v>
      </c>
      <c r="J770" s="13"/>
      <c r="K770" s="13"/>
    </row>
    <row r="771" spans="1:11">
      <c r="A771" s="4" t="s">
        <v>1488</v>
      </c>
      <c r="B771" s="2" t="s">
        <v>1657</v>
      </c>
      <c r="C771" s="2" t="s">
        <v>1658</v>
      </c>
      <c r="D771" s="4" t="s">
        <v>7</v>
      </c>
      <c r="E771" s="2" t="s">
        <v>14</v>
      </c>
      <c r="F771" s="6">
        <v>46190.493379629632</v>
      </c>
      <c r="G771" t="s">
        <v>944</v>
      </c>
      <c r="H771" t="s">
        <v>658</v>
      </c>
      <c r="I771" s="3">
        <f>VLOOKUP(G771,Sheet2!A:J,10,0)</f>
        <v>24</v>
      </c>
      <c r="J771" s="13"/>
      <c r="K771" s="13"/>
    </row>
    <row r="772" spans="1:11">
      <c r="A772" s="3" t="s">
        <v>1489</v>
      </c>
      <c r="B772" s="1" t="s">
        <v>1657</v>
      </c>
      <c r="C772" s="1" t="s">
        <v>1658</v>
      </c>
      <c r="D772" s="3" t="s">
        <v>7</v>
      </c>
      <c r="E772" s="1" t="s">
        <v>14</v>
      </c>
      <c r="F772" s="5">
        <v>46189.332928240743</v>
      </c>
      <c r="G772" t="s">
        <v>944</v>
      </c>
      <c r="H772" t="s">
        <v>658</v>
      </c>
      <c r="I772" s="3">
        <f>VLOOKUP(G772,Sheet2!A:J,10,0)</f>
        <v>24</v>
      </c>
      <c r="J772" s="13"/>
      <c r="K772" s="13"/>
    </row>
    <row r="773" spans="1:11">
      <c r="A773" s="4" t="s">
        <v>1490</v>
      </c>
      <c r="B773" s="2" t="s">
        <v>1657</v>
      </c>
      <c r="C773" s="2" t="s">
        <v>1658</v>
      </c>
      <c r="D773" s="4" t="s">
        <v>7</v>
      </c>
      <c r="E773" s="2" t="s">
        <v>14</v>
      </c>
      <c r="F773" s="6">
        <v>46188.940983796296</v>
      </c>
      <c r="G773" t="s">
        <v>944</v>
      </c>
      <c r="H773" t="s">
        <v>658</v>
      </c>
      <c r="I773" s="3">
        <f>VLOOKUP(G773,Sheet2!A:J,10,0)</f>
        <v>24</v>
      </c>
      <c r="J773" s="13"/>
      <c r="K773" s="13"/>
    </row>
    <row r="774" spans="1:11">
      <c r="A774" s="3" t="s">
        <v>1491</v>
      </c>
      <c r="B774" s="1" t="s">
        <v>1657</v>
      </c>
      <c r="C774" s="1" t="s">
        <v>1658</v>
      </c>
      <c r="D774" s="3" t="s">
        <v>7</v>
      </c>
      <c r="E774" s="1" t="s">
        <v>14</v>
      </c>
      <c r="F774" s="5">
        <v>46188.943136574075</v>
      </c>
      <c r="G774" t="s">
        <v>944</v>
      </c>
      <c r="H774" t="s">
        <v>658</v>
      </c>
      <c r="I774" s="3">
        <f>VLOOKUP(G774,Sheet2!A:J,10,0)</f>
        <v>24</v>
      </c>
      <c r="J774" s="13"/>
      <c r="K774" s="13"/>
    </row>
    <row r="775" spans="1:11">
      <c r="A775" s="4" t="s">
        <v>1492</v>
      </c>
      <c r="B775" s="2" t="s">
        <v>1657</v>
      </c>
      <c r="C775" s="2" t="s">
        <v>1658</v>
      </c>
      <c r="D775" s="4" t="s">
        <v>7</v>
      </c>
      <c r="E775" s="2" t="s">
        <v>14</v>
      </c>
      <c r="F775" s="6">
        <v>46188.944722222222</v>
      </c>
      <c r="G775" t="s">
        <v>944</v>
      </c>
      <c r="H775" t="s">
        <v>658</v>
      </c>
      <c r="I775" s="3">
        <f>VLOOKUP(G775,Sheet2!A:J,10,0)</f>
        <v>24</v>
      </c>
      <c r="J775" s="13"/>
      <c r="K775" s="13"/>
    </row>
    <row r="776" spans="1:11">
      <c r="A776" s="3" t="s">
        <v>1493</v>
      </c>
      <c r="B776" s="1" t="s">
        <v>1657</v>
      </c>
      <c r="C776" s="1" t="s">
        <v>1658</v>
      </c>
      <c r="D776" s="3" t="s">
        <v>7</v>
      </c>
      <c r="E776" s="1" t="s">
        <v>14</v>
      </c>
      <c r="F776" s="5">
        <v>46188.93105324074</v>
      </c>
      <c r="G776" t="s">
        <v>944</v>
      </c>
      <c r="H776" t="s">
        <v>658</v>
      </c>
      <c r="I776" s="3">
        <f>VLOOKUP(G776,Sheet2!A:J,10,0)</f>
        <v>24</v>
      </c>
      <c r="J776" s="13"/>
      <c r="K776" s="13"/>
    </row>
    <row r="777" spans="1:11">
      <c r="A777" s="4" t="s">
        <v>1494</v>
      </c>
      <c r="B777" s="2" t="s">
        <v>1657</v>
      </c>
      <c r="C777" s="2" t="s">
        <v>1658</v>
      </c>
      <c r="D777" s="4" t="s">
        <v>7</v>
      </c>
      <c r="E777" s="2" t="s">
        <v>14</v>
      </c>
      <c r="F777" s="6">
        <v>46188.935497685183</v>
      </c>
      <c r="G777" t="s">
        <v>944</v>
      </c>
      <c r="H777" t="s">
        <v>658</v>
      </c>
      <c r="I777" s="3">
        <f>VLOOKUP(G777,Sheet2!A:J,10,0)</f>
        <v>24</v>
      </c>
      <c r="J777" s="13"/>
      <c r="K777" s="13"/>
    </row>
    <row r="778" spans="1:11">
      <c r="A778" s="3" t="s">
        <v>1495</v>
      </c>
      <c r="B778" s="1" t="s">
        <v>1657</v>
      </c>
      <c r="C778" s="1" t="s">
        <v>1658</v>
      </c>
      <c r="D778" s="3" t="s">
        <v>7</v>
      </c>
      <c r="E778" s="1" t="s">
        <v>14</v>
      </c>
      <c r="F778" s="5">
        <v>46188.939560185187</v>
      </c>
      <c r="G778" t="s">
        <v>944</v>
      </c>
      <c r="H778" t="s">
        <v>658</v>
      </c>
      <c r="I778" s="3">
        <f>VLOOKUP(G778,Sheet2!A:J,10,0)</f>
        <v>24</v>
      </c>
      <c r="J778" s="13"/>
      <c r="K778" s="13"/>
    </row>
    <row r="779" spans="1:11">
      <c r="A779" s="4" t="s">
        <v>1496</v>
      </c>
      <c r="B779" s="2" t="s">
        <v>1657</v>
      </c>
      <c r="C779" s="2" t="s">
        <v>1658</v>
      </c>
      <c r="D779" s="4" t="s">
        <v>7</v>
      </c>
      <c r="E779" s="2" t="s">
        <v>14</v>
      </c>
      <c r="F779" s="6">
        <v>46188.925891203704</v>
      </c>
      <c r="G779" t="s">
        <v>944</v>
      </c>
      <c r="H779" t="s">
        <v>658</v>
      </c>
      <c r="I779" s="3">
        <f>VLOOKUP(G779,Sheet2!A:J,10,0)</f>
        <v>24</v>
      </c>
      <c r="J779" s="13"/>
      <c r="K779" s="13"/>
    </row>
    <row r="780" spans="1:11">
      <c r="A780" s="3" t="s">
        <v>1497</v>
      </c>
      <c r="B780" s="1" t="s">
        <v>1657</v>
      </c>
      <c r="C780" s="1" t="s">
        <v>1658</v>
      </c>
      <c r="D780" s="3" t="s">
        <v>7</v>
      </c>
      <c r="E780" s="1" t="s">
        <v>14</v>
      </c>
      <c r="F780" s="5">
        <v>46188.927499999998</v>
      </c>
      <c r="G780" t="s">
        <v>944</v>
      </c>
      <c r="H780" t="s">
        <v>658</v>
      </c>
      <c r="I780" s="3">
        <f>VLOOKUP(G780,Sheet2!A:J,10,0)</f>
        <v>24</v>
      </c>
      <c r="J780" s="13"/>
      <c r="K780" s="13"/>
    </row>
    <row r="781" spans="1:11">
      <c r="A781" s="4" t="s">
        <v>1498</v>
      </c>
      <c r="B781" s="2" t="s">
        <v>1657</v>
      </c>
      <c r="C781" s="2" t="s">
        <v>1658</v>
      </c>
      <c r="D781" s="4" t="s">
        <v>7</v>
      </c>
      <c r="E781" s="2" t="s">
        <v>14</v>
      </c>
      <c r="F781" s="6">
        <v>46188.899189814816</v>
      </c>
      <c r="G781" t="s">
        <v>944</v>
      </c>
      <c r="H781" t="s">
        <v>658</v>
      </c>
      <c r="I781" s="3">
        <f>VLOOKUP(G781,Sheet2!A:J,10,0)</f>
        <v>24</v>
      </c>
      <c r="J781" s="13"/>
      <c r="K781" s="13"/>
    </row>
    <row r="782" spans="1:11">
      <c r="A782" s="3" t="s">
        <v>1499</v>
      </c>
      <c r="B782" s="1" t="s">
        <v>1657</v>
      </c>
      <c r="C782" s="1" t="s">
        <v>1658</v>
      </c>
      <c r="D782" s="3" t="s">
        <v>7</v>
      </c>
      <c r="E782" s="1" t="s">
        <v>14</v>
      </c>
      <c r="F782" s="5">
        <v>46191.238159722219</v>
      </c>
      <c r="G782" t="s">
        <v>944</v>
      </c>
      <c r="H782" t="s">
        <v>658</v>
      </c>
      <c r="I782" s="3">
        <f>VLOOKUP(G782,Sheet2!A:J,10,0)</f>
        <v>24</v>
      </c>
      <c r="J782" s="13"/>
      <c r="K782" s="13"/>
    </row>
    <row r="783" spans="1:11">
      <c r="A783" s="4" t="s">
        <v>1500</v>
      </c>
      <c r="B783" s="2" t="s">
        <v>1657</v>
      </c>
      <c r="C783" s="2" t="s">
        <v>1658</v>
      </c>
      <c r="D783" s="4" t="s">
        <v>7</v>
      </c>
      <c r="E783" s="2" t="s">
        <v>14</v>
      </c>
      <c r="F783" s="6">
        <v>46188.349351851852</v>
      </c>
      <c r="G783" t="s">
        <v>944</v>
      </c>
      <c r="H783" t="s">
        <v>658</v>
      </c>
      <c r="I783" s="3">
        <f>VLOOKUP(G783,Sheet2!A:J,10,0)</f>
        <v>24</v>
      </c>
      <c r="J783" s="13"/>
      <c r="K783" s="13"/>
    </row>
    <row r="784" spans="1:11">
      <c r="A784" s="3" t="s">
        <v>1501</v>
      </c>
      <c r="B784" s="1" t="s">
        <v>1657</v>
      </c>
      <c r="C784" s="1" t="s">
        <v>1658</v>
      </c>
      <c r="D784" s="3" t="s">
        <v>7</v>
      </c>
      <c r="E784" s="1" t="s">
        <v>14</v>
      </c>
      <c r="F784" s="5">
        <v>46188.374386574076</v>
      </c>
      <c r="G784" t="s">
        <v>944</v>
      </c>
      <c r="H784" t="s">
        <v>658</v>
      </c>
      <c r="I784" s="3">
        <f>VLOOKUP(G784,Sheet2!A:J,10,0)</f>
        <v>24</v>
      </c>
      <c r="J784" s="13"/>
      <c r="K784" s="13"/>
    </row>
    <row r="785" spans="1:11">
      <c r="A785" s="4" t="s">
        <v>1502</v>
      </c>
      <c r="B785" s="2" t="s">
        <v>1657</v>
      </c>
      <c r="C785" s="2" t="s">
        <v>1658</v>
      </c>
      <c r="D785" s="4" t="s">
        <v>7</v>
      </c>
      <c r="E785" s="2" t="s">
        <v>14</v>
      </c>
      <c r="F785" s="6">
        <v>46191.312083333331</v>
      </c>
      <c r="G785" t="s">
        <v>944</v>
      </c>
      <c r="H785" t="s">
        <v>658</v>
      </c>
      <c r="I785" s="3">
        <f>VLOOKUP(G785,Sheet2!A:J,10,0)</f>
        <v>24</v>
      </c>
      <c r="J785" s="13"/>
      <c r="K785" s="13"/>
    </row>
    <row r="786" spans="1:11">
      <c r="A786" s="3" t="s">
        <v>1503</v>
      </c>
      <c r="B786" s="1" t="s">
        <v>1657</v>
      </c>
      <c r="C786" s="1" t="s">
        <v>1658</v>
      </c>
      <c r="D786" s="3" t="s">
        <v>7</v>
      </c>
      <c r="E786" s="1" t="s">
        <v>14</v>
      </c>
      <c r="F786" s="5">
        <v>46188.388749999998</v>
      </c>
      <c r="G786" t="s">
        <v>944</v>
      </c>
      <c r="H786" t="s">
        <v>658</v>
      </c>
      <c r="I786" s="3">
        <f>VLOOKUP(G786,Sheet2!A:J,10,0)</f>
        <v>24</v>
      </c>
      <c r="J786" s="13"/>
      <c r="K786" s="13"/>
    </row>
    <row r="787" spans="1:11">
      <c r="A787" s="4" t="s">
        <v>1504</v>
      </c>
      <c r="B787" s="2" t="s">
        <v>1657</v>
      </c>
      <c r="C787" s="2" t="s">
        <v>1658</v>
      </c>
      <c r="D787" s="4" t="s">
        <v>7</v>
      </c>
      <c r="E787" s="2" t="s">
        <v>14</v>
      </c>
      <c r="F787" s="6">
        <v>46188.392488425925</v>
      </c>
      <c r="G787" t="s">
        <v>944</v>
      </c>
      <c r="H787" t="s">
        <v>658</v>
      </c>
      <c r="I787" s="3">
        <f>VLOOKUP(G787,Sheet2!A:J,10,0)</f>
        <v>24</v>
      </c>
      <c r="J787" s="13"/>
      <c r="K787" s="13"/>
    </row>
    <row r="788" spans="1:11">
      <c r="A788" s="3" t="s">
        <v>1505</v>
      </c>
      <c r="B788" s="1" t="s">
        <v>1657</v>
      </c>
      <c r="C788" s="1" t="s">
        <v>1658</v>
      </c>
      <c r="D788" s="3" t="s">
        <v>7</v>
      </c>
      <c r="E788" s="1" t="s">
        <v>14</v>
      </c>
      <c r="F788" s="5">
        <v>46188.39570601852</v>
      </c>
      <c r="G788" t="s">
        <v>944</v>
      </c>
      <c r="H788" t="s">
        <v>658</v>
      </c>
      <c r="I788" s="3">
        <f>VLOOKUP(G788,Sheet2!A:J,10,0)</f>
        <v>24</v>
      </c>
      <c r="J788" s="13"/>
      <c r="K788" s="13"/>
    </row>
    <row r="789" spans="1:11">
      <c r="A789" s="4" t="s">
        <v>1506</v>
      </c>
      <c r="B789" s="2" t="s">
        <v>1657</v>
      </c>
      <c r="C789" s="2" t="s">
        <v>1658</v>
      </c>
      <c r="D789" s="4" t="s">
        <v>7</v>
      </c>
      <c r="E789" s="2" t="s">
        <v>14</v>
      </c>
      <c r="F789" s="6">
        <v>46188.394074074073</v>
      </c>
      <c r="G789" t="s">
        <v>944</v>
      </c>
      <c r="H789" t="s">
        <v>658</v>
      </c>
      <c r="I789" s="3">
        <f>VLOOKUP(G789,Sheet2!A:J,10,0)</f>
        <v>24</v>
      </c>
      <c r="J789" s="13"/>
      <c r="K789" s="13"/>
    </row>
    <row r="790" spans="1:11">
      <c r="A790" s="3" t="s">
        <v>1507</v>
      </c>
      <c r="B790" s="1" t="s">
        <v>1657</v>
      </c>
      <c r="C790" s="1" t="s">
        <v>1658</v>
      </c>
      <c r="D790" s="3" t="s">
        <v>7</v>
      </c>
      <c r="E790" s="1" t="s">
        <v>14</v>
      </c>
      <c r="F790" s="5">
        <v>46188.401990740742</v>
      </c>
      <c r="G790" t="s">
        <v>944</v>
      </c>
      <c r="H790" t="s">
        <v>658</v>
      </c>
      <c r="I790" s="3">
        <f>VLOOKUP(G790,Sheet2!A:J,10,0)</f>
        <v>24</v>
      </c>
      <c r="J790" s="13"/>
      <c r="K790" s="13"/>
    </row>
    <row r="791" spans="1:11">
      <c r="A791" s="4" t="s">
        <v>1508</v>
      </c>
      <c r="B791" s="2" t="s">
        <v>1657</v>
      </c>
      <c r="C791" s="2" t="s">
        <v>1658</v>
      </c>
      <c r="D791" s="4" t="s">
        <v>7</v>
      </c>
      <c r="E791" s="2" t="s">
        <v>14</v>
      </c>
      <c r="F791" s="6">
        <v>46188.406284722223</v>
      </c>
      <c r="G791" t="s">
        <v>944</v>
      </c>
      <c r="H791" t="s">
        <v>658</v>
      </c>
      <c r="I791" s="3">
        <f>VLOOKUP(G791,Sheet2!A:J,10,0)</f>
        <v>24</v>
      </c>
      <c r="J791" s="13"/>
      <c r="K791" s="13"/>
    </row>
    <row r="792" spans="1:11">
      <c r="A792" s="3" t="s">
        <v>1509</v>
      </c>
      <c r="B792" s="1" t="s">
        <v>1657</v>
      </c>
      <c r="C792" s="1" t="s">
        <v>1658</v>
      </c>
      <c r="D792" s="3" t="s">
        <v>7</v>
      </c>
      <c r="E792" s="1" t="s">
        <v>14</v>
      </c>
      <c r="F792" s="5">
        <v>46188.409328703703</v>
      </c>
      <c r="G792" t="s">
        <v>944</v>
      </c>
      <c r="H792" t="s">
        <v>658</v>
      </c>
      <c r="I792" s="3">
        <f>VLOOKUP(G792,Sheet2!A:J,10,0)</f>
        <v>24</v>
      </c>
      <c r="J792" s="13"/>
      <c r="K792" s="13"/>
    </row>
    <row r="793" spans="1:11">
      <c r="A793" s="4" t="s">
        <v>1510</v>
      </c>
      <c r="B793" s="2" t="s">
        <v>1657</v>
      </c>
      <c r="C793" s="2" t="s">
        <v>1658</v>
      </c>
      <c r="D793" s="4" t="s">
        <v>7</v>
      </c>
      <c r="E793" s="2" t="s">
        <v>14</v>
      </c>
      <c r="F793" s="6">
        <v>46188.552662037036</v>
      </c>
      <c r="G793" t="s">
        <v>944</v>
      </c>
      <c r="H793" t="s">
        <v>658</v>
      </c>
      <c r="I793" s="3">
        <f>VLOOKUP(G793,Sheet2!A:J,10,0)</f>
        <v>24</v>
      </c>
      <c r="J793" s="13"/>
      <c r="K793" s="13"/>
    </row>
    <row r="794" spans="1:11">
      <c r="A794" s="3" t="s">
        <v>1511</v>
      </c>
      <c r="B794" s="1" t="s">
        <v>1657</v>
      </c>
      <c r="C794" s="1" t="s">
        <v>1658</v>
      </c>
      <c r="D794" s="3" t="s">
        <v>7</v>
      </c>
      <c r="E794" s="1" t="s">
        <v>14</v>
      </c>
      <c r="F794" s="5">
        <v>46188.557152777779</v>
      </c>
      <c r="G794" t="s">
        <v>944</v>
      </c>
      <c r="H794" t="s">
        <v>658</v>
      </c>
      <c r="I794" s="3">
        <f>VLOOKUP(G794,Sheet2!A:J,10,0)</f>
        <v>24</v>
      </c>
      <c r="J794" s="13"/>
      <c r="K794" s="13"/>
    </row>
    <row r="795" spans="1:11">
      <c r="A795" s="4" t="s">
        <v>1512</v>
      </c>
      <c r="B795" s="2" t="s">
        <v>1657</v>
      </c>
      <c r="C795" s="2" t="s">
        <v>1658</v>
      </c>
      <c r="D795" s="4" t="s">
        <v>7</v>
      </c>
      <c r="E795" s="2" t="s">
        <v>14</v>
      </c>
      <c r="F795" s="6">
        <v>46188.563240740739</v>
      </c>
      <c r="G795" t="s">
        <v>944</v>
      </c>
      <c r="H795" t="s">
        <v>658</v>
      </c>
      <c r="I795" s="3">
        <f>VLOOKUP(G795,Sheet2!A:J,10,0)</f>
        <v>24</v>
      </c>
      <c r="J795" s="13"/>
      <c r="K795" s="13"/>
    </row>
    <row r="796" spans="1:11">
      <c r="A796" s="3" t="s">
        <v>1513</v>
      </c>
      <c r="B796" s="1" t="s">
        <v>1657</v>
      </c>
      <c r="C796" s="1" t="s">
        <v>1658</v>
      </c>
      <c r="D796" s="3" t="s">
        <v>7</v>
      </c>
      <c r="E796" s="1" t="s">
        <v>14</v>
      </c>
      <c r="F796" s="5">
        <v>46188.566018518519</v>
      </c>
      <c r="G796" t="s">
        <v>944</v>
      </c>
      <c r="H796" t="s">
        <v>658</v>
      </c>
      <c r="I796" s="3">
        <f>VLOOKUP(G796,Sheet2!A:J,10,0)</f>
        <v>24</v>
      </c>
      <c r="J796" s="13"/>
      <c r="K796" s="13"/>
    </row>
    <row r="797" spans="1:11">
      <c r="A797" s="4" t="s">
        <v>1514</v>
      </c>
      <c r="B797" s="2" t="s">
        <v>1657</v>
      </c>
      <c r="C797" s="2" t="s">
        <v>1658</v>
      </c>
      <c r="D797" s="4" t="s">
        <v>7</v>
      </c>
      <c r="E797" s="2" t="s">
        <v>14</v>
      </c>
      <c r="F797" s="6">
        <v>46188.568159722221</v>
      </c>
      <c r="G797" t="s">
        <v>944</v>
      </c>
      <c r="H797" t="s">
        <v>658</v>
      </c>
      <c r="I797" s="3">
        <f>VLOOKUP(G797,Sheet2!A:J,10,0)</f>
        <v>24</v>
      </c>
      <c r="J797" s="13"/>
      <c r="K797" s="13"/>
    </row>
    <row r="798" spans="1:11">
      <c r="A798" s="3" t="s">
        <v>1515</v>
      </c>
      <c r="B798" s="1" t="s">
        <v>1657</v>
      </c>
      <c r="C798" s="1" t="s">
        <v>1658</v>
      </c>
      <c r="D798" s="3" t="s">
        <v>7</v>
      </c>
      <c r="E798" s="1" t="s">
        <v>14</v>
      </c>
      <c r="F798" s="5">
        <v>46188.575069444443</v>
      </c>
      <c r="G798" t="s">
        <v>944</v>
      </c>
      <c r="H798" t="s">
        <v>658</v>
      </c>
      <c r="I798" s="3">
        <f>VLOOKUP(G798,Sheet2!A:J,10,0)</f>
        <v>24</v>
      </c>
      <c r="J798" s="13"/>
      <c r="K798" s="13"/>
    </row>
    <row r="799" spans="1:11">
      <c r="A799" s="4" t="s">
        <v>1516</v>
      </c>
      <c r="B799" s="2" t="s">
        <v>1657</v>
      </c>
      <c r="C799" s="2" t="s">
        <v>1658</v>
      </c>
      <c r="D799" s="4" t="s">
        <v>7</v>
      </c>
      <c r="E799" s="2" t="s">
        <v>14</v>
      </c>
      <c r="F799" s="6">
        <v>46188.589780092596</v>
      </c>
      <c r="G799" t="s">
        <v>944</v>
      </c>
      <c r="H799" t="s">
        <v>658</v>
      </c>
      <c r="I799" s="3">
        <f>VLOOKUP(G799,Sheet2!A:J,10,0)</f>
        <v>24</v>
      </c>
      <c r="J799" s="13"/>
      <c r="K799" s="13"/>
    </row>
    <row r="800" spans="1:11">
      <c r="A800" s="3" t="s">
        <v>1517</v>
      </c>
      <c r="B800" s="1" t="s">
        <v>1657</v>
      </c>
      <c r="C800" s="1" t="s">
        <v>1658</v>
      </c>
      <c r="D800" s="3" t="s">
        <v>7</v>
      </c>
      <c r="E800" s="1" t="s">
        <v>14</v>
      </c>
      <c r="F800" s="5">
        <v>46188.589837962965</v>
      </c>
      <c r="G800" t="s">
        <v>944</v>
      </c>
      <c r="H800" t="s">
        <v>658</v>
      </c>
      <c r="I800" s="3">
        <f>VLOOKUP(G800,Sheet2!A:J,10,0)</f>
        <v>24</v>
      </c>
      <c r="J800" s="13"/>
      <c r="K800" s="13"/>
    </row>
    <row r="801" spans="1:11">
      <c r="A801" s="4" t="s">
        <v>1518</v>
      </c>
      <c r="B801" s="2" t="s">
        <v>1657</v>
      </c>
      <c r="C801" s="2" t="s">
        <v>1658</v>
      </c>
      <c r="D801" s="4" t="s">
        <v>7</v>
      </c>
      <c r="E801" s="2" t="s">
        <v>14</v>
      </c>
      <c r="F801" s="6">
        <v>46188.59</v>
      </c>
      <c r="G801" t="s">
        <v>944</v>
      </c>
      <c r="H801" t="s">
        <v>658</v>
      </c>
      <c r="I801" s="3">
        <f>VLOOKUP(G801,Sheet2!A:J,10,0)</f>
        <v>24</v>
      </c>
      <c r="J801" s="13"/>
      <c r="K801" s="13"/>
    </row>
    <row r="802" spans="1:11">
      <c r="A802" s="3" t="s">
        <v>1519</v>
      </c>
      <c r="B802" s="1" t="s">
        <v>1657</v>
      </c>
      <c r="C802" s="1" t="s">
        <v>1658</v>
      </c>
      <c r="D802" s="3" t="s">
        <v>7</v>
      </c>
      <c r="E802" s="1" t="s">
        <v>14</v>
      </c>
      <c r="F802" s="5">
        <v>46188.59034722222</v>
      </c>
      <c r="G802" t="s">
        <v>944</v>
      </c>
      <c r="H802" t="s">
        <v>658</v>
      </c>
      <c r="I802" s="3">
        <f>VLOOKUP(G802,Sheet2!A:J,10,0)</f>
        <v>24</v>
      </c>
      <c r="J802" s="13"/>
      <c r="K802" s="13"/>
    </row>
    <row r="803" spans="1:11">
      <c r="A803" s="4" t="s">
        <v>1520</v>
      </c>
      <c r="B803" s="2" t="s">
        <v>1657</v>
      </c>
      <c r="C803" s="2" t="s">
        <v>1658</v>
      </c>
      <c r="D803" s="4" t="s">
        <v>7</v>
      </c>
      <c r="E803" s="2" t="s">
        <v>14</v>
      </c>
      <c r="F803" s="6">
        <v>46188.487141203703</v>
      </c>
      <c r="G803" t="s">
        <v>944</v>
      </c>
      <c r="H803" t="s">
        <v>658</v>
      </c>
      <c r="I803" s="3">
        <f>VLOOKUP(G803,Sheet2!A:J,10,0)</f>
        <v>24</v>
      </c>
      <c r="J803" s="13"/>
      <c r="K803" s="13"/>
    </row>
    <row r="804" spans="1:11">
      <c r="A804" s="3" t="s">
        <v>1521</v>
      </c>
      <c r="B804" s="1" t="s">
        <v>1657</v>
      </c>
      <c r="C804" s="1" t="s">
        <v>1658</v>
      </c>
      <c r="D804" s="3" t="s">
        <v>7</v>
      </c>
      <c r="E804" s="1" t="s">
        <v>14</v>
      </c>
      <c r="F804" s="5">
        <v>46188.489131944443</v>
      </c>
      <c r="G804" t="s">
        <v>944</v>
      </c>
      <c r="H804" t="s">
        <v>658</v>
      </c>
      <c r="I804" s="3">
        <f>VLOOKUP(G804,Sheet2!A:J,10,0)</f>
        <v>24</v>
      </c>
      <c r="J804" s="13"/>
      <c r="K804" s="13"/>
    </row>
    <row r="805" spans="1:11">
      <c r="A805" s="4" t="s">
        <v>1522</v>
      </c>
      <c r="B805" s="2" t="s">
        <v>1657</v>
      </c>
      <c r="C805" s="2" t="s">
        <v>1658</v>
      </c>
      <c r="D805" s="4" t="s">
        <v>7</v>
      </c>
      <c r="E805" s="2" t="s">
        <v>14</v>
      </c>
      <c r="F805" s="6">
        <v>46188.491585648146</v>
      </c>
      <c r="G805" t="s">
        <v>944</v>
      </c>
      <c r="H805" t="s">
        <v>658</v>
      </c>
      <c r="I805" s="3">
        <f>VLOOKUP(G805,Sheet2!A:J,10,0)</f>
        <v>24</v>
      </c>
      <c r="J805" s="13"/>
      <c r="K805" s="13"/>
    </row>
    <row r="806" spans="1:11">
      <c r="A806" s="3" t="s">
        <v>1523</v>
      </c>
      <c r="B806" s="1" t="s">
        <v>1657</v>
      </c>
      <c r="C806" s="1" t="s">
        <v>1658</v>
      </c>
      <c r="D806" s="3" t="s">
        <v>7</v>
      </c>
      <c r="E806" s="1" t="s">
        <v>14</v>
      </c>
      <c r="F806" s="5">
        <v>46188.501956018517</v>
      </c>
      <c r="G806" t="s">
        <v>944</v>
      </c>
      <c r="H806" t="s">
        <v>658</v>
      </c>
      <c r="I806" s="3">
        <f>VLOOKUP(G806,Sheet2!A:J,10,0)</f>
        <v>24</v>
      </c>
      <c r="J806" s="13"/>
      <c r="K806" s="13"/>
    </row>
    <row r="807" spans="1:11">
      <c r="A807" s="4" t="s">
        <v>1524</v>
      </c>
      <c r="B807" s="2" t="s">
        <v>1657</v>
      </c>
      <c r="C807" s="2" t="s">
        <v>1658</v>
      </c>
      <c r="D807" s="4" t="s">
        <v>7</v>
      </c>
      <c r="E807" s="2" t="s">
        <v>14</v>
      </c>
      <c r="F807" s="6">
        <v>46191.243356481478</v>
      </c>
      <c r="G807" t="s">
        <v>944</v>
      </c>
      <c r="H807" t="s">
        <v>658</v>
      </c>
      <c r="I807" s="3">
        <f>VLOOKUP(G807,Sheet2!A:J,10,0)</f>
        <v>24</v>
      </c>
      <c r="J807" s="13"/>
      <c r="K807" s="13"/>
    </row>
    <row r="808" spans="1:11">
      <c r="A808" s="3" t="s">
        <v>1525</v>
      </c>
      <c r="B808" s="1" t="s">
        <v>1657</v>
      </c>
      <c r="C808" s="1" t="s">
        <v>1658</v>
      </c>
      <c r="D808" s="3" t="s">
        <v>7</v>
      </c>
      <c r="E808" s="1" t="s">
        <v>14</v>
      </c>
      <c r="F808" s="5">
        <v>46188.521689814814</v>
      </c>
      <c r="G808" t="s">
        <v>944</v>
      </c>
      <c r="H808" t="s">
        <v>658</v>
      </c>
      <c r="I808" s="3">
        <f>VLOOKUP(G808,Sheet2!A:J,10,0)</f>
        <v>24</v>
      </c>
      <c r="J808" s="13"/>
      <c r="K808" s="13"/>
    </row>
    <row r="809" spans="1:11">
      <c r="A809" s="4" t="s">
        <v>1526</v>
      </c>
      <c r="B809" s="2" t="s">
        <v>1657</v>
      </c>
      <c r="C809" s="2" t="s">
        <v>1658</v>
      </c>
      <c r="D809" s="4" t="s">
        <v>7</v>
      </c>
      <c r="E809" s="2" t="s">
        <v>14</v>
      </c>
      <c r="F809" s="6">
        <v>46188.493495370371</v>
      </c>
      <c r="G809" t="s">
        <v>944</v>
      </c>
      <c r="H809" t="s">
        <v>658</v>
      </c>
      <c r="I809" s="3">
        <f>VLOOKUP(G809,Sheet2!A:J,10,0)</f>
        <v>24</v>
      </c>
      <c r="J809" s="13"/>
      <c r="K809" s="13"/>
    </row>
    <row r="810" spans="1:11">
      <c r="A810" s="3" t="s">
        <v>1527</v>
      </c>
      <c r="B810" s="1" t="s">
        <v>1657</v>
      </c>
      <c r="C810" s="1" t="s">
        <v>1658</v>
      </c>
      <c r="D810" s="3" t="s">
        <v>7</v>
      </c>
      <c r="E810" s="1" t="s">
        <v>14</v>
      </c>
      <c r="F810" s="5">
        <v>46191.313379629632</v>
      </c>
      <c r="G810" t="s">
        <v>944</v>
      </c>
      <c r="H810" t="s">
        <v>658</v>
      </c>
      <c r="I810" s="3">
        <f>VLOOKUP(G810,Sheet2!A:J,10,0)</f>
        <v>24</v>
      </c>
      <c r="J810" s="13"/>
      <c r="K810" s="13"/>
    </row>
    <row r="811" spans="1:11">
      <c r="A811" s="4" t="s">
        <v>1528</v>
      </c>
      <c r="B811" s="2" t="s">
        <v>1657</v>
      </c>
      <c r="C811" s="2" t="s">
        <v>1658</v>
      </c>
      <c r="D811" s="4" t="s">
        <v>7</v>
      </c>
      <c r="E811" s="2" t="s">
        <v>14</v>
      </c>
      <c r="F811" s="6">
        <v>46188.504027777781</v>
      </c>
      <c r="G811" t="s">
        <v>944</v>
      </c>
      <c r="H811" t="s">
        <v>658</v>
      </c>
      <c r="I811" s="3">
        <f>VLOOKUP(G811,Sheet2!A:J,10,0)</f>
        <v>24</v>
      </c>
      <c r="J811" s="13"/>
      <c r="K811" s="13"/>
    </row>
    <row r="812" spans="1:11">
      <c r="A812" s="3" t="s">
        <v>1529</v>
      </c>
      <c r="B812" s="1" t="s">
        <v>1657</v>
      </c>
      <c r="C812" s="1" t="s">
        <v>1658</v>
      </c>
      <c r="D812" s="3" t="s">
        <v>7</v>
      </c>
      <c r="E812" s="1" t="s">
        <v>14</v>
      </c>
      <c r="F812" s="5">
        <v>46191.29179398148</v>
      </c>
      <c r="G812" t="s">
        <v>944</v>
      </c>
      <c r="H812" t="s">
        <v>658</v>
      </c>
      <c r="I812" s="3">
        <f>VLOOKUP(G812,Sheet2!A:J,10,0)</f>
        <v>24</v>
      </c>
      <c r="J812" s="13"/>
      <c r="K812" s="13"/>
    </row>
    <row r="813" spans="1:11">
      <c r="A813" s="4" t="s">
        <v>1530</v>
      </c>
      <c r="B813" s="2" t="s">
        <v>1657</v>
      </c>
      <c r="C813" s="2" t="s">
        <v>1658</v>
      </c>
      <c r="D813" s="4" t="s">
        <v>7</v>
      </c>
      <c r="E813" s="2" t="s">
        <v>14</v>
      </c>
      <c r="F813" s="6">
        <v>46189.314085648148</v>
      </c>
      <c r="G813" t="s">
        <v>944</v>
      </c>
      <c r="H813" t="s">
        <v>658</v>
      </c>
      <c r="I813" s="3">
        <f>VLOOKUP(G813,Sheet2!A:J,10,0)</f>
        <v>24</v>
      </c>
      <c r="J813" s="13"/>
      <c r="K813" s="13"/>
    </row>
    <row r="814" spans="1:11">
      <c r="A814" s="3" t="s">
        <v>1531</v>
      </c>
      <c r="B814" s="1" t="s">
        <v>1657</v>
      </c>
      <c r="C814" s="1" t="s">
        <v>1658</v>
      </c>
      <c r="D814" s="3" t="s">
        <v>7</v>
      </c>
      <c r="E814" s="1" t="s">
        <v>14</v>
      </c>
      <c r="F814" s="5">
        <v>46189.312025462961</v>
      </c>
      <c r="G814" t="s">
        <v>944</v>
      </c>
      <c r="H814" t="s">
        <v>658</v>
      </c>
      <c r="I814" s="3">
        <f>VLOOKUP(G814,Sheet2!A:J,10,0)</f>
        <v>24</v>
      </c>
      <c r="J814" s="13"/>
      <c r="K814" s="13"/>
    </row>
    <row r="815" spans="1:11">
      <c r="A815" s="4" t="s">
        <v>1532</v>
      </c>
      <c r="B815" s="2" t="s">
        <v>1657</v>
      </c>
      <c r="C815" s="2" t="s">
        <v>1658</v>
      </c>
      <c r="D815" s="4" t="s">
        <v>7</v>
      </c>
      <c r="E815" s="2" t="s">
        <v>14</v>
      </c>
      <c r="F815" s="6">
        <v>46189.309236111112</v>
      </c>
      <c r="G815" t="s">
        <v>944</v>
      </c>
      <c r="H815" t="s">
        <v>658</v>
      </c>
      <c r="I815" s="3">
        <f>VLOOKUP(G815,Sheet2!A:J,10,0)</f>
        <v>24</v>
      </c>
      <c r="J815" s="13"/>
      <c r="K815" s="13"/>
    </row>
    <row r="816" spans="1:11">
      <c r="A816" s="3" t="s">
        <v>1533</v>
      </c>
      <c r="B816" s="1" t="s">
        <v>1657</v>
      </c>
      <c r="C816" s="1" t="s">
        <v>1658</v>
      </c>
      <c r="D816" s="3" t="s">
        <v>7</v>
      </c>
      <c r="E816" s="1" t="s">
        <v>14</v>
      </c>
      <c r="F816" s="5">
        <v>46189.302337962959</v>
      </c>
      <c r="G816" t="s">
        <v>944</v>
      </c>
      <c r="H816" t="s">
        <v>658</v>
      </c>
      <c r="I816" s="3">
        <f>VLOOKUP(G816,Sheet2!A:J,10,0)</f>
        <v>24</v>
      </c>
      <c r="J816" s="13"/>
      <c r="K816" s="13"/>
    </row>
    <row r="817" spans="1:11">
      <c r="A817" s="4" t="s">
        <v>1534</v>
      </c>
      <c r="B817" s="2" t="s">
        <v>1657</v>
      </c>
      <c r="C817" s="2" t="s">
        <v>1658</v>
      </c>
      <c r="D817" s="4" t="s">
        <v>7</v>
      </c>
      <c r="E817" s="2" t="s">
        <v>14</v>
      </c>
      <c r="F817" s="6">
        <v>46191.247245370374</v>
      </c>
      <c r="G817" t="s">
        <v>944</v>
      </c>
      <c r="H817" t="s">
        <v>658</v>
      </c>
      <c r="I817" s="3">
        <f>VLOOKUP(G817,Sheet2!A:J,10,0)</f>
        <v>24</v>
      </c>
      <c r="J817" s="13"/>
      <c r="K817" s="13"/>
    </row>
    <row r="818" spans="1:11">
      <c r="A818" s="3" t="s">
        <v>1535</v>
      </c>
      <c r="B818" s="1" t="s">
        <v>1657</v>
      </c>
      <c r="C818" s="1" t="s">
        <v>1658</v>
      </c>
      <c r="D818" s="3" t="s">
        <v>7</v>
      </c>
      <c r="E818" s="1" t="s">
        <v>14</v>
      </c>
      <c r="F818" s="5">
        <v>46189.297037037039</v>
      </c>
      <c r="G818" t="s">
        <v>944</v>
      </c>
      <c r="H818" t="s">
        <v>658</v>
      </c>
      <c r="I818" s="3">
        <f>VLOOKUP(G818,Sheet2!A:J,10,0)</f>
        <v>24</v>
      </c>
      <c r="J818" s="13"/>
      <c r="K818" s="13"/>
    </row>
    <row r="819" spans="1:11">
      <c r="A819" s="4" t="s">
        <v>1536</v>
      </c>
      <c r="B819" s="2" t="s">
        <v>1657</v>
      </c>
      <c r="C819" s="2" t="s">
        <v>1658</v>
      </c>
      <c r="D819" s="4" t="s">
        <v>7</v>
      </c>
      <c r="E819" s="2" t="s">
        <v>14</v>
      </c>
      <c r="F819" s="6">
        <v>46191.241226851853</v>
      </c>
      <c r="G819" t="s">
        <v>944</v>
      </c>
      <c r="H819" t="s">
        <v>658</v>
      </c>
      <c r="I819" s="3">
        <f>VLOOKUP(G819,Sheet2!A:J,10,0)</f>
        <v>24</v>
      </c>
      <c r="J819" s="13"/>
      <c r="K819" s="13"/>
    </row>
    <row r="820" spans="1:11">
      <c r="A820" s="3" t="s">
        <v>1537</v>
      </c>
      <c r="B820" s="1" t="s">
        <v>1657</v>
      </c>
      <c r="C820" s="1" t="s">
        <v>1658</v>
      </c>
      <c r="D820" s="3" t="s">
        <v>7</v>
      </c>
      <c r="E820" s="1" t="s">
        <v>14</v>
      </c>
      <c r="F820" s="5">
        <v>46189.310682870368</v>
      </c>
      <c r="G820" t="s">
        <v>944</v>
      </c>
      <c r="H820" t="s">
        <v>658</v>
      </c>
      <c r="I820" s="3">
        <f>VLOOKUP(G820,Sheet2!A:J,10,0)</f>
        <v>24</v>
      </c>
      <c r="J820" s="13"/>
      <c r="K820" s="13"/>
    </row>
    <row r="821" spans="1:11">
      <c r="A821" s="4" t="s">
        <v>1538</v>
      </c>
      <c r="B821" s="2" t="s">
        <v>1657</v>
      </c>
      <c r="C821" s="2" t="s">
        <v>1658</v>
      </c>
      <c r="D821" s="4" t="s">
        <v>7</v>
      </c>
      <c r="E821" s="2" t="s">
        <v>14</v>
      </c>
      <c r="F821" s="6">
        <v>46189.638599537036</v>
      </c>
      <c r="G821" t="s">
        <v>944</v>
      </c>
      <c r="H821" t="s">
        <v>658</v>
      </c>
      <c r="I821" s="3">
        <f>VLOOKUP(G821,Sheet2!A:J,10,0)</f>
        <v>24</v>
      </c>
      <c r="J821" s="13"/>
      <c r="K821" s="13"/>
    </row>
    <row r="822" spans="1:11">
      <c r="A822" s="3" t="s">
        <v>1539</v>
      </c>
      <c r="B822" s="1" t="s">
        <v>1657</v>
      </c>
      <c r="C822" s="1" t="s">
        <v>1658</v>
      </c>
      <c r="D822" s="3" t="s">
        <v>7</v>
      </c>
      <c r="E822" s="1" t="s">
        <v>14</v>
      </c>
      <c r="F822" s="5">
        <v>46190.474768518521</v>
      </c>
      <c r="G822" t="s">
        <v>944</v>
      </c>
      <c r="H822" t="s">
        <v>658</v>
      </c>
      <c r="I822" s="3">
        <f>VLOOKUP(G822,Sheet2!A:J,10,0)</f>
        <v>24</v>
      </c>
      <c r="J822" s="13"/>
      <c r="K822" s="13"/>
    </row>
    <row r="823" spans="1:11">
      <c r="A823" s="4" t="s">
        <v>1540</v>
      </c>
      <c r="B823" s="2" t="s">
        <v>1657</v>
      </c>
      <c r="C823" s="2" t="s">
        <v>1658</v>
      </c>
      <c r="D823" s="4" t="s">
        <v>7</v>
      </c>
      <c r="E823" s="2" t="s">
        <v>14</v>
      </c>
      <c r="F823" s="6">
        <v>46188.411782407406</v>
      </c>
      <c r="G823" t="s">
        <v>944</v>
      </c>
      <c r="H823" t="s">
        <v>658</v>
      </c>
      <c r="I823" s="3">
        <f>VLOOKUP(G823,Sheet2!A:J,10,0)</f>
        <v>24</v>
      </c>
      <c r="J823" s="13"/>
      <c r="K823" s="13"/>
    </row>
    <row r="824" spans="1:11">
      <c r="A824" s="3" t="s">
        <v>1541</v>
      </c>
      <c r="B824" s="1" t="s">
        <v>1657</v>
      </c>
      <c r="C824" s="1" t="s">
        <v>1658</v>
      </c>
      <c r="D824" s="3" t="s">
        <v>7</v>
      </c>
      <c r="E824" s="1" t="s">
        <v>14</v>
      </c>
      <c r="F824" s="5">
        <v>46191.316724537035</v>
      </c>
      <c r="G824" t="s">
        <v>944</v>
      </c>
      <c r="H824" t="s">
        <v>658</v>
      </c>
      <c r="I824" s="3">
        <f>VLOOKUP(G824,Sheet2!A:J,10,0)</f>
        <v>24</v>
      </c>
      <c r="J824" s="13"/>
      <c r="K824" s="13"/>
    </row>
    <row r="825" spans="1:11">
      <c r="A825" s="4" t="s">
        <v>1542</v>
      </c>
      <c r="B825" s="2" t="s">
        <v>1657</v>
      </c>
      <c r="C825" s="2" t="s">
        <v>1658</v>
      </c>
      <c r="D825" s="4" t="s">
        <v>7</v>
      </c>
      <c r="E825" s="2" t="s">
        <v>14</v>
      </c>
      <c r="F825" s="6">
        <v>46188.417719907404</v>
      </c>
      <c r="G825" t="s">
        <v>944</v>
      </c>
      <c r="H825" t="s">
        <v>658</v>
      </c>
      <c r="I825" s="3">
        <f>VLOOKUP(G825,Sheet2!A:J,10,0)</f>
        <v>24</v>
      </c>
      <c r="J825" s="13"/>
      <c r="K825" s="13"/>
    </row>
    <row r="826" spans="1:11">
      <c r="A826" s="3" t="s">
        <v>1543</v>
      </c>
      <c r="B826" s="1" t="s">
        <v>1657</v>
      </c>
      <c r="C826" s="1" t="s">
        <v>1658</v>
      </c>
      <c r="D826" s="3" t="s">
        <v>7</v>
      </c>
      <c r="E826" s="1" t="s">
        <v>14</v>
      </c>
      <c r="F826" s="5">
        <v>46191.317962962959</v>
      </c>
      <c r="G826" t="s">
        <v>944</v>
      </c>
      <c r="H826" t="s">
        <v>658</v>
      </c>
      <c r="I826" s="3">
        <f>VLOOKUP(G826,Sheet2!A:J,10,0)</f>
        <v>24</v>
      </c>
      <c r="J826" s="13"/>
      <c r="K826" s="13"/>
    </row>
    <row r="827" spans="1:11">
      <c r="A827" s="4" t="s">
        <v>1544</v>
      </c>
      <c r="B827" s="2" t="s">
        <v>1657</v>
      </c>
      <c r="C827" s="2" t="s">
        <v>1658</v>
      </c>
      <c r="D827" s="4" t="s">
        <v>7</v>
      </c>
      <c r="E827" s="2" t="s">
        <v>14</v>
      </c>
      <c r="F827" s="6">
        <v>46191.315023148149</v>
      </c>
      <c r="G827" t="s">
        <v>944</v>
      </c>
      <c r="H827" t="s">
        <v>658</v>
      </c>
      <c r="I827" s="3">
        <f>VLOOKUP(G827,Sheet2!A:J,10,0)</f>
        <v>24</v>
      </c>
      <c r="J827" s="13"/>
      <c r="K827" s="13"/>
    </row>
    <row r="828" spans="1:11">
      <c r="A828" s="3" t="s">
        <v>1545</v>
      </c>
      <c r="B828" s="1" t="s">
        <v>1657</v>
      </c>
      <c r="C828" s="1" t="s">
        <v>1658</v>
      </c>
      <c r="D828" s="3" t="s">
        <v>7</v>
      </c>
      <c r="E828" s="1" t="s">
        <v>14</v>
      </c>
      <c r="F828" s="5">
        <v>46188.427002314813</v>
      </c>
      <c r="G828" t="s">
        <v>944</v>
      </c>
      <c r="H828" t="s">
        <v>658</v>
      </c>
      <c r="I828" s="3">
        <f>VLOOKUP(G828,Sheet2!A:J,10,0)</f>
        <v>24</v>
      </c>
      <c r="J828" s="13"/>
      <c r="K828" s="13"/>
    </row>
    <row r="829" spans="1:11">
      <c r="A829" s="4" t="s">
        <v>1546</v>
      </c>
      <c r="B829" s="2" t="s">
        <v>1657</v>
      </c>
      <c r="C829" s="2" t="s">
        <v>1658</v>
      </c>
      <c r="D829" s="4" t="s">
        <v>7</v>
      </c>
      <c r="E829" s="2" t="s">
        <v>14</v>
      </c>
      <c r="F829" s="6">
        <v>46188.429513888892</v>
      </c>
      <c r="G829" t="s">
        <v>944</v>
      </c>
      <c r="H829" t="s">
        <v>658</v>
      </c>
      <c r="I829" s="3">
        <f>VLOOKUP(G829,Sheet2!A:J,10,0)</f>
        <v>24</v>
      </c>
      <c r="J829" s="13"/>
      <c r="K829" s="13"/>
    </row>
    <row r="830" spans="1:11">
      <c r="A830" s="3" t="s">
        <v>1547</v>
      </c>
      <c r="B830" s="1" t="s">
        <v>1657</v>
      </c>
      <c r="C830" s="1" t="s">
        <v>1658</v>
      </c>
      <c r="D830" s="3" t="s">
        <v>7</v>
      </c>
      <c r="E830" s="1" t="s">
        <v>14</v>
      </c>
      <c r="F830" s="5">
        <v>46188.431168981479</v>
      </c>
      <c r="G830" t="s">
        <v>944</v>
      </c>
      <c r="H830" t="s">
        <v>658</v>
      </c>
      <c r="I830" s="3">
        <f>VLOOKUP(G830,Sheet2!A:J,10,0)</f>
        <v>24</v>
      </c>
      <c r="J830" s="13"/>
      <c r="K830" s="13"/>
    </row>
    <row r="831" spans="1:11">
      <c r="A831" s="4" t="s">
        <v>1548</v>
      </c>
      <c r="B831" s="2" t="s">
        <v>1657</v>
      </c>
      <c r="C831" s="2" t="s">
        <v>1658</v>
      </c>
      <c r="D831" s="4" t="s">
        <v>7</v>
      </c>
      <c r="E831" s="2" t="s">
        <v>14</v>
      </c>
      <c r="F831" s="6">
        <v>46188.434004629627</v>
      </c>
      <c r="G831" t="s">
        <v>944</v>
      </c>
      <c r="H831" t="s">
        <v>658</v>
      </c>
      <c r="I831" s="3">
        <f>VLOOKUP(G831,Sheet2!A:J,10,0)</f>
        <v>24</v>
      </c>
      <c r="J831" s="13"/>
      <c r="K831" s="13"/>
    </row>
    <row r="832" spans="1:11">
      <c r="A832" s="3" t="s">
        <v>1549</v>
      </c>
      <c r="B832" s="1" t="s">
        <v>1657</v>
      </c>
      <c r="C832" s="1" t="s">
        <v>1658</v>
      </c>
      <c r="D832" s="3" t="s">
        <v>7</v>
      </c>
      <c r="E832" s="1" t="s">
        <v>14</v>
      </c>
      <c r="F832" s="5">
        <v>46188.43650462963</v>
      </c>
      <c r="G832" t="s">
        <v>944</v>
      </c>
      <c r="H832" t="s">
        <v>658</v>
      </c>
      <c r="I832" s="3">
        <f>VLOOKUP(G832,Sheet2!A:J,10,0)</f>
        <v>24</v>
      </c>
      <c r="J832" s="13"/>
      <c r="K832" s="13"/>
    </row>
    <row r="833" spans="1:11">
      <c r="A833" s="4" t="s">
        <v>1550</v>
      </c>
      <c r="B833" s="2" t="s">
        <v>1657</v>
      </c>
      <c r="C833" s="2" t="s">
        <v>1658</v>
      </c>
      <c r="D833" s="4" t="s">
        <v>7</v>
      </c>
      <c r="E833" s="2" t="s">
        <v>14</v>
      </c>
      <c r="F833" s="6">
        <v>46188.519988425927</v>
      </c>
      <c r="G833" t="s">
        <v>944</v>
      </c>
      <c r="H833" t="s">
        <v>658</v>
      </c>
      <c r="I833" s="3">
        <f>VLOOKUP(G833,Sheet2!A:J,10,0)</f>
        <v>24</v>
      </c>
      <c r="J833" s="13"/>
      <c r="K833" s="13"/>
    </row>
    <row r="834" spans="1:11">
      <c r="A834" s="3" t="s">
        <v>1551</v>
      </c>
      <c r="B834" s="1" t="s">
        <v>1657</v>
      </c>
      <c r="C834" s="1" t="s">
        <v>1658</v>
      </c>
      <c r="D834" s="3" t="s">
        <v>7</v>
      </c>
      <c r="E834" s="1" t="s">
        <v>14</v>
      </c>
      <c r="F834" s="5">
        <v>46188.531805555554</v>
      </c>
      <c r="G834" t="s">
        <v>944</v>
      </c>
      <c r="H834" t="s">
        <v>658</v>
      </c>
      <c r="I834" s="3">
        <f>VLOOKUP(G834,Sheet2!A:J,10,0)</f>
        <v>24</v>
      </c>
      <c r="J834" s="13"/>
      <c r="K834" s="13"/>
    </row>
    <row r="835" spans="1:11">
      <c r="A835" s="4" t="s">
        <v>1552</v>
      </c>
      <c r="B835" s="2" t="s">
        <v>1657</v>
      </c>
      <c r="C835" s="2" t="s">
        <v>1658</v>
      </c>
      <c r="D835" s="4" t="s">
        <v>7</v>
      </c>
      <c r="E835" s="2" t="s">
        <v>14</v>
      </c>
      <c r="F835" s="6">
        <v>46191.32366898148</v>
      </c>
      <c r="G835" t="s">
        <v>944</v>
      </c>
      <c r="H835" t="s">
        <v>658</v>
      </c>
      <c r="I835" s="3">
        <f>VLOOKUP(G835,Sheet2!A:J,10,0)</f>
        <v>24</v>
      </c>
      <c r="J835" s="13"/>
      <c r="K835" s="13"/>
    </row>
    <row r="836" spans="1:11">
      <c r="A836" s="3" t="s">
        <v>1553</v>
      </c>
      <c r="B836" s="1" t="s">
        <v>1657</v>
      </c>
      <c r="C836" s="1" t="s">
        <v>1658</v>
      </c>
      <c r="D836" s="3" t="s">
        <v>7</v>
      </c>
      <c r="E836" s="1" t="s">
        <v>14</v>
      </c>
      <c r="F836" s="5">
        <v>46188.546516203707</v>
      </c>
      <c r="G836" t="s">
        <v>944</v>
      </c>
      <c r="H836" t="s">
        <v>658</v>
      </c>
      <c r="I836" s="3">
        <f>VLOOKUP(G836,Sheet2!A:J,10,0)</f>
        <v>24</v>
      </c>
      <c r="J836" s="13"/>
      <c r="K836" s="13"/>
    </row>
    <row r="837" spans="1:11">
      <c r="A837" s="4" t="s">
        <v>1554</v>
      </c>
      <c r="B837" s="2" t="s">
        <v>1657</v>
      </c>
      <c r="C837" s="2" t="s">
        <v>1658</v>
      </c>
      <c r="D837" s="4" t="s">
        <v>7</v>
      </c>
      <c r="E837" s="2" t="s">
        <v>14</v>
      </c>
      <c r="F837" s="6">
        <v>46188.546666666669</v>
      </c>
      <c r="G837" t="s">
        <v>944</v>
      </c>
      <c r="H837" t="s">
        <v>658</v>
      </c>
      <c r="I837" s="3">
        <f>VLOOKUP(G837,Sheet2!A:J,10,0)</f>
        <v>24</v>
      </c>
      <c r="J837" s="13"/>
      <c r="K837" s="13"/>
    </row>
    <row r="838" spans="1:11">
      <c r="A838" s="3" t="s">
        <v>1555</v>
      </c>
      <c r="B838" s="1" t="s">
        <v>1657</v>
      </c>
      <c r="C838" s="1" t="s">
        <v>1658</v>
      </c>
      <c r="D838" s="3" t="s">
        <v>7</v>
      </c>
      <c r="E838" s="1" t="s">
        <v>14</v>
      </c>
      <c r="F838" s="5">
        <v>46188.547013888892</v>
      </c>
      <c r="G838" t="s">
        <v>944</v>
      </c>
      <c r="H838" t="s">
        <v>658</v>
      </c>
      <c r="I838" s="3">
        <f>VLOOKUP(G838,Sheet2!A:J,10,0)</f>
        <v>24</v>
      </c>
      <c r="J838" s="13"/>
      <c r="K838" s="13"/>
    </row>
    <row r="839" spans="1:11">
      <c r="A839" s="4" t="s">
        <v>1556</v>
      </c>
      <c r="B839" s="2" t="s">
        <v>1657</v>
      </c>
      <c r="C839" s="2" t="s">
        <v>1658</v>
      </c>
      <c r="D839" s="4" t="s">
        <v>7</v>
      </c>
      <c r="E839" s="2" t="s">
        <v>14</v>
      </c>
      <c r="F839" s="6">
        <v>46188.546585648146</v>
      </c>
      <c r="G839" t="s">
        <v>944</v>
      </c>
      <c r="H839" t="s">
        <v>658</v>
      </c>
      <c r="I839" s="3">
        <f>VLOOKUP(G839,Sheet2!A:J,10,0)</f>
        <v>24</v>
      </c>
      <c r="J839" s="13"/>
      <c r="K839" s="13"/>
    </row>
    <row r="840" spans="1:11">
      <c r="A840" s="3" t="s">
        <v>1557</v>
      </c>
      <c r="B840" s="1" t="s">
        <v>1657</v>
      </c>
      <c r="C840" s="1" t="s">
        <v>1658</v>
      </c>
      <c r="D840" s="3" t="s">
        <v>7</v>
      </c>
      <c r="E840" s="1" t="s">
        <v>14</v>
      </c>
      <c r="F840" s="5">
        <v>46188.546736111108</v>
      </c>
      <c r="G840" t="s">
        <v>944</v>
      </c>
      <c r="H840" t="s">
        <v>658</v>
      </c>
      <c r="I840" s="3">
        <f>VLOOKUP(G840,Sheet2!A:J,10,0)</f>
        <v>24</v>
      </c>
      <c r="J840" s="13"/>
      <c r="K840" s="13"/>
    </row>
    <row r="841" spans="1:11">
      <c r="A841" s="4" t="s">
        <v>1558</v>
      </c>
      <c r="B841" s="2" t="s">
        <v>1657</v>
      </c>
      <c r="C841" s="2" t="s">
        <v>1658</v>
      </c>
      <c r="D841" s="4" t="s">
        <v>7</v>
      </c>
      <c r="E841" s="2" t="s">
        <v>14</v>
      </c>
      <c r="F841" s="6">
        <v>46188.5468287037</v>
      </c>
      <c r="G841" t="s">
        <v>944</v>
      </c>
      <c r="H841" t="s">
        <v>658</v>
      </c>
      <c r="I841" s="3">
        <f>VLOOKUP(G841,Sheet2!A:J,10,0)</f>
        <v>24</v>
      </c>
      <c r="J841" s="13"/>
      <c r="K841" s="13"/>
    </row>
    <row r="842" spans="1:11">
      <c r="A842" s="3" t="s">
        <v>1559</v>
      </c>
      <c r="B842" s="1" t="s">
        <v>1657</v>
      </c>
      <c r="C842" s="1" t="s">
        <v>1658</v>
      </c>
      <c r="D842" s="3" t="s">
        <v>7</v>
      </c>
      <c r="E842" s="1" t="s">
        <v>14</v>
      </c>
      <c r="F842" s="5">
        <v>46188.546932870369</v>
      </c>
      <c r="G842" t="s">
        <v>944</v>
      </c>
      <c r="H842" t="s">
        <v>658</v>
      </c>
      <c r="I842" s="3">
        <f>VLOOKUP(G842,Sheet2!A:J,10,0)</f>
        <v>24</v>
      </c>
      <c r="J842" s="13"/>
      <c r="K842" s="13"/>
    </row>
    <row r="843" spans="1:11">
      <c r="A843" s="4" t="s">
        <v>1560</v>
      </c>
      <c r="B843" s="2" t="s">
        <v>1657</v>
      </c>
      <c r="C843" s="2" t="s">
        <v>1658</v>
      </c>
      <c r="D843" s="4" t="s">
        <v>7</v>
      </c>
      <c r="E843" s="2" t="s">
        <v>14</v>
      </c>
      <c r="F843" s="6">
        <v>46190.470555555556</v>
      </c>
      <c r="G843" t="s">
        <v>944</v>
      </c>
      <c r="H843" t="s">
        <v>658</v>
      </c>
      <c r="I843" s="3">
        <f>VLOOKUP(G843,Sheet2!A:J,10,0)</f>
        <v>24</v>
      </c>
      <c r="J843" s="13"/>
      <c r="K843" s="13"/>
    </row>
    <row r="844" spans="1:11">
      <c r="A844" s="3" t="s">
        <v>1561</v>
      </c>
      <c r="B844" s="1" t="s">
        <v>1657</v>
      </c>
      <c r="C844" s="1" t="s">
        <v>1658</v>
      </c>
      <c r="D844" s="3" t="s">
        <v>7</v>
      </c>
      <c r="E844" s="1" t="s">
        <v>14</v>
      </c>
      <c r="F844" s="5">
        <v>46188.593229166669</v>
      </c>
      <c r="G844" t="s">
        <v>944</v>
      </c>
      <c r="H844" t="s">
        <v>658</v>
      </c>
      <c r="I844" s="3">
        <f>VLOOKUP(G844,Sheet2!A:J,10,0)</f>
        <v>24</v>
      </c>
      <c r="J844" s="13"/>
      <c r="K844" s="13"/>
    </row>
    <row r="845" spans="1:11">
      <c r="A845" s="4" t="s">
        <v>1562</v>
      </c>
      <c r="B845" s="2" t="s">
        <v>1657</v>
      </c>
      <c r="C845" s="2" t="s">
        <v>1658</v>
      </c>
      <c r="D845" s="4" t="s">
        <v>7</v>
      </c>
      <c r="E845" s="2" t="s">
        <v>14</v>
      </c>
      <c r="F845" s="6">
        <v>46188.594409722224</v>
      </c>
      <c r="G845" t="s">
        <v>944</v>
      </c>
      <c r="H845" t="s">
        <v>658</v>
      </c>
      <c r="I845" s="3">
        <f>VLOOKUP(G845,Sheet2!A:J,10,0)</f>
        <v>24</v>
      </c>
      <c r="J845" s="13"/>
      <c r="K845" s="13"/>
    </row>
    <row r="846" spans="1:11">
      <c r="A846" s="3" t="s">
        <v>1563</v>
      </c>
      <c r="B846" s="1" t="s">
        <v>1657</v>
      </c>
      <c r="C846" s="1" t="s">
        <v>1658</v>
      </c>
      <c r="D846" s="3" t="s">
        <v>7</v>
      </c>
      <c r="E846" s="1" t="s">
        <v>14</v>
      </c>
      <c r="F846" s="5">
        <v>46188.672592592593</v>
      </c>
      <c r="G846" t="s">
        <v>944</v>
      </c>
      <c r="H846" t="s">
        <v>658</v>
      </c>
      <c r="I846" s="3">
        <f>VLOOKUP(G846,Sheet2!A:J,10,0)</f>
        <v>24</v>
      </c>
      <c r="J846" s="13"/>
      <c r="K846" s="13"/>
    </row>
    <row r="847" spans="1:11">
      <c r="A847" s="4" t="s">
        <v>1564</v>
      </c>
      <c r="B847" s="2" t="s">
        <v>1657</v>
      </c>
      <c r="C847" s="2" t="s">
        <v>1658</v>
      </c>
      <c r="D847" s="4" t="s">
        <v>7</v>
      </c>
      <c r="E847" s="2" t="s">
        <v>14</v>
      </c>
      <c r="F847" s="6">
        <v>46190.514756944445</v>
      </c>
      <c r="G847" t="s">
        <v>944</v>
      </c>
      <c r="H847" t="s">
        <v>658</v>
      </c>
      <c r="I847" s="3">
        <f>VLOOKUP(G847,Sheet2!A:J,10,0)</f>
        <v>24</v>
      </c>
      <c r="J847" s="13"/>
      <c r="K847" s="13"/>
    </row>
    <row r="848" spans="1:11">
      <c r="A848" s="3" t="s">
        <v>1565</v>
      </c>
      <c r="B848" s="1" t="s">
        <v>1657</v>
      </c>
      <c r="C848" s="1" t="s">
        <v>1658</v>
      </c>
      <c r="D848" s="3" t="s">
        <v>7</v>
      </c>
      <c r="E848" s="1" t="s">
        <v>14</v>
      </c>
      <c r="F848" s="5">
        <v>46188.670011574075</v>
      </c>
      <c r="G848" t="s">
        <v>944</v>
      </c>
      <c r="H848" t="s">
        <v>658</v>
      </c>
      <c r="I848" s="3">
        <f>VLOOKUP(G848,Sheet2!A:J,10,0)</f>
        <v>24</v>
      </c>
      <c r="J848" s="13"/>
      <c r="K848" s="13"/>
    </row>
    <row r="849" spans="1:11">
      <c r="A849" s="4" t="s">
        <v>1566</v>
      </c>
      <c r="B849" s="2" t="s">
        <v>1657</v>
      </c>
      <c r="C849" s="2" t="s">
        <v>1658</v>
      </c>
      <c r="D849" s="4" t="s">
        <v>7</v>
      </c>
      <c r="E849" s="2" t="s">
        <v>14</v>
      </c>
      <c r="F849" s="6">
        <v>46188.66741898148</v>
      </c>
      <c r="G849" t="s">
        <v>944</v>
      </c>
      <c r="H849" t="s">
        <v>658</v>
      </c>
      <c r="I849" s="3">
        <f>VLOOKUP(G849,Sheet2!A:J,10,0)</f>
        <v>24</v>
      </c>
      <c r="J849" s="13"/>
      <c r="K849" s="13"/>
    </row>
    <row r="850" spans="1:11">
      <c r="A850" s="3" t="s">
        <v>1567</v>
      </c>
      <c r="B850" s="1" t="s">
        <v>1657</v>
      </c>
      <c r="C850" s="1" t="s">
        <v>1658</v>
      </c>
      <c r="D850" s="3" t="s">
        <v>7</v>
      </c>
      <c r="E850" s="1" t="s">
        <v>14</v>
      </c>
      <c r="F850" s="5">
        <v>46190.508831018517</v>
      </c>
      <c r="G850" t="s">
        <v>944</v>
      </c>
      <c r="H850" t="s">
        <v>658</v>
      </c>
      <c r="I850" s="3">
        <f>VLOOKUP(G850,Sheet2!A:J,10,0)</f>
        <v>24</v>
      </c>
      <c r="J850" s="13"/>
      <c r="K850" s="13"/>
    </row>
    <row r="851" spans="1:11">
      <c r="A851" s="4" t="s">
        <v>1568</v>
      </c>
      <c r="B851" s="2" t="s">
        <v>1657</v>
      </c>
      <c r="C851" s="2" t="s">
        <v>1658</v>
      </c>
      <c r="D851" s="4" t="s">
        <v>7</v>
      </c>
      <c r="E851" s="2" t="s">
        <v>14</v>
      </c>
      <c r="F851" s="6">
        <v>46188.71303240741</v>
      </c>
      <c r="G851" t="s">
        <v>944</v>
      </c>
      <c r="H851" t="s">
        <v>658</v>
      </c>
      <c r="I851" s="3">
        <f>VLOOKUP(G851,Sheet2!A:J,10,0)</f>
        <v>24</v>
      </c>
      <c r="J851" s="13"/>
      <c r="K851" s="13"/>
    </row>
    <row r="852" spans="1:11">
      <c r="A852" s="3" t="s">
        <v>1569</v>
      </c>
      <c r="B852" s="1" t="s">
        <v>1657</v>
      </c>
      <c r="C852" s="1" t="s">
        <v>1658</v>
      </c>
      <c r="D852" s="3" t="s">
        <v>7</v>
      </c>
      <c r="E852" s="1" t="s">
        <v>14</v>
      </c>
      <c r="F852" s="5">
        <v>46188.710925925923</v>
      </c>
      <c r="G852" t="s">
        <v>944</v>
      </c>
      <c r="H852" t="s">
        <v>658</v>
      </c>
      <c r="I852" s="3">
        <f>VLOOKUP(G852,Sheet2!A:J,10,0)</f>
        <v>24</v>
      </c>
      <c r="J852" s="13"/>
      <c r="K852" s="13"/>
    </row>
    <row r="853" spans="1:11">
      <c r="A853" s="4" t="s">
        <v>1570</v>
      </c>
      <c r="B853" s="2" t="s">
        <v>1657</v>
      </c>
      <c r="C853" s="2" t="s">
        <v>1658</v>
      </c>
      <c r="D853" s="4" t="s">
        <v>7</v>
      </c>
      <c r="E853" s="2" t="s">
        <v>14</v>
      </c>
      <c r="F853" s="6">
        <v>46191.245208333334</v>
      </c>
      <c r="G853" t="s">
        <v>944</v>
      </c>
      <c r="H853" t="s">
        <v>658</v>
      </c>
      <c r="I853" s="3">
        <f>VLOOKUP(G853,Sheet2!A:J,10,0)</f>
        <v>24</v>
      </c>
      <c r="J853" s="13"/>
      <c r="K853" s="13"/>
    </row>
    <row r="854" spans="1:11">
      <c r="A854" s="3" t="s">
        <v>1571</v>
      </c>
      <c r="B854" s="1" t="s">
        <v>1657</v>
      </c>
      <c r="C854" s="1" t="s">
        <v>1658</v>
      </c>
      <c r="D854" s="3" t="s">
        <v>7</v>
      </c>
      <c r="E854" s="1" t="s">
        <v>14</v>
      </c>
      <c r="F854" s="5">
        <v>46190.516226851854</v>
      </c>
      <c r="G854" t="s">
        <v>944</v>
      </c>
      <c r="H854" t="s">
        <v>658</v>
      </c>
      <c r="I854" s="3">
        <f>VLOOKUP(G854,Sheet2!A:J,10,0)</f>
        <v>24</v>
      </c>
      <c r="J854" s="13"/>
      <c r="K854" s="13"/>
    </row>
    <row r="855" spans="1:11">
      <c r="A855" s="4" t="s">
        <v>1572</v>
      </c>
      <c r="B855" s="2" t="s">
        <v>1657</v>
      </c>
      <c r="C855" s="2" t="s">
        <v>1658</v>
      </c>
      <c r="D855" s="4" t="s">
        <v>7</v>
      </c>
      <c r="E855" s="2" t="s">
        <v>14</v>
      </c>
      <c r="F855" s="6">
        <v>46188.726574074077</v>
      </c>
      <c r="G855" t="s">
        <v>944</v>
      </c>
      <c r="H855" t="s">
        <v>658</v>
      </c>
      <c r="I855" s="3">
        <f>VLOOKUP(G855,Sheet2!A:J,10,0)</f>
        <v>24</v>
      </c>
      <c r="J855" s="13"/>
      <c r="K855" s="13"/>
    </row>
    <row r="856" spans="1:11">
      <c r="A856" s="3" t="s">
        <v>1573</v>
      </c>
      <c r="B856" s="1" t="s">
        <v>1657</v>
      </c>
      <c r="C856" s="1" t="s">
        <v>1658</v>
      </c>
      <c r="D856" s="3" t="s">
        <v>7</v>
      </c>
      <c r="E856" s="1" t="s">
        <v>14</v>
      </c>
      <c r="F856" s="5">
        <v>46188.729224537034</v>
      </c>
      <c r="G856" t="s">
        <v>944</v>
      </c>
      <c r="H856" t="s">
        <v>658</v>
      </c>
      <c r="I856" s="3">
        <f>VLOOKUP(G856,Sheet2!A:J,10,0)</f>
        <v>24</v>
      </c>
      <c r="J856" s="13"/>
      <c r="K856" s="13"/>
    </row>
    <row r="857" spans="1:11">
      <c r="A857" s="4" t="s">
        <v>1574</v>
      </c>
      <c r="B857" s="2" t="s">
        <v>1657</v>
      </c>
      <c r="C857" s="2" t="s">
        <v>1658</v>
      </c>
      <c r="D857" s="4" t="s">
        <v>7</v>
      </c>
      <c r="E857" s="2" t="s">
        <v>14</v>
      </c>
      <c r="F857" s="6">
        <v>46190.49046296296</v>
      </c>
      <c r="G857" t="s">
        <v>944</v>
      </c>
      <c r="H857" t="s">
        <v>658</v>
      </c>
      <c r="I857" s="3">
        <f>VLOOKUP(G857,Sheet2!A:J,10,0)</f>
        <v>24</v>
      </c>
      <c r="J857" s="13"/>
      <c r="K857" s="13"/>
    </row>
    <row r="858" spans="1:11">
      <c r="A858" s="3" t="s">
        <v>1575</v>
      </c>
      <c r="B858" s="1" t="s">
        <v>1657</v>
      </c>
      <c r="C858" s="1" t="s">
        <v>1658</v>
      </c>
      <c r="D858" s="3" t="s">
        <v>7</v>
      </c>
      <c r="E858" s="1" t="s">
        <v>14</v>
      </c>
      <c r="F858" s="5">
        <v>46188.709004629629</v>
      </c>
      <c r="G858" t="s">
        <v>944</v>
      </c>
      <c r="H858" t="s">
        <v>658</v>
      </c>
      <c r="I858" s="3">
        <f>VLOOKUP(G858,Sheet2!A:J,10,0)</f>
        <v>24</v>
      </c>
      <c r="J858" s="13"/>
      <c r="K858" s="13"/>
    </row>
    <row r="859" spans="1:11">
      <c r="A859" s="4" t="s">
        <v>1576</v>
      </c>
      <c r="B859" s="2" t="s">
        <v>1657</v>
      </c>
      <c r="C859" s="2" t="s">
        <v>1658</v>
      </c>
      <c r="D859" s="4" t="s">
        <v>7</v>
      </c>
      <c r="E859" s="2" t="s">
        <v>14</v>
      </c>
      <c r="F859" s="6">
        <v>46188.684502314813</v>
      </c>
      <c r="G859" t="s">
        <v>944</v>
      </c>
      <c r="H859" t="s">
        <v>658</v>
      </c>
      <c r="I859" s="3">
        <f>VLOOKUP(G859,Sheet2!A:J,10,0)</f>
        <v>24</v>
      </c>
      <c r="J859" s="13"/>
      <c r="K859" s="13"/>
    </row>
    <row r="860" spans="1:11">
      <c r="A860" s="3" t="s">
        <v>1577</v>
      </c>
      <c r="B860" s="1" t="s">
        <v>1657</v>
      </c>
      <c r="C860" s="1" t="s">
        <v>1658</v>
      </c>
      <c r="D860" s="3" t="s">
        <v>7</v>
      </c>
      <c r="E860" s="1" t="s">
        <v>14</v>
      </c>
      <c r="F860" s="5">
        <v>46188.701018518521</v>
      </c>
      <c r="G860" t="s">
        <v>944</v>
      </c>
      <c r="H860" t="s">
        <v>658</v>
      </c>
      <c r="I860" s="3">
        <f>VLOOKUP(G860,Sheet2!A:J,10,0)</f>
        <v>24</v>
      </c>
      <c r="J860" s="13"/>
      <c r="K860" s="13"/>
    </row>
    <row r="861" spans="1:11">
      <c r="A861" s="4" t="s">
        <v>1578</v>
      </c>
      <c r="B861" s="2" t="s">
        <v>1657</v>
      </c>
      <c r="C861" s="2" t="s">
        <v>1658</v>
      </c>
      <c r="D861" s="4" t="s">
        <v>7</v>
      </c>
      <c r="E861" s="2" t="s">
        <v>14</v>
      </c>
      <c r="F861" s="6">
        <v>46188.703761574077</v>
      </c>
      <c r="G861" t="s">
        <v>944</v>
      </c>
      <c r="H861" t="s">
        <v>658</v>
      </c>
      <c r="I861" s="3">
        <f>VLOOKUP(G861,Sheet2!A:J,10,0)</f>
        <v>24</v>
      </c>
      <c r="J861" s="13"/>
      <c r="K861" s="13"/>
    </row>
    <row r="862" spans="1:11">
      <c r="A862" s="3" t="s">
        <v>1579</v>
      </c>
      <c r="B862" s="1" t="s">
        <v>1659</v>
      </c>
      <c r="C862" s="1" t="s">
        <v>1660</v>
      </c>
      <c r="D862" s="3" t="s">
        <v>7</v>
      </c>
      <c r="E862" s="1" t="s">
        <v>14</v>
      </c>
      <c r="F862" s="5">
        <v>46188.655729166669</v>
      </c>
      <c r="G862" t="s">
        <v>944</v>
      </c>
      <c r="H862" t="s">
        <v>658</v>
      </c>
      <c r="I862" s="3">
        <f>VLOOKUP(G862,Sheet2!A:J,10,0)</f>
        <v>24</v>
      </c>
      <c r="J862" s="13"/>
      <c r="K862" s="13"/>
    </row>
    <row r="863" spans="1:11">
      <c r="A863" s="4" t="s">
        <v>1580</v>
      </c>
      <c r="B863" s="2" t="s">
        <v>1657</v>
      </c>
      <c r="C863" s="2" t="s">
        <v>1658</v>
      </c>
      <c r="D863" s="4" t="s">
        <v>7</v>
      </c>
      <c r="E863" s="2" t="s">
        <v>14</v>
      </c>
      <c r="F863" s="6">
        <v>46188.80505787037</v>
      </c>
      <c r="G863" t="s">
        <v>944</v>
      </c>
      <c r="H863" t="s">
        <v>658</v>
      </c>
      <c r="I863" s="3">
        <f>VLOOKUP(G863,Sheet2!A:J,10,0)</f>
        <v>24</v>
      </c>
      <c r="J863" s="13"/>
      <c r="K863" s="13"/>
    </row>
    <row r="864" spans="1:11">
      <c r="A864" s="3" t="s">
        <v>1581</v>
      </c>
      <c r="B864" s="1" t="s">
        <v>1657</v>
      </c>
      <c r="C864" s="1" t="s">
        <v>1658</v>
      </c>
      <c r="D864" s="3" t="s">
        <v>7</v>
      </c>
      <c r="E864" s="1" t="s">
        <v>14</v>
      </c>
      <c r="F864" s="5">
        <v>46188.810752314814</v>
      </c>
      <c r="G864" t="s">
        <v>944</v>
      </c>
      <c r="H864" t="s">
        <v>658</v>
      </c>
      <c r="I864" s="3">
        <f>VLOOKUP(G864,Sheet2!A:J,10,0)</f>
        <v>24</v>
      </c>
      <c r="J864" s="13"/>
      <c r="K864" s="13"/>
    </row>
    <row r="865" spans="1:11">
      <c r="A865" s="4" t="s">
        <v>1582</v>
      </c>
      <c r="B865" s="2" t="s">
        <v>1657</v>
      </c>
      <c r="C865" s="2" t="s">
        <v>1658</v>
      </c>
      <c r="D865" s="4" t="s">
        <v>7</v>
      </c>
      <c r="E865" s="2" t="s">
        <v>14</v>
      </c>
      <c r="F865" s="6">
        <v>46188.812534722223</v>
      </c>
      <c r="G865" t="s">
        <v>944</v>
      </c>
      <c r="H865" t="s">
        <v>658</v>
      </c>
      <c r="I865" s="3">
        <f>VLOOKUP(G865,Sheet2!A:J,10,0)</f>
        <v>24</v>
      </c>
      <c r="J865" s="13"/>
      <c r="K865" s="13"/>
    </row>
    <row r="866" spans="1:11">
      <c r="A866" s="3" t="s">
        <v>1583</v>
      </c>
      <c r="B866" s="1" t="s">
        <v>1657</v>
      </c>
      <c r="C866" s="1" t="s">
        <v>1658</v>
      </c>
      <c r="D866" s="3" t="s">
        <v>7</v>
      </c>
      <c r="E866" s="1" t="s">
        <v>14</v>
      </c>
      <c r="F866" s="5">
        <v>46188.814826388887</v>
      </c>
      <c r="G866" t="s">
        <v>944</v>
      </c>
      <c r="H866" t="s">
        <v>658</v>
      </c>
      <c r="I866" s="3">
        <f>VLOOKUP(G866,Sheet2!A:J,10,0)</f>
        <v>24</v>
      </c>
      <c r="J866" s="13"/>
      <c r="K866" s="13"/>
    </row>
    <row r="867" spans="1:11">
      <c r="A867" s="4" t="s">
        <v>1584</v>
      </c>
      <c r="B867" s="2" t="s">
        <v>1657</v>
      </c>
      <c r="C867" s="2" t="s">
        <v>1658</v>
      </c>
      <c r="D867" s="4" t="s">
        <v>7</v>
      </c>
      <c r="E867" s="2" t="s">
        <v>14</v>
      </c>
      <c r="F867" s="6">
        <v>46188.816689814812</v>
      </c>
      <c r="G867" t="s">
        <v>944</v>
      </c>
      <c r="H867" t="s">
        <v>658</v>
      </c>
      <c r="I867" s="3">
        <f>VLOOKUP(G867,Sheet2!A:J,10,0)</f>
        <v>24</v>
      </c>
      <c r="J867" s="13"/>
      <c r="K867" s="13"/>
    </row>
    <row r="868" spans="1:11">
      <c r="A868" s="3" t="s">
        <v>1585</v>
      </c>
      <c r="B868" s="1" t="s">
        <v>1657</v>
      </c>
      <c r="C868" s="1" t="s">
        <v>1658</v>
      </c>
      <c r="D868" s="3" t="s">
        <v>7</v>
      </c>
      <c r="E868" s="1" t="s">
        <v>14</v>
      </c>
      <c r="F868" s="5">
        <v>46188.819780092592</v>
      </c>
      <c r="G868" t="s">
        <v>944</v>
      </c>
      <c r="H868" t="s">
        <v>658</v>
      </c>
      <c r="I868" s="3">
        <f>VLOOKUP(G868,Sheet2!A:J,10,0)</f>
        <v>24</v>
      </c>
      <c r="J868" s="13"/>
      <c r="K868" s="13"/>
    </row>
    <row r="869" spans="1:11">
      <c r="A869" s="4" t="s">
        <v>1586</v>
      </c>
      <c r="B869" s="2" t="s">
        <v>1657</v>
      </c>
      <c r="C869" s="2" t="s">
        <v>1658</v>
      </c>
      <c r="D869" s="4" t="s">
        <v>7</v>
      </c>
      <c r="E869" s="2" t="s">
        <v>14</v>
      </c>
      <c r="F869" s="6">
        <v>46188.822164351855</v>
      </c>
      <c r="G869" t="s">
        <v>944</v>
      </c>
      <c r="H869" t="s">
        <v>658</v>
      </c>
      <c r="I869" s="3">
        <f>VLOOKUP(G869,Sheet2!A:J,10,0)</f>
        <v>24</v>
      </c>
      <c r="J869" s="13"/>
      <c r="K869" s="13"/>
    </row>
    <row r="870" spans="1:11">
      <c r="A870" s="3" t="s">
        <v>1587</v>
      </c>
      <c r="B870" s="1" t="s">
        <v>1657</v>
      </c>
      <c r="C870" s="1" t="s">
        <v>1658</v>
      </c>
      <c r="D870" s="3" t="s">
        <v>7</v>
      </c>
      <c r="E870" s="1" t="s">
        <v>14</v>
      </c>
      <c r="F870" s="5">
        <v>46188.866342592592</v>
      </c>
      <c r="G870" t="s">
        <v>944</v>
      </c>
      <c r="H870" t="s">
        <v>658</v>
      </c>
      <c r="I870" s="3">
        <f>VLOOKUP(G870,Sheet2!A:J,10,0)</f>
        <v>24</v>
      </c>
      <c r="J870" s="13"/>
      <c r="K870" s="13"/>
    </row>
    <row r="871" spans="1:11">
      <c r="A871" s="4" t="s">
        <v>1588</v>
      </c>
      <c r="B871" s="2" t="s">
        <v>1659</v>
      </c>
      <c r="C871" s="2" t="s">
        <v>1660</v>
      </c>
      <c r="D871" s="4" t="s">
        <v>7</v>
      </c>
      <c r="E871" s="2" t="s">
        <v>14</v>
      </c>
      <c r="F871" s="6">
        <v>46188.702789351853</v>
      </c>
      <c r="G871" t="s">
        <v>944</v>
      </c>
      <c r="H871" t="s">
        <v>658</v>
      </c>
      <c r="I871" s="3">
        <f>VLOOKUP(G871,Sheet2!A:J,10,0)</f>
        <v>24</v>
      </c>
      <c r="J871" s="13"/>
      <c r="K871" s="13"/>
    </row>
    <row r="872" spans="1:11">
      <c r="A872" s="3" t="s">
        <v>1589</v>
      </c>
      <c r="B872" s="1" t="s">
        <v>1657</v>
      </c>
      <c r="C872" s="1" t="s">
        <v>1658</v>
      </c>
      <c r="D872" s="3" t="s">
        <v>7</v>
      </c>
      <c r="E872" s="1" t="s">
        <v>14</v>
      </c>
      <c r="F872" s="5">
        <v>46188.750763888886</v>
      </c>
      <c r="G872" t="s">
        <v>944</v>
      </c>
      <c r="H872" t="s">
        <v>658</v>
      </c>
      <c r="I872" s="3">
        <f>VLOOKUP(G872,Sheet2!A:J,10,0)</f>
        <v>24</v>
      </c>
      <c r="J872" s="13"/>
      <c r="K872" s="13"/>
    </row>
    <row r="873" spans="1:11">
      <c r="A873" s="4" t="s">
        <v>1590</v>
      </c>
      <c r="B873" s="2" t="s">
        <v>1657</v>
      </c>
      <c r="C873" s="2" t="s">
        <v>1658</v>
      </c>
      <c r="D873" s="4" t="s">
        <v>7</v>
      </c>
      <c r="E873" s="2" t="s">
        <v>14</v>
      </c>
      <c r="F873" s="6">
        <v>46190.496874999997</v>
      </c>
      <c r="G873" t="s">
        <v>944</v>
      </c>
      <c r="H873" t="s">
        <v>658</v>
      </c>
      <c r="I873" s="3">
        <f>VLOOKUP(G873,Sheet2!A:J,10,0)</f>
        <v>24</v>
      </c>
      <c r="J873" s="13"/>
      <c r="K873" s="13"/>
    </row>
    <row r="874" spans="1:11">
      <c r="A874" s="3" t="s">
        <v>1591</v>
      </c>
      <c r="B874" s="1" t="s">
        <v>1657</v>
      </c>
      <c r="C874" s="1" t="s">
        <v>1658</v>
      </c>
      <c r="D874" s="3" t="s">
        <v>7</v>
      </c>
      <c r="E874" s="1" t="s">
        <v>14</v>
      </c>
      <c r="F874" s="5">
        <v>46189.60628472222</v>
      </c>
      <c r="G874" t="s">
        <v>944</v>
      </c>
      <c r="H874" t="s">
        <v>658</v>
      </c>
      <c r="I874" s="3">
        <f>VLOOKUP(G874,Sheet2!A:J,10,0)</f>
        <v>24</v>
      </c>
      <c r="J874" s="13"/>
      <c r="K874" s="13"/>
    </row>
    <row r="875" spans="1:11">
      <c r="A875" s="4" t="s">
        <v>1592</v>
      </c>
      <c r="B875" s="2" t="s">
        <v>1657</v>
      </c>
      <c r="C875" s="2" t="s">
        <v>1658</v>
      </c>
      <c r="D875" s="4" t="s">
        <v>7</v>
      </c>
      <c r="E875" s="2" t="s">
        <v>14</v>
      </c>
      <c r="F875" s="6">
        <v>46190.505023148151</v>
      </c>
      <c r="G875" t="s">
        <v>944</v>
      </c>
      <c r="H875" t="s">
        <v>658</v>
      </c>
      <c r="I875" s="3">
        <f>VLOOKUP(G875,Sheet2!A:J,10,0)</f>
        <v>24</v>
      </c>
      <c r="J875" s="13"/>
      <c r="K875" s="13"/>
    </row>
    <row r="876" spans="1:11">
      <c r="A876" s="3" t="s">
        <v>1593</v>
      </c>
      <c r="B876" s="1" t="s">
        <v>1657</v>
      </c>
      <c r="C876" s="1" t="s">
        <v>1658</v>
      </c>
      <c r="D876" s="3" t="s">
        <v>7</v>
      </c>
      <c r="E876" s="1" t="s">
        <v>14</v>
      </c>
      <c r="F876" s="5">
        <v>46189.623472222222</v>
      </c>
      <c r="G876" t="s">
        <v>944</v>
      </c>
      <c r="H876" t="s">
        <v>658</v>
      </c>
      <c r="I876" s="3">
        <f>VLOOKUP(G876,Sheet2!A:J,10,0)</f>
        <v>24</v>
      </c>
      <c r="J876" s="13"/>
      <c r="K876" s="13"/>
    </row>
    <row r="877" spans="1:11">
      <c r="A877" s="4" t="s">
        <v>1594</v>
      </c>
      <c r="B877" s="2" t="s">
        <v>1657</v>
      </c>
      <c r="C877" s="2" t="s">
        <v>1658</v>
      </c>
      <c r="D877" s="4" t="s">
        <v>7</v>
      </c>
      <c r="E877" s="2" t="s">
        <v>14</v>
      </c>
      <c r="F877" s="6">
        <v>46189.623402777775</v>
      </c>
      <c r="G877" t="s">
        <v>944</v>
      </c>
      <c r="H877" t="s">
        <v>658</v>
      </c>
      <c r="I877" s="3">
        <f>VLOOKUP(G877,Sheet2!A:J,10,0)</f>
        <v>24</v>
      </c>
      <c r="J877" s="13"/>
      <c r="K877" s="13"/>
    </row>
    <row r="878" spans="1:11">
      <c r="A878" s="3" t="s">
        <v>1595</v>
      </c>
      <c r="B878" s="1" t="s">
        <v>1657</v>
      </c>
      <c r="C878" s="1" t="s">
        <v>1658</v>
      </c>
      <c r="D878" s="3" t="s">
        <v>7</v>
      </c>
      <c r="E878" s="1" t="s">
        <v>14</v>
      </c>
      <c r="F878" s="5">
        <v>46189.62358796296</v>
      </c>
      <c r="G878" t="s">
        <v>944</v>
      </c>
      <c r="H878" t="s">
        <v>658</v>
      </c>
      <c r="I878" s="3">
        <f>VLOOKUP(G878,Sheet2!A:J,10,0)</f>
        <v>24</v>
      </c>
      <c r="J878" s="13"/>
      <c r="K878" s="13"/>
    </row>
    <row r="879" spans="1:11">
      <c r="A879" s="4" t="s">
        <v>1596</v>
      </c>
      <c r="B879" s="2" t="s">
        <v>1657</v>
      </c>
      <c r="C879" s="2" t="s">
        <v>1658</v>
      </c>
      <c r="D879" s="4" t="s">
        <v>7</v>
      </c>
      <c r="E879" s="2" t="s">
        <v>14</v>
      </c>
      <c r="F879" s="6">
        <v>46190.480925925927</v>
      </c>
      <c r="G879" t="s">
        <v>944</v>
      </c>
      <c r="H879" t="s">
        <v>658</v>
      </c>
      <c r="I879" s="3">
        <f>VLOOKUP(G879,Sheet2!A:J,10,0)</f>
        <v>24</v>
      </c>
      <c r="J879" s="13"/>
      <c r="K879" s="13"/>
    </row>
    <row r="880" spans="1:11">
      <c r="A880" s="3" t="s">
        <v>1597</v>
      </c>
      <c r="B880" s="1" t="s">
        <v>1657</v>
      </c>
      <c r="C880" s="1" t="s">
        <v>1658</v>
      </c>
      <c r="D880" s="3" t="s">
        <v>7</v>
      </c>
      <c r="E880" s="1" t="s">
        <v>14</v>
      </c>
      <c r="F880" s="5">
        <v>46189.624525462961</v>
      </c>
      <c r="G880" t="s">
        <v>944</v>
      </c>
      <c r="H880" t="s">
        <v>658</v>
      </c>
      <c r="I880" s="3">
        <f>VLOOKUP(G880,Sheet2!A:J,10,0)</f>
        <v>24</v>
      </c>
      <c r="J880" s="13"/>
      <c r="K880" s="13"/>
    </row>
    <row r="881" spans="1:11">
      <c r="A881" s="4" t="s">
        <v>1598</v>
      </c>
      <c r="B881" s="2" t="s">
        <v>1657</v>
      </c>
      <c r="C881" s="2" t="s">
        <v>1658</v>
      </c>
      <c r="D881" s="4" t="s">
        <v>7</v>
      </c>
      <c r="E881" s="2" t="s">
        <v>14</v>
      </c>
      <c r="F881" s="6">
        <v>46190.488888888889</v>
      </c>
      <c r="G881" t="s">
        <v>944</v>
      </c>
      <c r="H881" t="s">
        <v>658</v>
      </c>
      <c r="I881" s="3">
        <f>VLOOKUP(G881,Sheet2!A:J,10,0)</f>
        <v>24</v>
      </c>
      <c r="J881" s="13"/>
      <c r="K881" s="13"/>
    </row>
    <row r="882" spans="1:11">
      <c r="A882" s="3" t="s">
        <v>1599</v>
      </c>
      <c r="B882" s="1" t="s">
        <v>1657</v>
      </c>
      <c r="C882" s="1" t="s">
        <v>1658</v>
      </c>
      <c r="D882" s="3" t="s">
        <v>7</v>
      </c>
      <c r="E882" s="1" t="s">
        <v>14</v>
      </c>
      <c r="F882" s="5">
        <v>46189.641747685186</v>
      </c>
      <c r="G882" t="s">
        <v>944</v>
      </c>
      <c r="H882" t="s">
        <v>658</v>
      </c>
      <c r="I882" s="3">
        <f>VLOOKUP(G882,Sheet2!A:J,10,0)</f>
        <v>24</v>
      </c>
      <c r="J882" s="13"/>
      <c r="K882" s="13"/>
    </row>
    <row r="883" spans="1:11">
      <c r="A883" s="4" t="s">
        <v>1600</v>
      </c>
      <c r="B883" s="2" t="s">
        <v>1657</v>
      </c>
      <c r="C883" s="2" t="s">
        <v>1658</v>
      </c>
      <c r="D883" s="4" t="s">
        <v>7</v>
      </c>
      <c r="E883" s="2" t="s">
        <v>14</v>
      </c>
      <c r="F883" s="6">
        <v>46188.897268518522</v>
      </c>
      <c r="G883" t="s">
        <v>944</v>
      </c>
      <c r="H883" t="s">
        <v>658</v>
      </c>
      <c r="I883" s="3">
        <f>VLOOKUP(G883,Sheet2!A:J,10,0)</f>
        <v>24</v>
      </c>
      <c r="J883" s="13"/>
      <c r="K883" s="13"/>
    </row>
    <row r="884" spans="1:11">
      <c r="A884" s="3" t="s">
        <v>1601</v>
      </c>
      <c r="B884" s="1" t="s">
        <v>1657</v>
      </c>
      <c r="C884" s="1" t="s">
        <v>1658</v>
      </c>
      <c r="D884" s="3" t="s">
        <v>7</v>
      </c>
      <c r="E884" s="1" t="s">
        <v>14</v>
      </c>
      <c r="F884" s="5">
        <v>46190.495208333334</v>
      </c>
      <c r="G884" t="s">
        <v>944</v>
      </c>
      <c r="H884" t="s">
        <v>658</v>
      </c>
      <c r="I884" s="3">
        <f>VLOOKUP(G884,Sheet2!A:J,10,0)</f>
        <v>24</v>
      </c>
      <c r="J884" s="13"/>
      <c r="K884" s="13"/>
    </row>
    <row r="885" spans="1:11">
      <c r="A885" s="4" t="s">
        <v>1602</v>
      </c>
      <c r="B885" s="2" t="s">
        <v>1657</v>
      </c>
      <c r="C885" s="2" t="s">
        <v>1658</v>
      </c>
      <c r="D885" s="4" t="s">
        <v>7</v>
      </c>
      <c r="E885" s="2" t="s">
        <v>14</v>
      </c>
      <c r="F885" s="6">
        <v>46188.917928240742</v>
      </c>
      <c r="G885" t="s">
        <v>944</v>
      </c>
      <c r="H885" t="s">
        <v>658</v>
      </c>
      <c r="I885" s="3">
        <f>VLOOKUP(G885,Sheet2!A:J,10,0)</f>
        <v>24</v>
      </c>
      <c r="J885" s="13"/>
      <c r="K885" s="13"/>
    </row>
    <row r="886" spans="1:11">
      <c r="A886" s="3" t="s">
        <v>1603</v>
      </c>
      <c r="B886" s="1" t="s">
        <v>1657</v>
      </c>
      <c r="C886" s="1" t="s">
        <v>1658</v>
      </c>
      <c r="D886" s="3" t="s">
        <v>7</v>
      </c>
      <c r="E886" s="1" t="s">
        <v>14</v>
      </c>
      <c r="F886" s="5">
        <v>46188.921979166669</v>
      </c>
      <c r="G886" t="s">
        <v>944</v>
      </c>
      <c r="H886" t="s">
        <v>658</v>
      </c>
      <c r="I886" s="3">
        <f>VLOOKUP(G886,Sheet2!A:J,10,0)</f>
        <v>24</v>
      </c>
      <c r="J886" s="13"/>
      <c r="K886" s="13"/>
    </row>
    <row r="887" spans="1:11">
      <c r="A887" s="4" t="s">
        <v>1604</v>
      </c>
      <c r="B887" s="2" t="s">
        <v>1659</v>
      </c>
      <c r="C887" s="2" t="s">
        <v>1660</v>
      </c>
      <c r="D887" s="4" t="s">
        <v>7</v>
      </c>
      <c r="E887" s="2" t="s">
        <v>14</v>
      </c>
      <c r="F887" s="6">
        <v>46188.862395833334</v>
      </c>
      <c r="G887" t="s">
        <v>944</v>
      </c>
      <c r="H887" t="s">
        <v>658</v>
      </c>
      <c r="I887" s="3">
        <f>VLOOKUP(G887,Sheet2!A:J,10,0)</f>
        <v>24</v>
      </c>
      <c r="J887" s="13"/>
      <c r="K887" s="13"/>
    </row>
    <row r="888" spans="1:11">
      <c r="A888" s="3" t="s">
        <v>1605</v>
      </c>
      <c r="B888" s="1" t="s">
        <v>1657</v>
      </c>
      <c r="C888" s="1" t="s">
        <v>1658</v>
      </c>
      <c r="D888" s="3" t="s">
        <v>7</v>
      </c>
      <c r="E888" s="1" t="s">
        <v>14</v>
      </c>
      <c r="F888" s="5">
        <v>46188.889791666668</v>
      </c>
      <c r="G888" t="s">
        <v>944</v>
      </c>
      <c r="H888" t="s">
        <v>658</v>
      </c>
      <c r="I888" s="3">
        <f>VLOOKUP(G888,Sheet2!A:J,10,0)</f>
        <v>24</v>
      </c>
      <c r="J888" s="13"/>
      <c r="K888" s="13"/>
    </row>
    <row r="889" spans="1:11">
      <c r="A889" s="4" t="s">
        <v>1606</v>
      </c>
      <c r="B889" s="2" t="s">
        <v>1657</v>
      </c>
      <c r="C889" s="2" t="s">
        <v>1658</v>
      </c>
      <c r="D889" s="4" t="s">
        <v>7</v>
      </c>
      <c r="E889" s="2" t="s">
        <v>14</v>
      </c>
      <c r="F889" s="6">
        <v>46188.887175925927</v>
      </c>
      <c r="G889" t="s">
        <v>944</v>
      </c>
      <c r="H889" t="s">
        <v>658</v>
      </c>
      <c r="I889" s="3">
        <f>VLOOKUP(G889,Sheet2!A:J,10,0)</f>
        <v>24</v>
      </c>
      <c r="J889" s="13"/>
      <c r="K889" s="13"/>
    </row>
    <row r="890" spans="1:11">
      <c r="A890" s="3" t="s">
        <v>1607</v>
      </c>
      <c r="B890" s="1" t="s">
        <v>1657</v>
      </c>
      <c r="C890" s="1" t="s">
        <v>1658</v>
      </c>
      <c r="D890" s="3" t="s">
        <v>7</v>
      </c>
      <c r="E890" s="1" t="s">
        <v>14</v>
      </c>
      <c r="F890" s="5">
        <v>46188.892187500001</v>
      </c>
      <c r="G890" t="s">
        <v>944</v>
      </c>
      <c r="H890" t="s">
        <v>658</v>
      </c>
      <c r="I890" s="3">
        <f>VLOOKUP(G890,Sheet2!A:J,10,0)</f>
        <v>24</v>
      </c>
      <c r="J890" s="13"/>
      <c r="K890" s="13"/>
    </row>
    <row r="891" spans="1:11">
      <c r="A891" s="4" t="s">
        <v>1608</v>
      </c>
      <c r="B891" s="2" t="s">
        <v>1657</v>
      </c>
      <c r="C891" s="2" t="s">
        <v>1658</v>
      </c>
      <c r="D891" s="4" t="s">
        <v>7</v>
      </c>
      <c r="E891" s="2" t="s">
        <v>14</v>
      </c>
      <c r="F891" s="6">
        <v>46188.89471064815</v>
      </c>
      <c r="G891" t="s">
        <v>944</v>
      </c>
      <c r="H891" t="s">
        <v>658</v>
      </c>
      <c r="I891" s="3">
        <f>VLOOKUP(G891,Sheet2!A:J,10,0)</f>
        <v>24</v>
      </c>
      <c r="J891" s="13"/>
      <c r="K891" s="13"/>
    </row>
    <row r="892" spans="1:11">
      <c r="A892" s="3" t="s">
        <v>1609</v>
      </c>
      <c r="B892" s="1" t="s">
        <v>1657</v>
      </c>
      <c r="C892" s="1" t="s">
        <v>1658</v>
      </c>
      <c r="D892" s="3" t="s">
        <v>7</v>
      </c>
      <c r="E892" s="1" t="s">
        <v>14</v>
      </c>
      <c r="F892" s="5">
        <v>46188.884965277779</v>
      </c>
      <c r="G892" t="s">
        <v>944</v>
      </c>
      <c r="H892" t="s">
        <v>658</v>
      </c>
      <c r="I892" s="3">
        <f>VLOOKUP(G892,Sheet2!A:J,10,0)</f>
        <v>24</v>
      </c>
      <c r="J892" s="13"/>
      <c r="K892" s="13"/>
    </row>
    <row r="893" spans="1:11">
      <c r="A893" s="4" t="s">
        <v>1610</v>
      </c>
      <c r="B893" s="2" t="s">
        <v>1657</v>
      </c>
      <c r="C893" s="2" t="s">
        <v>1658</v>
      </c>
      <c r="D893" s="4" t="s">
        <v>7</v>
      </c>
      <c r="E893" s="2" t="s">
        <v>14</v>
      </c>
      <c r="F893" s="6">
        <v>46189.713171296295</v>
      </c>
      <c r="G893" t="s">
        <v>944</v>
      </c>
      <c r="H893" t="s">
        <v>658</v>
      </c>
      <c r="I893" s="3">
        <f>VLOOKUP(G893,Sheet2!A:J,10,0)</f>
        <v>24</v>
      </c>
      <c r="J893" s="13"/>
      <c r="K893" s="13"/>
    </row>
    <row r="894" spans="1:11">
      <c r="A894" s="3" t="s">
        <v>1611</v>
      </c>
      <c r="B894" s="1" t="s">
        <v>1659</v>
      </c>
      <c r="C894" s="1" t="s">
        <v>1660</v>
      </c>
      <c r="D894" s="3" t="s">
        <v>7</v>
      </c>
      <c r="E894" s="1" t="s">
        <v>14</v>
      </c>
      <c r="F894" s="5">
        <v>46189.707557870373</v>
      </c>
      <c r="G894" t="s">
        <v>944</v>
      </c>
      <c r="H894" t="s">
        <v>658</v>
      </c>
      <c r="I894" s="3">
        <f>VLOOKUP(G894,Sheet2!A:J,10,0)</f>
        <v>24</v>
      </c>
      <c r="J894" s="13"/>
      <c r="K894" s="13"/>
    </row>
    <row r="895" spans="1:11">
      <c r="A895" s="4" t="s">
        <v>1612</v>
      </c>
      <c r="B895" s="2" t="s">
        <v>1659</v>
      </c>
      <c r="C895" s="2" t="s">
        <v>1660</v>
      </c>
      <c r="D895" s="4" t="s">
        <v>7</v>
      </c>
      <c r="E895" s="2" t="s">
        <v>14</v>
      </c>
      <c r="F895" s="6">
        <v>46189.606886574074</v>
      </c>
      <c r="G895" t="s">
        <v>944</v>
      </c>
      <c r="H895" t="s">
        <v>658</v>
      </c>
      <c r="I895" s="3">
        <f>VLOOKUP(G895,Sheet2!A:J,10,0)</f>
        <v>24</v>
      </c>
      <c r="J895" s="13"/>
      <c r="K895" s="13"/>
    </row>
    <row r="896" spans="1:11">
      <c r="A896" s="3" t="s">
        <v>1613</v>
      </c>
      <c r="B896" s="1" t="s">
        <v>1657</v>
      </c>
      <c r="C896" s="1" t="s">
        <v>1658</v>
      </c>
      <c r="D896" s="3" t="s">
        <v>7</v>
      </c>
      <c r="E896" s="1" t="s">
        <v>14</v>
      </c>
      <c r="F896" s="5">
        <v>46189.710833333331</v>
      </c>
      <c r="G896" t="s">
        <v>944</v>
      </c>
      <c r="H896" t="s">
        <v>658</v>
      </c>
      <c r="I896" s="3">
        <f>VLOOKUP(G896,Sheet2!A:J,10,0)</f>
        <v>24</v>
      </c>
      <c r="J896" s="13"/>
      <c r="K896" s="13"/>
    </row>
    <row r="897" spans="1:11">
      <c r="A897" s="4" t="s">
        <v>1614</v>
      </c>
      <c r="B897" s="2" t="s">
        <v>1657</v>
      </c>
      <c r="C897" s="2" t="s">
        <v>1658</v>
      </c>
      <c r="D897" s="4" t="s">
        <v>7</v>
      </c>
      <c r="E897" s="2" t="s">
        <v>14</v>
      </c>
      <c r="F897" s="6">
        <v>46189.690034722225</v>
      </c>
      <c r="G897" t="s">
        <v>944</v>
      </c>
      <c r="H897" t="s">
        <v>658</v>
      </c>
      <c r="I897" s="3">
        <f>VLOOKUP(G897,Sheet2!A:J,10,0)</f>
        <v>24</v>
      </c>
      <c r="J897" s="13"/>
      <c r="K897" s="13"/>
    </row>
    <row r="898" spans="1:11">
      <c r="A898" s="3" t="s">
        <v>1615</v>
      </c>
      <c r="B898" s="1" t="s">
        <v>1657</v>
      </c>
      <c r="C898" s="1" t="s">
        <v>1658</v>
      </c>
      <c r="D898" s="3" t="s">
        <v>7</v>
      </c>
      <c r="E898" s="1" t="s">
        <v>14</v>
      </c>
      <c r="F898" s="5">
        <v>46189.674444444441</v>
      </c>
      <c r="G898" t="s">
        <v>944</v>
      </c>
      <c r="H898" t="s">
        <v>658</v>
      </c>
      <c r="I898" s="3">
        <f>VLOOKUP(G898,Sheet2!A:J,10,0)</f>
        <v>24</v>
      </c>
      <c r="J898" s="13"/>
      <c r="K898" s="13"/>
    </row>
    <row r="899" spans="1:11">
      <c r="A899" s="4" t="s">
        <v>1616</v>
      </c>
      <c r="B899" s="2" t="s">
        <v>1657</v>
      </c>
      <c r="C899" s="2" t="s">
        <v>1658</v>
      </c>
      <c r="D899" s="4" t="s">
        <v>7</v>
      </c>
      <c r="E899" s="2" t="s">
        <v>14</v>
      </c>
      <c r="F899" s="6">
        <v>46190.4846875</v>
      </c>
      <c r="G899" t="s">
        <v>944</v>
      </c>
      <c r="H899" t="s">
        <v>658</v>
      </c>
      <c r="I899" s="3">
        <f>VLOOKUP(G899,Sheet2!A:J,10,0)</f>
        <v>24</v>
      </c>
      <c r="J899" s="13"/>
      <c r="K899" s="13"/>
    </row>
    <row r="900" spans="1:11">
      <c r="A900" s="3" t="s">
        <v>1617</v>
      </c>
      <c r="B900" s="1" t="s">
        <v>1657</v>
      </c>
      <c r="C900" s="1" t="s">
        <v>1658</v>
      </c>
      <c r="D900" s="3" t="s">
        <v>7</v>
      </c>
      <c r="E900" s="1" t="s">
        <v>14</v>
      </c>
      <c r="F900" s="5">
        <v>46190.483182870368</v>
      </c>
      <c r="G900" t="s">
        <v>944</v>
      </c>
      <c r="H900" t="s">
        <v>658</v>
      </c>
      <c r="I900" s="3">
        <f>VLOOKUP(G900,Sheet2!A:J,10,0)</f>
        <v>24</v>
      </c>
      <c r="J900" s="13"/>
      <c r="K900" s="13"/>
    </row>
    <row r="901" spans="1:11">
      <c r="A901" s="4" t="s">
        <v>1618</v>
      </c>
      <c r="B901" s="2" t="s">
        <v>1657</v>
      </c>
      <c r="C901" s="2" t="s">
        <v>1658</v>
      </c>
      <c r="D901" s="4" t="s">
        <v>7</v>
      </c>
      <c r="E901" s="2" t="s">
        <v>14</v>
      </c>
      <c r="F901" s="6">
        <v>46189.644085648149</v>
      </c>
      <c r="G901" t="s">
        <v>944</v>
      </c>
      <c r="H901" t="s">
        <v>658</v>
      </c>
      <c r="I901" s="3">
        <f>VLOOKUP(G901,Sheet2!A:J,10,0)</f>
        <v>24</v>
      </c>
      <c r="J901" s="13"/>
      <c r="K901" s="13"/>
    </row>
    <row r="902" spans="1:11">
      <c r="A902" s="3" t="s">
        <v>1619</v>
      </c>
      <c r="B902" s="1" t="s">
        <v>1657</v>
      </c>
      <c r="C902" s="1" t="s">
        <v>1658</v>
      </c>
      <c r="D902" s="3" t="s">
        <v>7</v>
      </c>
      <c r="E902" s="1" t="s">
        <v>14</v>
      </c>
      <c r="F902" s="5">
        <v>46189.640196759261</v>
      </c>
      <c r="G902" t="s">
        <v>944</v>
      </c>
      <c r="H902" t="s">
        <v>658</v>
      </c>
      <c r="I902" s="3">
        <f>VLOOKUP(G902,Sheet2!A:J,10,0)</f>
        <v>24</v>
      </c>
      <c r="J902" s="13"/>
      <c r="K902" s="13"/>
    </row>
    <row r="903" spans="1:11">
      <c r="A903" s="4" t="s">
        <v>1620</v>
      </c>
      <c r="B903" s="2" t="s">
        <v>1657</v>
      </c>
      <c r="C903" s="2" t="s">
        <v>1658</v>
      </c>
      <c r="D903" s="4" t="s">
        <v>7</v>
      </c>
      <c r="E903" s="2" t="s">
        <v>14</v>
      </c>
      <c r="F903" s="6">
        <v>46189.339791666665</v>
      </c>
      <c r="G903" t="s">
        <v>944</v>
      </c>
      <c r="H903" t="s">
        <v>658</v>
      </c>
      <c r="I903" s="3">
        <f>VLOOKUP(G903,Sheet2!A:J,10,0)</f>
        <v>24</v>
      </c>
      <c r="J903" s="13"/>
      <c r="K903" s="13"/>
    </row>
    <row r="904" spans="1:11">
      <c r="A904" s="3" t="s">
        <v>1621</v>
      </c>
      <c r="B904" s="1" t="s">
        <v>1657</v>
      </c>
      <c r="C904" s="1" t="s">
        <v>1658</v>
      </c>
      <c r="D904" s="3" t="s">
        <v>7</v>
      </c>
      <c r="E904" s="1" t="s">
        <v>14</v>
      </c>
      <c r="F904" s="5">
        <v>46189.33630787037</v>
      </c>
      <c r="G904" t="s">
        <v>944</v>
      </c>
      <c r="H904" t="s">
        <v>658</v>
      </c>
      <c r="I904" s="3">
        <f>VLOOKUP(G904,Sheet2!A:J,10,0)</f>
        <v>24</v>
      </c>
      <c r="J904" s="13"/>
      <c r="K904" s="13"/>
    </row>
    <row r="905" spans="1:11">
      <c r="A905" s="4" t="s">
        <v>1622</v>
      </c>
      <c r="B905" s="2" t="s">
        <v>1657</v>
      </c>
      <c r="C905" s="2" t="s">
        <v>1658</v>
      </c>
      <c r="D905" s="4" t="s">
        <v>7</v>
      </c>
      <c r="E905" s="2" t="s">
        <v>14</v>
      </c>
      <c r="F905" s="6">
        <v>46189.334664351853</v>
      </c>
      <c r="G905" t="s">
        <v>944</v>
      </c>
      <c r="H905" t="s">
        <v>658</v>
      </c>
      <c r="I905" s="3">
        <f>VLOOKUP(G905,Sheet2!A:J,10,0)</f>
        <v>24</v>
      </c>
      <c r="J905" s="13"/>
      <c r="K905" s="13"/>
    </row>
    <row r="906" spans="1:11">
      <c r="A906" s="3" t="s">
        <v>1623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t="s">
        <v>944</v>
      </c>
      <c r="H906" t="s">
        <v>658</v>
      </c>
      <c r="I906" s="3">
        <f>VLOOKUP(G906,Sheet2!A:J,10,0)</f>
        <v>24</v>
      </c>
      <c r="J906" s="13"/>
      <c r="K906" s="13"/>
    </row>
    <row r="907" spans="1:11">
      <c r="A907" s="4" t="s">
        <v>1624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t="s">
        <v>944</v>
      </c>
      <c r="H907" t="s">
        <v>658</v>
      </c>
      <c r="I907" s="3">
        <f>VLOOKUP(G907,Sheet2!A:J,10,0)</f>
        <v>24</v>
      </c>
      <c r="J907" s="13"/>
      <c r="K907" s="13"/>
    </row>
    <row r="908" spans="1:11">
      <c r="A908" s="3" t="s">
        <v>1625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t="s">
        <v>944</v>
      </c>
      <c r="H908" t="s">
        <v>658</v>
      </c>
      <c r="I908" s="3">
        <f>VLOOKUP(G908,Sheet2!A:J,10,0)</f>
        <v>24</v>
      </c>
      <c r="J908" s="13"/>
      <c r="K908" s="13"/>
    </row>
    <row r="909" spans="1:11">
      <c r="A909" s="4" t="s">
        <v>1626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t="s">
        <v>944</v>
      </c>
      <c r="H909" t="s">
        <v>658</v>
      </c>
      <c r="I909" s="3">
        <f>VLOOKUP(G909,Sheet2!A:J,10,0)</f>
        <v>24</v>
      </c>
      <c r="J909" s="13"/>
      <c r="K909" s="13"/>
    </row>
    <row r="910" spans="1:11">
      <c r="A910" s="3" t="s">
        <v>1627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t="s">
        <v>944</v>
      </c>
      <c r="H910" t="s">
        <v>658</v>
      </c>
      <c r="I910" s="3">
        <f>VLOOKUP(G910,Sheet2!A:J,10,0)</f>
        <v>24</v>
      </c>
      <c r="J910" s="13"/>
      <c r="K910" s="13"/>
    </row>
    <row r="911" spans="1:11">
      <c r="A911" s="4" t="s">
        <v>1628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t="s">
        <v>944</v>
      </c>
      <c r="H911" t="s">
        <v>658</v>
      </c>
      <c r="I911" s="3">
        <f>VLOOKUP(G911,Sheet2!A:J,10,0)</f>
        <v>24</v>
      </c>
      <c r="J911" s="13"/>
      <c r="K911" s="13"/>
    </row>
    <row r="912" spans="1:11">
      <c r="A912" s="3" t="s">
        <v>1629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944</v>
      </c>
      <c r="H912" t="s">
        <v>658</v>
      </c>
      <c r="I912" s="3">
        <f>VLOOKUP(G912,Sheet2!A:J,10,0)</f>
        <v>24</v>
      </c>
      <c r="J912" s="13"/>
      <c r="K912" s="13"/>
    </row>
    <row r="913" spans="1:11">
      <c r="A913" s="4" t="s">
        <v>1630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944</v>
      </c>
      <c r="H913" t="s">
        <v>658</v>
      </c>
      <c r="I913" s="3">
        <f>VLOOKUP(G913,Sheet2!A:J,10,0)</f>
        <v>24</v>
      </c>
      <c r="J913" s="13"/>
      <c r="K913" s="13"/>
    </row>
    <row r="914" spans="1:11">
      <c r="A914" s="3" t="s">
        <v>1631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944</v>
      </c>
      <c r="H914" t="s">
        <v>658</v>
      </c>
      <c r="I914" s="3">
        <f>VLOOKUP(G914,Sheet2!A:J,10,0)</f>
        <v>24</v>
      </c>
      <c r="J914" s="13"/>
      <c r="K914" s="13"/>
    </row>
    <row r="915" spans="1:11">
      <c r="A915" s="4" t="s">
        <v>1632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944</v>
      </c>
      <c r="H915" t="s">
        <v>658</v>
      </c>
      <c r="I915" s="3">
        <f>VLOOKUP(G915,Sheet2!A:J,10,0)</f>
        <v>24</v>
      </c>
      <c r="J915" s="13"/>
      <c r="K915" s="13"/>
    </row>
    <row r="916" spans="1:11">
      <c r="A916" s="3" t="s">
        <v>1633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944</v>
      </c>
      <c r="H916" t="s">
        <v>658</v>
      </c>
      <c r="I916" s="3">
        <f>VLOOKUP(G916,Sheet2!A:J,10,0)</f>
        <v>24</v>
      </c>
      <c r="J916" s="13"/>
      <c r="K916" s="13"/>
    </row>
    <row r="917" spans="1:11">
      <c r="A917" s="4" t="s">
        <v>1634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944</v>
      </c>
      <c r="H917" t="s">
        <v>658</v>
      </c>
      <c r="I917" s="3">
        <f>VLOOKUP(G917,Sheet2!A:J,10,0)</f>
        <v>24</v>
      </c>
      <c r="J917" s="13"/>
      <c r="K917" s="13"/>
    </row>
    <row r="918" spans="1:11">
      <c r="A918" s="3" t="s">
        <v>1635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944</v>
      </c>
      <c r="H918" t="s">
        <v>658</v>
      </c>
      <c r="I918" s="3">
        <f>VLOOKUP(G918,Sheet2!A:J,10,0)</f>
        <v>24</v>
      </c>
      <c r="J918" s="13"/>
      <c r="K918" s="13"/>
    </row>
    <row r="919" spans="1:11">
      <c r="A919" s="4" t="s">
        <v>1636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944</v>
      </c>
      <c r="H919" t="s">
        <v>658</v>
      </c>
      <c r="I919" s="3">
        <f>VLOOKUP(G919,Sheet2!A:J,10,0)</f>
        <v>24</v>
      </c>
      <c r="J919" s="13"/>
      <c r="K919" s="13"/>
    </row>
    <row r="920" spans="1:11">
      <c r="A920" s="3" t="s">
        <v>1637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944</v>
      </c>
      <c r="H920" t="s">
        <v>658</v>
      </c>
      <c r="I920" s="3">
        <f>VLOOKUP(G920,Sheet2!A:J,10,0)</f>
        <v>24</v>
      </c>
      <c r="J920" s="13"/>
      <c r="K920" s="13"/>
    </row>
    <row r="921" spans="1:11">
      <c r="A921" s="4" t="s">
        <v>1638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944</v>
      </c>
      <c r="H921" t="s">
        <v>658</v>
      </c>
      <c r="I921" s="3">
        <f>VLOOKUP(G921,Sheet2!A:J,10,0)</f>
        <v>24</v>
      </c>
      <c r="J921" s="13"/>
      <c r="K921" s="13"/>
    </row>
    <row r="922" spans="1:11">
      <c r="A922" s="3" t="s">
        <v>1639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944</v>
      </c>
      <c r="H922" t="s">
        <v>658</v>
      </c>
      <c r="I922" s="3">
        <f>VLOOKUP(G922,Sheet2!A:J,10,0)</f>
        <v>24</v>
      </c>
      <c r="J922" s="13"/>
      <c r="K922" s="13"/>
    </row>
    <row r="923" spans="1:11">
      <c r="A923" s="4" t="s">
        <v>1640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944</v>
      </c>
      <c r="H923" t="s">
        <v>658</v>
      </c>
      <c r="I923" s="3">
        <f>VLOOKUP(G923,Sheet2!A:J,10,0)</f>
        <v>24</v>
      </c>
      <c r="J923" s="13"/>
      <c r="K923" s="13"/>
    </row>
    <row r="924" spans="1:11">
      <c r="A924" s="3" t="s">
        <v>1641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944</v>
      </c>
      <c r="H924" t="s">
        <v>658</v>
      </c>
      <c r="I924" s="3">
        <f>VLOOKUP(G924,Sheet2!A:J,10,0)</f>
        <v>24</v>
      </c>
      <c r="J924" s="13"/>
      <c r="K924" s="13"/>
    </row>
    <row r="925" spans="1:11">
      <c r="A925" s="4" t="s">
        <v>1642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944</v>
      </c>
      <c r="H925" t="s">
        <v>658</v>
      </c>
      <c r="I925" s="3">
        <f>VLOOKUP(G925,Sheet2!A:J,10,0)</f>
        <v>24</v>
      </c>
      <c r="J925" s="13"/>
      <c r="K925" s="13"/>
    </row>
    <row r="926" spans="1:11">
      <c r="A926" s="3" t="s">
        <v>1643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944</v>
      </c>
      <c r="H926" t="s">
        <v>658</v>
      </c>
      <c r="I926" s="3">
        <f>VLOOKUP(G926,Sheet2!A:J,10,0)</f>
        <v>24</v>
      </c>
      <c r="J926" s="13"/>
      <c r="K926" s="13"/>
    </row>
    <row r="927" spans="1:11">
      <c r="A927" s="4" t="s">
        <v>1644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944</v>
      </c>
      <c r="H927" t="s">
        <v>658</v>
      </c>
      <c r="I927" s="3">
        <f>VLOOKUP(G927,Sheet2!A:J,10,0)</f>
        <v>24</v>
      </c>
      <c r="J927" s="13"/>
      <c r="K927" s="13"/>
    </row>
    <row r="928" spans="1:11">
      <c r="A928" s="3" t="s">
        <v>1645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944</v>
      </c>
      <c r="H928" t="s">
        <v>658</v>
      </c>
      <c r="I928" s="3">
        <f>VLOOKUP(G928,Sheet2!A:J,10,0)</f>
        <v>24</v>
      </c>
      <c r="J928" s="13"/>
      <c r="K928" s="13"/>
    </row>
    <row r="929" spans="1:11">
      <c r="A929" s="4" t="s">
        <v>1646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944</v>
      </c>
      <c r="H929" t="s">
        <v>658</v>
      </c>
      <c r="I929" s="3">
        <f>VLOOKUP(G929,Sheet2!A:J,10,0)</f>
        <v>24</v>
      </c>
      <c r="J929" s="13"/>
      <c r="K929" s="13"/>
    </row>
    <row r="930" spans="1:11">
      <c r="A930" s="3" t="s">
        <v>1647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944</v>
      </c>
      <c r="H930" t="s">
        <v>658</v>
      </c>
      <c r="I930" s="3">
        <f>VLOOKUP(G930,Sheet2!A:J,10,0)</f>
        <v>24</v>
      </c>
      <c r="J930" s="13"/>
      <c r="K930" s="13"/>
    </row>
    <row r="931" spans="1:11">
      <c r="A931" s="4" t="s">
        <v>1648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944</v>
      </c>
      <c r="H931" t="s">
        <v>658</v>
      </c>
      <c r="I931" s="3">
        <f>VLOOKUP(G931,Sheet2!A:J,10,0)</f>
        <v>24</v>
      </c>
      <c r="J931" s="13"/>
      <c r="K931" s="13"/>
    </row>
    <row r="932" spans="1:11">
      <c r="A932" s="3" t="s">
        <v>1649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944</v>
      </c>
      <c r="H932" t="s">
        <v>658</v>
      </c>
      <c r="I932" s="3">
        <f>VLOOKUP(G932,Sheet2!A:J,10,0)</f>
        <v>24</v>
      </c>
      <c r="J932" s="13"/>
      <c r="K932" s="13"/>
    </row>
    <row r="933" spans="1:11">
      <c r="A933" s="4" t="s">
        <v>1650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944</v>
      </c>
      <c r="H933" t="s">
        <v>658</v>
      </c>
      <c r="I933" s="3">
        <f>VLOOKUP(G933,Sheet2!A:J,10,0)</f>
        <v>24</v>
      </c>
      <c r="J933" s="13"/>
      <c r="K933" s="13"/>
    </row>
    <row r="934" spans="1:11">
      <c r="A934" s="3" t="s">
        <v>1651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944</v>
      </c>
      <c r="H934" t="s">
        <v>658</v>
      </c>
      <c r="I934" s="3">
        <f>VLOOKUP(G934,Sheet2!A:J,10,0)</f>
        <v>24</v>
      </c>
      <c r="J934" s="13"/>
      <c r="K934" s="13"/>
    </row>
    <row r="935" spans="1:11">
      <c r="A935" s="4" t="s">
        <v>1652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944</v>
      </c>
      <c r="H935" t="s">
        <v>658</v>
      </c>
      <c r="I935" s="3">
        <f>VLOOKUP(G935,Sheet2!A:J,10,0)</f>
        <v>24</v>
      </c>
      <c r="J935" s="13"/>
      <c r="K935" s="13"/>
    </row>
    <row r="936" spans="1:11">
      <c r="A936" s="3" t="s">
        <v>1653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944</v>
      </c>
      <c r="H936" t="s">
        <v>658</v>
      </c>
      <c r="I936" s="3">
        <f>VLOOKUP(G936,Sheet2!A:J,10,0)</f>
        <v>24</v>
      </c>
      <c r="J936" s="13"/>
      <c r="K936" s="13"/>
    </row>
    <row r="937" spans="1:11">
      <c r="A937" s="4" t="s">
        <v>1654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944</v>
      </c>
      <c r="H937" t="s">
        <v>658</v>
      </c>
      <c r="I937" s="3">
        <f>VLOOKUP(G937,Sheet2!A:J,10,0)</f>
        <v>24</v>
      </c>
      <c r="J937" s="13"/>
      <c r="K937" s="13"/>
    </row>
    <row r="938" spans="1:11">
      <c r="A938" s="3" t="s">
        <v>1655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944</v>
      </c>
      <c r="H938" t="s">
        <v>658</v>
      </c>
      <c r="I938" s="3">
        <f>VLOOKUP(G938,Sheet2!A:J,10,0)</f>
        <v>24</v>
      </c>
      <c r="J938" s="13"/>
      <c r="K938" s="13"/>
    </row>
    <row r="939" spans="1:11">
      <c r="A939" s="4" t="s">
        <v>1656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944</v>
      </c>
      <c r="H939" t="s">
        <v>658</v>
      </c>
      <c r="I939" s="3">
        <f>VLOOKUP(G939,Sheet2!A:J,10,0)</f>
        <v>24</v>
      </c>
      <c r="J939" s="13"/>
      <c r="K939" s="13"/>
    </row>
    <row r="940" spans="1:11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t="s">
        <v>655</v>
      </c>
      <c r="H940" t="s">
        <v>657</v>
      </c>
      <c r="I940" s="3">
        <f>VLOOKUP(G940,Sheet2!A:J,10,0)</f>
        <v>18</v>
      </c>
      <c r="J940" s="13"/>
      <c r="K940" s="13"/>
    </row>
    <row r="941" spans="1:11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t="s">
        <v>655</v>
      </c>
      <c r="H941" t="s">
        <v>657</v>
      </c>
      <c r="I941" s="3">
        <f>VLOOKUP(G941,Sheet2!A:J,10,0)</f>
        <v>18</v>
      </c>
      <c r="J941" s="13"/>
      <c r="K941" s="13">
        <v>46155</v>
      </c>
    </row>
    <row r="942" spans="1:11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t="s">
        <v>655</v>
      </c>
      <c r="H942" t="s">
        <v>657</v>
      </c>
      <c r="I942" s="3">
        <f>VLOOKUP(G942,Sheet2!A:J,10,0)</f>
        <v>18</v>
      </c>
      <c r="J942" s="13"/>
      <c r="K942" s="13">
        <v>46155</v>
      </c>
    </row>
    <row r="943" spans="1:1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VLOOKUP(G943,Sheet2!A:J,10,0)</f>
        <v>18</v>
      </c>
      <c r="J943" s="13"/>
      <c r="K943" s="13"/>
    </row>
    <row r="944" spans="1:11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t="s">
        <v>655</v>
      </c>
      <c r="H944" t="s">
        <v>657</v>
      </c>
      <c r="I944" s="3">
        <f>VLOOKUP(G944,Sheet2!A:J,10,0)</f>
        <v>18</v>
      </c>
      <c r="J944" s="13"/>
      <c r="K944" s="13">
        <v>46155</v>
      </c>
    </row>
    <row r="945" spans="1:11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t="s">
        <v>655</v>
      </c>
      <c r="H945" t="s">
        <v>657</v>
      </c>
      <c r="I945" s="3">
        <f>VLOOKUP(G945,Sheet2!A:J,10,0)</f>
        <v>18</v>
      </c>
      <c r="J945" s="13"/>
      <c r="K945" s="13">
        <v>46155</v>
      </c>
    </row>
    <row r="946" spans="1:1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VLOOKUP(G946,Sheet2!A:J,10,0)</f>
        <v>18</v>
      </c>
      <c r="J946" s="13"/>
      <c r="K946" s="13"/>
    </row>
    <row r="947" spans="1:1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VLOOKUP(G947,Sheet2!A:J,10,0)</f>
        <v>18</v>
      </c>
      <c r="J947" s="13"/>
      <c r="K947" s="13"/>
    </row>
    <row r="948" spans="1:1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VLOOKUP(G948,Sheet2!A:J,10,0)</f>
        <v>18</v>
      </c>
      <c r="J948" s="13"/>
      <c r="K948" s="13"/>
    </row>
    <row r="949" spans="1:11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t="s">
        <v>655</v>
      </c>
      <c r="H949" t="s">
        <v>657</v>
      </c>
      <c r="I949" s="3">
        <f>VLOOKUP(G949,Sheet2!A:J,10,0)</f>
        <v>18</v>
      </c>
      <c r="J949" s="13"/>
      <c r="K949" s="13">
        <v>46155</v>
      </c>
    </row>
    <row r="950" spans="1:1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VLOOKUP(G950,Sheet2!A:J,10,0)</f>
        <v>18</v>
      </c>
      <c r="J950" s="13"/>
      <c r="K950" s="13">
        <v>46150</v>
      </c>
    </row>
    <row r="951" spans="1:1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VLOOKUP(G951,Sheet2!A:J,10,0)</f>
        <v>18</v>
      </c>
      <c r="J951" s="13"/>
      <c r="K951" s="13"/>
    </row>
    <row r="952" spans="1:1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VLOOKUP(G952,Sheet2!A:J,10,0)</f>
        <v>18</v>
      </c>
      <c r="J952" s="13"/>
      <c r="K952" s="13"/>
    </row>
    <row r="953" spans="1:1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VLOOKUP(G953,Sheet2!A:J,10,0)</f>
        <v>18</v>
      </c>
      <c r="J953" s="13"/>
      <c r="K953" s="13"/>
    </row>
    <row r="954" spans="1:1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VLOOKUP(G954,Sheet2!A:J,10,0)</f>
        <v>18</v>
      </c>
      <c r="J954" s="13"/>
      <c r="K954" s="13"/>
    </row>
    <row r="955" spans="1:1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VLOOKUP(G955,Sheet2!A:J,10,0)</f>
        <v>18</v>
      </c>
      <c r="J955" s="13"/>
      <c r="K955" s="13">
        <v>46150</v>
      </c>
    </row>
    <row r="956" spans="1:1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VLOOKUP(G956,Sheet2!A:J,10,0)</f>
        <v>18</v>
      </c>
      <c r="J956" s="13"/>
      <c r="K956" s="13">
        <v>46150</v>
      </c>
    </row>
    <row r="957" spans="1:1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VLOOKUP(G957,Sheet2!A:J,10,0)</f>
        <v>18</v>
      </c>
      <c r="J957" s="13"/>
      <c r="K957" s="13"/>
    </row>
    <row r="958" spans="1:1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VLOOKUP(G958,Sheet2!A:J,10,0)</f>
        <v>18</v>
      </c>
      <c r="J958" s="13"/>
      <c r="K958" s="13"/>
    </row>
    <row r="959" spans="1:1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VLOOKUP(G959,Sheet2!A:J,10,0)</f>
        <v>18</v>
      </c>
      <c r="J959" s="13"/>
      <c r="K959" s="13"/>
    </row>
    <row r="960" spans="1:1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VLOOKUP(G960,Sheet2!A:J,10,0)</f>
        <v>18</v>
      </c>
      <c r="J960" s="13"/>
      <c r="K960" s="13"/>
    </row>
    <row r="961" spans="1:11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t="s">
        <v>655</v>
      </c>
      <c r="H961" t="s">
        <v>657</v>
      </c>
      <c r="I961" s="3">
        <f>VLOOKUP(G961,Sheet2!A:J,10,0)</f>
        <v>18</v>
      </c>
      <c r="J961" s="13"/>
      <c r="K961" s="13">
        <v>46155</v>
      </c>
    </row>
    <row r="962" spans="1:1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VLOOKUP(G962,Sheet2!A:J,10,0)</f>
        <v>18</v>
      </c>
      <c r="J962" s="13"/>
      <c r="K962" s="13"/>
    </row>
    <row r="963" spans="1:1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VLOOKUP(G963,Sheet2!A:J,10,0)</f>
        <v>18</v>
      </c>
      <c r="J963" s="13"/>
      <c r="K963" s="13"/>
    </row>
    <row r="964" spans="1:1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VLOOKUP(G964,Sheet2!A:J,10,0)</f>
        <v>18</v>
      </c>
      <c r="J964" s="13"/>
      <c r="K964" s="13"/>
    </row>
    <row r="965" spans="1:11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t="s">
        <v>655</v>
      </c>
      <c r="H965" t="s">
        <v>657</v>
      </c>
      <c r="I965" s="3">
        <f>VLOOKUP(G965,Sheet2!A:J,10,0)</f>
        <v>18</v>
      </c>
      <c r="J965" s="13"/>
      <c r="K965" s="13">
        <v>46155</v>
      </c>
    </row>
    <row r="966" spans="1:1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VLOOKUP(G966,Sheet2!A:J,10,0)</f>
        <v>18</v>
      </c>
      <c r="J966" s="13"/>
      <c r="K966" s="13"/>
    </row>
    <row r="967" spans="1:11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t="s">
        <v>655</v>
      </c>
      <c r="H967" t="s">
        <v>657</v>
      </c>
      <c r="I967" s="3">
        <f>VLOOKUP(G967,Sheet2!A:J,10,0)</f>
        <v>18</v>
      </c>
      <c r="J967" s="13"/>
      <c r="K967" s="13">
        <v>46155</v>
      </c>
    </row>
    <row r="968" spans="1:1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VLOOKUP(G968,Sheet2!A:J,10,0)</f>
        <v>18</v>
      </c>
      <c r="J968" s="13"/>
      <c r="K968" s="13"/>
    </row>
    <row r="969" spans="1:11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t="s">
        <v>655</v>
      </c>
      <c r="H969" t="s">
        <v>657</v>
      </c>
      <c r="I969" s="3">
        <f>VLOOKUP(G969,Sheet2!A:J,10,0)</f>
        <v>18</v>
      </c>
      <c r="J969" s="13"/>
      <c r="K969" s="13">
        <v>46155</v>
      </c>
    </row>
    <row r="970" spans="1:11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t="s">
        <v>655</v>
      </c>
      <c r="H970" t="s">
        <v>657</v>
      </c>
      <c r="I970" s="3">
        <f>VLOOKUP(G970,Sheet2!A:J,10,0)</f>
        <v>18</v>
      </c>
      <c r="J970" s="13"/>
      <c r="K970" s="13">
        <v>46155</v>
      </c>
    </row>
    <row r="971" spans="1:1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VLOOKUP(G971,Sheet2!A:J,10,0)</f>
        <v>18</v>
      </c>
      <c r="J971" s="13"/>
      <c r="K971" s="13"/>
    </row>
    <row r="972" spans="1:1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VLOOKUP(G972,Sheet2!A:J,10,0)</f>
        <v>18</v>
      </c>
      <c r="J972" s="13" t="s">
        <v>1979</v>
      </c>
      <c r="K972" s="13">
        <v>46155</v>
      </c>
    </row>
    <row r="973" spans="1:1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VLOOKUP(G973,Sheet2!A:J,10,0)</f>
        <v>18</v>
      </c>
      <c r="J973" s="13"/>
      <c r="K973" s="13"/>
    </row>
    <row r="974" spans="1:11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t="s">
        <v>655</v>
      </c>
      <c r="H974" t="s">
        <v>657</v>
      </c>
      <c r="I974" s="3">
        <f>VLOOKUP(G974,Sheet2!A:J,10,0)</f>
        <v>18</v>
      </c>
      <c r="J974" s="13"/>
      <c r="K974" s="13">
        <v>46155</v>
      </c>
    </row>
    <row r="975" spans="1:1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VLOOKUP(G975,Sheet2!A:J,10,0)</f>
        <v>18</v>
      </c>
      <c r="J975" s="13"/>
      <c r="K975" s="13"/>
    </row>
    <row r="976" spans="1:1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VLOOKUP(G976,Sheet2!A:J,10,0)</f>
        <v>18</v>
      </c>
      <c r="J976" s="13"/>
      <c r="K976" s="13"/>
    </row>
    <row r="977" spans="1:1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VLOOKUP(G977,Sheet2!A:J,10,0)</f>
        <v>18</v>
      </c>
      <c r="J977" s="13"/>
      <c r="K977" s="13"/>
    </row>
    <row r="978" spans="1:1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VLOOKUP(G978,Sheet2!A:J,10,0)</f>
        <v>18</v>
      </c>
      <c r="J978" s="13"/>
      <c r="K978" s="13"/>
    </row>
    <row r="979" spans="1:1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VLOOKUP(G979,Sheet2!A:J,10,0)</f>
        <v>18</v>
      </c>
      <c r="J979" s="13"/>
      <c r="K979" s="13"/>
    </row>
    <row r="980" spans="1:1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VLOOKUP(G980,Sheet2!A:J,10,0)</f>
        <v>18</v>
      </c>
      <c r="J980" s="13"/>
      <c r="K980" s="13"/>
    </row>
    <row r="981" spans="1:1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VLOOKUP(G981,Sheet2!A:J,10,0)</f>
        <v>18</v>
      </c>
      <c r="J981" s="13"/>
      <c r="K981" s="13"/>
    </row>
    <row r="982" spans="1:1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VLOOKUP(G982,Sheet2!A:J,10,0)</f>
        <v>18</v>
      </c>
      <c r="J982" s="13"/>
      <c r="K982" s="13"/>
    </row>
    <row r="983" spans="1:1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VLOOKUP(G983,Sheet2!A:J,10,0)</f>
        <v>18</v>
      </c>
      <c r="J983" s="13"/>
      <c r="K983" s="13"/>
    </row>
    <row r="984" spans="1:1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VLOOKUP(G984,Sheet2!A:J,10,0)</f>
        <v>18</v>
      </c>
      <c r="J984" s="13"/>
      <c r="K984" s="13"/>
    </row>
    <row r="985" spans="1:1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VLOOKUP(G985,Sheet2!A:J,10,0)</f>
        <v>18</v>
      </c>
      <c r="J985" s="13"/>
      <c r="K985" s="13"/>
    </row>
    <row r="986" spans="1:1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VLOOKUP(G986,Sheet2!A:J,10,0)</f>
        <v>18</v>
      </c>
      <c r="J986" s="13"/>
      <c r="K986" s="13"/>
    </row>
    <row r="987" spans="1:1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VLOOKUP(G987,Sheet2!A:J,10,0)</f>
        <v>18</v>
      </c>
      <c r="J987" s="13"/>
      <c r="K987" s="13"/>
    </row>
    <row r="988" spans="1:1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VLOOKUP(G988,Sheet2!A:J,10,0)</f>
        <v>18</v>
      </c>
      <c r="J988" s="13"/>
      <c r="K988" s="13"/>
    </row>
    <row r="989" spans="1:1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VLOOKUP(G989,Sheet2!A:J,10,0)</f>
        <v>18</v>
      </c>
      <c r="J989" s="13"/>
      <c r="K989" s="13"/>
    </row>
    <row r="990" spans="1:1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VLOOKUP(G990,Sheet2!A:J,10,0)</f>
        <v>18</v>
      </c>
      <c r="J990" s="13"/>
      <c r="K990" s="13"/>
    </row>
    <row r="991" spans="1:1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VLOOKUP(G991,Sheet2!A:J,10,0)</f>
        <v>18</v>
      </c>
      <c r="J991" s="13"/>
      <c r="K991" s="13"/>
    </row>
    <row r="992" spans="1:1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VLOOKUP(G992,Sheet2!A:J,10,0)</f>
        <v>18</v>
      </c>
      <c r="J992" s="13"/>
      <c r="K992" s="13"/>
    </row>
    <row r="993" spans="1:1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VLOOKUP(G993,Sheet2!A:J,10,0)</f>
        <v>18</v>
      </c>
      <c r="J993" s="13"/>
      <c r="K993" s="13"/>
    </row>
    <row r="994" spans="1:1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VLOOKUP(G994,Sheet2!A:J,10,0)</f>
        <v>18</v>
      </c>
      <c r="J994" s="13"/>
      <c r="K994" s="13"/>
    </row>
    <row r="995" spans="1:1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VLOOKUP(G995,Sheet2!A:J,10,0)</f>
        <v>18</v>
      </c>
      <c r="J995" s="13"/>
      <c r="K995" s="13"/>
    </row>
    <row r="996" spans="1:1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VLOOKUP(G996,Sheet2!A:J,10,0)</f>
        <v>18</v>
      </c>
      <c r="J996" s="13"/>
      <c r="K996" s="13"/>
    </row>
    <row r="997" spans="1:1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VLOOKUP(G997,Sheet2!A:J,10,0)</f>
        <v>18</v>
      </c>
      <c r="J997" s="13" t="s">
        <v>1979</v>
      </c>
      <c r="K997" s="13">
        <v>46155</v>
      </c>
    </row>
    <row r="998" spans="1:1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VLOOKUP(G998,Sheet2!A:J,10,0)</f>
        <v>18</v>
      </c>
      <c r="J998" s="13"/>
      <c r="K998" s="13"/>
    </row>
    <row r="999" spans="1:11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t="s">
        <v>655</v>
      </c>
      <c r="H999" t="s">
        <v>657</v>
      </c>
      <c r="I999" s="3">
        <f>VLOOKUP(G999,Sheet2!A:J,10,0)</f>
        <v>18</v>
      </c>
      <c r="J999" s="13"/>
      <c r="K999" s="13">
        <v>46195</v>
      </c>
    </row>
    <row r="1000" spans="1:11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t="s">
        <v>655</v>
      </c>
      <c r="H1000" t="s">
        <v>657</v>
      </c>
      <c r="I1000" s="3">
        <f>VLOOKUP(G1000,Sheet2!A:J,10,0)</f>
        <v>18</v>
      </c>
      <c r="J1000" s="13"/>
      <c r="K1000" s="13">
        <v>46155</v>
      </c>
    </row>
    <row r="1001" spans="1:1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VLOOKUP(G1001,Sheet2!A:J,10,0)</f>
        <v>18</v>
      </c>
      <c r="J1001" s="13"/>
      <c r="K1001" s="13">
        <v>46150</v>
      </c>
    </row>
    <row r="1002" spans="1:1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656</v>
      </c>
      <c r="H1002" t="s">
        <v>658</v>
      </c>
      <c r="I1002" s="3">
        <f>VLOOKUP(G1002,Sheet2!A:J,10,0)</f>
        <v>17</v>
      </c>
      <c r="J1002" s="13"/>
      <c r="K1002" s="13"/>
    </row>
    <row r="1003" spans="1:1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656</v>
      </c>
      <c r="H1003" t="s">
        <v>658</v>
      </c>
      <c r="I1003" s="3">
        <f>VLOOKUP(G1003,Sheet2!A:J,10,0)</f>
        <v>17</v>
      </c>
      <c r="J1003" s="13"/>
      <c r="K1003" s="13">
        <v>46175</v>
      </c>
    </row>
    <row r="1004" spans="1:1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656</v>
      </c>
      <c r="H1004" t="s">
        <v>658</v>
      </c>
      <c r="I1004" s="3">
        <f>VLOOKUP(G1004,Sheet2!A:J,10,0)</f>
        <v>17</v>
      </c>
      <c r="J1004" s="13"/>
      <c r="K1004" s="13"/>
    </row>
    <row r="1005" spans="1:1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656</v>
      </c>
      <c r="H1005" t="s">
        <v>658</v>
      </c>
      <c r="I1005" s="3">
        <f>VLOOKUP(G1005,Sheet2!A:J,10,0)</f>
        <v>17</v>
      </c>
      <c r="J1005" s="13"/>
      <c r="K1005" s="13"/>
    </row>
    <row r="1006" spans="1:1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656</v>
      </c>
      <c r="H1006" t="s">
        <v>658</v>
      </c>
      <c r="I1006" s="3">
        <f>VLOOKUP(G1006,Sheet2!A:J,10,0)</f>
        <v>17</v>
      </c>
      <c r="J1006" s="13"/>
      <c r="K1006" s="13">
        <v>46175</v>
      </c>
    </row>
    <row r="1007" spans="1:1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656</v>
      </c>
      <c r="H1007" t="s">
        <v>658</v>
      </c>
      <c r="I1007" s="3">
        <f>VLOOKUP(G1007,Sheet2!A:J,10,0)</f>
        <v>17</v>
      </c>
      <c r="J1007" s="13"/>
      <c r="K1007" s="13"/>
    </row>
    <row r="1008" spans="1:1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656</v>
      </c>
      <c r="H1008" t="s">
        <v>658</v>
      </c>
      <c r="I1008" s="3">
        <f>VLOOKUP(G1008,Sheet2!A:J,10,0)</f>
        <v>17</v>
      </c>
      <c r="J1008" s="13"/>
      <c r="K1008" s="13"/>
    </row>
    <row r="1009" spans="1:1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656</v>
      </c>
      <c r="H1009" t="s">
        <v>658</v>
      </c>
      <c r="I1009" s="3">
        <f>VLOOKUP(G1009,Sheet2!A:J,10,0)</f>
        <v>17</v>
      </c>
      <c r="J1009" s="13"/>
      <c r="K1009" s="13"/>
    </row>
    <row r="1010" spans="1:1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656</v>
      </c>
      <c r="H1010" t="s">
        <v>658</v>
      </c>
      <c r="I1010" s="3">
        <f>VLOOKUP(G1010,Sheet2!A:J,10,0)</f>
        <v>17</v>
      </c>
      <c r="J1010" s="13"/>
      <c r="K1010" s="13"/>
    </row>
    <row r="1011" spans="1:1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656</v>
      </c>
      <c r="H1011" t="s">
        <v>658</v>
      </c>
      <c r="I1011" s="3">
        <f>VLOOKUP(G1011,Sheet2!A:J,10,0)</f>
        <v>17</v>
      </c>
      <c r="J1011" s="13"/>
      <c r="K1011" s="13"/>
    </row>
    <row r="1012" spans="1:1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656</v>
      </c>
      <c r="H1012" t="s">
        <v>658</v>
      </c>
      <c r="I1012" s="3">
        <f>VLOOKUP(G1012,Sheet2!A:J,10,0)</f>
        <v>17</v>
      </c>
      <c r="J1012" s="13"/>
      <c r="K1012" s="13"/>
    </row>
    <row r="1013" spans="1:1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656</v>
      </c>
      <c r="H1013" t="s">
        <v>658</v>
      </c>
      <c r="I1013" s="3">
        <f>VLOOKUP(G1013,Sheet2!A:J,10,0)</f>
        <v>17</v>
      </c>
      <c r="J1013" s="13"/>
      <c r="K1013" s="13">
        <v>46175</v>
      </c>
    </row>
    <row r="1014" spans="1:1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656</v>
      </c>
      <c r="H1014" t="s">
        <v>658</v>
      </c>
      <c r="I1014" s="3">
        <f>VLOOKUP(G1014,Sheet2!A:J,10,0)</f>
        <v>17</v>
      </c>
      <c r="J1014" s="13"/>
      <c r="K1014" s="13"/>
    </row>
    <row r="1015" spans="1:1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656</v>
      </c>
      <c r="H1015" t="s">
        <v>658</v>
      </c>
      <c r="I1015" s="3">
        <f>VLOOKUP(G1015,Sheet2!A:J,10,0)</f>
        <v>17</v>
      </c>
      <c r="J1015" s="13"/>
      <c r="K1015" s="13"/>
    </row>
    <row r="1016" spans="1:1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656</v>
      </c>
      <c r="H1016" t="s">
        <v>658</v>
      </c>
      <c r="I1016" s="3">
        <f>VLOOKUP(G1016,Sheet2!A:J,10,0)</f>
        <v>17</v>
      </c>
      <c r="J1016" s="13"/>
      <c r="K1016" s="13"/>
    </row>
    <row r="1017" spans="1:1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656</v>
      </c>
      <c r="H1017" t="s">
        <v>658</v>
      </c>
      <c r="I1017" s="3">
        <f>VLOOKUP(G1017,Sheet2!A:J,10,0)</f>
        <v>17</v>
      </c>
      <c r="J1017" s="13"/>
      <c r="K1017" s="13"/>
    </row>
    <row r="1018" spans="1:1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656</v>
      </c>
      <c r="H1018" t="s">
        <v>658</v>
      </c>
      <c r="I1018" s="3">
        <f>VLOOKUP(G1018,Sheet2!A:J,10,0)</f>
        <v>17</v>
      </c>
      <c r="J1018" s="13"/>
      <c r="K1018" s="13">
        <v>46175</v>
      </c>
    </row>
    <row r="1019" spans="1:1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656</v>
      </c>
      <c r="H1019" t="s">
        <v>658</v>
      </c>
      <c r="I1019" s="3">
        <f>VLOOKUP(G1019,Sheet2!A:J,10,0)</f>
        <v>17</v>
      </c>
      <c r="J1019" s="13"/>
      <c r="K1019" s="13"/>
    </row>
    <row r="1020" spans="1:1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656</v>
      </c>
      <c r="H1020" t="s">
        <v>658</v>
      </c>
      <c r="I1020" s="3">
        <f>VLOOKUP(G1020,Sheet2!A:J,10,0)</f>
        <v>17</v>
      </c>
      <c r="J1020" s="13"/>
      <c r="K1020" s="13"/>
    </row>
    <row r="1021" spans="1:1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656</v>
      </c>
      <c r="H1021" t="s">
        <v>658</v>
      </c>
      <c r="I1021" s="3">
        <f>VLOOKUP(G1021,Sheet2!A:J,10,0)</f>
        <v>17</v>
      </c>
      <c r="J1021" s="13"/>
      <c r="K1021" s="13"/>
    </row>
    <row r="1022" spans="1:1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656</v>
      </c>
      <c r="H1022" t="s">
        <v>658</v>
      </c>
      <c r="I1022" s="3">
        <f>VLOOKUP(G1022,Sheet2!A:J,10,0)</f>
        <v>17</v>
      </c>
      <c r="J1022" s="13"/>
      <c r="K1022" s="13">
        <v>46175</v>
      </c>
    </row>
    <row r="1023" spans="1:1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656</v>
      </c>
      <c r="H1023" t="s">
        <v>658</v>
      </c>
      <c r="I1023" s="3">
        <f>VLOOKUP(G1023,Sheet2!A:J,10,0)</f>
        <v>17</v>
      </c>
      <c r="J1023" s="13"/>
      <c r="K1023" s="13"/>
    </row>
    <row r="1024" spans="1:11">
      <c r="A1024" s="3" t="s">
        <v>865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46196.643263888887</v>
      </c>
      <c r="G1024" t="s">
        <v>656</v>
      </c>
      <c r="H1024" t="s">
        <v>658</v>
      </c>
      <c r="I1024" s="3">
        <f>VLOOKUP(G1024,Sheet2!A:J,10,0)</f>
        <v>17</v>
      </c>
      <c r="J1024" s="13"/>
      <c r="K1024" s="13"/>
    </row>
    <row r="1025" spans="1:1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656</v>
      </c>
      <c r="H1025" t="s">
        <v>658</v>
      </c>
      <c r="I1025" s="3">
        <f>VLOOKUP(G1025,Sheet2!A:J,10,0)</f>
        <v>17</v>
      </c>
      <c r="J1025" s="13"/>
      <c r="K1025" s="13"/>
    </row>
    <row r="1026" spans="1:1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656</v>
      </c>
      <c r="H1026" t="s">
        <v>658</v>
      </c>
      <c r="I1026" s="3">
        <f>VLOOKUP(G1026,Sheet2!A:J,10,0)</f>
        <v>17</v>
      </c>
      <c r="J1026" s="13"/>
      <c r="K1026" s="13"/>
    </row>
    <row r="1027" spans="1:1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656</v>
      </c>
      <c r="H1027" t="s">
        <v>658</v>
      </c>
      <c r="I1027" s="3">
        <f>VLOOKUP(G1027,Sheet2!A:J,10,0)</f>
        <v>17</v>
      </c>
      <c r="J1027" s="13"/>
      <c r="K1027" s="13"/>
    </row>
    <row r="1028" spans="1:1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656</v>
      </c>
      <c r="H1028" t="s">
        <v>658</v>
      </c>
      <c r="I1028" s="3">
        <f>VLOOKUP(G1028,Sheet2!A:J,10,0)</f>
        <v>17</v>
      </c>
      <c r="J1028" s="13"/>
      <c r="K1028" s="13"/>
    </row>
    <row r="1029" spans="1:1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656</v>
      </c>
      <c r="H1029" t="s">
        <v>658</v>
      </c>
      <c r="I1029" s="3">
        <f>VLOOKUP(G1029,Sheet2!A:J,10,0)</f>
        <v>17</v>
      </c>
      <c r="J1029" s="13"/>
      <c r="K1029" s="13"/>
    </row>
    <row r="1030" spans="1:1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656</v>
      </c>
      <c r="H1030" t="s">
        <v>658</v>
      </c>
      <c r="I1030" s="3">
        <f>VLOOKUP(G1030,Sheet2!A:J,10,0)</f>
        <v>17</v>
      </c>
      <c r="J1030" s="13"/>
      <c r="K1030" s="13">
        <v>46175</v>
      </c>
    </row>
    <row r="1031" spans="1:1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656</v>
      </c>
      <c r="H1031" t="s">
        <v>658</v>
      </c>
      <c r="I1031" s="3">
        <f>VLOOKUP(G1031,Sheet2!A:J,10,0)</f>
        <v>17</v>
      </c>
      <c r="J1031" s="13"/>
      <c r="K1031" s="13">
        <v>46175</v>
      </c>
    </row>
    <row r="1032" spans="1:1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656</v>
      </c>
      <c r="H1032" t="s">
        <v>658</v>
      </c>
      <c r="I1032" s="3">
        <f>VLOOKUP(G1032,Sheet2!A:J,10,0)</f>
        <v>17</v>
      </c>
      <c r="J1032" s="13"/>
      <c r="K1032" s="13">
        <v>46175</v>
      </c>
    </row>
    <row r="1033" spans="1:1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656</v>
      </c>
      <c r="H1033" t="s">
        <v>658</v>
      </c>
      <c r="I1033" s="3">
        <f>VLOOKUP(G1033,Sheet2!A:J,10,0)</f>
        <v>17</v>
      </c>
      <c r="J1033" s="13"/>
      <c r="K1033" s="13"/>
    </row>
    <row r="1034" spans="1:1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656</v>
      </c>
      <c r="H1034" t="s">
        <v>658</v>
      </c>
      <c r="I1034" s="3">
        <f>VLOOKUP(G1034,Sheet2!A:J,10,0)</f>
        <v>17</v>
      </c>
      <c r="J1034" s="13"/>
      <c r="K1034" s="13">
        <v>46175</v>
      </c>
    </row>
    <row r="1035" spans="1:11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t="s">
        <v>656</v>
      </c>
      <c r="H1035" t="s">
        <v>658</v>
      </c>
      <c r="I1035" s="3">
        <f>VLOOKUP(G1035,Sheet2!A:J,10,0)</f>
        <v>17</v>
      </c>
      <c r="J1035" s="13"/>
      <c r="K1035" s="13"/>
    </row>
    <row r="1036" spans="1:1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656</v>
      </c>
      <c r="H1036" t="s">
        <v>658</v>
      </c>
      <c r="I1036" s="3">
        <f>VLOOKUP(G1036,Sheet2!A:J,10,0)</f>
        <v>17</v>
      </c>
      <c r="J1036" s="13"/>
      <c r="K1036" s="13"/>
    </row>
    <row r="1037" spans="1:1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656</v>
      </c>
      <c r="H1037" t="s">
        <v>658</v>
      </c>
      <c r="I1037" s="3">
        <f>VLOOKUP(G1037,Sheet2!A:J,10,0)</f>
        <v>17</v>
      </c>
      <c r="J1037" s="13"/>
      <c r="K1037" s="13"/>
    </row>
    <row r="1038" spans="1:1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t="s">
        <v>656</v>
      </c>
      <c r="H1038" t="s">
        <v>658</v>
      </c>
      <c r="I1038" s="3">
        <f>VLOOKUP(G1038,Sheet2!A:J,10,0)</f>
        <v>17</v>
      </c>
      <c r="J1038" s="13"/>
      <c r="K1038" s="13"/>
    </row>
    <row r="1039" spans="1:1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656</v>
      </c>
      <c r="H1039" t="s">
        <v>658</v>
      </c>
      <c r="I1039" s="3">
        <f>VLOOKUP(G1039,Sheet2!A:J,10,0)</f>
        <v>17</v>
      </c>
      <c r="J1039" s="13"/>
      <c r="K1039" s="13"/>
    </row>
    <row r="1040" spans="1:1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656</v>
      </c>
      <c r="H1040" t="s">
        <v>658</v>
      </c>
      <c r="I1040" s="3">
        <f>VLOOKUP(G1040,Sheet2!A:J,10,0)</f>
        <v>17</v>
      </c>
      <c r="J1040" s="13"/>
      <c r="K1040" s="13">
        <v>46175</v>
      </c>
    </row>
    <row r="1041" spans="1:1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656</v>
      </c>
      <c r="H1041" t="s">
        <v>658</v>
      </c>
      <c r="I1041" s="3">
        <f>VLOOKUP(G1041,Sheet2!A:J,10,0)</f>
        <v>17</v>
      </c>
      <c r="J1041" s="13"/>
      <c r="K1041" s="13"/>
    </row>
    <row r="1042" spans="1:1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656</v>
      </c>
      <c r="H1042" t="s">
        <v>658</v>
      </c>
      <c r="I1042" s="3">
        <f>VLOOKUP(G1042,Sheet2!A:J,10,0)</f>
        <v>17</v>
      </c>
      <c r="J1042" s="13"/>
      <c r="K1042" s="13"/>
    </row>
    <row r="1043" spans="1:1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656</v>
      </c>
      <c r="H1043" t="s">
        <v>658</v>
      </c>
      <c r="I1043" s="3">
        <f>VLOOKUP(G1043,Sheet2!A:J,10,0)</f>
        <v>17</v>
      </c>
      <c r="J1043" s="13"/>
      <c r="K1043" s="13"/>
    </row>
    <row r="1044" spans="1:1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656</v>
      </c>
      <c r="H1044" t="s">
        <v>658</v>
      </c>
      <c r="I1044" s="3">
        <f>VLOOKUP(G1044,Sheet2!A:J,10,0)</f>
        <v>17</v>
      </c>
      <c r="J1044" s="13"/>
      <c r="K1044" s="13"/>
    </row>
    <row r="1045" spans="1:1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t="s">
        <v>656</v>
      </c>
      <c r="H1045" t="s">
        <v>658</v>
      </c>
      <c r="I1045" s="3">
        <f>VLOOKUP(G1045,Sheet2!A:J,10,0)</f>
        <v>17</v>
      </c>
      <c r="J1045" s="13"/>
      <c r="K1045" s="13"/>
    </row>
    <row r="1046" spans="1:1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656</v>
      </c>
      <c r="H1046" t="s">
        <v>658</v>
      </c>
      <c r="I1046" s="3">
        <f>VLOOKUP(G1046,Sheet2!A:J,10,0)</f>
        <v>17</v>
      </c>
      <c r="J1046" s="13"/>
      <c r="K1046" s="13"/>
    </row>
    <row r="1047" spans="1:1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656</v>
      </c>
      <c r="H1047" t="s">
        <v>658</v>
      </c>
      <c r="I1047" s="3">
        <f>VLOOKUP(G1047,Sheet2!A:J,10,0)</f>
        <v>17</v>
      </c>
      <c r="J1047" s="13"/>
      <c r="K1047" s="13"/>
    </row>
    <row r="1048" spans="1:1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656</v>
      </c>
      <c r="H1048" t="s">
        <v>658</v>
      </c>
      <c r="I1048" s="3">
        <f>VLOOKUP(G1048,Sheet2!A:J,10,0)</f>
        <v>17</v>
      </c>
      <c r="J1048" s="13"/>
      <c r="K1048" s="13"/>
    </row>
    <row r="1049" spans="1:1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656</v>
      </c>
      <c r="H1049" t="s">
        <v>658</v>
      </c>
      <c r="I1049" s="3">
        <f>VLOOKUP(G1049,Sheet2!A:J,10,0)</f>
        <v>17</v>
      </c>
      <c r="J1049" s="13"/>
      <c r="K1049" s="13"/>
    </row>
    <row r="1050" spans="1:1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656</v>
      </c>
      <c r="H1050" t="s">
        <v>658</v>
      </c>
      <c r="I1050" s="3">
        <f>VLOOKUP(G1050,Sheet2!A:J,10,0)</f>
        <v>17</v>
      </c>
      <c r="J1050" s="13"/>
      <c r="K1050" s="13"/>
    </row>
    <row r="1051" spans="1:1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656</v>
      </c>
      <c r="H1051" t="s">
        <v>658</v>
      </c>
      <c r="I1051" s="3">
        <f>VLOOKUP(G1051,Sheet2!A:J,10,0)</f>
        <v>17</v>
      </c>
      <c r="J1051" s="13"/>
      <c r="K1051" s="13">
        <v>46175</v>
      </c>
    </row>
    <row r="1052" spans="1:1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656</v>
      </c>
      <c r="H1052" t="s">
        <v>658</v>
      </c>
      <c r="I1052" s="3">
        <f>VLOOKUP(G1052,Sheet2!A:J,10,0)</f>
        <v>17</v>
      </c>
      <c r="J1052" s="13"/>
      <c r="K1052" s="13"/>
    </row>
    <row r="1053" spans="1:1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656</v>
      </c>
      <c r="H1053" t="s">
        <v>658</v>
      </c>
      <c r="I1053" s="3">
        <f>VLOOKUP(G1053,Sheet2!A:J,10,0)</f>
        <v>17</v>
      </c>
      <c r="J1053" s="13"/>
      <c r="K1053" s="13"/>
    </row>
    <row r="1054" spans="1:1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656</v>
      </c>
      <c r="H1054" t="s">
        <v>658</v>
      </c>
      <c r="I1054" s="3">
        <f>VLOOKUP(G1054,Sheet2!A:J,10,0)</f>
        <v>17</v>
      </c>
      <c r="J1054" s="13"/>
      <c r="K1054" s="13"/>
    </row>
    <row r="1055" spans="1:1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656</v>
      </c>
      <c r="H1055" t="s">
        <v>658</v>
      </c>
      <c r="I1055" s="3">
        <f>VLOOKUP(G1055,Sheet2!A:J,10,0)</f>
        <v>17</v>
      </c>
      <c r="J1055" s="13"/>
      <c r="K1055" s="13">
        <v>46175</v>
      </c>
    </row>
    <row r="1056" spans="1:1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656</v>
      </c>
      <c r="H1056" t="s">
        <v>658</v>
      </c>
      <c r="I1056" s="3">
        <f>VLOOKUP(G1056,Sheet2!A:J,10,0)</f>
        <v>17</v>
      </c>
      <c r="J1056" s="13"/>
      <c r="K1056" s="13">
        <v>46175</v>
      </c>
    </row>
    <row r="1057" spans="1:1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656</v>
      </c>
      <c r="H1057" t="s">
        <v>658</v>
      </c>
      <c r="I1057" s="3">
        <f>VLOOKUP(G1057,Sheet2!A:J,10,0)</f>
        <v>17</v>
      </c>
      <c r="J1057" s="13"/>
      <c r="K1057" s="13">
        <v>46175</v>
      </c>
    </row>
    <row r="1058" spans="1:1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656</v>
      </c>
      <c r="H1058" t="s">
        <v>658</v>
      </c>
      <c r="I1058" s="3">
        <f>VLOOKUP(G1058,Sheet2!A:J,10,0)</f>
        <v>17</v>
      </c>
      <c r="J1058" s="13"/>
      <c r="K1058" s="13"/>
    </row>
    <row r="1059" spans="1:1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656</v>
      </c>
      <c r="H1059" t="s">
        <v>658</v>
      </c>
      <c r="I1059" s="3">
        <f>VLOOKUP(G1059,Sheet2!A:J,10,0)</f>
        <v>17</v>
      </c>
      <c r="J1059" s="13"/>
      <c r="K1059" s="13"/>
    </row>
    <row r="1060" spans="1:1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656</v>
      </c>
      <c r="H1060" t="s">
        <v>658</v>
      </c>
      <c r="I1060" s="3">
        <f>VLOOKUP(G1060,Sheet2!A:J,10,0)</f>
        <v>17</v>
      </c>
      <c r="J1060" s="13"/>
      <c r="K1060" s="13"/>
    </row>
    <row r="1061" spans="1:1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656</v>
      </c>
      <c r="H1061" t="s">
        <v>658</v>
      </c>
      <c r="I1061" s="3">
        <f>VLOOKUP(G1061,Sheet2!A:J,10,0)</f>
        <v>17</v>
      </c>
      <c r="J1061" s="13"/>
      <c r="K1061" s="13"/>
    </row>
    <row r="1062" spans="1:1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656</v>
      </c>
      <c r="H1062" t="s">
        <v>658</v>
      </c>
      <c r="I1062" s="3">
        <f>VLOOKUP(G1062,Sheet2!A:J,10,0)</f>
        <v>17</v>
      </c>
      <c r="J1062" s="13"/>
      <c r="K1062" s="13"/>
    </row>
    <row r="1063" spans="1:1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656</v>
      </c>
      <c r="H1063" t="s">
        <v>658</v>
      </c>
      <c r="I1063" s="3">
        <f>VLOOKUP(G1063,Sheet2!A:J,10,0)</f>
        <v>17</v>
      </c>
      <c r="J1063" s="13"/>
      <c r="K1063" s="13"/>
    </row>
    <row r="1064" spans="1:11">
      <c r="A1064" s="3" t="s">
        <v>968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46192.583020833335</v>
      </c>
      <c r="G1064" t="s">
        <v>961</v>
      </c>
      <c r="H1064" t="s">
        <v>657</v>
      </c>
      <c r="I1064" s="3">
        <f>VLOOKUP(G1064,Sheet2!A:J,10,0)</f>
        <v>27</v>
      </c>
      <c r="J1064" s="13"/>
      <c r="K1064" s="13"/>
    </row>
    <row r="1065" spans="1:11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t="s">
        <v>961</v>
      </c>
      <c r="H1065" t="s">
        <v>657</v>
      </c>
      <c r="I1065" s="3">
        <f>VLOOKUP(G1065,Sheet2!A:J,10,0)</f>
        <v>27</v>
      </c>
      <c r="J1065" s="13"/>
      <c r="K1065" s="13"/>
    </row>
    <row r="1066" spans="1:11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t="s">
        <v>961</v>
      </c>
      <c r="H1066" t="s">
        <v>657</v>
      </c>
      <c r="I1066" s="3">
        <f>VLOOKUP(G1066,Sheet2!A:J,10,0)</f>
        <v>27</v>
      </c>
      <c r="J1066" s="13"/>
      <c r="K1066" s="13"/>
    </row>
    <row r="1067" spans="1:11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t="s">
        <v>961</v>
      </c>
      <c r="H1067" t="s">
        <v>657</v>
      </c>
      <c r="I1067" s="3">
        <f>VLOOKUP(G1067,Sheet2!A:J,10,0)</f>
        <v>27</v>
      </c>
      <c r="J1067" s="13"/>
      <c r="K1067" s="13"/>
    </row>
    <row r="1068" spans="1:11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t="s">
        <v>961</v>
      </c>
      <c r="H1068" t="s">
        <v>657</v>
      </c>
      <c r="I1068" s="3">
        <f>VLOOKUP(G1068,Sheet2!A:J,10,0)</f>
        <v>27</v>
      </c>
      <c r="J1068" s="13"/>
      <c r="K1068" s="13"/>
    </row>
    <row r="1069" spans="1:11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t="s">
        <v>961</v>
      </c>
      <c r="H1069" t="s">
        <v>657</v>
      </c>
      <c r="I1069" s="3">
        <f>VLOOKUP(G1069,Sheet2!A:J,10,0)</f>
        <v>27</v>
      </c>
      <c r="J1069" s="13"/>
      <c r="K1069" s="13"/>
    </row>
    <row r="1070" spans="1:11">
      <c r="A1070" s="3" t="s">
        <v>974</v>
      </c>
      <c r="B1070" s="1" t="s">
        <v>6</v>
      </c>
      <c r="C1070" s="1" t="s">
        <v>6</v>
      </c>
      <c r="D1070" s="3" t="s">
        <v>7</v>
      </c>
      <c r="E1070" s="1" t="s">
        <v>8</v>
      </c>
      <c r="F1070" s="5">
        <v>46196.64334490741</v>
      </c>
      <c r="G1070" t="s">
        <v>961</v>
      </c>
      <c r="H1070" t="s">
        <v>657</v>
      </c>
      <c r="I1070" s="3">
        <f>VLOOKUP(G1070,Sheet2!A:J,10,0)</f>
        <v>27</v>
      </c>
      <c r="J1070" s="13"/>
      <c r="K1070" s="13"/>
    </row>
    <row r="1071" spans="1:11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t="s">
        <v>961</v>
      </c>
      <c r="H1071" t="s">
        <v>657</v>
      </c>
      <c r="I1071" s="3">
        <f>VLOOKUP(G1071,Sheet2!A:J,10,0)</f>
        <v>27</v>
      </c>
      <c r="J1071" s="13"/>
      <c r="K1071" s="13"/>
    </row>
    <row r="1072" spans="1:11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t="s">
        <v>961</v>
      </c>
      <c r="H1072" t="s">
        <v>657</v>
      </c>
      <c r="I1072" s="3">
        <f>VLOOKUP(G1072,Sheet2!A:J,10,0)</f>
        <v>27</v>
      </c>
      <c r="J1072" s="13"/>
      <c r="K1072" s="13"/>
    </row>
    <row r="1073" spans="1:11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t="s">
        <v>961</v>
      </c>
      <c r="H1073" t="s">
        <v>657</v>
      </c>
      <c r="I1073" s="3">
        <f>VLOOKUP(G1073,Sheet2!A:J,10,0)</f>
        <v>27</v>
      </c>
      <c r="J1073" s="13"/>
      <c r="K1073" s="13"/>
    </row>
    <row r="1074" spans="1:11">
      <c r="A1074" s="3" t="s">
        <v>978</v>
      </c>
      <c r="B1074" s="1" t="s">
        <v>6</v>
      </c>
      <c r="C1074" s="1" t="s">
        <v>6</v>
      </c>
      <c r="D1074" s="3" t="s">
        <v>7</v>
      </c>
      <c r="E1074" s="1" t="s">
        <v>8</v>
      </c>
      <c r="F1074" s="5">
        <v>46189.471412037034</v>
      </c>
      <c r="G1074" t="s">
        <v>961</v>
      </c>
      <c r="H1074" t="s">
        <v>657</v>
      </c>
      <c r="I1074" s="3">
        <f>VLOOKUP(G1074,Sheet2!A:J,10,0)</f>
        <v>27</v>
      </c>
      <c r="J1074" s="13"/>
      <c r="K1074" s="13"/>
    </row>
    <row r="1075" spans="1:11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t="s">
        <v>961</v>
      </c>
      <c r="H1075" t="s">
        <v>657</v>
      </c>
      <c r="I1075" s="3">
        <f>VLOOKUP(G1075,Sheet2!A:J,10,0)</f>
        <v>27</v>
      </c>
      <c r="J1075" s="13"/>
      <c r="K1075" s="13"/>
    </row>
    <row r="1076" spans="1:11">
      <c r="A1076" s="3" t="s">
        <v>980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46196.555497685185</v>
      </c>
      <c r="G1076" t="s">
        <v>961</v>
      </c>
      <c r="H1076" t="s">
        <v>657</v>
      </c>
      <c r="I1076" s="3">
        <f>VLOOKUP(G1076,Sheet2!A:J,10,0)</f>
        <v>27</v>
      </c>
      <c r="J1076" s="13"/>
      <c r="K1076" s="13"/>
    </row>
    <row r="1077" spans="1:11">
      <c r="A1077" s="4" t="s">
        <v>981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46192.276620370372</v>
      </c>
      <c r="G1077" t="s">
        <v>961</v>
      </c>
      <c r="H1077" t="s">
        <v>657</v>
      </c>
      <c r="I1077" s="3">
        <f>VLOOKUP(G1077,Sheet2!A:J,10,0)</f>
        <v>27</v>
      </c>
      <c r="J1077" s="13"/>
      <c r="K1077" s="13"/>
    </row>
    <row r="1078" spans="1:11">
      <c r="A1078" s="3" t="s">
        <v>982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46197.562662037039</v>
      </c>
      <c r="G1078" t="s">
        <v>961</v>
      </c>
      <c r="H1078" t="s">
        <v>657</v>
      </c>
      <c r="I1078" s="3">
        <f>VLOOKUP(G1078,Sheet2!A:J,10,0)</f>
        <v>27</v>
      </c>
      <c r="J1078" s="13"/>
      <c r="K1078" s="13"/>
    </row>
    <row r="1079" spans="1:11">
      <c r="A1079" s="4" t="s">
        <v>983</v>
      </c>
      <c r="B1079" s="2" t="s">
        <v>6</v>
      </c>
      <c r="C1079" s="2" t="s">
        <v>6</v>
      </c>
      <c r="D1079" s="4" t="s">
        <v>7</v>
      </c>
      <c r="E1079" s="2" t="s">
        <v>8</v>
      </c>
      <c r="F1079" s="6">
        <v>46189.471331018518</v>
      </c>
      <c r="G1079" t="s">
        <v>961</v>
      </c>
      <c r="H1079" t="s">
        <v>657</v>
      </c>
      <c r="I1079" s="3">
        <f>VLOOKUP(G1079,Sheet2!A:J,10,0)</f>
        <v>27</v>
      </c>
      <c r="J1079" s="13"/>
      <c r="K1079" s="13"/>
    </row>
    <row r="1080" spans="1:11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t="s">
        <v>961</v>
      </c>
      <c r="H1080" t="s">
        <v>657</v>
      </c>
      <c r="I1080" s="3">
        <f>VLOOKUP(G1080,Sheet2!A:J,10,0)</f>
        <v>27</v>
      </c>
      <c r="J1080" s="13"/>
      <c r="K1080" s="13"/>
    </row>
    <row r="1081" spans="1:11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t="s">
        <v>961</v>
      </c>
      <c r="H1081" t="s">
        <v>657</v>
      </c>
      <c r="I1081" s="3">
        <f>VLOOKUP(G1081,Sheet2!A:J,10,0)</f>
        <v>27</v>
      </c>
      <c r="J1081" s="13"/>
      <c r="K1081" s="13"/>
    </row>
    <row r="1082" spans="1:11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t="s">
        <v>961</v>
      </c>
      <c r="H1082" t="s">
        <v>657</v>
      </c>
      <c r="I1082" s="3">
        <f>VLOOKUP(G1082,Sheet2!A:J,10,0)</f>
        <v>27</v>
      </c>
      <c r="J1082" s="13"/>
      <c r="K1082" s="13"/>
    </row>
    <row r="1083" spans="1:11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t="s">
        <v>961</v>
      </c>
      <c r="H1083" t="s">
        <v>657</v>
      </c>
      <c r="I1083" s="3">
        <f>VLOOKUP(G1083,Sheet2!A:J,10,0)</f>
        <v>27</v>
      </c>
      <c r="J1083" s="13"/>
      <c r="K1083" s="13"/>
    </row>
    <row r="1084" spans="1:11">
      <c r="A1084" s="3" t="s">
        <v>988</v>
      </c>
      <c r="B1084" s="1" t="s">
        <v>6</v>
      </c>
      <c r="C1084" s="1" t="s">
        <v>6</v>
      </c>
      <c r="D1084" s="3" t="s">
        <v>7</v>
      </c>
      <c r="E1084" s="1" t="s">
        <v>8</v>
      </c>
      <c r="F1084" s="5">
        <v>46190.448865740742</v>
      </c>
      <c r="G1084" t="s">
        <v>961</v>
      </c>
      <c r="H1084" t="s">
        <v>657</v>
      </c>
      <c r="I1084" s="3">
        <f>VLOOKUP(G1084,Sheet2!A:J,10,0)</f>
        <v>27</v>
      </c>
      <c r="J1084" s="13"/>
      <c r="K1084" s="13"/>
    </row>
    <row r="1085" spans="1:11">
      <c r="A1085" s="4" t="s">
        <v>989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46190.254849537036</v>
      </c>
      <c r="G1085" t="s">
        <v>961</v>
      </c>
      <c r="H1085" t="s">
        <v>657</v>
      </c>
      <c r="I1085" s="3">
        <f>VLOOKUP(G1085,Sheet2!A:J,10,0)</f>
        <v>27</v>
      </c>
      <c r="J1085" s="13"/>
      <c r="K1085" s="13"/>
    </row>
    <row r="1086" spans="1:11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t="s">
        <v>961</v>
      </c>
      <c r="H1086" t="s">
        <v>657</v>
      </c>
      <c r="I1086" s="3">
        <f>VLOOKUP(G1086,Sheet2!A:J,10,0)</f>
        <v>27</v>
      </c>
      <c r="J1086" s="13"/>
      <c r="K1086" s="13"/>
    </row>
    <row r="1087" spans="1:11">
      <c r="A1087" s="4" t="s">
        <v>991</v>
      </c>
      <c r="B1087" s="2" t="s">
        <v>6</v>
      </c>
      <c r="C1087" s="2" t="s">
        <v>6</v>
      </c>
      <c r="D1087" s="4" t="s">
        <v>7</v>
      </c>
      <c r="E1087" s="2" t="s">
        <v>8</v>
      </c>
      <c r="F1087" s="6">
        <v>46190.487025462964</v>
      </c>
      <c r="G1087" t="s">
        <v>961</v>
      </c>
      <c r="H1087" t="s">
        <v>657</v>
      </c>
      <c r="I1087" s="3">
        <f>VLOOKUP(G1087,Sheet2!A:J,10,0)</f>
        <v>27</v>
      </c>
      <c r="J1087" s="13"/>
      <c r="K1087" s="13"/>
    </row>
    <row r="1088" spans="1:11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t="s">
        <v>961</v>
      </c>
      <c r="H1088" t="s">
        <v>657</v>
      </c>
      <c r="I1088" s="3">
        <f>VLOOKUP(G1088,Sheet2!A:J,10,0)</f>
        <v>27</v>
      </c>
      <c r="J1088" s="13"/>
      <c r="K1088" s="13"/>
    </row>
    <row r="1089" spans="1:11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t="s">
        <v>961</v>
      </c>
      <c r="H1089" t="s">
        <v>657</v>
      </c>
      <c r="I1089" s="3">
        <f>VLOOKUP(G1089,Sheet2!A:J,10,0)</f>
        <v>27</v>
      </c>
      <c r="J1089" s="13"/>
      <c r="K1089" s="13"/>
    </row>
    <row r="1090" spans="1:11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t="s">
        <v>961</v>
      </c>
      <c r="H1090" t="s">
        <v>657</v>
      </c>
      <c r="I1090" s="3">
        <f>VLOOKUP(G1090,Sheet2!A:J,10,0)</f>
        <v>27</v>
      </c>
      <c r="J1090" s="13"/>
      <c r="K1090" s="13"/>
    </row>
    <row r="1091" spans="1:11">
      <c r="A1091" s="4" t="s">
        <v>995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46190.448796296296</v>
      </c>
      <c r="G1091" t="s">
        <v>961</v>
      </c>
      <c r="H1091" t="s">
        <v>657</v>
      </c>
      <c r="I1091" s="3">
        <f>VLOOKUP(G1091,Sheet2!A:J,10,0)</f>
        <v>27</v>
      </c>
      <c r="J1091" s="13"/>
      <c r="K1091" s="13"/>
    </row>
    <row r="1092" spans="1:11">
      <c r="A1092" s="3" t="s">
        <v>996</v>
      </c>
      <c r="B1092" s="1" t="s">
        <v>6</v>
      </c>
      <c r="C1092" s="1" t="s">
        <v>6</v>
      </c>
      <c r="D1092" s="3" t="s">
        <v>7</v>
      </c>
      <c r="E1092" s="1" t="s">
        <v>8</v>
      </c>
      <c r="F1092" s="5">
        <v>46197.559560185182</v>
      </c>
      <c r="G1092" t="s">
        <v>961</v>
      </c>
      <c r="H1092" t="s">
        <v>657</v>
      </c>
      <c r="I1092" s="3">
        <f>VLOOKUP(G1092,Sheet2!A:J,10,0)</f>
        <v>27</v>
      </c>
      <c r="J1092" s="13"/>
      <c r="K1092" s="13"/>
    </row>
    <row r="1093" spans="1:11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t="s">
        <v>961</v>
      </c>
      <c r="H1093" t="s">
        <v>657</v>
      </c>
      <c r="I1093" s="3">
        <f>VLOOKUP(G1093,Sheet2!A:J,10,0)</f>
        <v>27</v>
      </c>
      <c r="J1093" s="13"/>
      <c r="K1093" s="13"/>
    </row>
    <row r="1094" spans="1:11">
      <c r="A1094" s="3" t="s">
        <v>998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46197.562604166669</v>
      </c>
      <c r="G1094" t="s">
        <v>961</v>
      </c>
      <c r="H1094" t="s">
        <v>657</v>
      </c>
      <c r="I1094" s="3">
        <f>VLOOKUP(G1094,Sheet2!A:J,10,0)</f>
        <v>27</v>
      </c>
      <c r="J1094" s="13"/>
      <c r="K1094" s="13"/>
    </row>
    <row r="1095" spans="1:11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t="s">
        <v>961</v>
      </c>
      <c r="H1095" t="s">
        <v>657</v>
      </c>
      <c r="I1095" s="3">
        <f>VLOOKUP(G1095,Sheet2!A:J,10,0)</f>
        <v>27</v>
      </c>
      <c r="J1095" s="13"/>
      <c r="K1095" s="13"/>
    </row>
    <row r="1096" spans="1:11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t="s">
        <v>961</v>
      </c>
      <c r="H1096" t="s">
        <v>657</v>
      </c>
      <c r="I1096" s="3">
        <f>VLOOKUP(G1096,Sheet2!A:J,10,0)</f>
        <v>27</v>
      </c>
      <c r="J1096" s="13"/>
      <c r="K1096" s="13"/>
    </row>
    <row r="1097" spans="1:11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t="s">
        <v>961</v>
      </c>
      <c r="H1097" t="s">
        <v>657</v>
      </c>
      <c r="I1097" s="3">
        <f>VLOOKUP(G1097,Sheet2!A:J,10,0)</f>
        <v>27</v>
      </c>
      <c r="J1097" s="13"/>
      <c r="K1097" s="13"/>
    </row>
    <row r="1098" spans="1:11">
      <c r="A1098" s="3" t="s">
        <v>1002</v>
      </c>
      <c r="B1098" s="1" t="s">
        <v>98</v>
      </c>
      <c r="C1098" s="1" t="s">
        <v>99</v>
      </c>
      <c r="D1098" s="3" t="s">
        <v>7</v>
      </c>
      <c r="E1098" s="1" t="s">
        <v>100</v>
      </c>
      <c r="F1098" s="5">
        <v>46195.551087962966</v>
      </c>
      <c r="G1098" t="s">
        <v>961</v>
      </c>
      <c r="H1098" t="s">
        <v>657</v>
      </c>
      <c r="I1098" s="3">
        <f>VLOOKUP(G1098,Sheet2!A:J,10,0)</f>
        <v>27</v>
      </c>
      <c r="J1098" s="13"/>
      <c r="K1098" s="13"/>
    </row>
    <row r="1099" spans="1:11">
      <c r="A1099" s="4" t="s">
        <v>1003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46196.643368055556</v>
      </c>
      <c r="G1099" t="s">
        <v>961</v>
      </c>
      <c r="H1099" t="s">
        <v>657</v>
      </c>
      <c r="I1099" s="3">
        <f>VLOOKUP(G1099,Sheet2!A:J,10,0)</f>
        <v>27</v>
      </c>
      <c r="J1099" s="13"/>
      <c r="K1099" s="13"/>
    </row>
    <row r="1100" spans="1:11">
      <c r="A1100" s="3" t="s">
        <v>1004</v>
      </c>
      <c r="B1100" s="1" t="s">
        <v>9</v>
      </c>
      <c r="C1100" s="1" t="s">
        <v>10</v>
      </c>
      <c r="D1100" s="3" t="s">
        <v>7</v>
      </c>
      <c r="E1100" s="1" t="s">
        <v>11</v>
      </c>
      <c r="F1100" s="5">
        <v>46191.816446759258</v>
      </c>
      <c r="G1100" t="s">
        <v>961</v>
      </c>
      <c r="H1100" t="s">
        <v>657</v>
      </c>
      <c r="I1100" s="3">
        <f>VLOOKUP(G1100,Sheet2!A:J,10,0)</f>
        <v>27</v>
      </c>
      <c r="J1100" s="13"/>
      <c r="K1100" s="13"/>
    </row>
    <row r="1101" spans="1:11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t="s">
        <v>961</v>
      </c>
      <c r="H1101" t="s">
        <v>657</v>
      </c>
      <c r="I1101" s="3">
        <f>VLOOKUP(G1101,Sheet2!A:J,10,0)</f>
        <v>27</v>
      </c>
      <c r="J1101" s="13"/>
      <c r="K1101" s="13"/>
    </row>
    <row r="1102" spans="1:11">
      <c r="A1102" s="3" t="s">
        <v>1006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46189.573888888888</v>
      </c>
      <c r="G1102" t="s">
        <v>961</v>
      </c>
      <c r="H1102" t="s">
        <v>657</v>
      </c>
      <c r="I1102" s="3">
        <f>VLOOKUP(G1102,Sheet2!A:J,10,0)</f>
        <v>27</v>
      </c>
      <c r="J1102" s="13"/>
      <c r="K1102" s="13"/>
    </row>
    <row r="1103" spans="1:11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t="s">
        <v>961</v>
      </c>
      <c r="H1103" t="s">
        <v>657</v>
      </c>
      <c r="I1103" s="3">
        <f>VLOOKUP(G1103,Sheet2!A:J,10,0)</f>
        <v>27</v>
      </c>
      <c r="J1103" s="13"/>
      <c r="K1103" s="13"/>
    </row>
    <row r="1104" spans="1:11">
      <c r="A1104" s="3" t="s">
        <v>1008</v>
      </c>
      <c r="B1104" s="1" t="s">
        <v>6</v>
      </c>
      <c r="C1104" s="1" t="s">
        <v>6</v>
      </c>
      <c r="D1104" s="3" t="s">
        <v>7</v>
      </c>
      <c r="E1104" s="1" t="s">
        <v>8</v>
      </c>
      <c r="F1104" s="5">
        <v>46196.555451388886</v>
      </c>
      <c r="G1104" t="s">
        <v>961</v>
      </c>
      <c r="H1104" t="s">
        <v>657</v>
      </c>
      <c r="I1104" s="3">
        <f>VLOOKUP(G1104,Sheet2!A:J,10,0)</f>
        <v>27</v>
      </c>
      <c r="J1104" s="13"/>
      <c r="K1104" s="13"/>
    </row>
    <row r="1105" spans="1:11">
      <c r="A1105" s="4" t="s">
        <v>1009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46188.599004629628</v>
      </c>
      <c r="G1105" t="s">
        <v>961</v>
      </c>
      <c r="H1105" t="s">
        <v>657</v>
      </c>
      <c r="I1105" s="3">
        <f>VLOOKUP(G1105,Sheet2!A:J,10,0)</f>
        <v>27</v>
      </c>
      <c r="J1105" s="13"/>
      <c r="K1105" s="13"/>
    </row>
    <row r="1106" spans="1:11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t="s">
        <v>961</v>
      </c>
      <c r="H1106" t="s">
        <v>657</v>
      </c>
      <c r="I1106" s="3">
        <f>VLOOKUP(G1106,Sheet2!A:J,10,0)</f>
        <v>27</v>
      </c>
      <c r="J1106" s="13"/>
      <c r="K1106" s="13"/>
    </row>
    <row r="1107" spans="1:11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t="s">
        <v>961</v>
      </c>
      <c r="H1107" t="s">
        <v>657</v>
      </c>
      <c r="I1107" s="3">
        <f>VLOOKUP(G1107,Sheet2!A:J,10,0)</f>
        <v>27</v>
      </c>
      <c r="J1107" s="13"/>
      <c r="K1107" s="13"/>
    </row>
    <row r="1108" spans="1:11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t="s">
        <v>961</v>
      </c>
      <c r="H1108" t="s">
        <v>657</v>
      </c>
      <c r="I1108" s="3">
        <f>VLOOKUP(G1108,Sheet2!A:J,10,0)</f>
        <v>27</v>
      </c>
      <c r="J1108" s="13"/>
      <c r="K1108" s="13"/>
    </row>
    <row r="1109" spans="1:11">
      <c r="A1109" s="4" t="s">
        <v>1013</v>
      </c>
      <c r="B1109" s="2" t="s">
        <v>6</v>
      </c>
      <c r="C1109" s="2" t="s">
        <v>6</v>
      </c>
      <c r="D1109" s="4" t="s">
        <v>7</v>
      </c>
      <c r="E1109" s="2" t="s">
        <v>8</v>
      </c>
      <c r="F1109" s="6">
        <v>46197.562777777777</v>
      </c>
      <c r="G1109" t="s">
        <v>961</v>
      </c>
      <c r="H1109" t="s">
        <v>657</v>
      </c>
      <c r="I1109" s="3">
        <f>VLOOKUP(G1109,Sheet2!A:J,10,0)</f>
        <v>27</v>
      </c>
      <c r="J1109" s="13"/>
      <c r="K1109" s="13"/>
    </row>
    <row r="1110" spans="1:11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t="s">
        <v>961</v>
      </c>
      <c r="H1110" t="s">
        <v>657</v>
      </c>
      <c r="I1110" s="3">
        <f>VLOOKUP(G1110,Sheet2!A:J,10,0)</f>
        <v>27</v>
      </c>
      <c r="J1110" s="13"/>
      <c r="K1110" s="13"/>
    </row>
    <row r="1111" spans="1:11">
      <c r="A1111" s="4" t="s">
        <v>1015</v>
      </c>
      <c r="B1111" s="2" t="s">
        <v>9</v>
      </c>
      <c r="C1111" s="2" t="s">
        <v>10</v>
      </c>
      <c r="D1111" s="4" t="s">
        <v>7</v>
      </c>
      <c r="E1111" s="2" t="s">
        <v>11</v>
      </c>
      <c r="F1111" s="6">
        <v>46191.841249999998</v>
      </c>
      <c r="G1111" t="s">
        <v>961</v>
      </c>
      <c r="H1111" t="s">
        <v>657</v>
      </c>
      <c r="I1111" s="3">
        <f>VLOOKUP(G1111,Sheet2!A:J,10,0)</f>
        <v>27</v>
      </c>
      <c r="J1111" s="13"/>
      <c r="K1111" s="13"/>
    </row>
    <row r="1112" spans="1:11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t="s">
        <v>961</v>
      </c>
      <c r="H1112" t="s">
        <v>657</v>
      </c>
      <c r="I1112" s="3">
        <f>VLOOKUP(G1112,Sheet2!A:J,10,0)</f>
        <v>27</v>
      </c>
      <c r="J1112" s="13"/>
      <c r="K1112" s="13"/>
    </row>
    <row r="1113" spans="1:11">
      <c r="A1113" s="4" t="s">
        <v>1017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46188.599131944444</v>
      </c>
      <c r="G1113" t="s">
        <v>961</v>
      </c>
      <c r="H1113" t="s">
        <v>657</v>
      </c>
      <c r="I1113" s="3">
        <f>VLOOKUP(G1113,Sheet2!A:J,10,0)</f>
        <v>27</v>
      </c>
      <c r="J1113" s="13"/>
      <c r="K1113" s="13"/>
    </row>
    <row r="1114" spans="1:11">
      <c r="A1114" s="3" t="s">
        <v>1018</v>
      </c>
      <c r="B1114" s="1" t="s">
        <v>275</v>
      </c>
      <c r="C1114" s="1" t="s">
        <v>276</v>
      </c>
      <c r="D1114" s="3" t="s">
        <v>7</v>
      </c>
      <c r="E1114" s="1" t="s">
        <v>277</v>
      </c>
      <c r="F1114" s="5">
        <v>46191.82540509259</v>
      </c>
      <c r="G1114" t="s">
        <v>961</v>
      </c>
      <c r="H1114" t="s">
        <v>657</v>
      </c>
      <c r="I1114" s="3">
        <f>VLOOKUP(G1114,Sheet2!A:J,10,0)</f>
        <v>27</v>
      </c>
      <c r="J1114" s="13"/>
      <c r="K1114" s="13"/>
    </row>
    <row r="1115" spans="1:11">
      <c r="A1115" s="4" t="s">
        <v>1019</v>
      </c>
      <c r="B1115" s="2" t="s">
        <v>6</v>
      </c>
      <c r="C1115" s="2" t="s">
        <v>6</v>
      </c>
      <c r="D1115" s="4" t="s">
        <v>7</v>
      </c>
      <c r="E1115" s="2" t="s">
        <v>8</v>
      </c>
      <c r="F1115" s="6">
        <v>46189.549340277779</v>
      </c>
      <c r="G1115" t="s">
        <v>961</v>
      </c>
      <c r="H1115" t="s">
        <v>657</v>
      </c>
      <c r="I1115" s="3">
        <f>VLOOKUP(G1115,Sheet2!A:J,10,0)</f>
        <v>27</v>
      </c>
      <c r="J1115" s="13"/>
      <c r="K1115" s="13"/>
    </row>
    <row r="1116" spans="1:11">
      <c r="A1116" s="3" t="s">
        <v>1020</v>
      </c>
      <c r="B1116" s="1" t="s">
        <v>275</v>
      </c>
      <c r="C1116" s="1" t="s">
        <v>276</v>
      </c>
      <c r="D1116" s="3" t="s">
        <v>7</v>
      </c>
      <c r="E1116" s="1" t="s">
        <v>277</v>
      </c>
      <c r="F1116" s="5">
        <v>46191.857569444444</v>
      </c>
      <c r="G1116" t="s">
        <v>961</v>
      </c>
      <c r="H1116" t="s">
        <v>657</v>
      </c>
      <c r="I1116" s="3">
        <f>VLOOKUP(G1116,Sheet2!A:J,10,0)</f>
        <v>27</v>
      </c>
      <c r="J1116" s="13"/>
      <c r="K1116" s="13"/>
    </row>
    <row r="1117" spans="1:11">
      <c r="A1117" s="4" t="s">
        <v>1021</v>
      </c>
      <c r="B1117" s="2" t="s">
        <v>6</v>
      </c>
      <c r="C1117" s="2" t="s">
        <v>6</v>
      </c>
      <c r="D1117" s="4" t="s">
        <v>7</v>
      </c>
      <c r="E1117" s="2" t="s">
        <v>8</v>
      </c>
      <c r="F1117" s="6">
        <v>46196.64340277778</v>
      </c>
      <c r="G1117" t="s">
        <v>961</v>
      </c>
      <c r="H1117" t="s">
        <v>657</v>
      </c>
      <c r="I1117" s="3">
        <f>VLOOKUP(G1117,Sheet2!A:J,10,0)</f>
        <v>27</v>
      </c>
      <c r="J1117" s="13"/>
      <c r="K1117" s="13"/>
    </row>
    <row r="1118" spans="1:11">
      <c r="A1118" s="3" t="s">
        <v>1022</v>
      </c>
      <c r="B1118" s="1" t="s">
        <v>6</v>
      </c>
      <c r="C1118" s="1" t="s">
        <v>6</v>
      </c>
      <c r="D1118" s="3" t="s">
        <v>7</v>
      </c>
      <c r="E1118" s="1" t="s">
        <v>8</v>
      </c>
      <c r="F1118" s="5">
        <v>46192.582974537036</v>
      </c>
      <c r="G1118" t="s">
        <v>961</v>
      </c>
      <c r="H1118" t="s">
        <v>657</v>
      </c>
      <c r="I1118" s="3">
        <f>VLOOKUP(G1118,Sheet2!A:J,10,0)</f>
        <v>27</v>
      </c>
      <c r="J1118" s="13"/>
      <c r="K1118" s="13"/>
    </row>
    <row r="1119" spans="1:11">
      <c r="A1119" s="4" t="s">
        <v>1023</v>
      </c>
      <c r="B1119" s="2" t="s">
        <v>275</v>
      </c>
      <c r="C1119" s="2" t="s">
        <v>276</v>
      </c>
      <c r="D1119" s="4" t="s">
        <v>7</v>
      </c>
      <c r="E1119" s="2" t="s">
        <v>277</v>
      </c>
      <c r="F1119" s="6">
        <v>46190.420717592591</v>
      </c>
      <c r="G1119" t="s">
        <v>961</v>
      </c>
      <c r="H1119" t="s">
        <v>657</v>
      </c>
      <c r="I1119" s="3">
        <f>VLOOKUP(G1119,Sheet2!A:J,10,0)</f>
        <v>27</v>
      </c>
      <c r="J1119" s="13"/>
      <c r="K1119" s="13"/>
    </row>
    <row r="1120" spans="1:11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t="s">
        <v>961</v>
      </c>
      <c r="H1120" t="s">
        <v>657</v>
      </c>
      <c r="I1120" s="3">
        <f>VLOOKUP(G1120,Sheet2!A:J,10,0)</f>
        <v>27</v>
      </c>
      <c r="J1120" s="13"/>
      <c r="K1120" s="13"/>
    </row>
    <row r="1121" spans="1:11">
      <c r="A1121" s="4" t="s">
        <v>1025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46189.63925925926</v>
      </c>
      <c r="G1121" t="s">
        <v>961</v>
      </c>
      <c r="H1121" t="s">
        <v>657</v>
      </c>
      <c r="I1121" s="3">
        <f>VLOOKUP(G1121,Sheet2!A:J,10,0)</f>
        <v>27</v>
      </c>
      <c r="J1121" s="13"/>
      <c r="K1121" s="13"/>
    </row>
    <row r="1122" spans="1:11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46186.469166666669</v>
      </c>
      <c r="G1122" t="s">
        <v>961</v>
      </c>
      <c r="H1122" t="s">
        <v>657</v>
      </c>
      <c r="I1122" s="3">
        <f>VLOOKUP(G1122,Sheet2!A:J,10,0)</f>
        <v>27</v>
      </c>
      <c r="J1122" s="13"/>
      <c r="K1122" s="13"/>
    </row>
    <row r="1123" spans="1:11">
      <c r="A1123" s="4" t="s">
        <v>1027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46190.448622685188</v>
      </c>
      <c r="G1123" t="s">
        <v>961</v>
      </c>
      <c r="H1123" t="s">
        <v>657</v>
      </c>
      <c r="I1123" s="3">
        <f>VLOOKUP(G1123,Sheet2!A:J,10,0)</f>
        <v>27</v>
      </c>
      <c r="J1123" s="13"/>
      <c r="K1123" s="13"/>
    </row>
    <row r="1124" spans="1:11">
      <c r="A1124" s="3" t="s">
        <v>1028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46189.639374999999</v>
      </c>
      <c r="G1124" t="s">
        <v>961</v>
      </c>
      <c r="H1124" t="s">
        <v>657</v>
      </c>
      <c r="I1124" s="3">
        <f>VLOOKUP(G1124,Sheet2!A:J,10,0)</f>
        <v>27</v>
      </c>
      <c r="J1124" s="13"/>
      <c r="K1124" s="13"/>
    </row>
    <row r="1125" spans="1:11">
      <c r="A1125" s="4" t="s">
        <v>1029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46197.559594907405</v>
      </c>
      <c r="G1125" t="s">
        <v>961</v>
      </c>
      <c r="H1125" t="s">
        <v>657</v>
      </c>
      <c r="I1125" s="3">
        <f>VLOOKUP(G1125,Sheet2!A:J,10,0)</f>
        <v>27</v>
      </c>
      <c r="J1125" s="13"/>
      <c r="K1125" s="13"/>
    </row>
    <row r="1126" spans="1:11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t="s">
        <v>961</v>
      </c>
      <c r="H1126" t="s">
        <v>657</v>
      </c>
      <c r="I1126" s="3">
        <f>VLOOKUP(G1126,Sheet2!A:J,10,0)</f>
        <v>27</v>
      </c>
      <c r="J1126" s="13"/>
      <c r="K1126" s="13"/>
    </row>
    <row r="1127" spans="1:11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t="s">
        <v>961</v>
      </c>
      <c r="H1127" t="s">
        <v>657</v>
      </c>
      <c r="I1127" s="3">
        <f>VLOOKUP(G1127,Sheet2!A:J,10,0)</f>
        <v>27</v>
      </c>
      <c r="J1127" s="13"/>
      <c r="K1127" s="13"/>
    </row>
    <row r="1128" spans="1:11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t="s">
        <v>961</v>
      </c>
      <c r="H1128" t="s">
        <v>657</v>
      </c>
      <c r="I1128" s="3">
        <f>VLOOKUP(G1128,Sheet2!A:J,10,0)</f>
        <v>27</v>
      </c>
      <c r="J1128" s="13"/>
      <c r="K1128" s="13"/>
    </row>
    <row r="1129" spans="1:11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t="s">
        <v>961</v>
      </c>
      <c r="H1129" t="s">
        <v>657</v>
      </c>
      <c r="I1129" s="3">
        <f>VLOOKUP(G1129,Sheet2!A:J,10,0)</f>
        <v>27</v>
      </c>
      <c r="J1129" s="13"/>
      <c r="K1129" s="13"/>
    </row>
    <row r="1130" spans="1:11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t="s">
        <v>961</v>
      </c>
      <c r="H1130" t="s">
        <v>657</v>
      </c>
      <c r="I1130" s="3">
        <f>VLOOKUP(G1130,Sheet2!A:J,10,0)</f>
        <v>27</v>
      </c>
      <c r="J1130" s="13"/>
      <c r="K1130" s="13"/>
    </row>
    <row r="1131" spans="1:11">
      <c r="A1131" s="4" t="s">
        <v>1035</v>
      </c>
      <c r="B1131" s="2" t="s">
        <v>9</v>
      </c>
      <c r="C1131" s="2" t="s">
        <v>10</v>
      </c>
      <c r="D1131" s="4" t="s">
        <v>7</v>
      </c>
      <c r="E1131" s="2" t="s">
        <v>11</v>
      </c>
      <c r="F1131" s="6">
        <v>46191.44803240741</v>
      </c>
      <c r="G1131" t="s">
        <v>961</v>
      </c>
      <c r="H1131" t="s">
        <v>657</v>
      </c>
      <c r="I1131" s="3">
        <f>VLOOKUP(G1131,Sheet2!A:J,10,0)</f>
        <v>27</v>
      </c>
      <c r="J1131" s="13"/>
      <c r="K1131" s="13"/>
    </row>
    <row r="1132" spans="1:11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t="s">
        <v>961</v>
      </c>
      <c r="H1132" t="s">
        <v>657</v>
      </c>
      <c r="I1132" s="3">
        <f>VLOOKUP(G1132,Sheet2!A:J,10,0)</f>
        <v>27</v>
      </c>
      <c r="J1132" s="13"/>
      <c r="K1132" s="13"/>
    </row>
    <row r="1133" spans="1:11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t="s">
        <v>961</v>
      </c>
      <c r="H1133" t="s">
        <v>657</v>
      </c>
      <c r="I1133" s="3">
        <f>VLOOKUP(G1133,Sheet2!A:J,10,0)</f>
        <v>27</v>
      </c>
      <c r="J1133" s="13"/>
      <c r="K1133" s="13"/>
    </row>
    <row r="1134" spans="1:11">
      <c r="A1134" s="3" t="s">
        <v>1038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46192.503460648149</v>
      </c>
      <c r="G1134" t="s">
        <v>961</v>
      </c>
      <c r="H1134" t="s">
        <v>657</v>
      </c>
      <c r="I1134" s="3">
        <f>VLOOKUP(G1134,Sheet2!A:J,10,0)</f>
        <v>27</v>
      </c>
      <c r="J1134" s="13"/>
      <c r="K1134" s="13"/>
    </row>
    <row r="1135" spans="1:11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t="s">
        <v>961</v>
      </c>
      <c r="H1135" t="s">
        <v>657</v>
      </c>
      <c r="I1135" s="3">
        <f>VLOOKUP(G1135,Sheet2!A:J,10,0)</f>
        <v>27</v>
      </c>
      <c r="J1135" s="13"/>
      <c r="K1135" s="13"/>
    </row>
    <row r="1136" spans="1:11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t="s">
        <v>961</v>
      </c>
      <c r="H1136" t="s">
        <v>657</v>
      </c>
      <c r="I1136" s="3">
        <f>VLOOKUP(G1136,Sheet2!A:J,10,0)</f>
        <v>27</v>
      </c>
      <c r="J1136" s="13"/>
      <c r="K1136" s="13"/>
    </row>
    <row r="1137" spans="1:11">
      <c r="A1137" s="4" t="s">
        <v>1041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46196.643379629626</v>
      </c>
      <c r="G1137" t="s">
        <v>961</v>
      </c>
      <c r="H1137" t="s">
        <v>657</v>
      </c>
      <c r="I1137" s="3">
        <f>VLOOKUP(G1137,Sheet2!A:J,10,0)</f>
        <v>27</v>
      </c>
      <c r="J1137" s="13"/>
      <c r="K1137" s="13"/>
    </row>
    <row r="1138" spans="1:11">
      <c r="A1138" s="3" t="s">
        <v>1042</v>
      </c>
      <c r="B1138" s="1" t="s">
        <v>9</v>
      </c>
      <c r="C1138" s="1" t="s">
        <v>10</v>
      </c>
      <c r="D1138" s="3" t="s">
        <v>7</v>
      </c>
      <c r="E1138" s="1" t="s">
        <v>11</v>
      </c>
      <c r="F1138" s="5">
        <v>46192.334675925929</v>
      </c>
      <c r="G1138" t="s">
        <v>961</v>
      </c>
      <c r="H1138" t="s">
        <v>657</v>
      </c>
      <c r="I1138" s="3">
        <f>VLOOKUP(G1138,Sheet2!A:J,10,0)</f>
        <v>27</v>
      </c>
      <c r="J1138" s="13"/>
      <c r="K1138" s="13"/>
    </row>
    <row r="1139" spans="1:11">
      <c r="A1139" s="4" t="s">
        <v>1043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46197.562592592592</v>
      </c>
      <c r="G1139" t="s">
        <v>961</v>
      </c>
      <c r="H1139" t="s">
        <v>657</v>
      </c>
      <c r="I1139" s="3">
        <f>VLOOKUP(G1139,Sheet2!A:J,10,0)</f>
        <v>27</v>
      </c>
      <c r="J1139" s="13"/>
      <c r="K1139" s="13"/>
    </row>
    <row r="1140" spans="1:11">
      <c r="A1140" s="3" t="s">
        <v>1044</v>
      </c>
      <c r="B1140" s="1" t="s">
        <v>9</v>
      </c>
      <c r="C1140" s="1" t="s">
        <v>10</v>
      </c>
      <c r="D1140" s="3" t="s">
        <v>7</v>
      </c>
      <c r="E1140" s="1" t="s">
        <v>11</v>
      </c>
      <c r="F1140" s="5">
        <v>46191.456608796296</v>
      </c>
      <c r="G1140" t="s">
        <v>961</v>
      </c>
      <c r="H1140" t="s">
        <v>657</v>
      </c>
      <c r="I1140" s="3">
        <f>VLOOKUP(G1140,Sheet2!A:J,10,0)</f>
        <v>27</v>
      </c>
      <c r="J1140" s="13"/>
      <c r="K1140" s="13"/>
    </row>
    <row r="1141" spans="1:11">
      <c r="A1141" s="4" t="s">
        <v>1045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46190.44871527778</v>
      </c>
      <c r="G1141" t="s">
        <v>961</v>
      </c>
      <c r="H1141" t="s">
        <v>657</v>
      </c>
      <c r="I1141" s="3">
        <f>VLOOKUP(G1141,Sheet2!A:J,10,0)</f>
        <v>27</v>
      </c>
      <c r="J1141" s="13"/>
      <c r="K1141" s="13"/>
    </row>
    <row r="1142" spans="1:11">
      <c r="A1142" s="3" t="s">
        <v>1046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46190.48715277778</v>
      </c>
      <c r="G1142" t="s">
        <v>961</v>
      </c>
      <c r="H1142" t="s">
        <v>657</v>
      </c>
      <c r="I1142" s="3">
        <f>VLOOKUP(G1142,Sheet2!A:J,10,0)</f>
        <v>27</v>
      </c>
      <c r="J1142" s="13"/>
      <c r="K1142" s="13"/>
    </row>
    <row r="1143" spans="1:11">
      <c r="A1143" s="4" t="s">
        <v>1047</v>
      </c>
      <c r="B1143" s="2" t="s">
        <v>275</v>
      </c>
      <c r="C1143" s="2" t="s">
        <v>276</v>
      </c>
      <c r="D1143" s="4" t="s">
        <v>7</v>
      </c>
      <c r="E1143" s="2" t="s">
        <v>277</v>
      </c>
      <c r="F1143" s="6">
        <v>46191.827349537038</v>
      </c>
      <c r="G1143" t="s">
        <v>961</v>
      </c>
      <c r="H1143" t="s">
        <v>657</v>
      </c>
      <c r="I1143" s="3">
        <f>VLOOKUP(G1143,Sheet2!A:J,10,0)</f>
        <v>27</v>
      </c>
      <c r="J1143" s="13"/>
      <c r="K1143" s="13"/>
    </row>
    <row r="1144" spans="1:11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t="s">
        <v>961</v>
      </c>
      <c r="H1144" t="s">
        <v>657</v>
      </c>
      <c r="I1144" s="3">
        <f>VLOOKUP(G1144,Sheet2!A:J,10,0)</f>
        <v>27</v>
      </c>
      <c r="J1144" s="13"/>
      <c r="K1144" s="13"/>
    </row>
    <row r="1145" spans="1:11">
      <c r="A1145" s="4" t="s">
        <v>1049</v>
      </c>
      <c r="B1145" s="2" t="s">
        <v>9</v>
      </c>
      <c r="C1145" s="2" t="s">
        <v>10</v>
      </c>
      <c r="D1145" s="4" t="s">
        <v>7</v>
      </c>
      <c r="E1145" s="2" t="s">
        <v>11</v>
      </c>
      <c r="F1145" s="6">
        <v>46191.440393518518</v>
      </c>
      <c r="G1145" t="s">
        <v>961</v>
      </c>
      <c r="H1145" t="s">
        <v>657</v>
      </c>
      <c r="I1145" s="3">
        <f>VLOOKUP(G1145,Sheet2!A:J,10,0)</f>
        <v>27</v>
      </c>
      <c r="J1145" s="13"/>
      <c r="K1145" s="13"/>
    </row>
    <row r="1146" spans="1:11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t="s">
        <v>961</v>
      </c>
      <c r="H1146" t="s">
        <v>657</v>
      </c>
      <c r="I1146" s="3">
        <f>VLOOKUP(G1146,Sheet2!A:J,10,0)</f>
        <v>27</v>
      </c>
      <c r="J1146" s="13"/>
      <c r="K1146" s="13"/>
    </row>
    <row r="1147" spans="1:11">
      <c r="A1147" s="4" t="s">
        <v>1051</v>
      </c>
      <c r="B1147" s="2" t="s">
        <v>9</v>
      </c>
      <c r="C1147" s="2" t="s">
        <v>10</v>
      </c>
      <c r="D1147" s="4" t="s">
        <v>7</v>
      </c>
      <c r="E1147" s="2" t="s">
        <v>11</v>
      </c>
      <c r="F1147" s="6">
        <v>46191.436585648145</v>
      </c>
      <c r="G1147" t="s">
        <v>961</v>
      </c>
      <c r="H1147" t="s">
        <v>657</v>
      </c>
      <c r="I1147" s="3">
        <f>VLOOKUP(G1147,Sheet2!A:J,10,0)</f>
        <v>27</v>
      </c>
      <c r="J1147" s="13"/>
      <c r="K1147" s="13"/>
    </row>
    <row r="1148" spans="1:11">
      <c r="A1148" s="3" t="s">
        <v>1052</v>
      </c>
      <c r="B1148" s="1" t="s">
        <v>9</v>
      </c>
      <c r="C1148" s="1" t="s">
        <v>10</v>
      </c>
      <c r="D1148" s="3" t="s">
        <v>7</v>
      </c>
      <c r="E1148" s="1" t="s">
        <v>11</v>
      </c>
      <c r="F1148" s="5">
        <v>46191.455347222225</v>
      </c>
      <c r="G1148" t="s">
        <v>961</v>
      </c>
      <c r="H1148" t="s">
        <v>657</v>
      </c>
      <c r="I1148" s="3">
        <f>VLOOKUP(G1148,Sheet2!A:J,10,0)</f>
        <v>27</v>
      </c>
      <c r="J1148" s="13"/>
      <c r="K1148" s="13"/>
    </row>
    <row r="1149" spans="1:11">
      <c r="A1149" s="4" t="s">
        <v>1053</v>
      </c>
      <c r="B1149" s="2" t="s">
        <v>275</v>
      </c>
      <c r="C1149" s="2" t="s">
        <v>276</v>
      </c>
      <c r="D1149" s="4" t="s">
        <v>7</v>
      </c>
      <c r="E1149" s="2" t="s">
        <v>277</v>
      </c>
      <c r="F1149" s="6">
        <v>46191.903854166667</v>
      </c>
      <c r="G1149" t="s">
        <v>961</v>
      </c>
      <c r="H1149" t="s">
        <v>657</v>
      </c>
      <c r="I1149" s="3">
        <f>VLOOKUP(G1149,Sheet2!A:J,10,0)</f>
        <v>27</v>
      </c>
      <c r="J1149" s="13"/>
      <c r="K1149" s="13"/>
    </row>
    <row r="1150" spans="1:11">
      <c r="A1150" s="3" t="s">
        <v>1054</v>
      </c>
      <c r="B1150" s="1" t="s">
        <v>9</v>
      </c>
      <c r="C1150" s="1" t="s">
        <v>10</v>
      </c>
      <c r="D1150" s="3" t="s">
        <v>7</v>
      </c>
      <c r="E1150" s="1" t="s">
        <v>11</v>
      </c>
      <c r="F1150" s="5">
        <v>46190.341203703705</v>
      </c>
      <c r="G1150" t="s">
        <v>961</v>
      </c>
      <c r="H1150" t="s">
        <v>657</v>
      </c>
      <c r="I1150" s="3">
        <f>VLOOKUP(G1150,Sheet2!A:J,10,0)</f>
        <v>27</v>
      </c>
      <c r="J1150" s="13"/>
      <c r="K1150" s="13"/>
    </row>
    <row r="1151" spans="1:11">
      <c r="A1151" s="4" t="s">
        <v>1055</v>
      </c>
      <c r="B1151" s="2" t="s">
        <v>6</v>
      </c>
      <c r="C1151" s="2" t="s">
        <v>6</v>
      </c>
      <c r="D1151" s="4" t="s">
        <v>7</v>
      </c>
      <c r="E1151" s="2" t="s">
        <v>8</v>
      </c>
      <c r="F1151" s="6">
        <v>46192.503310185188</v>
      </c>
      <c r="G1151" t="s">
        <v>961</v>
      </c>
      <c r="H1151" t="s">
        <v>657</v>
      </c>
      <c r="I1151" s="3">
        <f>VLOOKUP(G1151,Sheet2!A:J,10,0)</f>
        <v>27</v>
      </c>
      <c r="J1151" s="13"/>
      <c r="K1151" s="13"/>
    </row>
    <row r="1152" spans="1:11">
      <c r="A1152" s="3" t="s">
        <v>1056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46192.503541666665</v>
      </c>
      <c r="G1152" t="s">
        <v>961</v>
      </c>
      <c r="H1152" t="s">
        <v>657</v>
      </c>
      <c r="I1152" s="3">
        <f>VLOOKUP(G1152,Sheet2!A:J,10,0)</f>
        <v>27</v>
      </c>
      <c r="J1152" s="13"/>
      <c r="K1152" s="13"/>
    </row>
    <row r="1153" spans="1:11">
      <c r="A1153" s="4" t="s">
        <v>1057</v>
      </c>
      <c r="B1153" s="2" t="s">
        <v>9</v>
      </c>
      <c r="C1153" s="2" t="s">
        <v>10</v>
      </c>
      <c r="D1153" s="4" t="s">
        <v>7</v>
      </c>
      <c r="E1153" s="2" t="s">
        <v>11</v>
      </c>
      <c r="F1153" s="6">
        <v>46191.808391203704</v>
      </c>
      <c r="G1153" t="s">
        <v>961</v>
      </c>
      <c r="H1153" t="s">
        <v>657</v>
      </c>
      <c r="I1153" s="3">
        <f>VLOOKUP(G1153,Sheet2!A:J,10,0)</f>
        <v>27</v>
      </c>
      <c r="J1153" s="13"/>
      <c r="K1153" s="13"/>
    </row>
    <row r="1154" spans="1:11">
      <c r="A1154" s="3" t="s">
        <v>1058</v>
      </c>
      <c r="B1154" s="1" t="s">
        <v>6</v>
      </c>
      <c r="C1154" s="1" t="s">
        <v>6</v>
      </c>
      <c r="D1154" s="3" t="s">
        <v>7</v>
      </c>
      <c r="E1154" s="1" t="s">
        <v>8</v>
      </c>
      <c r="F1154" s="5">
        <v>46190.587997685187</v>
      </c>
      <c r="G1154" t="s">
        <v>961</v>
      </c>
      <c r="H1154" t="s">
        <v>657</v>
      </c>
      <c r="I1154" s="3">
        <f>VLOOKUP(G1154,Sheet2!A:J,10,0)</f>
        <v>27</v>
      </c>
      <c r="J1154" s="13"/>
      <c r="K1154" s="13"/>
    </row>
    <row r="1155" spans="1:11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46186.469409722224</v>
      </c>
      <c r="G1155" t="s">
        <v>961</v>
      </c>
      <c r="H1155" t="s">
        <v>657</v>
      </c>
      <c r="I1155" s="3">
        <f>VLOOKUP(G1155,Sheet2!A:J,10,0)</f>
        <v>27</v>
      </c>
      <c r="J1155" s="13"/>
      <c r="K1155" s="13"/>
    </row>
    <row r="1156" spans="1:11">
      <c r="A1156" s="3" t="s">
        <v>1060</v>
      </c>
      <c r="B1156" s="1" t="s">
        <v>9</v>
      </c>
      <c r="C1156" s="1" t="s">
        <v>10</v>
      </c>
      <c r="D1156" s="3" t="s">
        <v>7</v>
      </c>
      <c r="E1156" s="1" t="s">
        <v>11</v>
      </c>
      <c r="F1156" s="5">
        <v>46189.907395833332</v>
      </c>
      <c r="G1156" t="s">
        <v>961</v>
      </c>
      <c r="H1156" t="s">
        <v>657</v>
      </c>
      <c r="I1156" s="3">
        <f>VLOOKUP(G1156,Sheet2!A:J,10,0)</f>
        <v>27</v>
      </c>
      <c r="J1156" s="13"/>
      <c r="K1156" s="13"/>
    </row>
    <row r="1157" spans="1:11">
      <c r="A1157" s="4" t="s">
        <v>1061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46197.522083333337</v>
      </c>
      <c r="G1157" t="s">
        <v>961</v>
      </c>
      <c r="H1157" t="s">
        <v>657</v>
      </c>
      <c r="I1157" s="3">
        <f>VLOOKUP(G1157,Sheet2!A:J,10,0)</f>
        <v>27</v>
      </c>
      <c r="J1157" s="13"/>
      <c r="K1157" s="13"/>
    </row>
    <row r="1158" spans="1:11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46186.468576388892</v>
      </c>
      <c r="G1158" t="s">
        <v>961</v>
      </c>
      <c r="H1158" t="s">
        <v>657</v>
      </c>
      <c r="I1158" s="3">
        <f>VLOOKUP(G1158,Sheet2!A:J,10,0)</f>
        <v>27</v>
      </c>
      <c r="J1158" s="13"/>
      <c r="K1158" s="13"/>
    </row>
    <row r="1159" spans="1:11">
      <c r="A1159" s="4" t="s">
        <v>1063</v>
      </c>
      <c r="B1159" s="2" t="s">
        <v>9</v>
      </c>
      <c r="C1159" s="2" t="s">
        <v>10</v>
      </c>
      <c r="D1159" s="4" t="s">
        <v>7</v>
      </c>
      <c r="E1159" s="2" t="s">
        <v>11</v>
      </c>
      <c r="F1159" s="6">
        <v>46190.324421296296</v>
      </c>
      <c r="G1159" t="s">
        <v>961</v>
      </c>
      <c r="H1159" t="s">
        <v>657</v>
      </c>
      <c r="I1159" s="3">
        <f>VLOOKUP(G1159,Sheet2!A:J,10,0)</f>
        <v>27</v>
      </c>
      <c r="J1159" s="13"/>
      <c r="K1159" s="13"/>
    </row>
    <row r="1160" spans="1:11">
      <c r="A1160" s="3" t="s">
        <v>1064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46190.39565972222</v>
      </c>
      <c r="G1160" t="s">
        <v>961</v>
      </c>
      <c r="H1160" t="s">
        <v>657</v>
      </c>
      <c r="I1160" s="3">
        <f>VLOOKUP(G1160,Sheet2!A:J,10,0)</f>
        <v>27</v>
      </c>
      <c r="J1160" s="13"/>
      <c r="K1160" s="13"/>
    </row>
    <row r="1161" spans="1:11">
      <c r="A1161" s="4" t="s">
        <v>1065</v>
      </c>
      <c r="B1161" s="2" t="s">
        <v>9</v>
      </c>
      <c r="C1161" s="2" t="s">
        <v>10</v>
      </c>
      <c r="D1161" s="4" t="s">
        <v>7</v>
      </c>
      <c r="E1161" s="2" t="s">
        <v>11</v>
      </c>
      <c r="F1161" s="6">
        <v>46192.338495370372</v>
      </c>
      <c r="G1161" t="s">
        <v>961</v>
      </c>
      <c r="H1161" t="s">
        <v>657</v>
      </c>
      <c r="I1161" s="3">
        <f>VLOOKUP(G1161,Sheet2!A:J,10,0)</f>
        <v>27</v>
      </c>
      <c r="J1161" s="13"/>
      <c r="K1161" s="13"/>
    </row>
    <row r="1162" spans="1:11">
      <c r="A1162" s="3" t="s">
        <v>1066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46186.268113425926</v>
      </c>
      <c r="G1162" t="s">
        <v>961</v>
      </c>
      <c r="H1162" t="s">
        <v>657</v>
      </c>
      <c r="I1162" s="3">
        <f>VLOOKUP(G1162,Sheet2!A:J,10,0)</f>
        <v>27</v>
      </c>
      <c r="J1162" s="13"/>
      <c r="K1162" s="13"/>
    </row>
    <row r="1163" spans="1:11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t="s">
        <v>961</v>
      </c>
      <c r="H1163" t="s">
        <v>657</v>
      </c>
      <c r="I1163" s="3">
        <f>VLOOKUP(G1163,Sheet2!A:J,10,0)</f>
        <v>27</v>
      </c>
      <c r="J1163" s="13"/>
      <c r="K1163" s="13"/>
    </row>
    <row r="1164" spans="1:11">
      <c r="A1164" s="3" t="s">
        <v>1068</v>
      </c>
      <c r="B1164" s="1" t="s">
        <v>9</v>
      </c>
      <c r="C1164" s="1" t="s">
        <v>10</v>
      </c>
      <c r="D1164" s="3" t="s">
        <v>7</v>
      </c>
      <c r="E1164" s="1" t="s">
        <v>11</v>
      </c>
      <c r="F1164" s="5">
        <v>46197.298217592594</v>
      </c>
      <c r="G1164" t="s">
        <v>961</v>
      </c>
      <c r="H1164" t="s">
        <v>657</v>
      </c>
      <c r="I1164" s="3">
        <f>VLOOKUP(G1164,Sheet2!A:J,10,0)</f>
        <v>27</v>
      </c>
      <c r="J1164" s="13"/>
      <c r="K1164" s="13"/>
    </row>
    <row r="1165" spans="1:11">
      <c r="A1165" s="4" t="s">
        <v>1069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46197.522152777776</v>
      </c>
      <c r="G1165" t="s">
        <v>961</v>
      </c>
      <c r="H1165" t="s">
        <v>657</v>
      </c>
      <c r="I1165" s="3">
        <f>VLOOKUP(G1165,Sheet2!A:J,10,0)</f>
        <v>27</v>
      </c>
      <c r="J1165" s="13"/>
      <c r="K1165" s="13"/>
    </row>
    <row r="1166" spans="1:11">
      <c r="A1166" s="3" t="s">
        <v>1070</v>
      </c>
      <c r="B1166" s="1" t="s">
        <v>6</v>
      </c>
      <c r="C1166" s="1" t="s">
        <v>6</v>
      </c>
      <c r="D1166" s="3" t="s">
        <v>7</v>
      </c>
      <c r="E1166" s="1" t="s">
        <v>8</v>
      </c>
      <c r="F1166" s="5">
        <v>46190.588125000002</v>
      </c>
      <c r="G1166" t="s">
        <v>961</v>
      </c>
      <c r="H1166" t="s">
        <v>657</v>
      </c>
      <c r="I1166" s="3">
        <f>VLOOKUP(G1166,Sheet2!A:J,10,0)</f>
        <v>27</v>
      </c>
      <c r="J1166" s="13"/>
      <c r="K1166" s="13"/>
    </row>
    <row r="1167" spans="1:11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46186.469664351855</v>
      </c>
      <c r="G1167" t="s">
        <v>961</v>
      </c>
      <c r="H1167" t="s">
        <v>657</v>
      </c>
      <c r="I1167" s="3">
        <f>VLOOKUP(G1167,Sheet2!A:J,10,0)</f>
        <v>27</v>
      </c>
      <c r="J1167" s="13"/>
      <c r="K1167" s="13"/>
    </row>
    <row r="1168" spans="1:11">
      <c r="A1168" s="3" t="s">
        <v>1072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46197.559525462966</v>
      </c>
      <c r="G1168" t="s">
        <v>961</v>
      </c>
      <c r="H1168" t="s">
        <v>657</v>
      </c>
      <c r="I1168" s="3">
        <f>VLOOKUP(G1168,Sheet2!A:J,10,0)</f>
        <v>27</v>
      </c>
      <c r="J1168" s="13"/>
      <c r="K1168" s="13"/>
    </row>
    <row r="1169" spans="1:11">
      <c r="A1169" s="4" t="s">
        <v>1073</v>
      </c>
      <c r="B1169" s="2" t="s">
        <v>9</v>
      </c>
      <c r="C1169" s="2" t="s">
        <v>10</v>
      </c>
      <c r="D1169" s="4" t="s">
        <v>7</v>
      </c>
      <c r="E1169" s="2" t="s">
        <v>11</v>
      </c>
      <c r="F1169" s="6">
        <v>46191.444108796299</v>
      </c>
      <c r="G1169" t="s">
        <v>961</v>
      </c>
      <c r="H1169" t="s">
        <v>657</v>
      </c>
      <c r="I1169" s="3">
        <f>VLOOKUP(G1169,Sheet2!A:J,10,0)</f>
        <v>27</v>
      </c>
      <c r="J1169" s="13"/>
      <c r="K1169" s="13"/>
    </row>
    <row r="1170" spans="1:11">
      <c r="A1170" s="3" t="s">
        <v>1074</v>
      </c>
      <c r="B1170" s="1" t="s">
        <v>6</v>
      </c>
      <c r="C1170" s="1" t="s">
        <v>6</v>
      </c>
      <c r="D1170" s="3" t="s">
        <v>7</v>
      </c>
      <c r="E1170" s="1" t="s">
        <v>8</v>
      </c>
      <c r="F1170" s="5">
        <v>46190.395601851851</v>
      </c>
      <c r="G1170" t="s">
        <v>961</v>
      </c>
      <c r="H1170" t="s">
        <v>657</v>
      </c>
      <c r="I1170" s="3">
        <f>VLOOKUP(G1170,Sheet2!A:J,10,0)</f>
        <v>27</v>
      </c>
      <c r="J1170" s="13"/>
      <c r="K1170" s="13"/>
    </row>
    <row r="1171" spans="1:11">
      <c r="A1171" s="4" t="s">
        <v>1075</v>
      </c>
      <c r="B1171" s="2" t="s">
        <v>9</v>
      </c>
      <c r="C1171" s="2" t="s">
        <v>10</v>
      </c>
      <c r="D1171" s="4" t="s">
        <v>7</v>
      </c>
      <c r="E1171" s="2" t="s">
        <v>11</v>
      </c>
      <c r="F1171" s="6">
        <v>46189.910532407404</v>
      </c>
      <c r="G1171" t="s">
        <v>961</v>
      </c>
      <c r="H1171" t="s">
        <v>657</v>
      </c>
      <c r="I1171" s="3">
        <f>VLOOKUP(G1171,Sheet2!A:J,10,0)</f>
        <v>27</v>
      </c>
      <c r="J1171" s="13"/>
      <c r="K1171" s="13"/>
    </row>
    <row r="1172" spans="1:11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t="s">
        <v>961</v>
      </c>
      <c r="H1172" t="s">
        <v>657</v>
      </c>
      <c r="I1172" s="3">
        <f>VLOOKUP(G1172,Sheet2!A:J,10,0)</f>
        <v>27</v>
      </c>
      <c r="J1172" s="13"/>
      <c r="K1172" s="13"/>
    </row>
    <row r="1173" spans="1:11">
      <c r="A1173" s="4" t="s">
        <v>1077</v>
      </c>
      <c r="B1173" s="2" t="s">
        <v>9</v>
      </c>
      <c r="C1173" s="2" t="s">
        <v>10</v>
      </c>
      <c r="D1173" s="4" t="s">
        <v>7</v>
      </c>
      <c r="E1173" s="2" t="s">
        <v>11</v>
      </c>
      <c r="F1173" s="6">
        <v>46189.909456018519</v>
      </c>
      <c r="G1173" t="s">
        <v>961</v>
      </c>
      <c r="H1173" t="s">
        <v>657</v>
      </c>
      <c r="I1173" s="3">
        <f>VLOOKUP(G1173,Sheet2!A:J,10,0)</f>
        <v>27</v>
      </c>
      <c r="J1173" s="13"/>
      <c r="K1173" s="13"/>
    </row>
    <row r="1174" spans="1:11">
      <c r="A1174" s="3" t="s">
        <v>1078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46189.471273148149</v>
      </c>
      <c r="G1174" t="s">
        <v>961</v>
      </c>
      <c r="H1174" t="s">
        <v>657</v>
      </c>
      <c r="I1174" s="3">
        <f>VLOOKUP(G1174,Sheet2!A:J,10,0)</f>
        <v>27</v>
      </c>
      <c r="J1174" s="13"/>
      <c r="K1174" s="13"/>
    </row>
    <row r="1175" spans="1:11">
      <c r="A1175" s="4" t="s">
        <v>1079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46192.503564814811</v>
      </c>
      <c r="G1175" t="s">
        <v>961</v>
      </c>
      <c r="H1175" t="s">
        <v>657</v>
      </c>
      <c r="I1175" s="3">
        <f>VLOOKUP(G1175,Sheet2!A:J,10,0)</f>
        <v>27</v>
      </c>
      <c r="J1175" s="13"/>
      <c r="K1175" s="13"/>
    </row>
    <row r="1176" spans="1:11">
      <c r="A1176" s="3" t="s">
        <v>1080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46188.599328703705</v>
      </c>
      <c r="G1176" t="s">
        <v>961</v>
      </c>
      <c r="H1176" t="s">
        <v>657</v>
      </c>
      <c r="I1176" s="3">
        <f>VLOOKUP(G1176,Sheet2!A:J,10,0)</f>
        <v>27</v>
      </c>
      <c r="J1176" s="13"/>
      <c r="K1176" s="13"/>
    </row>
    <row r="1177" spans="1:11">
      <c r="A1177" s="4" t="s">
        <v>1081</v>
      </c>
      <c r="B1177" s="2" t="s">
        <v>12</v>
      </c>
      <c r="C1177" s="2" t="s">
        <v>13</v>
      </c>
      <c r="D1177" s="4" t="s">
        <v>7</v>
      </c>
      <c r="E1177" s="2" t="s">
        <v>14</v>
      </c>
      <c r="F1177" s="6">
        <v>46192.285243055558</v>
      </c>
      <c r="G1177" t="s">
        <v>961</v>
      </c>
      <c r="H1177" t="s">
        <v>657</v>
      </c>
      <c r="I1177" s="3">
        <f>VLOOKUP(G1177,Sheet2!A:J,10,0)</f>
        <v>27</v>
      </c>
      <c r="J1177" s="13"/>
      <c r="K1177" s="13"/>
    </row>
    <row r="1178" spans="1:11">
      <c r="A1178" s="3" t="s">
        <v>1082</v>
      </c>
      <c r="B1178" s="1" t="s">
        <v>6</v>
      </c>
      <c r="C1178" s="1" t="s">
        <v>6</v>
      </c>
      <c r="D1178" s="3" t="s">
        <v>7</v>
      </c>
      <c r="E1178" s="1" t="s">
        <v>8</v>
      </c>
      <c r="F1178" s="5">
        <v>46192.583055555559</v>
      </c>
      <c r="G1178" t="s">
        <v>961</v>
      </c>
      <c r="H1178" t="s">
        <v>657</v>
      </c>
      <c r="I1178" s="3">
        <f>VLOOKUP(G1178,Sheet2!A:J,10,0)</f>
        <v>27</v>
      </c>
      <c r="J1178" s="13"/>
      <c r="K1178" s="13"/>
    </row>
    <row r="1179" spans="1:11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t="s">
        <v>961</v>
      </c>
      <c r="H1179" t="s">
        <v>657</v>
      </c>
      <c r="I1179" s="3">
        <f>VLOOKUP(G1179,Sheet2!A:J,10,0)</f>
        <v>27</v>
      </c>
      <c r="J1179" s="13"/>
      <c r="K1179" s="13"/>
    </row>
    <row r="1180" spans="1:11">
      <c r="A1180" s="3" t="s">
        <v>1084</v>
      </c>
      <c r="B1180" s="1" t="s">
        <v>98</v>
      </c>
      <c r="C1180" s="1" t="s">
        <v>99</v>
      </c>
      <c r="D1180" s="3" t="s">
        <v>7</v>
      </c>
      <c r="E1180" s="1" t="s">
        <v>100</v>
      </c>
      <c r="F1180" s="5">
        <v>46195.553993055553</v>
      </c>
      <c r="G1180" t="s">
        <v>961</v>
      </c>
      <c r="H1180" t="s">
        <v>657</v>
      </c>
      <c r="I1180" s="3">
        <f>VLOOKUP(G1180,Sheet2!A:J,10,0)</f>
        <v>27</v>
      </c>
      <c r="J1180" s="13"/>
      <c r="K1180" s="13"/>
    </row>
    <row r="1181" spans="1:11">
      <c r="A1181" s="4" t="s">
        <v>1085</v>
      </c>
      <c r="B1181" s="2" t="s">
        <v>98</v>
      </c>
      <c r="C1181" s="2" t="s">
        <v>99</v>
      </c>
      <c r="D1181" s="4" t="s">
        <v>7</v>
      </c>
      <c r="E1181" s="2" t="s">
        <v>100</v>
      </c>
      <c r="F1181" s="6">
        <v>46185.440370370372</v>
      </c>
      <c r="G1181" t="s">
        <v>961</v>
      </c>
      <c r="H1181" t="s">
        <v>657</v>
      </c>
      <c r="I1181" s="3">
        <f>VLOOKUP(G1181,Sheet2!A:J,10,0)</f>
        <v>27</v>
      </c>
      <c r="J1181" s="13"/>
      <c r="K1181" s="13">
        <v>46189</v>
      </c>
    </row>
    <row r="1182" spans="1:11">
      <c r="A1182" s="3" t="s">
        <v>1086</v>
      </c>
      <c r="B1182" s="1" t="s">
        <v>275</v>
      </c>
      <c r="C1182" s="1" t="s">
        <v>276</v>
      </c>
      <c r="D1182" s="3" t="s">
        <v>7</v>
      </c>
      <c r="E1182" s="1" t="s">
        <v>277</v>
      </c>
      <c r="F1182" s="5">
        <v>46191.831990740742</v>
      </c>
      <c r="G1182" t="s">
        <v>961</v>
      </c>
      <c r="H1182" t="s">
        <v>657</v>
      </c>
      <c r="I1182" s="3">
        <f>VLOOKUP(G1182,Sheet2!A:J,10,0)</f>
        <v>27</v>
      </c>
      <c r="J1182" s="13"/>
      <c r="K1182" s="13"/>
    </row>
    <row r="1183" spans="1:11">
      <c r="A1183" s="4" t="s">
        <v>1087</v>
      </c>
      <c r="B1183" s="2" t="s">
        <v>275</v>
      </c>
      <c r="C1183" s="2" t="s">
        <v>276</v>
      </c>
      <c r="D1183" s="4" t="s">
        <v>7</v>
      </c>
      <c r="E1183" s="2" t="s">
        <v>277</v>
      </c>
      <c r="F1183" s="6">
        <v>46191.852395833332</v>
      </c>
      <c r="G1183" t="s">
        <v>961</v>
      </c>
      <c r="H1183" t="s">
        <v>657</v>
      </c>
      <c r="I1183" s="3">
        <f>VLOOKUP(G1183,Sheet2!A:J,10,0)</f>
        <v>27</v>
      </c>
      <c r="J1183" s="13"/>
      <c r="K1183" s="13"/>
    </row>
    <row r="1184" spans="1:11">
      <c r="A1184" s="3" t="s">
        <v>1088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46196.555636574078</v>
      </c>
      <c r="G1184" t="s">
        <v>961</v>
      </c>
      <c r="H1184" t="s">
        <v>657</v>
      </c>
      <c r="I1184" s="3">
        <f>VLOOKUP(G1184,Sheet2!A:J,10,0)</f>
        <v>27</v>
      </c>
      <c r="J1184" s="13"/>
      <c r="K1184" s="13"/>
    </row>
    <row r="1185" spans="1:11">
      <c r="A1185" s="4" t="s">
        <v>1089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46196.555567129632</v>
      </c>
      <c r="G1185" t="s">
        <v>961</v>
      </c>
      <c r="H1185" t="s">
        <v>657</v>
      </c>
      <c r="I1185" s="3">
        <f>VLOOKUP(G1185,Sheet2!A:J,10,0)</f>
        <v>27</v>
      </c>
      <c r="J1185" s="13"/>
      <c r="K1185" s="13"/>
    </row>
    <row r="1186" spans="1:11">
      <c r="A1186" s="3" t="s">
        <v>1090</v>
      </c>
      <c r="B1186" s="1" t="s">
        <v>275</v>
      </c>
      <c r="C1186" s="1" t="s">
        <v>276</v>
      </c>
      <c r="D1186" s="3" t="s">
        <v>7</v>
      </c>
      <c r="E1186" s="1" t="s">
        <v>277</v>
      </c>
      <c r="F1186" s="5">
        <v>46191.828506944446</v>
      </c>
      <c r="G1186" t="s">
        <v>961</v>
      </c>
      <c r="H1186" t="s">
        <v>657</v>
      </c>
      <c r="I1186" s="3">
        <f>VLOOKUP(G1186,Sheet2!A:J,10,0)</f>
        <v>27</v>
      </c>
      <c r="J1186" s="13"/>
      <c r="K1186" s="13"/>
    </row>
    <row r="1187" spans="1:11">
      <c r="A1187" s="4" t="s">
        <v>1091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46192.583090277774</v>
      </c>
      <c r="G1187" t="s">
        <v>961</v>
      </c>
      <c r="H1187" t="s">
        <v>657</v>
      </c>
      <c r="I1187" s="3">
        <f>VLOOKUP(G1187,Sheet2!A:J,10,0)</f>
        <v>27</v>
      </c>
      <c r="J1187" s="13"/>
      <c r="K1187" s="13"/>
    </row>
    <row r="1188" spans="1:11">
      <c r="A1188" s="3" t="s">
        <v>1092</v>
      </c>
      <c r="B1188" s="1" t="s">
        <v>275</v>
      </c>
      <c r="C1188" s="1" t="s">
        <v>276</v>
      </c>
      <c r="D1188" s="3" t="s">
        <v>7</v>
      </c>
      <c r="E1188" s="1" t="s">
        <v>277</v>
      </c>
      <c r="F1188" s="5">
        <v>46191.836782407408</v>
      </c>
      <c r="G1188" t="s">
        <v>961</v>
      </c>
      <c r="H1188" t="s">
        <v>657</v>
      </c>
      <c r="I1188" s="3">
        <f>VLOOKUP(G1188,Sheet2!A:J,10,0)</f>
        <v>27</v>
      </c>
      <c r="J1188" s="13"/>
      <c r="K1188" s="13"/>
    </row>
    <row r="1189" spans="1:11">
      <c r="A1189" s="4" t="s">
        <v>1093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46189.66369212963</v>
      </c>
      <c r="G1189" t="s">
        <v>961</v>
      </c>
      <c r="H1189" t="s">
        <v>657</v>
      </c>
      <c r="I1189" s="3">
        <f>VLOOKUP(G1189,Sheet2!A:J,10,0)</f>
        <v>27</v>
      </c>
      <c r="J1189" s="13"/>
      <c r="K1189" s="13"/>
    </row>
    <row r="1190" spans="1:11">
      <c r="A1190" s="3" t="s">
        <v>1094</v>
      </c>
      <c r="B1190" s="1" t="s">
        <v>98</v>
      </c>
      <c r="C1190" s="1" t="s">
        <v>99</v>
      </c>
      <c r="D1190" s="3" t="s">
        <v>7</v>
      </c>
      <c r="E1190" s="1" t="s">
        <v>100</v>
      </c>
      <c r="F1190" s="5">
        <v>46195.554560185185</v>
      </c>
      <c r="G1190" t="s">
        <v>961</v>
      </c>
      <c r="H1190" t="s">
        <v>657</v>
      </c>
      <c r="I1190" s="3">
        <f>VLOOKUP(G1190,Sheet2!A:J,10,0)</f>
        <v>27</v>
      </c>
      <c r="J1190" s="13"/>
      <c r="K1190" s="13"/>
    </row>
    <row r="1191" spans="1:11">
      <c r="A1191" s="4" t="s">
        <v>1095</v>
      </c>
      <c r="B1191" s="2" t="s">
        <v>98</v>
      </c>
      <c r="C1191" s="2" t="s">
        <v>99</v>
      </c>
      <c r="D1191" s="4" t="s">
        <v>7</v>
      </c>
      <c r="E1191" s="2" t="s">
        <v>100</v>
      </c>
      <c r="F1191" s="6">
        <v>46195.55810185185</v>
      </c>
      <c r="G1191" t="s">
        <v>961</v>
      </c>
      <c r="H1191" t="s">
        <v>657</v>
      </c>
      <c r="I1191" s="3">
        <f>VLOOKUP(G1191,Sheet2!A:J,10,0)</f>
        <v>27</v>
      </c>
      <c r="J1191" s="13"/>
      <c r="K1191" s="13"/>
    </row>
    <row r="1192" spans="1:11">
      <c r="A1192" s="3" t="s">
        <v>1096</v>
      </c>
      <c r="B1192" s="1" t="s">
        <v>98</v>
      </c>
      <c r="C1192" s="1" t="s">
        <v>99</v>
      </c>
      <c r="D1192" s="3" t="s">
        <v>7</v>
      </c>
      <c r="E1192" s="1" t="s">
        <v>100</v>
      </c>
      <c r="F1192" s="5">
        <v>46195.554224537038</v>
      </c>
      <c r="G1192" t="s">
        <v>961</v>
      </c>
      <c r="H1192" t="s">
        <v>657</v>
      </c>
      <c r="I1192" s="3">
        <f>VLOOKUP(G1192,Sheet2!A:J,10,0)</f>
        <v>27</v>
      </c>
      <c r="J1192" s="13"/>
      <c r="K1192" s="13"/>
    </row>
    <row r="1193" spans="1:11">
      <c r="A1193" s="4" t="s">
        <v>1097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46197.522314814814</v>
      </c>
      <c r="G1193" t="s">
        <v>961</v>
      </c>
      <c r="H1193" t="s">
        <v>657</v>
      </c>
      <c r="I1193" s="3">
        <f>VLOOKUP(G1193,Sheet2!A:J,10,0)</f>
        <v>27</v>
      </c>
      <c r="J1193" s="13"/>
      <c r="K1193" s="13"/>
    </row>
    <row r="1194" spans="1:11">
      <c r="A1194" s="3" t="s">
        <v>1098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46190.587743055556</v>
      </c>
      <c r="G1194" t="s">
        <v>961</v>
      </c>
      <c r="H1194" t="s">
        <v>657</v>
      </c>
      <c r="I1194" s="3">
        <f>VLOOKUP(G1194,Sheet2!A:J,10,0)</f>
        <v>27</v>
      </c>
      <c r="J1194" s="13"/>
      <c r="K1194" s="13"/>
    </row>
    <row r="1195" spans="1:11">
      <c r="A1195" s="4" t="s">
        <v>1099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46190.487060185187</v>
      </c>
      <c r="G1195" t="s">
        <v>961</v>
      </c>
      <c r="H1195" t="s">
        <v>657</v>
      </c>
      <c r="I1195" s="3">
        <f>VLOOKUP(G1195,Sheet2!A:J,10,0)</f>
        <v>27</v>
      </c>
      <c r="J1195" s="13"/>
      <c r="K1195" s="13"/>
    </row>
    <row r="1196" spans="1:11">
      <c r="A1196" s="3" t="s">
        <v>1100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46197.522037037037</v>
      </c>
      <c r="G1196" t="s">
        <v>961</v>
      </c>
      <c r="H1196" t="s">
        <v>657</v>
      </c>
      <c r="I1196" s="3">
        <f>VLOOKUP(G1196,Sheet2!A:J,10,0)</f>
        <v>27</v>
      </c>
      <c r="J1196" s="13"/>
      <c r="K1196" s="13"/>
    </row>
    <row r="1197" spans="1:11">
      <c r="A1197" s="4" t="s">
        <v>1101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46190.487118055556</v>
      </c>
      <c r="G1197" t="s">
        <v>961</v>
      </c>
      <c r="H1197" t="s">
        <v>657</v>
      </c>
      <c r="I1197" s="3">
        <f>VLOOKUP(G1197,Sheet2!A:J,10,0)</f>
        <v>27</v>
      </c>
      <c r="J1197" s="13"/>
      <c r="K1197" s="13"/>
    </row>
    <row r="1198" spans="1:11">
      <c r="A1198" s="3" t="s">
        <v>1102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46190.395624999997</v>
      </c>
      <c r="G1198" t="s">
        <v>961</v>
      </c>
      <c r="H1198" t="s">
        <v>657</v>
      </c>
      <c r="I1198" s="3">
        <f>VLOOKUP(G1198,Sheet2!A:J,10,0)</f>
        <v>27</v>
      </c>
      <c r="J1198" s="13"/>
      <c r="K1198" s="13"/>
    </row>
    <row r="1199" spans="1:11">
      <c r="A1199" s="4" t="s">
        <v>1103</v>
      </c>
      <c r="B1199" s="2" t="s">
        <v>9</v>
      </c>
      <c r="C1199" s="2" t="s">
        <v>10</v>
      </c>
      <c r="D1199" s="4" t="s">
        <v>7</v>
      </c>
      <c r="E1199" s="2" t="s">
        <v>11</v>
      </c>
      <c r="F1199" s="6">
        <v>46191.455879629626</v>
      </c>
      <c r="G1199" t="s">
        <v>961</v>
      </c>
      <c r="H1199" t="s">
        <v>657</v>
      </c>
      <c r="I1199" s="3">
        <f>VLOOKUP(G1199,Sheet2!A:J,10,0)</f>
        <v>27</v>
      </c>
      <c r="J1199" s="13"/>
      <c r="K1199" s="13"/>
    </row>
    <row r="1200" spans="1:11">
      <c r="A1200" s="3" t="s">
        <v>1104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46190.395682870374</v>
      </c>
      <c r="G1200" t="s">
        <v>961</v>
      </c>
      <c r="H1200" t="s">
        <v>657</v>
      </c>
      <c r="I1200" s="3">
        <f>VLOOKUP(G1200,Sheet2!A:J,10,0)</f>
        <v>27</v>
      </c>
      <c r="J1200" s="13"/>
      <c r="K1200" s="13"/>
    </row>
    <row r="1201" spans="1:11">
      <c r="A1201" s="4" t="s">
        <v>1105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46190.58803240741</v>
      </c>
      <c r="G1201" t="s">
        <v>961</v>
      </c>
      <c r="H1201" t="s">
        <v>657</v>
      </c>
      <c r="I1201" s="3">
        <f>VLOOKUP(G1201,Sheet2!A:J,10,0)</f>
        <v>27</v>
      </c>
      <c r="J1201" s="13"/>
      <c r="K1201" s="13"/>
    </row>
    <row r="1202" spans="1:11">
      <c r="A1202" s="3" t="s">
        <v>1106</v>
      </c>
      <c r="B1202" s="1" t="s">
        <v>12</v>
      </c>
      <c r="C1202" s="1" t="s">
        <v>13</v>
      </c>
      <c r="D1202" s="3" t="s">
        <v>7</v>
      </c>
      <c r="E1202" s="1" t="s">
        <v>14</v>
      </c>
      <c r="F1202" s="5">
        <v>46185.435023148151</v>
      </c>
      <c r="G1202" t="s">
        <v>961</v>
      </c>
      <c r="H1202" t="s">
        <v>657</v>
      </c>
      <c r="I1202" s="3">
        <f>VLOOKUP(G1202,Sheet2!A:J,10,0)</f>
        <v>27</v>
      </c>
      <c r="J1202" s="13"/>
      <c r="K1202" s="13"/>
    </row>
    <row r="1203" spans="1:11">
      <c r="A1203" s="4" t="s">
        <v>1107</v>
      </c>
      <c r="B1203" s="2" t="s">
        <v>6</v>
      </c>
      <c r="C1203" s="2" t="s">
        <v>6</v>
      </c>
      <c r="D1203" s="4" t="s">
        <v>7</v>
      </c>
      <c r="E1203" s="2" t="s">
        <v>8</v>
      </c>
      <c r="F1203" s="6">
        <v>46197.559629629628</v>
      </c>
      <c r="G1203" t="s">
        <v>961</v>
      </c>
      <c r="H1203" t="s">
        <v>657</v>
      </c>
      <c r="I1203" s="3">
        <f>VLOOKUP(G1203,Sheet2!A:J,10,0)</f>
        <v>27</v>
      </c>
      <c r="J1203" s="13"/>
      <c r="K1203" s="13"/>
    </row>
    <row r="1204" spans="1:11">
      <c r="A1204" s="3" t="s">
        <v>1108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46190.588182870371</v>
      </c>
      <c r="G1204" t="s">
        <v>962</v>
      </c>
      <c r="H1204" t="s">
        <v>658</v>
      </c>
      <c r="I1204" s="3">
        <f>VLOOKUP(G1204,Sheet2!A:J,10,0)</f>
        <v>28</v>
      </c>
      <c r="J1204" s="13"/>
      <c r="K1204" s="13"/>
    </row>
    <row r="1205" spans="1:11">
      <c r="A1205" s="4" t="s">
        <v>1109</v>
      </c>
      <c r="B1205" s="2" t="s">
        <v>98</v>
      </c>
      <c r="C1205" s="2" t="s">
        <v>99</v>
      </c>
      <c r="D1205" s="4" t="s">
        <v>7</v>
      </c>
      <c r="E1205" s="2" t="s">
        <v>100</v>
      </c>
      <c r="F1205" s="6">
        <v>46195.550613425927</v>
      </c>
      <c r="G1205" t="s">
        <v>962</v>
      </c>
      <c r="H1205" t="s">
        <v>658</v>
      </c>
      <c r="I1205" s="3">
        <f>VLOOKUP(G1205,Sheet2!A:J,10,0)</f>
        <v>28</v>
      </c>
      <c r="J1205" s="13"/>
      <c r="K1205" s="13"/>
    </row>
    <row r="1206" spans="1:11">
      <c r="A1206" s="3" t="s">
        <v>1110</v>
      </c>
      <c r="B1206" s="1" t="s">
        <v>9</v>
      </c>
      <c r="C1206" s="1" t="s">
        <v>10</v>
      </c>
      <c r="D1206" s="3" t="s">
        <v>7</v>
      </c>
      <c r="E1206" s="1" t="s">
        <v>11</v>
      </c>
      <c r="F1206" s="5">
        <v>46196.343576388892</v>
      </c>
      <c r="G1206" t="s">
        <v>962</v>
      </c>
      <c r="H1206" t="s">
        <v>658</v>
      </c>
      <c r="I1206" s="3">
        <f>VLOOKUP(G1206,Sheet2!A:J,10,0)</f>
        <v>28</v>
      </c>
      <c r="J1206" s="13"/>
      <c r="K1206" s="13"/>
    </row>
    <row r="1207" spans="1:11">
      <c r="A1207" s="4" t="s">
        <v>1111</v>
      </c>
      <c r="B1207" s="2" t="s">
        <v>275</v>
      </c>
      <c r="C1207" s="2" t="s">
        <v>276</v>
      </c>
      <c r="D1207" s="4" t="s">
        <v>7</v>
      </c>
      <c r="E1207" s="2" t="s">
        <v>277</v>
      </c>
      <c r="F1207" s="6">
        <v>46196.669618055559</v>
      </c>
      <c r="G1207" t="s">
        <v>962</v>
      </c>
      <c r="H1207" t="s">
        <v>658</v>
      </c>
      <c r="I1207" s="3">
        <f>VLOOKUP(G1207,Sheet2!A:J,10,0)</f>
        <v>28</v>
      </c>
      <c r="J1207" s="13"/>
      <c r="K1207" s="13"/>
    </row>
    <row r="1208" spans="1:11">
      <c r="A1208" s="3" t="s">
        <v>1112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46189.800868055558</v>
      </c>
      <c r="G1208" t="s">
        <v>962</v>
      </c>
      <c r="H1208" t="s">
        <v>658</v>
      </c>
      <c r="I1208" s="3">
        <f>VLOOKUP(G1208,Sheet2!A:J,10,0)</f>
        <v>28</v>
      </c>
      <c r="J1208" s="13"/>
      <c r="K1208" s="13"/>
    </row>
    <row r="1209" spans="1:11">
      <c r="A1209" s="4" t="s">
        <v>1113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46189.471574074072</v>
      </c>
      <c r="G1209" t="s">
        <v>962</v>
      </c>
      <c r="H1209" t="s">
        <v>658</v>
      </c>
      <c r="I1209" s="3">
        <f>VLOOKUP(G1209,Sheet2!A:J,10,0)</f>
        <v>28</v>
      </c>
      <c r="J1209" s="13"/>
      <c r="K1209" s="13"/>
    </row>
    <row r="1210" spans="1:11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t="s">
        <v>962</v>
      </c>
      <c r="H1210" t="s">
        <v>658</v>
      </c>
      <c r="I1210" s="3">
        <f>VLOOKUP(G1210,Sheet2!A:J,10,0)</f>
        <v>28</v>
      </c>
      <c r="J1210" s="13"/>
      <c r="K1210" s="13"/>
    </row>
    <row r="1211" spans="1:11">
      <c r="A1211" s="4" t="s">
        <v>1115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46197.562557870369</v>
      </c>
      <c r="G1211" t="s">
        <v>962</v>
      </c>
      <c r="H1211" t="s">
        <v>658</v>
      </c>
      <c r="I1211" s="3">
        <f>VLOOKUP(G1211,Sheet2!A:J,10,0)</f>
        <v>28</v>
      </c>
      <c r="J1211" s="13"/>
      <c r="K1211" s="13"/>
    </row>
    <row r="1212" spans="1:11">
      <c r="A1212" s="3" t="s">
        <v>1116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46186.268819444442</v>
      </c>
      <c r="G1212" t="s">
        <v>962</v>
      </c>
      <c r="H1212" t="s">
        <v>658</v>
      </c>
      <c r="I1212" s="3">
        <f>VLOOKUP(G1212,Sheet2!A:J,10,0)</f>
        <v>28</v>
      </c>
      <c r="J1212" s="13"/>
      <c r="K1212" s="13"/>
    </row>
    <row r="1213" spans="1:11">
      <c r="A1213" s="4" t="s">
        <v>1117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46196.643460648149</v>
      </c>
      <c r="G1213" t="s">
        <v>962</v>
      </c>
      <c r="H1213" t="s">
        <v>658</v>
      </c>
      <c r="I1213" s="3">
        <f>VLOOKUP(G1213,Sheet2!A:J,10,0)</f>
        <v>28</v>
      </c>
      <c r="J1213" s="13"/>
      <c r="K1213" s="13"/>
    </row>
    <row r="1214" spans="1:11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t="s">
        <v>962</v>
      </c>
      <c r="H1214" t="s">
        <v>658</v>
      </c>
      <c r="I1214" s="3">
        <f>VLOOKUP(G1214,Sheet2!A:J,10,0)</f>
        <v>28</v>
      </c>
      <c r="J1214" s="13"/>
      <c r="K1214" s="13"/>
    </row>
    <row r="1215" spans="1:11">
      <c r="A1215" s="4" t="s">
        <v>1119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46197.521851851852</v>
      </c>
      <c r="G1215" t="s">
        <v>962</v>
      </c>
      <c r="H1215" t="s">
        <v>658</v>
      </c>
      <c r="I1215" s="3">
        <f>VLOOKUP(G1215,Sheet2!A:J,10,0)</f>
        <v>28</v>
      </c>
      <c r="J1215" s="13"/>
      <c r="K1215" s="13"/>
    </row>
    <row r="1216" spans="1:11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t="s">
        <v>962</v>
      </c>
      <c r="H1216" t="s">
        <v>658</v>
      </c>
      <c r="I1216" s="3">
        <f>VLOOKUP(G1216,Sheet2!A:J,10,0)</f>
        <v>28</v>
      </c>
      <c r="J1216" s="13"/>
      <c r="K1216" s="13"/>
    </row>
    <row r="1217" spans="1:11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t="s">
        <v>962</v>
      </c>
      <c r="H1217" t="s">
        <v>658</v>
      </c>
      <c r="I1217" s="3">
        <f>VLOOKUP(G1217,Sheet2!A:J,10,0)</f>
        <v>28</v>
      </c>
      <c r="J1217" s="13"/>
      <c r="K1217" s="13"/>
    </row>
    <row r="1218" spans="1:11">
      <c r="A1218" s="3" t="s">
        <v>1122</v>
      </c>
      <c r="B1218" s="1" t="s">
        <v>9</v>
      </c>
      <c r="C1218" s="1" t="s">
        <v>10</v>
      </c>
      <c r="D1218" s="3" t="s">
        <v>7</v>
      </c>
      <c r="E1218" s="1" t="s">
        <v>11</v>
      </c>
      <c r="F1218" s="5">
        <v>46196.781319444446</v>
      </c>
      <c r="G1218" t="s">
        <v>962</v>
      </c>
      <c r="H1218" t="s">
        <v>658</v>
      </c>
      <c r="I1218" s="3">
        <f>VLOOKUP(G1218,Sheet2!A:J,10,0)</f>
        <v>28</v>
      </c>
      <c r="J1218" s="13"/>
      <c r="K1218" s="13"/>
    </row>
    <row r="1219" spans="1:11">
      <c r="A1219" s="4" t="s">
        <v>1123</v>
      </c>
      <c r="B1219" s="2" t="s">
        <v>9</v>
      </c>
      <c r="C1219" s="2" t="s">
        <v>10</v>
      </c>
      <c r="D1219" s="4" t="s">
        <v>7</v>
      </c>
      <c r="E1219" s="2" t="s">
        <v>11</v>
      </c>
      <c r="F1219" s="6">
        <v>46197.888483796298</v>
      </c>
      <c r="G1219" t="s">
        <v>962</v>
      </c>
      <c r="H1219" t="s">
        <v>658</v>
      </c>
      <c r="I1219" s="3">
        <f>VLOOKUP(G1219,Sheet2!A:J,10,0)</f>
        <v>28</v>
      </c>
      <c r="J1219" s="13"/>
      <c r="K1219" s="13"/>
    </row>
    <row r="1220" spans="1:11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t="s">
        <v>962</v>
      </c>
      <c r="H1220" t="s">
        <v>658</v>
      </c>
      <c r="I1220" s="3">
        <f>VLOOKUP(G1220,Sheet2!A:J,10,0)</f>
        <v>28</v>
      </c>
      <c r="J1220" s="13"/>
      <c r="K1220" s="13"/>
    </row>
    <row r="1221" spans="1:11">
      <c r="A1221" s="4" t="s">
        <v>1125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46189.471631944441</v>
      </c>
      <c r="G1221" t="s">
        <v>962</v>
      </c>
      <c r="H1221" t="s">
        <v>658</v>
      </c>
      <c r="I1221" s="3">
        <f>VLOOKUP(G1221,Sheet2!A:J,10,0)</f>
        <v>28</v>
      </c>
      <c r="J1221" s="13"/>
      <c r="K1221" s="13"/>
    </row>
    <row r="1222" spans="1:11">
      <c r="A1222" s="3" t="s">
        <v>1126</v>
      </c>
      <c r="B1222" s="1" t="s">
        <v>9</v>
      </c>
      <c r="C1222" s="1" t="s">
        <v>10</v>
      </c>
      <c r="D1222" s="3" t="s">
        <v>7</v>
      </c>
      <c r="E1222" s="1" t="s">
        <v>11</v>
      </c>
      <c r="F1222" s="5">
        <v>46196.75472222222</v>
      </c>
      <c r="G1222" t="s">
        <v>962</v>
      </c>
      <c r="H1222" t="s">
        <v>658</v>
      </c>
      <c r="I1222" s="3">
        <f>VLOOKUP(G1222,Sheet2!A:J,10,0)</f>
        <v>28</v>
      </c>
      <c r="J1222" s="13"/>
      <c r="K1222" s="13"/>
    </row>
    <row r="1223" spans="1:11">
      <c r="A1223" s="4" t="s">
        <v>1127</v>
      </c>
      <c r="B1223" s="2" t="s">
        <v>9</v>
      </c>
      <c r="C1223" s="2" t="s">
        <v>10</v>
      </c>
      <c r="D1223" s="4" t="s">
        <v>7</v>
      </c>
      <c r="E1223" s="2" t="s">
        <v>11</v>
      </c>
      <c r="F1223" s="6">
        <v>46196.794872685183</v>
      </c>
      <c r="G1223" t="s">
        <v>962</v>
      </c>
      <c r="H1223" t="s">
        <v>658</v>
      </c>
      <c r="I1223" s="3">
        <f>VLOOKUP(G1223,Sheet2!A:J,10,0)</f>
        <v>28</v>
      </c>
      <c r="J1223" s="13"/>
      <c r="K1223" s="13"/>
    </row>
    <row r="1224" spans="1:11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t="s">
        <v>962</v>
      </c>
      <c r="H1224" t="s">
        <v>658</v>
      </c>
      <c r="I1224" s="3">
        <f>VLOOKUP(G1224,Sheet2!A:J,10,0)</f>
        <v>28</v>
      </c>
      <c r="J1224" s="13"/>
      <c r="K1224" s="13"/>
    </row>
    <row r="1225" spans="1:11">
      <c r="A1225" s="4" t="s">
        <v>1129</v>
      </c>
      <c r="B1225" s="2" t="s">
        <v>9</v>
      </c>
      <c r="C1225" s="2" t="s">
        <v>10</v>
      </c>
      <c r="D1225" s="4" t="s">
        <v>7</v>
      </c>
      <c r="E1225" s="2" t="s">
        <v>11</v>
      </c>
      <c r="F1225" s="6">
        <v>46196.785891203705</v>
      </c>
      <c r="G1225" t="s">
        <v>962</v>
      </c>
      <c r="H1225" t="s">
        <v>658</v>
      </c>
      <c r="I1225" s="3">
        <f>VLOOKUP(G1225,Sheet2!A:J,10,0)</f>
        <v>28</v>
      </c>
      <c r="J1225" s="13"/>
      <c r="K1225" s="13"/>
    </row>
    <row r="1226" spans="1:11">
      <c r="A1226" s="3" t="s">
        <v>1130</v>
      </c>
      <c r="B1226" s="1" t="s">
        <v>275</v>
      </c>
      <c r="C1226" s="1" t="s">
        <v>276</v>
      </c>
      <c r="D1226" s="3" t="s">
        <v>7</v>
      </c>
      <c r="E1226" s="1" t="s">
        <v>277</v>
      </c>
      <c r="F1226" s="5">
        <v>46191.87</v>
      </c>
      <c r="G1226" t="s">
        <v>962</v>
      </c>
      <c r="H1226" t="s">
        <v>658</v>
      </c>
      <c r="I1226" s="3">
        <f>VLOOKUP(G1226,Sheet2!A:J,10,0)</f>
        <v>28</v>
      </c>
      <c r="J1226" s="13"/>
      <c r="K1226" s="13"/>
    </row>
    <row r="1227" spans="1:11">
      <c r="A1227" s="4" t="s">
        <v>1131</v>
      </c>
      <c r="B1227" s="2" t="s">
        <v>275</v>
      </c>
      <c r="C1227" s="2" t="s">
        <v>276</v>
      </c>
      <c r="D1227" s="4" t="s">
        <v>7</v>
      </c>
      <c r="E1227" s="2" t="s">
        <v>277</v>
      </c>
      <c r="F1227" s="6">
        <v>46191.884293981479</v>
      </c>
      <c r="G1227" t="s">
        <v>962</v>
      </c>
      <c r="H1227" t="s">
        <v>658</v>
      </c>
      <c r="I1227" s="3">
        <f>VLOOKUP(G1227,Sheet2!A:J,10,0)</f>
        <v>28</v>
      </c>
      <c r="J1227" s="13"/>
      <c r="K1227" s="13"/>
    </row>
    <row r="1228" spans="1:11">
      <c r="A1228" s="3" t="s">
        <v>1132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46196.555405092593</v>
      </c>
      <c r="G1228" t="s">
        <v>962</v>
      </c>
      <c r="H1228" t="s">
        <v>658</v>
      </c>
      <c r="I1228" s="3">
        <f>VLOOKUP(G1228,Sheet2!A:J,10,0)</f>
        <v>28</v>
      </c>
      <c r="J1228" s="13"/>
      <c r="K1228" s="13"/>
    </row>
    <row r="1229" spans="1:11">
      <c r="A1229" s="4" t="s">
        <v>1133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46186.267233796294</v>
      </c>
      <c r="G1229" t="s">
        <v>962</v>
      </c>
      <c r="H1229" t="s">
        <v>658</v>
      </c>
      <c r="I1229" s="3">
        <f>VLOOKUP(G1229,Sheet2!A:J,10,0)</f>
        <v>28</v>
      </c>
      <c r="J1229" s="13"/>
      <c r="K1229" s="13"/>
    </row>
    <row r="1230" spans="1:11">
      <c r="A1230" s="3" t="s">
        <v>1134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46192.503622685188</v>
      </c>
      <c r="G1230" t="s">
        <v>962</v>
      </c>
      <c r="H1230" t="s">
        <v>658</v>
      </c>
      <c r="I1230" s="3">
        <f>VLOOKUP(G1230,Sheet2!A:J,10,0)</f>
        <v>28</v>
      </c>
      <c r="J1230" s="13"/>
      <c r="K1230" s="13"/>
    </row>
    <row r="1231" spans="1:11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t="s">
        <v>962</v>
      </c>
      <c r="H1231" t="s">
        <v>658</v>
      </c>
      <c r="I1231" s="3">
        <f>VLOOKUP(G1231,Sheet2!A:J,10,0)</f>
        <v>28</v>
      </c>
      <c r="J1231" s="13"/>
      <c r="K1231" s="13"/>
    </row>
    <row r="1232" spans="1:11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t="s">
        <v>962</v>
      </c>
      <c r="H1232" t="s">
        <v>658</v>
      </c>
      <c r="I1232" s="3">
        <f>VLOOKUP(G1232,Sheet2!A:J,10,0)</f>
        <v>28</v>
      </c>
      <c r="J1232" s="13"/>
      <c r="K1232" s="13"/>
    </row>
    <row r="1233" spans="1:11">
      <c r="A1233" s="4" t="s">
        <v>1137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46197.522453703707</v>
      </c>
      <c r="G1233" t="s">
        <v>962</v>
      </c>
      <c r="H1233" t="s">
        <v>658</v>
      </c>
      <c r="I1233" s="3">
        <f>VLOOKUP(G1233,Sheet2!A:J,10,0)</f>
        <v>28</v>
      </c>
      <c r="J1233" s="13"/>
      <c r="K1233" s="13"/>
    </row>
    <row r="1234" spans="1:11">
      <c r="A1234" s="3" t="s">
        <v>1138</v>
      </c>
      <c r="B1234" s="1" t="s">
        <v>275</v>
      </c>
      <c r="C1234" s="1" t="s">
        <v>276</v>
      </c>
      <c r="D1234" s="3" t="s">
        <v>7</v>
      </c>
      <c r="E1234" s="1" t="s">
        <v>277</v>
      </c>
      <c r="F1234" s="5">
        <v>46196.494803240741</v>
      </c>
      <c r="G1234" t="s">
        <v>962</v>
      </c>
      <c r="H1234" t="s">
        <v>658</v>
      </c>
      <c r="I1234" s="3">
        <f>VLOOKUP(G1234,Sheet2!A:J,10,0)</f>
        <v>28</v>
      </c>
      <c r="J1234" s="13"/>
      <c r="K1234" s="13"/>
    </row>
    <row r="1235" spans="1:11">
      <c r="A1235" s="4" t="s">
        <v>1139</v>
      </c>
      <c r="B1235" s="2" t="s">
        <v>12</v>
      </c>
      <c r="C1235" s="2" t="s">
        <v>13</v>
      </c>
      <c r="D1235" s="4" t="s">
        <v>7</v>
      </c>
      <c r="E1235" s="2" t="s">
        <v>14</v>
      </c>
      <c r="F1235" s="6">
        <v>46195.306226851855</v>
      </c>
      <c r="G1235" t="s">
        <v>962</v>
      </c>
      <c r="H1235" t="s">
        <v>658</v>
      </c>
      <c r="I1235" s="3">
        <f>VLOOKUP(G1235,Sheet2!A:J,10,0)</f>
        <v>28</v>
      </c>
      <c r="J1235" s="13"/>
      <c r="K1235" s="13"/>
    </row>
    <row r="1236" spans="1:11">
      <c r="A1236" s="3" t="s">
        <v>1140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46192.503136574072</v>
      </c>
      <c r="G1236" t="s">
        <v>962</v>
      </c>
      <c r="H1236" t="s">
        <v>658</v>
      </c>
      <c r="I1236" s="3">
        <f>VLOOKUP(G1236,Sheet2!A:J,10,0)</f>
        <v>28</v>
      </c>
      <c r="J1236" s="13"/>
      <c r="K1236" s="13"/>
    </row>
    <row r="1237" spans="1:11">
      <c r="A1237" s="4" t="s">
        <v>1141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46197.55972222222</v>
      </c>
      <c r="G1237" t="s">
        <v>962</v>
      </c>
      <c r="H1237" t="s">
        <v>658</v>
      </c>
      <c r="I1237" s="3">
        <f>VLOOKUP(G1237,Sheet2!A:J,10,0)</f>
        <v>28</v>
      </c>
      <c r="J1237" s="13"/>
      <c r="K1237" s="13"/>
    </row>
    <row r="1238" spans="1:11">
      <c r="A1238" s="3" t="s">
        <v>1142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46190.587708333333</v>
      </c>
      <c r="G1238" t="s">
        <v>962</v>
      </c>
      <c r="H1238" t="s">
        <v>658</v>
      </c>
      <c r="I1238" s="3">
        <f>VLOOKUP(G1238,Sheet2!A:J,10,0)</f>
        <v>28</v>
      </c>
      <c r="J1238" s="13"/>
      <c r="K1238" s="13"/>
    </row>
    <row r="1239" spans="1:11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t="s">
        <v>962</v>
      </c>
      <c r="H1239" t="s">
        <v>658</v>
      </c>
      <c r="I1239" s="3">
        <f>VLOOKUP(G1239,Sheet2!A:J,10,0)</f>
        <v>28</v>
      </c>
      <c r="J1239" s="13"/>
      <c r="K1239" s="13"/>
    </row>
    <row r="1240" spans="1:11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t="s">
        <v>962</v>
      </c>
      <c r="H1240" t="s">
        <v>658</v>
      </c>
      <c r="I1240" s="3">
        <f>VLOOKUP(G1240,Sheet2!A:J,10,0)</f>
        <v>28</v>
      </c>
      <c r="J1240" s="13"/>
      <c r="K1240" s="13"/>
    </row>
    <row r="1241" spans="1:11">
      <c r="A1241" s="4" t="s">
        <v>1145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46197.562534722223</v>
      </c>
      <c r="G1241" t="s">
        <v>962</v>
      </c>
      <c r="H1241" t="s">
        <v>658</v>
      </c>
      <c r="I1241" s="3">
        <f>VLOOKUP(G1241,Sheet2!A:J,10,0)</f>
        <v>28</v>
      </c>
      <c r="J1241" s="13"/>
      <c r="K1241" s="13"/>
    </row>
    <row r="1242" spans="1:11">
      <c r="A1242" s="3" t="s">
        <v>1146</v>
      </c>
      <c r="B1242" s="1" t="s">
        <v>9</v>
      </c>
      <c r="C1242" s="1" t="s">
        <v>10</v>
      </c>
      <c r="D1242" s="3" t="s">
        <v>7</v>
      </c>
      <c r="E1242" s="1" t="s">
        <v>11</v>
      </c>
      <c r="F1242" s="5">
        <v>46196.80060185185</v>
      </c>
      <c r="G1242" t="s">
        <v>962</v>
      </c>
      <c r="H1242" t="s">
        <v>658</v>
      </c>
      <c r="I1242" s="3">
        <f>VLOOKUP(G1242,Sheet2!A:J,10,0)</f>
        <v>28</v>
      </c>
      <c r="J1242" s="13"/>
      <c r="K1242" s="13"/>
    </row>
    <row r="1243" spans="1:11">
      <c r="A1243" s="4" t="s">
        <v>1147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46189.574618055558</v>
      </c>
      <c r="G1243" t="s">
        <v>962</v>
      </c>
      <c r="H1243" t="s">
        <v>658</v>
      </c>
      <c r="I1243" s="3">
        <f>VLOOKUP(G1243,Sheet2!A:J,10,0)</f>
        <v>28</v>
      </c>
      <c r="J1243" s="13"/>
      <c r="K1243" s="13"/>
    </row>
    <row r="1244" spans="1:11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t="s">
        <v>962</v>
      </c>
      <c r="H1244" t="s">
        <v>658</v>
      </c>
      <c r="I1244" s="3">
        <f>VLOOKUP(G1244,Sheet2!A:J,10,0)</f>
        <v>28</v>
      </c>
      <c r="J1244" s="13"/>
      <c r="K1244" s="13"/>
    </row>
    <row r="1245" spans="1:11">
      <c r="A1245" s="4" t="s">
        <v>1149</v>
      </c>
      <c r="B1245" s="2" t="s">
        <v>275</v>
      </c>
      <c r="C1245" s="2" t="s">
        <v>276</v>
      </c>
      <c r="D1245" s="4" t="s">
        <v>7</v>
      </c>
      <c r="E1245" s="2" t="s">
        <v>277</v>
      </c>
      <c r="F1245" s="6">
        <v>46196.712951388887</v>
      </c>
      <c r="G1245" t="s">
        <v>962</v>
      </c>
      <c r="H1245" t="s">
        <v>658</v>
      </c>
      <c r="I1245" s="3">
        <f>VLOOKUP(G1245,Sheet2!A:J,10,0)</f>
        <v>28</v>
      </c>
      <c r="J1245" s="13"/>
      <c r="K1245" s="13"/>
    </row>
    <row r="1246" spans="1:11">
      <c r="A1246" s="3" t="s">
        <v>1150</v>
      </c>
      <c r="B1246" s="1" t="s">
        <v>1659</v>
      </c>
      <c r="C1246" s="1" t="s">
        <v>1660</v>
      </c>
      <c r="D1246" s="3" t="s">
        <v>7</v>
      </c>
      <c r="E1246" s="1" t="s">
        <v>14</v>
      </c>
      <c r="F1246" s="5">
        <v>46175.319803240738</v>
      </c>
      <c r="G1246" t="s">
        <v>962</v>
      </c>
      <c r="H1246" t="s">
        <v>658</v>
      </c>
      <c r="I1246" s="3">
        <f>VLOOKUP(G1246,Sheet2!A:J,10,0)</f>
        <v>28</v>
      </c>
      <c r="J1246" s="13"/>
      <c r="K1246" s="13"/>
    </row>
    <row r="1247" spans="1:11">
      <c r="A1247" s="4" t="s">
        <v>1151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46189.639004629629</v>
      </c>
      <c r="G1247" t="s">
        <v>962</v>
      </c>
      <c r="H1247" t="s">
        <v>658</v>
      </c>
      <c r="I1247" s="3">
        <f>VLOOKUP(G1247,Sheet2!A:J,10,0)</f>
        <v>28</v>
      </c>
      <c r="J1247" s="13"/>
      <c r="K1247" s="13"/>
    </row>
    <row r="1248" spans="1:11">
      <c r="A1248" s="3" t="s">
        <v>1152</v>
      </c>
      <c r="B1248" s="1" t="s">
        <v>12</v>
      </c>
      <c r="C1248" s="1" t="s">
        <v>13</v>
      </c>
      <c r="D1248" s="3" t="s">
        <v>7</v>
      </c>
      <c r="E1248" s="1" t="s">
        <v>14</v>
      </c>
      <c r="F1248" s="5">
        <v>46195.306817129633</v>
      </c>
      <c r="G1248" t="s">
        <v>962</v>
      </c>
      <c r="H1248" t="s">
        <v>658</v>
      </c>
      <c r="I1248" s="3">
        <f>VLOOKUP(G1248,Sheet2!A:J,10,0)</f>
        <v>28</v>
      </c>
      <c r="J1248" s="13"/>
      <c r="K1248" s="13"/>
    </row>
    <row r="1249" spans="1:11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t="s">
        <v>962</v>
      </c>
      <c r="H1249" t="s">
        <v>658</v>
      </c>
      <c r="I1249" s="3">
        <f>VLOOKUP(G1249,Sheet2!A:J,10,0)</f>
        <v>28</v>
      </c>
      <c r="J1249" s="13"/>
      <c r="K1249" s="13"/>
    </row>
    <row r="1250" spans="1:11">
      <c r="A1250" s="3" t="s">
        <v>1154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46197.562800925924</v>
      </c>
      <c r="G1250" t="s">
        <v>962</v>
      </c>
      <c r="H1250" t="s">
        <v>658</v>
      </c>
      <c r="I1250" s="3">
        <f>VLOOKUP(G1250,Sheet2!A:J,10,0)</f>
        <v>28</v>
      </c>
      <c r="J1250" s="13"/>
      <c r="K1250" s="13"/>
    </row>
    <row r="1251" spans="1:11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t="s">
        <v>962</v>
      </c>
      <c r="H1251" t="s">
        <v>658</v>
      </c>
      <c r="I1251" s="3">
        <f>VLOOKUP(G1251,Sheet2!A:J,10,0)</f>
        <v>28</v>
      </c>
      <c r="J1251" s="13"/>
      <c r="K1251" s="13"/>
    </row>
    <row r="1252" spans="1:11">
      <c r="A1252" s="3" t="s">
        <v>1156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46190.587638888886</v>
      </c>
      <c r="G1252" t="s">
        <v>962</v>
      </c>
      <c r="H1252" t="s">
        <v>658</v>
      </c>
      <c r="I1252" s="3">
        <f>VLOOKUP(G1252,Sheet2!A:J,10,0)</f>
        <v>28</v>
      </c>
      <c r="J1252" s="13"/>
      <c r="K1252" s="13"/>
    </row>
    <row r="1253" spans="1:11">
      <c r="A1253" s="4" t="s">
        <v>1157</v>
      </c>
      <c r="B1253" s="2" t="s">
        <v>9</v>
      </c>
      <c r="C1253" s="2" t="s">
        <v>10</v>
      </c>
      <c r="D1253" s="4" t="s">
        <v>7</v>
      </c>
      <c r="E1253" s="2" t="s">
        <v>11</v>
      </c>
      <c r="F1253" s="6">
        <v>46197.862916666665</v>
      </c>
      <c r="G1253" t="s">
        <v>962</v>
      </c>
      <c r="H1253" t="s">
        <v>658</v>
      </c>
      <c r="I1253" s="3">
        <f>VLOOKUP(G1253,Sheet2!A:J,10,0)</f>
        <v>28</v>
      </c>
      <c r="J1253" s="13"/>
      <c r="K1253" s="13"/>
    </row>
    <row r="1254" spans="1:11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t="s">
        <v>962</v>
      </c>
      <c r="H1254" t="s">
        <v>658</v>
      </c>
      <c r="I1254" s="3">
        <f>VLOOKUP(G1254,Sheet2!A:J,10,0)</f>
        <v>28</v>
      </c>
      <c r="J1254" s="13"/>
      <c r="K1254" s="13"/>
    </row>
    <row r="1255" spans="1:11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t="s">
        <v>962</v>
      </c>
      <c r="H1255" t="s">
        <v>658</v>
      </c>
      <c r="I1255" s="3">
        <f>VLOOKUP(G1255,Sheet2!A:J,10,0)</f>
        <v>28</v>
      </c>
      <c r="J1255" s="13"/>
      <c r="K1255" s="13"/>
    </row>
    <row r="1256" spans="1:11">
      <c r="A1256" s="3" t="s">
        <v>1160</v>
      </c>
      <c r="B1256" s="1" t="s">
        <v>1984</v>
      </c>
      <c r="C1256" s="1" t="s">
        <v>1985</v>
      </c>
      <c r="D1256" s="3" t="s">
        <v>7</v>
      </c>
      <c r="E1256" s="1" t="s">
        <v>14</v>
      </c>
      <c r="F1256" s="5">
        <v>46197.320185185185</v>
      </c>
      <c r="G1256" t="s">
        <v>962</v>
      </c>
      <c r="H1256" t="s">
        <v>658</v>
      </c>
      <c r="I1256" s="3">
        <f>VLOOKUP(G1256,Sheet2!A:J,10,0)</f>
        <v>28</v>
      </c>
      <c r="J1256" s="13"/>
      <c r="K1256" s="13"/>
    </row>
    <row r="1257" spans="1:11">
      <c r="A1257" s="4" t="s">
        <v>1161</v>
      </c>
      <c r="B1257" s="2" t="s">
        <v>9</v>
      </c>
      <c r="C1257" s="2" t="s">
        <v>10</v>
      </c>
      <c r="D1257" s="4" t="s">
        <v>7</v>
      </c>
      <c r="E1257" s="2" t="s">
        <v>11</v>
      </c>
      <c r="F1257" s="6">
        <v>46196.8047337963</v>
      </c>
      <c r="G1257" t="s">
        <v>962</v>
      </c>
      <c r="H1257" t="s">
        <v>658</v>
      </c>
      <c r="I1257" s="3">
        <f>VLOOKUP(G1257,Sheet2!A:J,10,0)</f>
        <v>28</v>
      </c>
      <c r="J1257" s="13"/>
      <c r="K1257" s="13"/>
    </row>
    <row r="1258" spans="1:11">
      <c r="A1258" s="3" t="s">
        <v>1162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46197.559317129628</v>
      </c>
      <c r="G1258" t="s">
        <v>962</v>
      </c>
      <c r="H1258" t="s">
        <v>658</v>
      </c>
      <c r="I1258" s="3">
        <f>VLOOKUP(G1258,Sheet2!A:J,10,0)</f>
        <v>28</v>
      </c>
      <c r="J1258" s="13"/>
      <c r="K1258" s="13"/>
    </row>
    <row r="1259" spans="1:11">
      <c r="A1259" s="4" t="s">
        <v>1163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46196.555671296293</v>
      </c>
      <c r="G1259" t="s">
        <v>962</v>
      </c>
      <c r="H1259" t="s">
        <v>658</v>
      </c>
      <c r="I1259" s="3">
        <f>VLOOKUP(G1259,Sheet2!A:J,10,0)</f>
        <v>28</v>
      </c>
      <c r="J1259" s="13"/>
      <c r="K1259" s="13"/>
    </row>
    <row r="1260" spans="1:11">
      <c r="A1260" s="3" t="s">
        <v>1164</v>
      </c>
      <c r="B1260" s="1" t="s">
        <v>275</v>
      </c>
      <c r="C1260" s="1" t="s">
        <v>276</v>
      </c>
      <c r="D1260" s="3" t="s">
        <v>7</v>
      </c>
      <c r="E1260" s="1" t="s">
        <v>277</v>
      </c>
      <c r="F1260" s="5">
        <v>46196.665393518517</v>
      </c>
      <c r="G1260" t="s">
        <v>962</v>
      </c>
      <c r="H1260" t="s">
        <v>658</v>
      </c>
      <c r="I1260" s="3">
        <f>VLOOKUP(G1260,Sheet2!A:J,10,0)</f>
        <v>28</v>
      </c>
      <c r="J1260" s="13"/>
      <c r="K1260" s="13"/>
    </row>
    <row r="1261" spans="1:11">
      <c r="A1261" s="4" t="s">
        <v>1165</v>
      </c>
      <c r="B1261" s="2" t="s">
        <v>275</v>
      </c>
      <c r="C1261" s="2" t="s">
        <v>276</v>
      </c>
      <c r="D1261" s="4" t="s">
        <v>7</v>
      </c>
      <c r="E1261" s="2" t="s">
        <v>277</v>
      </c>
      <c r="F1261" s="6">
        <v>46196.732152777775</v>
      </c>
      <c r="G1261" t="s">
        <v>962</v>
      </c>
      <c r="H1261" t="s">
        <v>658</v>
      </c>
      <c r="I1261" s="3">
        <f>VLOOKUP(G1261,Sheet2!A:J,10,0)</f>
        <v>28</v>
      </c>
      <c r="J1261" s="13"/>
      <c r="K1261" s="13"/>
    </row>
    <row r="1262" spans="1:11">
      <c r="A1262" s="3" t="s">
        <v>1166</v>
      </c>
      <c r="B1262" s="1" t="s">
        <v>6</v>
      </c>
      <c r="C1262" s="1" t="s">
        <v>6</v>
      </c>
      <c r="D1262" s="3" t="s">
        <v>7</v>
      </c>
      <c r="E1262" s="1" t="s">
        <v>8</v>
      </c>
      <c r="F1262" s="5">
        <v>46197.52238425926</v>
      </c>
      <c r="G1262" t="s">
        <v>962</v>
      </c>
      <c r="H1262" t="s">
        <v>658</v>
      </c>
      <c r="I1262" s="3">
        <f>VLOOKUP(G1262,Sheet2!A:J,10,0)</f>
        <v>28</v>
      </c>
      <c r="J1262" s="13"/>
      <c r="K1262" s="13"/>
    </row>
    <row r="1263" spans="1:11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t="s">
        <v>962</v>
      </c>
      <c r="H1263" t="s">
        <v>658</v>
      </c>
      <c r="I1263" s="3">
        <f>VLOOKUP(G1263,Sheet2!A:J,10,0)</f>
        <v>28</v>
      </c>
      <c r="J1263" s="13"/>
      <c r="K1263" s="13"/>
    </row>
    <row r="1264" spans="1:11">
      <c r="A1264" s="3" t="s">
        <v>1168</v>
      </c>
      <c r="B1264" s="1" t="s">
        <v>6</v>
      </c>
      <c r="C1264" s="1" t="s">
        <v>6</v>
      </c>
      <c r="D1264" s="3" t="s">
        <v>7</v>
      </c>
      <c r="E1264" s="1" t="s">
        <v>8</v>
      </c>
      <c r="F1264" s="5">
        <v>46197.559374999997</v>
      </c>
      <c r="G1264" t="s">
        <v>962</v>
      </c>
      <c r="H1264" t="s">
        <v>658</v>
      </c>
      <c r="I1264" s="3">
        <f>VLOOKUP(G1264,Sheet2!A:J,10,0)</f>
        <v>28</v>
      </c>
      <c r="J1264" s="13"/>
      <c r="K1264" s="13"/>
    </row>
    <row r="1265" spans="1:11">
      <c r="A1265" s="4" t="s">
        <v>1169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46196.555787037039</v>
      </c>
      <c r="G1265" t="s">
        <v>962</v>
      </c>
      <c r="H1265" t="s">
        <v>658</v>
      </c>
      <c r="I1265" s="3">
        <f>VLOOKUP(G1265,Sheet2!A:J,10,0)</f>
        <v>28</v>
      </c>
      <c r="J1265" s="13"/>
      <c r="K1265" s="13"/>
    </row>
    <row r="1266" spans="1:11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t="s">
        <v>962</v>
      </c>
      <c r="H1266" t="s">
        <v>658</v>
      </c>
      <c r="I1266" s="3">
        <f>VLOOKUP(G1266,Sheet2!A:J,10,0)</f>
        <v>28</v>
      </c>
      <c r="J1266" s="13"/>
      <c r="K1266" s="13"/>
    </row>
    <row r="1267" spans="1:11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t="s">
        <v>962</v>
      </c>
      <c r="H1267" t="s">
        <v>658</v>
      </c>
      <c r="I1267" s="3">
        <f>VLOOKUP(G1267,Sheet2!A:J,10,0)</f>
        <v>28</v>
      </c>
      <c r="J1267" s="13"/>
      <c r="K1267" s="13"/>
    </row>
    <row r="1268" spans="1:11">
      <c r="A1268" s="3" t="s">
        <v>1172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46186.268680555557</v>
      </c>
      <c r="G1268" t="s">
        <v>962</v>
      </c>
      <c r="H1268" t="s">
        <v>658</v>
      </c>
      <c r="I1268" s="3">
        <f>VLOOKUP(G1268,Sheet2!A:J,10,0)</f>
        <v>28</v>
      </c>
      <c r="J1268" s="13"/>
      <c r="K1268" s="13"/>
    </row>
    <row r="1269" spans="1:11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t="s">
        <v>962</v>
      </c>
      <c r="H1269" t="s">
        <v>658</v>
      </c>
      <c r="I1269" s="3">
        <f>VLOOKUP(G1269,Sheet2!A:J,10,0)</f>
        <v>28</v>
      </c>
      <c r="J1269" s="13"/>
      <c r="K1269" s="13"/>
    </row>
    <row r="1270" spans="1:11">
      <c r="A1270" s="3" t="s">
        <v>1174</v>
      </c>
      <c r="B1270" s="1" t="s">
        <v>275</v>
      </c>
      <c r="C1270" s="1" t="s">
        <v>276</v>
      </c>
      <c r="D1270" s="3" t="s">
        <v>7</v>
      </c>
      <c r="E1270" s="1" t="s">
        <v>277</v>
      </c>
      <c r="F1270" s="5">
        <v>46196.775821759256</v>
      </c>
      <c r="G1270" t="s">
        <v>962</v>
      </c>
      <c r="H1270" t="s">
        <v>658</v>
      </c>
      <c r="I1270" s="3">
        <f>VLOOKUP(G1270,Sheet2!A:J,10,0)</f>
        <v>28</v>
      </c>
      <c r="J1270" s="13"/>
      <c r="K1270" s="13"/>
    </row>
    <row r="1271" spans="1:11">
      <c r="A1271" s="4" t="s">
        <v>1175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46196.643321759257</v>
      </c>
      <c r="G1271" t="s">
        <v>962</v>
      </c>
      <c r="H1271" t="s">
        <v>658</v>
      </c>
      <c r="I1271" s="3">
        <f>VLOOKUP(G1271,Sheet2!A:J,10,0)</f>
        <v>28</v>
      </c>
      <c r="J1271" s="13"/>
      <c r="K1271" s="13"/>
    </row>
    <row r="1272" spans="1:11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t="s">
        <v>962</v>
      </c>
      <c r="H1272" t="s">
        <v>658</v>
      </c>
      <c r="I1272" s="3">
        <f>VLOOKUP(G1272,Sheet2!A:J,10,0)</f>
        <v>28</v>
      </c>
      <c r="J1272" s="13"/>
      <c r="K1272" s="13"/>
    </row>
    <row r="1273" spans="1:11">
      <c r="A1273" s="4" t="s">
        <v>1177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46189.639120370368</v>
      </c>
      <c r="G1273" t="s">
        <v>962</v>
      </c>
      <c r="H1273" t="s">
        <v>658</v>
      </c>
      <c r="I1273" s="3">
        <f>VLOOKUP(G1273,Sheet2!A:J,10,0)</f>
        <v>28</v>
      </c>
      <c r="J1273" s="13"/>
      <c r="K1273" s="13"/>
    </row>
    <row r="1274" spans="1:11">
      <c r="A1274" s="3" t="s">
        <v>1178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46189.471203703702</v>
      </c>
      <c r="G1274" t="s">
        <v>962</v>
      </c>
      <c r="H1274" t="s">
        <v>658</v>
      </c>
      <c r="I1274" s="3">
        <f>VLOOKUP(G1274,Sheet2!A:J,10,0)</f>
        <v>28</v>
      </c>
      <c r="J1274" s="13"/>
      <c r="K1274" s="13"/>
    </row>
    <row r="1275" spans="1:11">
      <c r="A1275" s="4" t="s">
        <v>1179</v>
      </c>
      <c r="B1275" s="2" t="s">
        <v>98</v>
      </c>
      <c r="C1275" s="2" t="s">
        <v>99</v>
      </c>
      <c r="D1275" s="4" t="s">
        <v>7</v>
      </c>
      <c r="E1275" s="2" t="s">
        <v>100</v>
      </c>
      <c r="F1275" s="6">
        <v>46195.552777777775</v>
      </c>
      <c r="G1275" t="s">
        <v>962</v>
      </c>
      <c r="H1275" t="s">
        <v>658</v>
      </c>
      <c r="I1275" s="3">
        <f>VLOOKUP(G1275,Sheet2!A:J,10,0)</f>
        <v>28</v>
      </c>
      <c r="J1275" s="13"/>
      <c r="K1275" s="13"/>
    </row>
    <row r="1276" spans="1:11">
      <c r="A1276" s="3" t="s">
        <v>1180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46197.562835648147</v>
      </c>
      <c r="G1276" t="s">
        <v>962</v>
      </c>
      <c r="H1276" t="s">
        <v>658</v>
      </c>
      <c r="I1276" s="3">
        <f>VLOOKUP(G1276,Sheet2!A:J,10,0)</f>
        <v>28</v>
      </c>
      <c r="J1276" s="13"/>
      <c r="K1276" s="13"/>
    </row>
    <row r="1277" spans="1:11">
      <c r="A1277" s="4" t="s">
        <v>1181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46192.503703703704</v>
      </c>
      <c r="G1277" t="s">
        <v>962</v>
      </c>
      <c r="H1277" t="s">
        <v>658</v>
      </c>
      <c r="I1277" s="3">
        <f>VLOOKUP(G1277,Sheet2!A:J,10,0)</f>
        <v>28</v>
      </c>
      <c r="J1277" s="13"/>
      <c r="K1277" s="13"/>
    </row>
    <row r="1278" spans="1:11">
      <c r="A1278" s="3" t="s">
        <v>1182</v>
      </c>
      <c r="B1278" s="1" t="s">
        <v>9</v>
      </c>
      <c r="C1278" s="1" t="s">
        <v>10</v>
      </c>
      <c r="D1278" s="3" t="s">
        <v>7</v>
      </c>
      <c r="E1278" s="1" t="s">
        <v>11</v>
      </c>
      <c r="F1278" s="5">
        <v>46196.790925925925</v>
      </c>
      <c r="G1278" t="s">
        <v>962</v>
      </c>
      <c r="H1278" t="s">
        <v>658</v>
      </c>
      <c r="I1278" s="3">
        <f>VLOOKUP(G1278,Sheet2!A:J,10,0)</f>
        <v>28</v>
      </c>
      <c r="J1278" s="13"/>
      <c r="K1278" s="13"/>
    </row>
    <row r="1279" spans="1:11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t="s">
        <v>962</v>
      </c>
      <c r="H1279" t="s">
        <v>658</v>
      </c>
      <c r="I1279" s="3">
        <f>VLOOKUP(G1279,Sheet2!A:J,10,0)</f>
        <v>28</v>
      </c>
      <c r="J1279" s="13"/>
      <c r="K1279" s="13"/>
    </row>
    <row r="1280" spans="1:11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t="s">
        <v>962</v>
      </c>
      <c r="H1280" t="s">
        <v>658</v>
      </c>
      <c r="I1280" s="3">
        <f>VLOOKUP(G1280,Sheet2!A:J,10,0)</f>
        <v>28</v>
      </c>
      <c r="J1280" s="13"/>
      <c r="K1280" s="13"/>
    </row>
    <row r="1281" spans="1:11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t="s">
        <v>962</v>
      </c>
      <c r="H1281" t="s">
        <v>658</v>
      </c>
      <c r="I1281" s="3">
        <f>VLOOKUP(G1281,Sheet2!A:J,10,0)</f>
        <v>28</v>
      </c>
      <c r="J1281" s="13"/>
      <c r="K1281" s="13"/>
    </row>
    <row r="1282" spans="1:11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t="s">
        <v>962</v>
      </c>
      <c r="H1282" t="s">
        <v>658</v>
      </c>
      <c r="I1282" s="3">
        <f>VLOOKUP(G1282,Sheet2!A:J,10,0)</f>
        <v>28</v>
      </c>
      <c r="J1282" s="13"/>
      <c r="K1282" s="13"/>
    </row>
    <row r="1283" spans="1:11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t="s">
        <v>962</v>
      </c>
      <c r="H1283" t="s">
        <v>658</v>
      </c>
      <c r="I1283" s="3">
        <f>VLOOKUP(G1283,Sheet2!A:J,10,0)</f>
        <v>28</v>
      </c>
      <c r="J1283" s="13"/>
      <c r="K1283" s="13"/>
    </row>
    <row r="1284" spans="1:11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t="s">
        <v>962</v>
      </c>
      <c r="H1284" t="s">
        <v>658</v>
      </c>
      <c r="I1284" s="3">
        <f>VLOOKUP(G1284,Sheet2!A:J,10,0)</f>
        <v>28</v>
      </c>
      <c r="J1284" s="13"/>
      <c r="K1284" s="13"/>
    </row>
    <row r="1285" spans="1:11">
      <c r="A1285" s="4" t="s">
        <v>1189</v>
      </c>
      <c r="B1285" s="2" t="s">
        <v>12</v>
      </c>
      <c r="C1285" s="2" t="s">
        <v>13</v>
      </c>
      <c r="D1285" s="4" t="s">
        <v>7</v>
      </c>
      <c r="E1285" s="2" t="s">
        <v>14</v>
      </c>
      <c r="F1285" s="6">
        <v>46195.307523148149</v>
      </c>
      <c r="G1285" t="s">
        <v>962</v>
      </c>
      <c r="H1285" t="s">
        <v>658</v>
      </c>
      <c r="I1285" s="3">
        <f>VLOOKUP(G1285,Sheet2!A:J,10,0)</f>
        <v>28</v>
      </c>
      <c r="J1285" s="13"/>
      <c r="K1285" s="13"/>
    </row>
    <row r="1286" spans="1:11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t="s">
        <v>962</v>
      </c>
      <c r="H1286" t="s">
        <v>658</v>
      </c>
      <c r="I1286" s="3">
        <f>VLOOKUP(G1286,Sheet2!A:J,10,0)</f>
        <v>28</v>
      </c>
      <c r="J1286" s="13"/>
      <c r="K1286" s="13"/>
    </row>
    <row r="1287" spans="1:11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t="s">
        <v>962</v>
      </c>
      <c r="H1287" t="s">
        <v>658</v>
      </c>
      <c r="I1287" s="3">
        <f>VLOOKUP(G1287,Sheet2!A:J,10,0)</f>
        <v>28</v>
      </c>
      <c r="J1287" s="13"/>
      <c r="K1287" s="13"/>
    </row>
    <row r="1288" spans="1:11">
      <c r="A1288" s="3" t="s">
        <v>1192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46189.54923611111</v>
      </c>
      <c r="G1288" t="s">
        <v>962</v>
      </c>
      <c r="H1288" t="s">
        <v>658</v>
      </c>
      <c r="I1288" s="3">
        <f>VLOOKUP(G1288,Sheet2!A:J,10,0)</f>
        <v>28</v>
      </c>
      <c r="J1288" s="13"/>
      <c r="K1288" s="13"/>
    </row>
    <row r="1289" spans="1:11">
      <c r="A1289" s="4" t="s">
        <v>1193</v>
      </c>
      <c r="B1289" s="2" t="s">
        <v>9</v>
      </c>
      <c r="C1289" s="2" t="s">
        <v>10</v>
      </c>
      <c r="D1289" s="4" t="s">
        <v>7</v>
      </c>
      <c r="E1289" s="2" t="s">
        <v>11</v>
      </c>
      <c r="F1289" s="6">
        <v>46196.746354166666</v>
      </c>
      <c r="G1289" t="s">
        <v>962</v>
      </c>
      <c r="H1289" t="s">
        <v>658</v>
      </c>
      <c r="I1289" s="3">
        <f>VLOOKUP(G1289,Sheet2!A:J,10,0)</f>
        <v>28</v>
      </c>
      <c r="J1289" s="13"/>
      <c r="K1289" s="13"/>
    </row>
    <row r="1290" spans="1:11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t="s">
        <v>962</v>
      </c>
      <c r="H1290" t="s">
        <v>658</v>
      </c>
      <c r="I1290" s="3">
        <f>VLOOKUP(G1290,Sheet2!A:J,10,0)</f>
        <v>28</v>
      </c>
      <c r="J1290" s="13"/>
      <c r="K1290" s="13"/>
    </row>
    <row r="1291" spans="1:11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t="s">
        <v>962</v>
      </c>
      <c r="H1291" t="s">
        <v>658</v>
      </c>
      <c r="I1291" s="3">
        <f>VLOOKUP(G1291,Sheet2!A:J,10,0)</f>
        <v>28</v>
      </c>
      <c r="J1291" s="13"/>
      <c r="K1291" s="13"/>
    </row>
    <row r="1292" spans="1:11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t="s">
        <v>962</v>
      </c>
      <c r="H1292" t="s">
        <v>658</v>
      </c>
      <c r="I1292" s="3">
        <f>VLOOKUP(G1292,Sheet2!A:J,10,0)</f>
        <v>28</v>
      </c>
      <c r="J1292" s="13"/>
      <c r="K1292" s="13"/>
    </row>
    <row r="1293" spans="1:11">
      <c r="A1293" s="4" t="s">
        <v>1197</v>
      </c>
      <c r="B1293" s="2" t="s">
        <v>1984</v>
      </c>
      <c r="C1293" s="2" t="s">
        <v>1985</v>
      </c>
      <c r="D1293" s="4" t="s">
        <v>7</v>
      </c>
      <c r="E1293" s="2" t="s">
        <v>14</v>
      </c>
      <c r="F1293" s="6">
        <v>46196.340960648151</v>
      </c>
      <c r="G1293" t="s">
        <v>962</v>
      </c>
      <c r="H1293" t="s">
        <v>658</v>
      </c>
      <c r="I1293" s="3">
        <f>VLOOKUP(G1293,Sheet2!A:J,10,0)</f>
        <v>28</v>
      </c>
      <c r="J1293" s="13"/>
      <c r="K1293" s="13"/>
    </row>
    <row r="1294" spans="1:11">
      <c r="A1294" s="3" t="s">
        <v>1198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46192.583148148151</v>
      </c>
      <c r="G1294" t="s">
        <v>962</v>
      </c>
      <c r="H1294" t="s">
        <v>658</v>
      </c>
      <c r="I1294" s="3">
        <f>VLOOKUP(G1294,Sheet2!A:J,10,0)</f>
        <v>28</v>
      </c>
      <c r="J1294" s="13"/>
      <c r="K1294" s="13"/>
    </row>
    <row r="1295" spans="1:11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t="s">
        <v>962</v>
      </c>
      <c r="H1295" t="s">
        <v>658</v>
      </c>
      <c r="I1295" s="3">
        <f>VLOOKUP(G1295,Sheet2!A:J,10,0)</f>
        <v>28</v>
      </c>
      <c r="J1295" s="13"/>
      <c r="K1295" s="13"/>
    </row>
    <row r="1296" spans="1:11">
      <c r="A1296" s="3" t="s">
        <v>1200</v>
      </c>
      <c r="B1296" s="1" t="s">
        <v>98</v>
      </c>
      <c r="C1296" s="1" t="s">
        <v>99</v>
      </c>
      <c r="D1296" s="3" t="s">
        <v>7</v>
      </c>
      <c r="E1296" s="1" t="s">
        <v>100</v>
      </c>
      <c r="F1296" s="5">
        <v>46195.551689814813</v>
      </c>
      <c r="G1296" t="s">
        <v>962</v>
      </c>
      <c r="H1296" t="s">
        <v>658</v>
      </c>
      <c r="I1296" s="3">
        <f>VLOOKUP(G1296,Sheet2!A:J,10,0)</f>
        <v>28</v>
      </c>
      <c r="J1296" s="13"/>
      <c r="K1296" s="13"/>
    </row>
    <row r="1297" spans="1:11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t="s">
        <v>962</v>
      </c>
      <c r="H1297" t="s">
        <v>658</v>
      </c>
      <c r="I1297" s="3">
        <f>VLOOKUP(G1297,Sheet2!A:J,10,0)</f>
        <v>28</v>
      </c>
      <c r="J1297" s="13"/>
      <c r="K1297" s="13"/>
    </row>
    <row r="1298" spans="1:11">
      <c r="A1298" s="3" t="s">
        <v>1202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46190.588275462964</v>
      </c>
      <c r="G1298" t="s">
        <v>962</v>
      </c>
      <c r="H1298" t="s">
        <v>658</v>
      </c>
      <c r="I1298" s="3">
        <f>VLOOKUP(G1298,Sheet2!A:J,10,0)</f>
        <v>28</v>
      </c>
      <c r="J1298" s="13"/>
      <c r="K1298" s="13"/>
    </row>
    <row r="1299" spans="1:11">
      <c r="A1299" s="4" t="s">
        <v>1203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46186.26761574074</v>
      </c>
      <c r="G1299" t="s">
        <v>962</v>
      </c>
      <c r="H1299" t="s">
        <v>658</v>
      </c>
      <c r="I1299" s="3">
        <f>VLOOKUP(G1299,Sheet2!A:J,10,0)</f>
        <v>28</v>
      </c>
      <c r="J1299" s="13"/>
      <c r="K1299" s="13"/>
    </row>
    <row r="1300" spans="1:11">
      <c r="A1300" s="3" t="s">
        <v>1204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46196.643414351849</v>
      </c>
      <c r="G1300" t="s">
        <v>962</v>
      </c>
      <c r="H1300" t="s">
        <v>658</v>
      </c>
      <c r="I1300" s="3">
        <f>VLOOKUP(G1300,Sheet2!A:J,10,0)</f>
        <v>28</v>
      </c>
      <c r="J1300" s="13"/>
      <c r="K1300" s="13"/>
    </row>
    <row r="1301" spans="1:11">
      <c r="A1301" s="4" t="s">
        <v>1205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46192.503263888888</v>
      </c>
      <c r="G1301" t="s">
        <v>962</v>
      </c>
      <c r="H1301" t="s">
        <v>658</v>
      </c>
      <c r="I1301" s="3">
        <f>VLOOKUP(G1301,Sheet2!A:J,10,0)</f>
        <v>28</v>
      </c>
      <c r="J1301" s="13"/>
      <c r="K1301" s="13"/>
    </row>
    <row r="1302" spans="1:11">
      <c r="A1302" s="3" t="s">
        <v>1206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46197.559641203705</v>
      </c>
      <c r="G1302" t="s">
        <v>962</v>
      </c>
      <c r="H1302" t="s">
        <v>658</v>
      </c>
      <c r="I1302" s="3">
        <f>VLOOKUP(G1302,Sheet2!A:J,10,0)</f>
        <v>28</v>
      </c>
      <c r="J1302" s="13"/>
      <c r="K1302" s="13"/>
    </row>
    <row r="1303" spans="1:11">
      <c r="A1303" s="4" t="s">
        <v>1207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46196.555335648147</v>
      </c>
      <c r="G1303" t="s">
        <v>962</v>
      </c>
      <c r="H1303" t="s">
        <v>658</v>
      </c>
      <c r="I1303" s="3">
        <f>VLOOKUP(G1303,Sheet2!A:J,10,0)</f>
        <v>28</v>
      </c>
      <c r="J1303" s="13"/>
      <c r="K1303" s="13"/>
    </row>
    <row r="1304" spans="1:11">
      <c r="A1304" s="3" t="s">
        <v>1208</v>
      </c>
      <c r="B1304" s="1" t="s">
        <v>9</v>
      </c>
      <c r="C1304" s="1" t="s">
        <v>10</v>
      </c>
      <c r="D1304" s="3" t="s">
        <v>7</v>
      </c>
      <c r="E1304" s="1" t="s">
        <v>11</v>
      </c>
      <c r="F1304" s="5">
        <v>46197.492662037039</v>
      </c>
      <c r="G1304" t="s">
        <v>962</v>
      </c>
      <c r="H1304" t="s">
        <v>658</v>
      </c>
      <c r="I1304" s="3">
        <f>VLOOKUP(G1304,Sheet2!A:J,10,0)</f>
        <v>28</v>
      </c>
      <c r="J1304" s="13"/>
      <c r="K1304" s="13"/>
    </row>
    <row r="1305" spans="1:11">
      <c r="A1305" s="4" t="s">
        <v>1209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46186.467812499999</v>
      </c>
      <c r="G1305" t="s">
        <v>962</v>
      </c>
      <c r="H1305" t="s">
        <v>658</v>
      </c>
      <c r="I1305" s="3">
        <f>VLOOKUP(G1305,Sheet2!A:J,10,0)</f>
        <v>28</v>
      </c>
      <c r="J1305" s="13"/>
      <c r="K1305" s="13"/>
    </row>
    <row r="1306" spans="1:11">
      <c r="A1306" s="3" t="s">
        <v>1210</v>
      </c>
      <c r="B1306" s="1" t="s">
        <v>98</v>
      </c>
      <c r="C1306" s="1" t="s">
        <v>99</v>
      </c>
      <c r="D1306" s="3" t="s">
        <v>7</v>
      </c>
      <c r="E1306" s="1" t="s">
        <v>100</v>
      </c>
      <c r="F1306" s="5">
        <v>46195.558796296296</v>
      </c>
      <c r="G1306" t="s">
        <v>962</v>
      </c>
      <c r="H1306" t="s">
        <v>658</v>
      </c>
      <c r="I1306" s="3">
        <f>VLOOKUP(G1306,Sheet2!A:J,10,0)</f>
        <v>28</v>
      </c>
      <c r="J1306" s="13"/>
      <c r="K1306" s="13"/>
    </row>
    <row r="1307" spans="1:11">
      <c r="A1307" s="4" t="s">
        <v>1211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46190.487187500003</v>
      </c>
      <c r="G1307" t="s">
        <v>962</v>
      </c>
      <c r="H1307" t="s">
        <v>658</v>
      </c>
      <c r="I1307" s="3">
        <f>VLOOKUP(G1307,Sheet2!A:J,10,0)</f>
        <v>28</v>
      </c>
      <c r="J1307" s="13"/>
      <c r="K1307" s="13"/>
    </row>
    <row r="1308" spans="1:11">
      <c r="A1308" s="3" t="s">
        <v>1212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46197.521990740737</v>
      </c>
      <c r="G1308" t="s">
        <v>962</v>
      </c>
      <c r="H1308" t="s">
        <v>658</v>
      </c>
      <c r="I1308" s="3">
        <f>VLOOKUP(G1308,Sheet2!A:J,10,0)</f>
        <v>28</v>
      </c>
      <c r="J1308" s="13"/>
      <c r="K1308" s="13"/>
    </row>
    <row r="1309" spans="1:11">
      <c r="A1309" s="4" t="s">
        <v>1213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46190.486979166664</v>
      </c>
      <c r="G1309" t="s">
        <v>962</v>
      </c>
      <c r="H1309" t="s">
        <v>658</v>
      </c>
      <c r="I1309" s="3">
        <f>VLOOKUP(G1309,Sheet2!A:J,10,0)</f>
        <v>28</v>
      </c>
      <c r="J1309" s="13"/>
      <c r="K1309" s="13"/>
    </row>
    <row r="1310" spans="1:11">
      <c r="A1310" s="3" t="s">
        <v>1214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46190.449016203704</v>
      </c>
      <c r="G1310" t="s">
        <v>962</v>
      </c>
      <c r="H1310" t="s">
        <v>658</v>
      </c>
      <c r="I1310" s="3">
        <f>VLOOKUP(G1310,Sheet2!A:J,10,0)</f>
        <v>28</v>
      </c>
      <c r="J1310" s="13"/>
      <c r="K1310" s="13"/>
    </row>
    <row r="1311" spans="1:11">
      <c r="A1311" s="4" t="s">
        <v>1215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46190.395578703705</v>
      </c>
      <c r="G1311" t="s">
        <v>962</v>
      </c>
      <c r="H1311" t="s">
        <v>658</v>
      </c>
      <c r="I1311" s="3">
        <f>VLOOKUP(G1311,Sheet2!A:J,10,0)</f>
        <v>28</v>
      </c>
      <c r="J1311" s="13"/>
      <c r="K1311" s="13"/>
    </row>
    <row r="1312" spans="1:11">
      <c r="A1312" s="3" t="s">
        <v>1216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46186.470138888886</v>
      </c>
      <c r="G1312" t="s">
        <v>962</v>
      </c>
      <c r="H1312" t="s">
        <v>658</v>
      </c>
      <c r="I1312" s="3">
        <f>VLOOKUP(G1312,Sheet2!A:J,10,0)</f>
        <v>28</v>
      </c>
      <c r="J1312" s="13"/>
      <c r="K1312" s="13"/>
    </row>
    <row r="1313" spans="1:11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46186.468113425923</v>
      </c>
      <c r="G1313" t="s">
        <v>962</v>
      </c>
      <c r="H1313" t="s">
        <v>658</v>
      </c>
      <c r="I1313" s="3">
        <f>VLOOKUP(G1313,Sheet2!A:J,10,0)</f>
        <v>28</v>
      </c>
      <c r="J1313" s="13"/>
      <c r="K1313" s="13"/>
    </row>
    <row r="1314" spans="1:11">
      <c r="A1314" s="3" t="s">
        <v>1218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46190.39570601852</v>
      </c>
      <c r="G1314" t="s">
        <v>962</v>
      </c>
      <c r="H1314" t="s">
        <v>658</v>
      </c>
      <c r="I1314" s="3">
        <f>VLOOKUP(G1314,Sheet2!A:J,10,0)</f>
        <v>28</v>
      </c>
      <c r="J1314" s="13"/>
      <c r="K1314" s="13"/>
    </row>
    <row r="1315" spans="1:11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t="s">
        <v>962</v>
      </c>
      <c r="H1315" t="s">
        <v>658</v>
      </c>
      <c r="I1315" s="3">
        <f>VLOOKUP(G1315,Sheet2!A:J,10,0)</f>
        <v>28</v>
      </c>
      <c r="J1315" s="13"/>
      <c r="K1315" s="13"/>
    </row>
    <row r="1316" spans="1:11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46190.486944444441</v>
      </c>
      <c r="G1316" t="s">
        <v>962</v>
      </c>
      <c r="H1316" t="s">
        <v>658</v>
      </c>
      <c r="I1316" s="3">
        <f>VLOOKUP(G1316,Sheet2!A:J,10,0)</f>
        <v>28</v>
      </c>
      <c r="J1316" s="13"/>
      <c r="K1316" s="13"/>
    </row>
    <row r="1317" spans="1:11">
      <c r="A1317" s="4" t="s">
        <v>1221</v>
      </c>
      <c r="B1317" s="2" t="s">
        <v>9</v>
      </c>
      <c r="C1317" s="2" t="s">
        <v>10</v>
      </c>
      <c r="D1317" s="4" t="s">
        <v>7</v>
      </c>
      <c r="E1317" s="2" t="s">
        <v>11</v>
      </c>
      <c r="F1317" s="6">
        <v>46197.498692129629</v>
      </c>
      <c r="G1317" t="s">
        <v>962</v>
      </c>
      <c r="H1317" t="s">
        <v>658</v>
      </c>
      <c r="I1317" s="3">
        <f>VLOOKUP(G1317,Sheet2!A:J,10,0)</f>
        <v>28</v>
      </c>
      <c r="J1317" s="13"/>
      <c r="K1317" s="13"/>
    </row>
    <row r="1318" spans="1:11">
      <c r="A1318" s="3" t="s">
        <v>1222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46190.39576388889</v>
      </c>
      <c r="G1318" t="s">
        <v>962</v>
      </c>
      <c r="H1318" t="s">
        <v>658</v>
      </c>
      <c r="I1318" s="3">
        <f>VLOOKUP(G1318,Sheet2!A:J,10,0)</f>
        <v>28</v>
      </c>
      <c r="J1318" s="13"/>
      <c r="K1318" s="13"/>
    </row>
    <row r="1319" spans="1:11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t="s">
        <v>962</v>
      </c>
      <c r="H1319" t="s">
        <v>658</v>
      </c>
      <c r="I1319" s="3">
        <f>VLOOKUP(G1319,Sheet2!A:J,10,0)</f>
        <v>28</v>
      </c>
      <c r="J1319" s="13"/>
      <c r="K1319" s="13"/>
    </row>
    <row r="1320" spans="1:11">
      <c r="A1320" s="3" t="s">
        <v>1224</v>
      </c>
      <c r="B1320" s="1" t="s">
        <v>1984</v>
      </c>
      <c r="C1320" s="1" t="s">
        <v>1985</v>
      </c>
      <c r="D1320" s="3" t="s">
        <v>7</v>
      </c>
      <c r="E1320" s="1" t="s">
        <v>14</v>
      </c>
      <c r="F1320" s="5">
        <v>46197.494733796295</v>
      </c>
      <c r="G1320" t="s">
        <v>962</v>
      </c>
      <c r="H1320" t="s">
        <v>658</v>
      </c>
      <c r="I1320" s="3">
        <f>VLOOKUP(G1320,Sheet2!A:J,10,0)</f>
        <v>28</v>
      </c>
      <c r="J1320" s="13"/>
      <c r="K1320" s="13"/>
    </row>
    <row r="1321" spans="1:11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t="s">
        <v>962</v>
      </c>
      <c r="H1321" t="s">
        <v>658</v>
      </c>
      <c r="I1321" s="3">
        <f>VLOOKUP(G1321,Sheet2!A:J,10,0)</f>
        <v>28</v>
      </c>
      <c r="J1321" s="13"/>
      <c r="K1321" s="13"/>
    </row>
    <row r="1322" spans="1:11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t="s">
        <v>962</v>
      </c>
      <c r="H1322" t="s">
        <v>658</v>
      </c>
      <c r="I1322" s="3">
        <f>VLOOKUP(G1322,Sheet2!A:J,10,0)</f>
        <v>28</v>
      </c>
      <c r="J1322" s="13"/>
      <c r="K1322" s="13"/>
    </row>
    <row r="1323" spans="1:11">
      <c r="A1323" s="4" t="s">
        <v>1227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46192.583229166667</v>
      </c>
      <c r="G1323" t="s">
        <v>962</v>
      </c>
      <c r="H1323" t="s">
        <v>658</v>
      </c>
      <c r="I1323" s="3">
        <f>VLOOKUP(G1323,Sheet2!A:J,10,0)</f>
        <v>28</v>
      </c>
      <c r="J1323" s="13"/>
      <c r="K1323" s="13"/>
    </row>
    <row r="1324" spans="1:11">
      <c r="A1324" s="3" t="s">
        <v>1228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46190.44908564815</v>
      </c>
      <c r="G1324" t="s">
        <v>962</v>
      </c>
      <c r="H1324" t="s">
        <v>658</v>
      </c>
      <c r="I1324" s="3">
        <f>VLOOKUP(G1324,Sheet2!A:J,10,0)</f>
        <v>28</v>
      </c>
      <c r="J1324" s="13"/>
      <c r="K1324" s="13"/>
    </row>
    <row r="1325" spans="1:11">
      <c r="A1325" s="4" t="s">
        <v>1229</v>
      </c>
      <c r="B1325" s="2" t="s">
        <v>6</v>
      </c>
      <c r="C1325" s="2" t="s">
        <v>6</v>
      </c>
      <c r="D1325" s="4" t="s">
        <v>7</v>
      </c>
      <c r="E1325" s="2" t="s">
        <v>8</v>
      </c>
      <c r="F1325" s="6">
        <v>46190.448472222219</v>
      </c>
      <c r="G1325" t="s">
        <v>962</v>
      </c>
      <c r="H1325" t="s">
        <v>658</v>
      </c>
      <c r="I1325" s="3">
        <f>VLOOKUP(G1325,Sheet2!A:J,10,0)</f>
        <v>28</v>
      </c>
      <c r="J1325" s="13"/>
      <c r="K1325" s="13"/>
    </row>
    <row r="1326" spans="1:11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t="s">
        <v>962</v>
      </c>
      <c r="H1326" t="s">
        <v>658</v>
      </c>
      <c r="I1326" s="3">
        <f>VLOOKUP(G1326,Sheet2!A:J,10,0)</f>
        <v>28</v>
      </c>
      <c r="J1326" s="13"/>
      <c r="K1326" s="13"/>
    </row>
    <row r="1327" spans="1:11">
      <c r="A1327" s="4" t="s">
        <v>1231</v>
      </c>
      <c r="B1327" s="2" t="s">
        <v>9</v>
      </c>
      <c r="C1327" s="2" t="s">
        <v>10</v>
      </c>
      <c r="D1327" s="4" t="s">
        <v>7</v>
      </c>
      <c r="E1327" s="2" t="s">
        <v>11</v>
      </c>
      <c r="F1327" s="6">
        <v>46197.495856481481</v>
      </c>
      <c r="G1327" t="s">
        <v>962</v>
      </c>
      <c r="H1327" t="s">
        <v>658</v>
      </c>
      <c r="I1327" s="3">
        <f>VLOOKUP(G1327,Sheet2!A:J,10,0)</f>
        <v>28</v>
      </c>
      <c r="J1327" s="13"/>
      <c r="K1327" s="13"/>
    </row>
    <row r="1328" spans="1:11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t="s">
        <v>962</v>
      </c>
      <c r="H1328" t="s">
        <v>658</v>
      </c>
      <c r="I1328" s="3">
        <f>VLOOKUP(G1328,Sheet2!A:J,10,0)</f>
        <v>28</v>
      </c>
      <c r="J1328" s="13"/>
      <c r="K1328" s="13"/>
    </row>
    <row r="1329" spans="1:11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t="s">
        <v>962</v>
      </c>
      <c r="H1329" t="s">
        <v>658</v>
      </c>
      <c r="I1329" s="3">
        <f>VLOOKUP(G1329,Sheet2!A:J,10,0)</f>
        <v>28</v>
      </c>
      <c r="J1329" s="13"/>
      <c r="K1329" s="13"/>
    </row>
    <row r="1330" spans="1:11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t="s">
        <v>962</v>
      </c>
      <c r="H1330" t="s">
        <v>658</v>
      </c>
      <c r="I1330" s="3">
        <f>VLOOKUP(G1330,Sheet2!A:J,10,0)</f>
        <v>28</v>
      </c>
      <c r="J1330" s="13"/>
      <c r="K1330" s="13"/>
    </row>
    <row r="1331" spans="1:11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t="s">
        <v>962</v>
      </c>
      <c r="H1331" t="s">
        <v>658</v>
      </c>
      <c r="I1331" s="3">
        <f>VLOOKUP(G1331,Sheet2!A:J,10,0)</f>
        <v>28</v>
      </c>
      <c r="J1331" s="13"/>
      <c r="K1331" s="13"/>
    </row>
    <row r="1332" spans="1:11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t="s">
        <v>962</v>
      </c>
      <c r="H1332" t="s">
        <v>658</v>
      </c>
      <c r="I1332" s="3">
        <f>VLOOKUP(G1332,Sheet2!A:J,10,0)</f>
        <v>28</v>
      </c>
      <c r="J1332" s="13"/>
      <c r="K1332" s="13"/>
    </row>
    <row r="1333" spans="1:11">
      <c r="A1333" s="4" t="s">
        <v>1237</v>
      </c>
      <c r="B1333" s="2" t="s">
        <v>275</v>
      </c>
      <c r="C1333" s="2" t="s">
        <v>276</v>
      </c>
      <c r="D1333" s="4" t="s">
        <v>7</v>
      </c>
      <c r="E1333" s="2" t="s">
        <v>277</v>
      </c>
      <c r="F1333" s="6">
        <v>46191.888379629629</v>
      </c>
      <c r="G1333" t="s">
        <v>962</v>
      </c>
      <c r="H1333" t="s">
        <v>658</v>
      </c>
      <c r="I1333" s="3">
        <f>VLOOKUP(G1333,Sheet2!A:J,10,0)</f>
        <v>28</v>
      </c>
      <c r="J1333" s="13"/>
      <c r="K1333" s="13"/>
    </row>
    <row r="1334" spans="1:11">
      <c r="A1334" s="3" t="s">
        <v>1238</v>
      </c>
      <c r="B1334" s="1" t="s">
        <v>6</v>
      </c>
      <c r="C1334" s="1" t="s">
        <v>6</v>
      </c>
      <c r="D1334" s="3" t="s">
        <v>7</v>
      </c>
      <c r="E1334" s="1" t="s">
        <v>8</v>
      </c>
      <c r="F1334" s="5">
        <v>46190.395474537036</v>
      </c>
      <c r="G1334" t="s">
        <v>962</v>
      </c>
      <c r="H1334" t="s">
        <v>658</v>
      </c>
      <c r="I1334" s="3">
        <f>VLOOKUP(G1334,Sheet2!A:J,10,0)</f>
        <v>28</v>
      </c>
      <c r="J1334" s="13"/>
      <c r="K1334" s="13"/>
    </row>
    <row r="1335" spans="1:11">
      <c r="A1335" s="4" t="s">
        <v>1239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46186.469907407409</v>
      </c>
      <c r="G1335" t="s">
        <v>962</v>
      </c>
      <c r="H1335" t="s">
        <v>658</v>
      </c>
      <c r="I1335" s="3">
        <f>VLOOKUP(G1335,Sheet2!A:J,10,0)</f>
        <v>28</v>
      </c>
      <c r="J1335" s="13"/>
      <c r="K1335" s="13"/>
    </row>
    <row r="1336" spans="1:11">
      <c r="A1336" s="3" t="s">
        <v>1240</v>
      </c>
      <c r="B1336" s="1" t="s">
        <v>98</v>
      </c>
      <c r="C1336" s="1" t="s">
        <v>99</v>
      </c>
      <c r="D1336" s="3" t="s">
        <v>7</v>
      </c>
      <c r="E1336" s="1" t="s">
        <v>100</v>
      </c>
      <c r="F1336" s="5">
        <v>46195.559513888889</v>
      </c>
      <c r="G1336" t="s">
        <v>962</v>
      </c>
      <c r="H1336" t="s">
        <v>658</v>
      </c>
      <c r="I1336" s="3">
        <f>VLOOKUP(G1336,Sheet2!A:J,10,0)</f>
        <v>28</v>
      </c>
      <c r="J1336" s="13"/>
      <c r="K1336" s="13"/>
    </row>
    <row r="1337" spans="1:11">
      <c r="A1337" s="4" t="s">
        <v>1241</v>
      </c>
      <c r="B1337" s="2" t="s">
        <v>98</v>
      </c>
      <c r="C1337" s="2" t="s">
        <v>99</v>
      </c>
      <c r="D1337" s="4" t="s">
        <v>7</v>
      </c>
      <c r="E1337" s="2" t="s">
        <v>100</v>
      </c>
      <c r="F1337" s="6">
        <v>46195.558437500003</v>
      </c>
      <c r="G1337" t="s">
        <v>962</v>
      </c>
      <c r="H1337" t="s">
        <v>658</v>
      </c>
      <c r="I1337" s="3">
        <f>VLOOKUP(G1337,Sheet2!A:J,10,0)</f>
        <v>28</v>
      </c>
      <c r="J1337" s="13"/>
      <c r="K1337" s="13"/>
    </row>
    <row r="1338" spans="1:11">
      <c r="A1338" s="3" t="s">
        <v>1242</v>
      </c>
      <c r="B1338" s="1" t="s">
        <v>6</v>
      </c>
      <c r="C1338" s="1" t="s">
        <v>6</v>
      </c>
      <c r="D1338" s="3" t="s">
        <v>7</v>
      </c>
      <c r="E1338" s="1" t="s">
        <v>8</v>
      </c>
      <c r="F1338" s="5">
        <v>46192.582905092589</v>
      </c>
      <c r="G1338" t="s">
        <v>962</v>
      </c>
      <c r="H1338" t="s">
        <v>658</v>
      </c>
      <c r="I1338" s="3">
        <f>VLOOKUP(G1338,Sheet2!A:J,10,0)</f>
        <v>28</v>
      </c>
      <c r="J1338" s="13"/>
      <c r="K1338" s="13"/>
    </row>
    <row r="1339" spans="1:11">
      <c r="A1339" s="4" t="s">
        <v>1243</v>
      </c>
      <c r="B1339" s="2" t="s">
        <v>6</v>
      </c>
      <c r="C1339" s="2" t="s">
        <v>6</v>
      </c>
      <c r="D1339" s="4" t="s">
        <v>7</v>
      </c>
      <c r="E1339" s="2" t="s">
        <v>8</v>
      </c>
      <c r="F1339" s="6">
        <v>46190.487256944441</v>
      </c>
      <c r="G1339" t="s">
        <v>962</v>
      </c>
      <c r="H1339" t="s">
        <v>658</v>
      </c>
      <c r="I1339" s="3">
        <f>VLOOKUP(G1339,Sheet2!A:J,10,0)</f>
        <v>28</v>
      </c>
      <c r="J1339" s="13"/>
      <c r="K1339" s="13"/>
    </row>
    <row r="1340" spans="1:11">
      <c r="A1340" s="3" t="s">
        <v>1244</v>
      </c>
      <c r="B1340" s="1" t="s">
        <v>6</v>
      </c>
      <c r="C1340" s="1" t="s">
        <v>6</v>
      </c>
      <c r="D1340" s="3" t="s">
        <v>7</v>
      </c>
      <c r="E1340" s="1" t="s">
        <v>8</v>
      </c>
      <c r="F1340" s="5">
        <v>46190.448530092595</v>
      </c>
      <c r="G1340" t="s">
        <v>962</v>
      </c>
      <c r="H1340" t="s">
        <v>658</v>
      </c>
      <c r="I1340" s="3">
        <f>VLOOKUP(G1340,Sheet2!A:J,10,0)</f>
        <v>28</v>
      </c>
      <c r="J1340" s="13"/>
      <c r="K1340" s="13"/>
    </row>
    <row r="1341" spans="1:11">
      <c r="A1341" s="4" t="s">
        <v>1245</v>
      </c>
      <c r="B1341" s="2" t="s">
        <v>1984</v>
      </c>
      <c r="C1341" s="2" t="s">
        <v>1985</v>
      </c>
      <c r="D1341" s="4" t="s">
        <v>7</v>
      </c>
      <c r="E1341" s="2" t="s">
        <v>14</v>
      </c>
      <c r="F1341" s="6">
        <v>46196.325972222221</v>
      </c>
      <c r="G1341" t="s">
        <v>962</v>
      </c>
      <c r="H1341" t="s">
        <v>658</v>
      </c>
      <c r="I1341" s="3">
        <f>VLOOKUP(G1341,Sheet2!A:J,10,0)</f>
        <v>28</v>
      </c>
      <c r="J1341" s="13"/>
      <c r="K1341" s="13"/>
    </row>
    <row r="1342" spans="1:11">
      <c r="A1342" s="3" t="s">
        <v>1246</v>
      </c>
      <c r="B1342" s="1" t="s">
        <v>653</v>
      </c>
      <c r="C1342" s="1" t="s">
        <v>654</v>
      </c>
      <c r="D1342" s="3" t="s">
        <v>7</v>
      </c>
      <c r="E1342" s="1" t="s">
        <v>647</v>
      </c>
      <c r="F1342" s="5">
        <v>46196.592476851853</v>
      </c>
      <c r="G1342" t="s">
        <v>962</v>
      </c>
      <c r="H1342" t="s">
        <v>658</v>
      </c>
      <c r="I1342" s="3">
        <f>VLOOKUP(G1342,Sheet2!A:J,10,0)</f>
        <v>28</v>
      </c>
      <c r="J1342" s="13"/>
      <c r="K1342" s="13"/>
    </row>
    <row r="1343" spans="1:11">
      <c r="A1343" s="4" t="s">
        <v>1247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46192.582939814813</v>
      </c>
      <c r="G1343" t="s">
        <v>962</v>
      </c>
      <c r="H1343" t="s">
        <v>658</v>
      </c>
      <c r="I1343" s="3">
        <f>VLOOKUP(G1343,Sheet2!A:J,10,0)</f>
        <v>28</v>
      </c>
      <c r="J1343" s="13"/>
      <c r="K1343" s="13"/>
    </row>
    <row r="1344" spans="1:1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VLOOKUP(G1344,Sheet2!A:J,10,0)</f>
        <v>3</v>
      </c>
      <c r="J1344" s="13"/>
      <c r="K1344" s="13"/>
    </row>
    <row r="1345" spans="1:1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VLOOKUP(G1345,Sheet2!A:J,10,0)</f>
        <v>3</v>
      </c>
      <c r="J1345" s="13"/>
      <c r="K1345" s="13">
        <v>46058</v>
      </c>
    </row>
    <row r="1346" spans="1:1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VLOOKUP(G1346,Sheet2!A:J,10,0)</f>
        <v>3</v>
      </c>
      <c r="J1346" s="13"/>
      <c r="K1346" s="13">
        <v>46064</v>
      </c>
    </row>
    <row r="1347" spans="1:1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VLOOKUP(G1347,Sheet2!A:J,10,0)</f>
        <v>3</v>
      </c>
      <c r="J1347" s="13"/>
      <c r="K1347" s="13">
        <v>46100</v>
      </c>
    </row>
    <row r="1348" spans="1:1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VLOOKUP(G1348,Sheet2!A:J,10,0)</f>
        <v>3</v>
      </c>
      <c r="J1348" s="13"/>
      <c r="K1348" s="13">
        <v>46092</v>
      </c>
    </row>
    <row r="1349" spans="1:11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t="s">
        <v>144</v>
      </c>
      <c r="H1349" t="s">
        <v>152</v>
      </c>
      <c r="I1349" s="3">
        <f>VLOOKUP(G1349,Sheet2!A:J,10,0)</f>
        <v>3</v>
      </c>
      <c r="J1349" s="13"/>
      <c r="K1349" s="13"/>
    </row>
    <row r="1350" spans="1:1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VLOOKUP(G1350,Sheet2!A:J,10,0)</f>
        <v>3</v>
      </c>
      <c r="J1350" s="13"/>
      <c r="K1350" s="13"/>
    </row>
    <row r="1351" spans="1:1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VLOOKUP(G1351,Sheet2!A:J,10,0)</f>
        <v>3</v>
      </c>
      <c r="J1351" s="13"/>
      <c r="K1351" s="13"/>
    </row>
    <row r="1352" spans="1:11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t="s">
        <v>144</v>
      </c>
      <c r="H1352" t="s">
        <v>152</v>
      </c>
      <c r="I1352" s="3">
        <f>VLOOKUP(G1352,Sheet2!A:J,10,0)</f>
        <v>3</v>
      </c>
      <c r="J1352" s="13"/>
      <c r="K1352" s="13"/>
    </row>
    <row r="1353" spans="1:1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VLOOKUP(G1353,Sheet2!A:J,10,0)</f>
        <v>3</v>
      </c>
      <c r="J1353" s="13"/>
      <c r="K1353" s="13"/>
    </row>
    <row r="1354" spans="1:1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VLOOKUP(G1354,Sheet2!A:J,10,0)</f>
        <v>3</v>
      </c>
      <c r="J1354" s="13"/>
      <c r="K1354" s="13"/>
    </row>
    <row r="1355" spans="1:1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VLOOKUP(G1355,Sheet2!A:J,10,0)</f>
        <v>3</v>
      </c>
      <c r="J1355" s="13"/>
      <c r="K1355" s="13"/>
    </row>
    <row r="1356" spans="1:11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t="s">
        <v>144</v>
      </c>
      <c r="H1356" t="s">
        <v>152</v>
      </c>
      <c r="I1356" s="3">
        <f>VLOOKUP(G1356,Sheet2!A:J,10,0)</f>
        <v>3</v>
      </c>
      <c r="J1356" s="13"/>
      <c r="K1356" s="13"/>
    </row>
    <row r="1357" spans="1:1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VLOOKUP(G1357,Sheet2!A:J,10,0)</f>
        <v>3</v>
      </c>
      <c r="J1357" s="13"/>
      <c r="K1357" s="13"/>
    </row>
    <row r="1358" spans="1:1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VLOOKUP(G1358,Sheet2!A:J,10,0)</f>
        <v>3</v>
      </c>
      <c r="J1358" s="13"/>
      <c r="K1358" s="13"/>
    </row>
    <row r="1359" spans="1:11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t="s">
        <v>144</v>
      </c>
      <c r="H1359" t="s">
        <v>152</v>
      </c>
      <c r="I1359" s="3">
        <f>VLOOKUP(G1359,Sheet2!A:J,10,0)</f>
        <v>3</v>
      </c>
      <c r="J1359" s="13"/>
      <c r="K1359" s="13"/>
    </row>
    <row r="1360" spans="1:1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VLOOKUP(G1360,Sheet2!A:J,10,0)</f>
        <v>3</v>
      </c>
      <c r="J1360" s="13"/>
      <c r="K1360" s="13"/>
    </row>
    <row r="1361" spans="1:1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VLOOKUP(G1361,Sheet2!A:J,10,0)</f>
        <v>3</v>
      </c>
      <c r="J1361" s="13"/>
      <c r="K1361" s="13"/>
    </row>
    <row r="1362" spans="1:1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VLOOKUP(G1362,Sheet2!A:J,10,0)</f>
        <v>3</v>
      </c>
      <c r="J1362" s="13"/>
      <c r="K1362" s="13"/>
    </row>
    <row r="1363" spans="1:11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t="s">
        <v>144</v>
      </c>
      <c r="H1363" t="s">
        <v>152</v>
      </c>
      <c r="I1363" s="3">
        <f>VLOOKUP(G1363,Sheet2!A:J,10,0)</f>
        <v>3</v>
      </c>
      <c r="J1363" s="13"/>
      <c r="K1363" s="13"/>
    </row>
    <row r="1364" spans="1:1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VLOOKUP(G1364,Sheet2!A:J,10,0)</f>
        <v>3</v>
      </c>
      <c r="J1364" s="13"/>
      <c r="K1364" s="13"/>
    </row>
    <row r="1365" spans="1:1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VLOOKUP(G1365,Sheet2!A:J,10,0)</f>
        <v>3</v>
      </c>
      <c r="J1365" s="13"/>
      <c r="K1365" s="13"/>
    </row>
    <row r="1366" spans="1:11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t="s">
        <v>144</v>
      </c>
      <c r="H1366" t="s">
        <v>152</v>
      </c>
      <c r="I1366" s="3">
        <f>VLOOKUP(G1366,Sheet2!A:J,10,0)</f>
        <v>3</v>
      </c>
      <c r="J1366" s="13"/>
      <c r="K1366" s="13"/>
    </row>
    <row r="1367" spans="1:11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t="s">
        <v>144</v>
      </c>
      <c r="H1367" t="s">
        <v>152</v>
      </c>
      <c r="I1367" s="3">
        <f>VLOOKUP(G1367,Sheet2!A:J,10,0)</f>
        <v>3</v>
      </c>
      <c r="J1367" s="13"/>
      <c r="K1367" s="13"/>
    </row>
    <row r="1368" spans="1:1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VLOOKUP(G1368,Sheet2!A:J,10,0)</f>
        <v>3</v>
      </c>
      <c r="J1368" s="13"/>
      <c r="K1368" s="13">
        <v>46064</v>
      </c>
    </row>
    <row r="1369" spans="1:1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>
        <f>VLOOKUP(G1369,Sheet2!A:J,10,0)</f>
        <v>9</v>
      </c>
      <c r="J1369" s="13"/>
      <c r="K1369" s="13">
        <v>46134</v>
      </c>
    </row>
    <row r="1370" spans="1:1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>
        <f>VLOOKUP(G1370,Sheet2!A:J,10,0)</f>
        <v>9</v>
      </c>
      <c r="J1370" s="13"/>
      <c r="K1370" s="13"/>
    </row>
    <row r="1371" spans="1:1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>
        <f>VLOOKUP(G1371,Sheet2!A:J,10,0)</f>
        <v>9</v>
      </c>
      <c r="J1371" s="13"/>
      <c r="K1371" s="13"/>
    </row>
    <row r="1372" spans="1:1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>
        <f>VLOOKUP(G1372,Sheet2!A:J,10,0)</f>
        <v>9</v>
      </c>
      <c r="J1372" s="13"/>
      <c r="K1372" s="13"/>
    </row>
    <row r="1373" spans="1:1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>
        <f>VLOOKUP(G1373,Sheet2!A:J,10,0)</f>
        <v>9</v>
      </c>
      <c r="J1373" s="13"/>
      <c r="K1373" s="13">
        <v>46134</v>
      </c>
    </row>
    <row r="1374" spans="1:1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>
        <f>VLOOKUP(G1374,Sheet2!A:J,10,0)</f>
        <v>9</v>
      </c>
      <c r="J1374" s="13"/>
      <c r="K1374" s="13"/>
    </row>
    <row r="1375" spans="1:1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>
        <f>VLOOKUP(G1375,Sheet2!A:J,10,0)</f>
        <v>9</v>
      </c>
      <c r="J1375" s="13"/>
      <c r="K1375" s="13"/>
    </row>
    <row r="1376" spans="1:1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>
        <f>VLOOKUP(G1376,Sheet2!A:J,10,0)</f>
        <v>9</v>
      </c>
      <c r="J1376" s="13"/>
      <c r="K1376" s="13">
        <v>46134</v>
      </c>
    </row>
    <row r="1377" spans="1:1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>
        <f>VLOOKUP(G1377,Sheet2!A:J,10,0)</f>
        <v>9</v>
      </c>
      <c r="J1377" s="13"/>
      <c r="K1377" s="13"/>
    </row>
    <row r="1378" spans="1:1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>
        <f>VLOOKUP(G1378,Sheet2!A:J,10,0)</f>
        <v>9</v>
      </c>
      <c r="J1378" s="13"/>
      <c r="K1378" s="13"/>
    </row>
    <row r="1379" spans="1:1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>
        <f>VLOOKUP(G1379,Sheet2!A:J,10,0)</f>
        <v>9</v>
      </c>
      <c r="J1379" s="13"/>
      <c r="K1379" s="13"/>
    </row>
    <row r="1380" spans="1:1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>
        <f>VLOOKUP(G1380,Sheet2!A:J,10,0)</f>
        <v>9</v>
      </c>
      <c r="J1380" s="13"/>
      <c r="K1380" s="13">
        <v>46170</v>
      </c>
    </row>
    <row r="1381" spans="1:1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>
        <f>VLOOKUP(G1381,Sheet2!A:J,10,0)</f>
        <v>9</v>
      </c>
      <c r="J1381" s="13"/>
      <c r="K1381" s="13">
        <v>46108</v>
      </c>
    </row>
    <row r="1382" spans="1:1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>
        <f>VLOOKUP(G1382,Sheet2!A:J,10,0)</f>
        <v>9</v>
      </c>
      <c r="J1382" s="13"/>
      <c r="K1382" s="13">
        <v>46134</v>
      </c>
    </row>
    <row r="1383" spans="1:1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>
        <f>VLOOKUP(G1383,Sheet2!A:J,10,0)</f>
        <v>9</v>
      </c>
      <c r="J1383" s="13"/>
      <c r="K1383" s="13"/>
    </row>
    <row r="1384" spans="1:1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>
        <f>VLOOKUP(G1384,Sheet2!A:J,10,0)</f>
        <v>9</v>
      </c>
      <c r="J1384" s="13"/>
      <c r="K1384" s="13">
        <v>46139</v>
      </c>
    </row>
    <row r="1385" spans="1:1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>
        <f>VLOOKUP(G1385,Sheet2!A:J,10,0)</f>
        <v>9</v>
      </c>
      <c r="J1385" s="13"/>
      <c r="K1385" s="13"/>
    </row>
    <row r="1386" spans="1:1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>
        <f>VLOOKUP(G1386,Sheet2!A:J,10,0)</f>
        <v>9</v>
      </c>
      <c r="J1386" s="13"/>
      <c r="K1386" s="13"/>
    </row>
    <row r="1387" spans="1:11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t="s">
        <v>317</v>
      </c>
      <c r="H1387" t="s">
        <v>319</v>
      </c>
      <c r="I1387" s="3">
        <f>VLOOKUP(G1387,Sheet2!A:J,10,0)</f>
        <v>9</v>
      </c>
      <c r="J1387" s="13"/>
      <c r="K1387" s="13">
        <v>46163</v>
      </c>
    </row>
    <row r="1388" spans="1:1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>
        <f>VLOOKUP(G1388,Sheet2!A:J,10,0)</f>
        <v>9</v>
      </c>
      <c r="J1388" s="13"/>
      <c r="K1388" s="13">
        <v>46134</v>
      </c>
    </row>
    <row r="1389" spans="1:1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>
        <f>VLOOKUP(G1389,Sheet2!A:J,10,0)</f>
        <v>9</v>
      </c>
      <c r="J1389" s="13"/>
      <c r="K1389" s="13">
        <v>46134</v>
      </c>
    </row>
    <row r="1390" spans="1:11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t="s">
        <v>317</v>
      </c>
      <c r="H1390" t="s">
        <v>319</v>
      </c>
      <c r="I1390" s="3">
        <f>VLOOKUP(G1390,Sheet2!A:J,10,0)</f>
        <v>9</v>
      </c>
      <c r="J1390" s="13"/>
      <c r="K1390" s="13">
        <v>46163</v>
      </c>
    </row>
    <row r="1391" spans="1:1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>
        <f>VLOOKUP(G1391,Sheet2!A:J,10,0)</f>
        <v>9</v>
      </c>
      <c r="J1391" s="13"/>
      <c r="K1391" s="13">
        <v>46134</v>
      </c>
    </row>
    <row r="1392" spans="1:1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>
        <f>VLOOKUP(G1392,Sheet2!A:J,10,0)</f>
        <v>9</v>
      </c>
      <c r="J1392" s="13"/>
      <c r="K1392" s="13"/>
    </row>
    <row r="1393" spans="1:1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>
        <f>VLOOKUP(G1393,Sheet2!A:J,10,0)</f>
        <v>9</v>
      </c>
      <c r="J1393" s="13"/>
      <c r="K1393" s="13"/>
    </row>
    <row r="1394" spans="1:11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t="s">
        <v>317</v>
      </c>
      <c r="H1394" t="s">
        <v>319</v>
      </c>
      <c r="I1394" s="3">
        <f>VLOOKUP(G1394,Sheet2!A:J,10,0)</f>
        <v>9</v>
      </c>
      <c r="J1394" s="13"/>
      <c r="K1394" s="13">
        <v>46163</v>
      </c>
    </row>
    <row r="1395" spans="1:1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>
        <f>VLOOKUP(G1395,Sheet2!A:J,10,0)</f>
        <v>9</v>
      </c>
      <c r="J1395" s="13"/>
      <c r="K1395" s="13"/>
    </row>
    <row r="1396" spans="1:1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>
        <f>VLOOKUP(G1396,Sheet2!A:J,10,0)</f>
        <v>9</v>
      </c>
      <c r="J1396" s="13"/>
      <c r="K1396" s="13"/>
    </row>
    <row r="1397" spans="1:11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t="s">
        <v>317</v>
      </c>
      <c r="H1397" t="s">
        <v>319</v>
      </c>
      <c r="I1397" s="3">
        <f>VLOOKUP(G1397,Sheet2!A:J,10,0)</f>
        <v>9</v>
      </c>
      <c r="J1397" s="13"/>
      <c r="K1397" s="13">
        <v>46163</v>
      </c>
    </row>
    <row r="1398" spans="1:11">
      <c r="A1398" s="3" t="s">
        <v>661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46190.486250000002</v>
      </c>
      <c r="G1398" t="s">
        <v>369</v>
      </c>
      <c r="H1398" t="s">
        <v>646</v>
      </c>
      <c r="I1398" s="3">
        <f>VLOOKUP(G1398,Sheet2!A:J,10,0)</f>
        <v>13</v>
      </c>
      <c r="J1398" s="13"/>
      <c r="K1398" s="13"/>
    </row>
    <row r="1399" spans="1:11">
      <c r="A1399" s="4" t="s">
        <v>662</v>
      </c>
      <c r="B1399" s="2" t="s">
        <v>9</v>
      </c>
      <c r="C1399" s="2" t="s">
        <v>10</v>
      </c>
      <c r="D1399" s="4" t="s">
        <v>7</v>
      </c>
      <c r="E1399" s="2" t="s">
        <v>11</v>
      </c>
      <c r="F1399" s="6">
        <v>46186.540613425925</v>
      </c>
      <c r="G1399" t="s">
        <v>369</v>
      </c>
      <c r="H1399" t="s">
        <v>646</v>
      </c>
      <c r="I1399" s="3">
        <f>VLOOKUP(G1399,Sheet2!A:J,10,0)</f>
        <v>13</v>
      </c>
      <c r="J1399" s="13"/>
      <c r="K1399" s="13"/>
    </row>
    <row r="1400" spans="1:1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VLOOKUP(G1400,Sheet2!A:J,10,0)</f>
        <v>13</v>
      </c>
      <c r="J1400" s="13"/>
      <c r="K1400" s="13"/>
    </row>
    <row r="1401" spans="1:11">
      <c r="A1401" s="4" t="s">
        <v>664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46190.636469907404</v>
      </c>
      <c r="G1401" t="s">
        <v>369</v>
      </c>
      <c r="H1401" t="s">
        <v>646</v>
      </c>
      <c r="I1401" s="3">
        <f>VLOOKUP(G1401,Sheet2!A:J,10,0)</f>
        <v>13</v>
      </c>
      <c r="J1401" s="13"/>
      <c r="K1401" s="13"/>
    </row>
    <row r="1402" spans="1:11">
      <c r="A1402" s="3" t="s">
        <v>665</v>
      </c>
      <c r="B1402" s="1" t="s">
        <v>6</v>
      </c>
      <c r="C1402" s="1" t="s">
        <v>6</v>
      </c>
      <c r="D1402" s="3" t="s">
        <v>7</v>
      </c>
      <c r="E1402" s="1" t="s">
        <v>8</v>
      </c>
      <c r="F1402" s="5">
        <v>46186.302187499998</v>
      </c>
      <c r="G1402" t="s">
        <v>369</v>
      </c>
      <c r="H1402" t="s">
        <v>646</v>
      </c>
      <c r="I1402" s="3">
        <f>VLOOKUP(G1402,Sheet2!A:J,10,0)</f>
        <v>13</v>
      </c>
      <c r="J1402" s="13"/>
      <c r="K1402" s="13"/>
    </row>
    <row r="1403" spans="1:11">
      <c r="A1403" s="4" t="s">
        <v>666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46195.419351851851</v>
      </c>
      <c r="G1403" t="s">
        <v>369</v>
      </c>
      <c r="H1403" t="s">
        <v>646</v>
      </c>
      <c r="I1403" s="3">
        <f>VLOOKUP(G1403,Sheet2!A:J,10,0)</f>
        <v>13</v>
      </c>
      <c r="J1403" s="13"/>
      <c r="K1403" s="13"/>
    </row>
    <row r="1404" spans="1:11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46190.62127314815</v>
      </c>
      <c r="G1404" t="s">
        <v>369</v>
      </c>
      <c r="H1404" t="s">
        <v>646</v>
      </c>
      <c r="I1404" s="3">
        <f>VLOOKUP(G1404,Sheet2!A:J,10,0)</f>
        <v>13</v>
      </c>
      <c r="J1404" s="13"/>
      <c r="K1404" s="13"/>
    </row>
    <row r="1405" spans="1:11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t="s">
        <v>369</v>
      </c>
      <c r="H1405" t="s">
        <v>646</v>
      </c>
      <c r="I1405" s="3">
        <f>VLOOKUP(G1405,Sheet2!A:J,10,0)</f>
        <v>13</v>
      </c>
      <c r="J1405" s="13"/>
      <c r="K1405" s="13"/>
    </row>
    <row r="1406" spans="1:11">
      <c r="A1406" s="3" t="s">
        <v>669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46190.473414351851</v>
      </c>
      <c r="G1406" t="s">
        <v>369</v>
      </c>
      <c r="H1406" t="s">
        <v>646</v>
      </c>
      <c r="I1406" s="3">
        <f>VLOOKUP(G1406,Sheet2!A:J,10,0)</f>
        <v>13</v>
      </c>
      <c r="J1406" s="13"/>
      <c r="K1406" s="13"/>
    </row>
    <row r="1407" spans="1:11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t="s">
        <v>369</v>
      </c>
      <c r="H1407" t="s">
        <v>646</v>
      </c>
      <c r="I1407" s="3">
        <f>VLOOKUP(G1407,Sheet2!A:J,10,0)</f>
        <v>13</v>
      </c>
      <c r="J1407" s="13"/>
      <c r="K1407" s="13"/>
    </row>
    <row r="1408" spans="1:11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t="s">
        <v>369</v>
      </c>
      <c r="H1408" t="s">
        <v>646</v>
      </c>
      <c r="I1408" s="3">
        <f>VLOOKUP(G1408,Sheet2!A:J,10,0)</f>
        <v>13</v>
      </c>
      <c r="J1408" s="13"/>
      <c r="K1408" s="13"/>
    </row>
    <row r="1409" spans="1:11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t="s">
        <v>369</v>
      </c>
      <c r="H1409" t="s">
        <v>646</v>
      </c>
      <c r="I1409" s="3">
        <f>VLOOKUP(G1409,Sheet2!A:J,10,0)</f>
        <v>13</v>
      </c>
      <c r="J1409" s="13"/>
      <c r="K1409" s="13"/>
    </row>
    <row r="1410" spans="1:11">
      <c r="A1410" s="3" t="s">
        <v>673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46190.559513888889</v>
      </c>
      <c r="G1410" t="s">
        <v>369</v>
      </c>
      <c r="H1410" t="s">
        <v>646</v>
      </c>
      <c r="I1410" s="3">
        <f>VLOOKUP(G1410,Sheet2!A:J,10,0)</f>
        <v>13</v>
      </c>
      <c r="J1410" s="13"/>
      <c r="K1410" s="13"/>
    </row>
    <row r="1411" spans="1:11">
      <c r="A1411" s="4" t="s">
        <v>674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46186.487557870372</v>
      </c>
      <c r="G1411" t="s">
        <v>369</v>
      </c>
      <c r="H1411" t="s">
        <v>646</v>
      </c>
      <c r="I1411" s="3">
        <f>VLOOKUP(G1411,Sheet2!A:J,10,0)</f>
        <v>13</v>
      </c>
      <c r="J1411" s="13"/>
      <c r="K1411" s="13"/>
    </row>
    <row r="1412" spans="1:1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VLOOKUP(G1412,Sheet2!A:J,10,0)</f>
        <v>13</v>
      </c>
      <c r="J1412" s="13"/>
      <c r="K1412" s="13"/>
    </row>
    <row r="1413" spans="1:11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t="s">
        <v>369</v>
      </c>
      <c r="H1413" t="s">
        <v>646</v>
      </c>
      <c r="I1413" s="3">
        <f>VLOOKUP(G1413,Sheet2!A:J,10,0)</f>
        <v>13</v>
      </c>
      <c r="J1413" s="13"/>
      <c r="K1413" s="13"/>
    </row>
    <row r="1414" spans="1:1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VLOOKUP(G1414,Sheet2!A:J,10,0)</f>
        <v>13</v>
      </c>
      <c r="J1414" s="13"/>
      <c r="K1414" s="13"/>
    </row>
    <row r="1415" spans="1:11">
      <c r="A1415" s="4" t="s">
        <v>678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46189.580752314818</v>
      </c>
      <c r="G1415" t="s">
        <v>369</v>
      </c>
      <c r="H1415" t="s">
        <v>646</v>
      </c>
      <c r="I1415" s="3">
        <f>VLOOKUP(G1415,Sheet2!A:J,10,0)</f>
        <v>13</v>
      </c>
      <c r="J1415" s="13"/>
      <c r="K1415" s="13"/>
    </row>
    <row r="1416" spans="1:1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VLOOKUP(G1416,Sheet2!A:J,10,0)</f>
        <v>13</v>
      </c>
      <c r="J1416" s="13"/>
      <c r="K1416" s="13"/>
    </row>
    <row r="1417" spans="1:11">
      <c r="A1417" s="4" t="s">
        <v>680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46190.610995370371</v>
      </c>
      <c r="G1417" t="s">
        <v>369</v>
      </c>
      <c r="H1417" t="s">
        <v>646</v>
      </c>
      <c r="I1417" s="3">
        <f>VLOOKUP(G1417,Sheet2!A:J,10,0)</f>
        <v>13</v>
      </c>
      <c r="J1417" s="13"/>
      <c r="K1417" s="13"/>
    </row>
    <row r="1418" spans="1:11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t="s">
        <v>369</v>
      </c>
      <c r="H1418" t="s">
        <v>646</v>
      </c>
      <c r="I1418" s="3">
        <f>VLOOKUP(G1418,Sheet2!A:J,10,0)</f>
        <v>13</v>
      </c>
      <c r="J1418" s="13"/>
      <c r="K1418" s="13"/>
    </row>
    <row r="1419" spans="1:11">
      <c r="A1419" s="4" t="s">
        <v>682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46192.579317129632</v>
      </c>
      <c r="G1419" t="s">
        <v>369</v>
      </c>
      <c r="H1419" t="s">
        <v>646</v>
      </c>
      <c r="I1419" s="3">
        <f>VLOOKUP(G1419,Sheet2!A:J,10,0)</f>
        <v>13</v>
      </c>
      <c r="J1419" s="13"/>
      <c r="K1419" s="13"/>
    </row>
    <row r="1420" spans="1:11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t="s">
        <v>369</v>
      </c>
      <c r="H1420" t="s">
        <v>646</v>
      </c>
      <c r="I1420" s="3">
        <f>VLOOKUP(G1420,Sheet2!A:J,10,0)</f>
        <v>13</v>
      </c>
      <c r="J1420" s="13"/>
      <c r="K1420" s="13"/>
    </row>
    <row r="1421" spans="1:1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VLOOKUP(G1421,Sheet2!A:J,10,0)</f>
        <v>13</v>
      </c>
      <c r="J1421" s="13"/>
      <c r="K1421" s="13"/>
    </row>
    <row r="1422" spans="1:1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t="s">
        <v>369</v>
      </c>
      <c r="H1422" t="s">
        <v>646</v>
      </c>
      <c r="I1422" s="3">
        <f>VLOOKUP(G1422,Sheet2!A:J,10,0)</f>
        <v>13</v>
      </c>
      <c r="J1422" s="13"/>
      <c r="K1422" s="13"/>
    </row>
    <row r="1423" spans="1:11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t="s">
        <v>369</v>
      </c>
      <c r="H1423" t="s">
        <v>646</v>
      </c>
      <c r="I1423" s="3">
        <f>VLOOKUP(G1423,Sheet2!A:J,10,0)</f>
        <v>13</v>
      </c>
      <c r="J1423" s="13"/>
      <c r="K1423" s="13"/>
    </row>
    <row r="1424" spans="1:11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t="s">
        <v>369</v>
      </c>
      <c r="H1424" t="s">
        <v>646</v>
      </c>
      <c r="I1424" s="3">
        <f>VLOOKUP(G1424,Sheet2!A:J,10,0)</f>
        <v>13</v>
      </c>
      <c r="J1424" s="13"/>
      <c r="K1424" s="13"/>
    </row>
    <row r="1425" spans="1:11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VLOOKUP(G1425,Sheet2!A:J,10,0)</f>
        <v>13</v>
      </c>
      <c r="J1425" s="13"/>
      <c r="K1425" s="13"/>
    </row>
    <row r="1426" spans="1:11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t="s">
        <v>369</v>
      </c>
      <c r="H1426" t="s">
        <v>646</v>
      </c>
      <c r="I1426" s="3">
        <f>VLOOKUP(G1426,Sheet2!A:J,10,0)</f>
        <v>13</v>
      </c>
      <c r="J1426" s="13"/>
      <c r="K1426" s="13"/>
    </row>
    <row r="1427" spans="1:11">
      <c r="A1427" s="4" t="s">
        <v>690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46186.542557870373</v>
      </c>
      <c r="G1427" t="s">
        <v>369</v>
      </c>
      <c r="H1427" t="s">
        <v>646</v>
      </c>
      <c r="I1427" s="3">
        <f>VLOOKUP(G1427,Sheet2!A:J,10,0)</f>
        <v>13</v>
      </c>
      <c r="J1427" s="13"/>
      <c r="K1427" s="13"/>
    </row>
    <row r="1428" spans="1:11">
      <c r="A1428" s="3" t="s">
        <v>691</v>
      </c>
      <c r="B1428" s="1" t="s">
        <v>653</v>
      </c>
      <c r="C1428" s="1" t="s">
        <v>654</v>
      </c>
      <c r="D1428" s="3" t="s">
        <v>7</v>
      </c>
      <c r="E1428" s="1" t="s">
        <v>647</v>
      </c>
      <c r="F1428" s="5">
        <v>46195.39472222222</v>
      </c>
      <c r="G1428" t="s">
        <v>369</v>
      </c>
      <c r="H1428" t="s">
        <v>646</v>
      </c>
      <c r="I1428" s="3">
        <f>VLOOKUP(G1428,Sheet2!A:J,10,0)</f>
        <v>13</v>
      </c>
      <c r="J1428" s="13"/>
      <c r="K1428" s="13"/>
    </row>
    <row r="1429" spans="1:1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VLOOKUP(G1429,Sheet2!A:J,10,0)</f>
        <v>13</v>
      </c>
      <c r="J1429" s="13"/>
      <c r="K1429" s="13"/>
    </row>
    <row r="1430" spans="1:11">
      <c r="A1430" s="3" t="s">
        <v>693</v>
      </c>
      <c r="B1430" s="1" t="s">
        <v>653</v>
      </c>
      <c r="C1430" s="1" t="s">
        <v>654</v>
      </c>
      <c r="D1430" s="3" t="s">
        <v>7</v>
      </c>
      <c r="E1430" s="1" t="s">
        <v>647</v>
      </c>
      <c r="F1430" s="5">
        <v>46197.484282407408</v>
      </c>
      <c r="G1430" t="s">
        <v>369</v>
      </c>
      <c r="H1430" t="s">
        <v>646</v>
      </c>
      <c r="I1430" s="3">
        <f>VLOOKUP(G1430,Sheet2!A:J,10,0)</f>
        <v>13</v>
      </c>
      <c r="J1430" s="13"/>
      <c r="K1430" s="13"/>
    </row>
    <row r="1431" spans="1:11">
      <c r="A1431" s="4" t="s">
        <v>694</v>
      </c>
      <c r="B1431" s="2" t="s">
        <v>12</v>
      </c>
      <c r="C1431" s="2" t="s">
        <v>13</v>
      </c>
      <c r="D1431" s="4" t="s">
        <v>7</v>
      </c>
      <c r="E1431" s="2" t="s">
        <v>14</v>
      </c>
      <c r="F1431" s="6">
        <v>46188.492476851854</v>
      </c>
      <c r="G1431" t="s">
        <v>369</v>
      </c>
      <c r="H1431" t="s">
        <v>646</v>
      </c>
      <c r="I1431" s="3">
        <f>VLOOKUP(G1431,Sheet2!A:J,10,0)</f>
        <v>13</v>
      </c>
      <c r="J1431" s="13"/>
      <c r="K1431" s="13"/>
    </row>
    <row r="1432" spans="1:1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VLOOKUP(G1432,Sheet2!A:J,10,0)</f>
        <v>13</v>
      </c>
      <c r="J1432" s="13"/>
      <c r="K1432" s="13"/>
    </row>
    <row r="1433" spans="1:11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VLOOKUP(G1433,Sheet2!A:J,10,0)</f>
        <v>13</v>
      </c>
      <c r="J1433" s="13"/>
      <c r="K1433" s="13"/>
    </row>
    <row r="1434" spans="1:11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t="s">
        <v>369</v>
      </c>
      <c r="H1434" t="s">
        <v>646</v>
      </c>
      <c r="I1434" s="3">
        <f>VLOOKUP(G1434,Sheet2!A:J,10,0)</f>
        <v>13</v>
      </c>
      <c r="J1434" s="13"/>
      <c r="K1434" s="13"/>
    </row>
    <row r="1435" spans="1:1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VLOOKUP(G1435,Sheet2!A:J,10,0)</f>
        <v>13</v>
      </c>
      <c r="J1435" s="13"/>
      <c r="K1435" s="13"/>
    </row>
    <row r="1436" spans="1:1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VLOOKUP(G1436,Sheet2!A:J,10,0)</f>
        <v>13</v>
      </c>
      <c r="J1436" s="13"/>
      <c r="K1436" s="13"/>
    </row>
    <row r="1437" spans="1:11">
      <c r="A1437" s="4" t="s">
        <v>700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46196.577951388892</v>
      </c>
      <c r="G1437" t="s">
        <v>369</v>
      </c>
      <c r="H1437" t="s">
        <v>646</v>
      </c>
      <c r="I1437" s="3">
        <f>VLOOKUP(G1437,Sheet2!A:J,10,0)</f>
        <v>13</v>
      </c>
      <c r="J1437" s="13"/>
      <c r="K1437" s="13"/>
    </row>
    <row r="1438" spans="1:1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VLOOKUP(G1438,Sheet2!A:J,10,0)</f>
        <v>13</v>
      </c>
      <c r="J1438" s="13"/>
      <c r="K1438" s="13"/>
    </row>
    <row r="1439" spans="1:11">
      <c r="A1439" s="3" t="s">
        <v>1890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46190.25577546296</v>
      </c>
      <c r="G1439" t="s">
        <v>1880</v>
      </c>
      <c r="H1439" t="s">
        <v>1891</v>
      </c>
      <c r="I1439" s="3">
        <f>VLOOKUP(G1439,Sheet2!A:J,10,0)</f>
        <v>37</v>
      </c>
      <c r="J1439" s="13"/>
      <c r="K1439" s="13"/>
    </row>
    <row r="1440" spans="1:11">
      <c r="A1440" s="4" t="s">
        <v>1892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46190.25577546296</v>
      </c>
      <c r="G1440" t="s">
        <v>1880</v>
      </c>
      <c r="H1440" t="s">
        <v>1891</v>
      </c>
      <c r="I1440" s="3">
        <f>VLOOKUP(G1440,Sheet2!A:J,10,0)</f>
        <v>37</v>
      </c>
      <c r="J1440" s="13"/>
      <c r="K1440" s="13"/>
    </row>
    <row r="1441" spans="1:11">
      <c r="A1441" s="3" t="s">
        <v>1893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46190.25577546296</v>
      </c>
      <c r="G1441" t="s">
        <v>1880</v>
      </c>
      <c r="H1441" t="s">
        <v>1891</v>
      </c>
      <c r="I1441" s="3">
        <f>VLOOKUP(G1441,Sheet2!A:J,10,0)</f>
        <v>37</v>
      </c>
      <c r="J1441" s="13"/>
      <c r="K1441" s="13"/>
    </row>
    <row r="1442" spans="1:11">
      <c r="A1442" s="4" t="s">
        <v>1894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46190.25577546296</v>
      </c>
      <c r="G1442" t="s">
        <v>1880</v>
      </c>
      <c r="H1442" t="s">
        <v>1891</v>
      </c>
      <c r="I1442" s="3">
        <f>VLOOKUP(G1442,Sheet2!A:J,10,0)</f>
        <v>37</v>
      </c>
      <c r="J1442" s="13"/>
      <c r="K1442" s="13"/>
    </row>
    <row r="1443" spans="1:11">
      <c r="A1443" s="3" t="s">
        <v>1895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46190.25577546296</v>
      </c>
      <c r="G1443" t="s">
        <v>1880</v>
      </c>
      <c r="H1443" t="s">
        <v>1891</v>
      </c>
      <c r="I1443" s="3">
        <f>VLOOKUP(G1443,Sheet2!A:J,10,0)</f>
        <v>37</v>
      </c>
      <c r="J1443" s="13"/>
      <c r="K1443" s="13"/>
    </row>
    <row r="1444" spans="1:11">
      <c r="A1444" s="4" t="s">
        <v>1896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46190.25577546296</v>
      </c>
      <c r="G1444" t="s">
        <v>1880</v>
      </c>
      <c r="H1444" t="s">
        <v>1891</v>
      </c>
      <c r="I1444" s="3">
        <f>VLOOKUP(G1444,Sheet2!A:J,10,0)</f>
        <v>37</v>
      </c>
      <c r="J1444" s="13"/>
      <c r="K1444" s="13"/>
    </row>
    <row r="1445" spans="1:11">
      <c r="A1445" s="3" t="s">
        <v>1897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46190.25577546296</v>
      </c>
      <c r="G1445" t="s">
        <v>1880</v>
      </c>
      <c r="H1445" t="s">
        <v>1891</v>
      </c>
      <c r="I1445" s="3">
        <f>VLOOKUP(G1445,Sheet2!A:J,10,0)</f>
        <v>37</v>
      </c>
      <c r="J1445" s="13"/>
      <c r="K1445" s="13"/>
    </row>
    <row r="1446" spans="1:11">
      <c r="A1446" s="4" t="s">
        <v>1898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46190.25577546296</v>
      </c>
      <c r="G1446" t="s">
        <v>1880</v>
      </c>
      <c r="H1446" t="s">
        <v>1891</v>
      </c>
      <c r="I1446" s="3">
        <f>VLOOKUP(G1446,Sheet2!A:J,10,0)</f>
        <v>37</v>
      </c>
      <c r="J1446" s="13"/>
      <c r="K1446" s="13"/>
    </row>
    <row r="1447" spans="1:11">
      <c r="A1447" s="3" t="s">
        <v>1899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46190.25577546296</v>
      </c>
      <c r="G1447" t="s">
        <v>1880</v>
      </c>
      <c r="H1447" t="s">
        <v>1891</v>
      </c>
      <c r="I1447" s="3">
        <f>VLOOKUP(G1447,Sheet2!A:J,10,0)</f>
        <v>37</v>
      </c>
      <c r="J1447" s="13"/>
      <c r="K1447" s="13"/>
    </row>
    <row r="1448" spans="1:11">
      <c r="A1448" s="4" t="s">
        <v>1900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46190.25577546296</v>
      </c>
      <c r="G1448" t="s">
        <v>1880</v>
      </c>
      <c r="H1448" t="s">
        <v>1891</v>
      </c>
      <c r="I1448" s="3">
        <f>VLOOKUP(G1448,Sheet2!A:J,10,0)</f>
        <v>37</v>
      </c>
      <c r="J1448" s="13"/>
      <c r="K1448" s="13"/>
    </row>
    <row r="1449" spans="1:11">
      <c r="A1449" s="3" t="s">
        <v>1901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46190.25577546296</v>
      </c>
      <c r="G1449" t="s">
        <v>1880</v>
      </c>
      <c r="H1449" t="s">
        <v>1891</v>
      </c>
      <c r="I1449" s="3">
        <f>VLOOKUP(G1449,Sheet2!A:J,10,0)</f>
        <v>37</v>
      </c>
      <c r="J1449" s="13"/>
      <c r="K1449" s="13"/>
    </row>
    <row r="1450" spans="1:11">
      <c r="A1450" s="4" t="s">
        <v>1902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46190.25577546296</v>
      </c>
      <c r="G1450" t="s">
        <v>1880</v>
      </c>
      <c r="H1450" t="s">
        <v>1891</v>
      </c>
      <c r="I1450" s="3">
        <f>VLOOKUP(G1450,Sheet2!A:J,10,0)</f>
        <v>37</v>
      </c>
      <c r="J1450" s="13"/>
      <c r="K1450" s="13"/>
    </row>
    <row r="1451" spans="1:11">
      <c r="A1451" s="3" t="s">
        <v>1903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46190.25577546296</v>
      </c>
      <c r="G1451" t="s">
        <v>1880</v>
      </c>
      <c r="H1451" t="s">
        <v>1891</v>
      </c>
      <c r="I1451" s="3">
        <f>VLOOKUP(G1451,Sheet2!A:J,10,0)</f>
        <v>37</v>
      </c>
      <c r="J1451" s="13"/>
      <c r="K1451" s="13"/>
    </row>
    <row r="1452" spans="1:11">
      <c r="A1452" s="4" t="s">
        <v>1904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46190.25577546296</v>
      </c>
      <c r="G1452" t="s">
        <v>1880</v>
      </c>
      <c r="H1452" t="s">
        <v>1891</v>
      </c>
      <c r="I1452" s="3">
        <f>VLOOKUP(G1452,Sheet2!A:J,10,0)</f>
        <v>37</v>
      </c>
      <c r="J1452" s="13"/>
      <c r="K1452" s="13"/>
    </row>
    <row r="1453" spans="1:11">
      <c r="A1453" s="3" t="s">
        <v>1905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46190.25577546296</v>
      </c>
      <c r="G1453" t="s">
        <v>1880</v>
      </c>
      <c r="H1453" t="s">
        <v>1891</v>
      </c>
      <c r="I1453" s="3">
        <f>VLOOKUP(G1453,Sheet2!A:J,10,0)</f>
        <v>37</v>
      </c>
      <c r="J1453" s="13"/>
      <c r="K1453" s="13"/>
    </row>
    <row r="1454" spans="1:11">
      <c r="A1454" s="4" t="s">
        <v>1906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46190.25577546296</v>
      </c>
      <c r="G1454" t="s">
        <v>1880</v>
      </c>
      <c r="H1454" t="s">
        <v>1891</v>
      </c>
      <c r="I1454" s="3">
        <f>VLOOKUP(G1454,Sheet2!A:J,10,0)</f>
        <v>37</v>
      </c>
      <c r="J1454" s="13"/>
      <c r="K1454" s="13"/>
    </row>
    <row r="1455" spans="1:11">
      <c r="A1455" s="3" t="s">
        <v>1907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46190.25577546296</v>
      </c>
      <c r="G1455" t="s">
        <v>1880</v>
      </c>
      <c r="H1455" t="s">
        <v>1891</v>
      </c>
      <c r="I1455" s="3">
        <f>VLOOKUP(G1455,Sheet2!A:J,10,0)</f>
        <v>37</v>
      </c>
      <c r="J1455" s="13"/>
      <c r="K1455" s="13"/>
    </row>
    <row r="1456" spans="1:11">
      <c r="A1456" s="4" t="s">
        <v>1908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46190.25577546296</v>
      </c>
      <c r="G1456" t="s">
        <v>1880</v>
      </c>
      <c r="H1456" t="s">
        <v>1891</v>
      </c>
      <c r="I1456" s="3">
        <f>VLOOKUP(G1456,Sheet2!A:J,10,0)</f>
        <v>37</v>
      </c>
      <c r="J1456" s="13"/>
      <c r="K1456" s="13"/>
    </row>
    <row r="1457" spans="1:11">
      <c r="A1457" s="3" t="s">
        <v>1909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46190.25577546296</v>
      </c>
      <c r="G1457" t="s">
        <v>1880</v>
      </c>
      <c r="H1457" t="s">
        <v>1891</v>
      </c>
      <c r="I1457" s="3">
        <f>VLOOKUP(G1457,Sheet2!A:J,10,0)</f>
        <v>37</v>
      </c>
      <c r="J1457" s="13"/>
      <c r="K1457" s="13"/>
    </row>
    <row r="1458" spans="1:11">
      <c r="A1458" s="4" t="s">
        <v>1910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46190.25577546296</v>
      </c>
      <c r="G1458" t="s">
        <v>1880</v>
      </c>
      <c r="H1458" t="s">
        <v>1891</v>
      </c>
      <c r="I1458" s="3">
        <f>VLOOKUP(G1458,Sheet2!A:J,10,0)</f>
        <v>37</v>
      </c>
      <c r="J1458" s="13"/>
      <c r="K1458" s="13"/>
    </row>
    <row r="1459" spans="1:11">
      <c r="A1459" s="3" t="s">
        <v>1911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46190.25577546296</v>
      </c>
      <c r="G1459" t="s">
        <v>1880</v>
      </c>
      <c r="H1459" t="s">
        <v>1891</v>
      </c>
      <c r="I1459" s="3">
        <f>VLOOKUP(G1459,Sheet2!A:J,10,0)</f>
        <v>37</v>
      </c>
      <c r="J1459" s="13"/>
      <c r="K1459" s="13"/>
    </row>
    <row r="1460" spans="1:11">
      <c r="A1460" s="4" t="s">
        <v>1912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46190.25577546296</v>
      </c>
      <c r="G1460" t="s">
        <v>1880</v>
      </c>
      <c r="H1460" t="s">
        <v>1891</v>
      </c>
      <c r="I1460" s="3">
        <f>VLOOKUP(G1460,Sheet2!A:J,10,0)</f>
        <v>37</v>
      </c>
      <c r="J1460" s="13"/>
      <c r="K1460" s="13"/>
    </row>
    <row r="1461" spans="1:11">
      <c r="A1461" s="3" t="s">
        <v>1913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46190.25577546296</v>
      </c>
      <c r="G1461" t="s">
        <v>1880</v>
      </c>
      <c r="H1461" t="s">
        <v>1891</v>
      </c>
      <c r="I1461" s="3">
        <f>VLOOKUP(G1461,Sheet2!A:J,10,0)</f>
        <v>37</v>
      </c>
      <c r="J1461" s="13"/>
      <c r="K1461" s="13"/>
    </row>
    <row r="1462" spans="1:11">
      <c r="A1462" s="4" t="s">
        <v>1914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46190.25577546296</v>
      </c>
      <c r="G1462" t="s">
        <v>1880</v>
      </c>
      <c r="H1462" t="s">
        <v>1891</v>
      </c>
      <c r="I1462" s="3">
        <f>VLOOKUP(G1462,Sheet2!A:J,10,0)</f>
        <v>37</v>
      </c>
      <c r="J1462" s="13"/>
      <c r="K1462" s="13"/>
    </row>
    <row r="1463" spans="1:11">
      <c r="A1463" s="3" t="s">
        <v>1915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46190.25577546296</v>
      </c>
      <c r="G1463" t="s">
        <v>1880</v>
      </c>
      <c r="H1463" t="s">
        <v>1891</v>
      </c>
      <c r="I1463" s="3">
        <f>VLOOKUP(G1463,Sheet2!A:J,10,0)</f>
        <v>37</v>
      </c>
      <c r="J1463" s="13"/>
      <c r="K1463" s="13"/>
    </row>
    <row r="1464" spans="1:11">
      <c r="A1464" s="4" t="s">
        <v>1916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46190.25577546296</v>
      </c>
      <c r="G1464" t="s">
        <v>1880</v>
      </c>
      <c r="H1464" t="s">
        <v>1891</v>
      </c>
      <c r="I1464" s="3">
        <f>VLOOKUP(G1464,Sheet2!A:J,10,0)</f>
        <v>37</v>
      </c>
      <c r="J1464" s="13"/>
      <c r="K1464" s="13"/>
    </row>
    <row r="1465" spans="1:11">
      <c r="A1465" s="3" t="s">
        <v>1917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46190.25577546296</v>
      </c>
      <c r="G1465" t="s">
        <v>1880</v>
      </c>
      <c r="H1465" t="s">
        <v>1891</v>
      </c>
      <c r="I1465" s="3">
        <f>VLOOKUP(G1465,Sheet2!A:J,10,0)</f>
        <v>37</v>
      </c>
      <c r="J1465" s="13"/>
      <c r="K1465" s="13"/>
    </row>
    <row r="1466" spans="1:11">
      <c r="A1466" s="4" t="s">
        <v>1918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46190.25577546296</v>
      </c>
      <c r="G1466" t="s">
        <v>1880</v>
      </c>
      <c r="H1466" t="s">
        <v>1891</v>
      </c>
      <c r="I1466" s="3">
        <f>VLOOKUP(G1466,Sheet2!A:J,10,0)</f>
        <v>37</v>
      </c>
      <c r="J1466" s="13"/>
      <c r="K1466" s="13"/>
    </row>
    <row r="1467" spans="1:11">
      <c r="A1467" s="3" t="s">
        <v>1919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46190.25577546296</v>
      </c>
      <c r="G1467" t="s">
        <v>1880</v>
      </c>
      <c r="H1467" t="s">
        <v>1891</v>
      </c>
      <c r="I1467" s="3">
        <f>VLOOKUP(G1467,Sheet2!A:J,10,0)</f>
        <v>37</v>
      </c>
      <c r="J1467" s="13"/>
      <c r="K1467" s="13"/>
    </row>
    <row r="1468" spans="1:11">
      <c r="A1468" s="3" t="s">
        <v>1764</v>
      </c>
      <c r="B1468" s="1" t="s">
        <v>6</v>
      </c>
      <c r="C1468" s="1" t="s">
        <v>6</v>
      </c>
      <c r="D1468" s="3" t="s">
        <v>7</v>
      </c>
      <c r="E1468" s="1" t="s">
        <v>8</v>
      </c>
      <c r="F1468" s="5">
        <v>46197.592731481483</v>
      </c>
      <c r="G1468" t="s">
        <v>943</v>
      </c>
      <c r="H1468" t="s">
        <v>646</v>
      </c>
      <c r="I1468" s="3">
        <f>VLOOKUP(G1468,Sheet2!A:J,10,0)</f>
        <v>22</v>
      </c>
      <c r="J1468" s="13"/>
      <c r="K1468" s="13"/>
    </row>
    <row r="1469" spans="1:11">
      <c r="A1469" s="4" t="s">
        <v>1765</v>
      </c>
      <c r="B1469" s="2" t="s">
        <v>9</v>
      </c>
      <c r="C1469" s="2" t="s">
        <v>10</v>
      </c>
      <c r="D1469" s="4" t="s">
        <v>7</v>
      </c>
      <c r="E1469" s="2" t="s">
        <v>11</v>
      </c>
      <c r="F1469" s="6">
        <v>46197.317696759259</v>
      </c>
      <c r="G1469" t="s">
        <v>943</v>
      </c>
      <c r="H1469" t="s">
        <v>646</v>
      </c>
      <c r="I1469" s="3">
        <f>VLOOKUP(G1469,Sheet2!A:J,10,0)</f>
        <v>22</v>
      </c>
      <c r="J1469" s="13"/>
      <c r="K1469" s="13"/>
    </row>
    <row r="1470" spans="1:11">
      <c r="A1470" s="3" t="s">
        <v>1766</v>
      </c>
      <c r="B1470" s="1" t="s">
        <v>1657</v>
      </c>
      <c r="C1470" s="1" t="s">
        <v>1658</v>
      </c>
      <c r="D1470" s="3" t="s">
        <v>7</v>
      </c>
      <c r="E1470" s="1" t="s">
        <v>14</v>
      </c>
      <c r="F1470" s="5">
        <v>46192.401331018518</v>
      </c>
      <c r="G1470" t="s">
        <v>943</v>
      </c>
      <c r="H1470" t="s">
        <v>646</v>
      </c>
      <c r="I1470" s="3">
        <f>VLOOKUP(G1470,Sheet2!A:J,10,0)</f>
        <v>22</v>
      </c>
      <c r="J1470" s="13"/>
      <c r="K1470" s="13"/>
    </row>
    <row r="1471" spans="1:11">
      <c r="A1471" s="4" t="s">
        <v>1767</v>
      </c>
      <c r="B1471" s="2" t="s">
        <v>9</v>
      </c>
      <c r="C1471" s="2" t="s">
        <v>10</v>
      </c>
      <c r="D1471" s="4" t="s">
        <v>7</v>
      </c>
      <c r="E1471" s="2" t="s">
        <v>11</v>
      </c>
      <c r="F1471" s="6">
        <v>46196.740706018521</v>
      </c>
      <c r="G1471" t="s">
        <v>943</v>
      </c>
      <c r="H1471" t="s">
        <v>646</v>
      </c>
      <c r="I1471" s="3">
        <f>VLOOKUP(G1471,Sheet2!A:J,10,0)</f>
        <v>22</v>
      </c>
      <c r="J1471" s="13"/>
      <c r="K1471" s="13"/>
    </row>
    <row r="1472" spans="1:11">
      <c r="A1472" s="3" t="s">
        <v>1768</v>
      </c>
      <c r="B1472" s="1" t="s">
        <v>1657</v>
      </c>
      <c r="C1472" s="1" t="s">
        <v>1658</v>
      </c>
      <c r="D1472" s="3" t="s">
        <v>7</v>
      </c>
      <c r="E1472" s="1" t="s">
        <v>14</v>
      </c>
      <c r="F1472" s="5">
        <v>46196.578564814816</v>
      </c>
      <c r="G1472" t="s">
        <v>943</v>
      </c>
      <c r="H1472" t="s">
        <v>646</v>
      </c>
      <c r="I1472" s="3">
        <f>VLOOKUP(G1472,Sheet2!A:J,10,0)</f>
        <v>22</v>
      </c>
      <c r="J1472" s="13"/>
      <c r="K1472" s="13"/>
    </row>
    <row r="1473" spans="1:11">
      <c r="A1473" s="4" t="s">
        <v>1769</v>
      </c>
      <c r="B1473" s="2" t="s">
        <v>1657</v>
      </c>
      <c r="C1473" s="2" t="s">
        <v>1658</v>
      </c>
      <c r="D1473" s="4" t="s">
        <v>7</v>
      </c>
      <c r="E1473" s="2" t="s">
        <v>14</v>
      </c>
      <c r="F1473" s="6">
        <v>46196.476990740739</v>
      </c>
      <c r="G1473" t="s">
        <v>943</v>
      </c>
      <c r="H1473" t="s">
        <v>646</v>
      </c>
      <c r="I1473" s="3">
        <f>VLOOKUP(G1473,Sheet2!A:J,10,0)</f>
        <v>22</v>
      </c>
      <c r="J1473" s="13"/>
      <c r="K1473" s="13"/>
    </row>
    <row r="1474" spans="1:11">
      <c r="A1474" s="3" t="s">
        <v>1770</v>
      </c>
      <c r="B1474" s="1" t="s">
        <v>9</v>
      </c>
      <c r="C1474" s="1" t="s">
        <v>10</v>
      </c>
      <c r="D1474" s="3" t="s">
        <v>7</v>
      </c>
      <c r="E1474" s="1" t="s">
        <v>11</v>
      </c>
      <c r="F1474" s="5">
        <v>46196.562581018516</v>
      </c>
      <c r="G1474" t="s">
        <v>943</v>
      </c>
      <c r="H1474" t="s">
        <v>646</v>
      </c>
      <c r="I1474" s="3">
        <f>VLOOKUP(G1474,Sheet2!A:J,10,0)</f>
        <v>22</v>
      </c>
      <c r="J1474" s="13"/>
      <c r="K1474" s="13"/>
    </row>
    <row r="1475" spans="1:11">
      <c r="A1475" s="4" t="s">
        <v>1771</v>
      </c>
      <c r="B1475" s="2" t="s">
        <v>9</v>
      </c>
      <c r="C1475" s="2" t="s">
        <v>10</v>
      </c>
      <c r="D1475" s="4" t="s">
        <v>7</v>
      </c>
      <c r="E1475" s="2" t="s">
        <v>11</v>
      </c>
      <c r="F1475" s="6">
        <v>46196.646365740744</v>
      </c>
      <c r="G1475" t="s">
        <v>943</v>
      </c>
      <c r="H1475" t="s">
        <v>646</v>
      </c>
      <c r="I1475" s="3">
        <f>VLOOKUP(G1475,Sheet2!A:J,10,0)</f>
        <v>22</v>
      </c>
      <c r="J1475" s="13"/>
      <c r="K1475" s="13"/>
    </row>
    <row r="1476" spans="1:11">
      <c r="A1476" s="3" t="s">
        <v>1772</v>
      </c>
      <c r="B1476" s="1" t="s">
        <v>1657</v>
      </c>
      <c r="C1476" s="1" t="s">
        <v>1658</v>
      </c>
      <c r="D1476" s="3" t="s">
        <v>7</v>
      </c>
      <c r="E1476" s="1" t="s">
        <v>14</v>
      </c>
      <c r="F1476" s="5">
        <v>46192.393587962964</v>
      </c>
      <c r="G1476" t="s">
        <v>943</v>
      </c>
      <c r="H1476" t="s">
        <v>646</v>
      </c>
      <c r="I1476" s="3">
        <f>VLOOKUP(G1476,Sheet2!A:J,10,0)</f>
        <v>22</v>
      </c>
      <c r="J1476" s="13"/>
      <c r="K1476" s="13"/>
    </row>
    <row r="1477" spans="1:11">
      <c r="A1477" s="4" t="s">
        <v>1773</v>
      </c>
      <c r="B1477" s="2" t="s">
        <v>9</v>
      </c>
      <c r="C1477" s="2" t="s">
        <v>10</v>
      </c>
      <c r="D1477" s="4" t="s">
        <v>7</v>
      </c>
      <c r="E1477" s="2" t="s">
        <v>11</v>
      </c>
      <c r="F1477" s="6">
        <v>46196.774618055555</v>
      </c>
      <c r="G1477" t="s">
        <v>943</v>
      </c>
      <c r="H1477" t="s">
        <v>646</v>
      </c>
      <c r="I1477" s="3">
        <f>VLOOKUP(G1477,Sheet2!A:J,10,0)</f>
        <v>22</v>
      </c>
      <c r="J1477" s="13"/>
      <c r="K1477" s="13"/>
    </row>
    <row r="1478" spans="1:11">
      <c r="A1478" s="3" t="s">
        <v>1774</v>
      </c>
      <c r="B1478" s="1" t="s">
        <v>653</v>
      </c>
      <c r="C1478" s="1" t="s">
        <v>654</v>
      </c>
      <c r="D1478" s="3" t="s">
        <v>7</v>
      </c>
      <c r="E1478" s="1" t="s">
        <v>647</v>
      </c>
      <c r="F1478" s="5">
        <v>46197.35527777778</v>
      </c>
      <c r="G1478" t="s">
        <v>943</v>
      </c>
      <c r="H1478" t="s">
        <v>646</v>
      </c>
      <c r="I1478" s="3">
        <f>VLOOKUP(G1478,Sheet2!A:J,10,0)</f>
        <v>22</v>
      </c>
      <c r="J1478" s="13"/>
      <c r="K1478" s="13"/>
    </row>
    <row r="1479" spans="1:11">
      <c r="A1479" s="4" t="s">
        <v>1775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46197.587326388886</v>
      </c>
      <c r="G1479" t="s">
        <v>943</v>
      </c>
      <c r="H1479" t="s">
        <v>646</v>
      </c>
      <c r="I1479" s="3">
        <f>VLOOKUP(G1479,Sheet2!A:J,10,0)</f>
        <v>22</v>
      </c>
      <c r="J1479" s="13"/>
      <c r="K1479" s="13"/>
    </row>
    <row r="1480" spans="1:11">
      <c r="A1480" s="3" t="s">
        <v>1776</v>
      </c>
      <c r="B1480" s="1" t="s">
        <v>9</v>
      </c>
      <c r="C1480" s="1" t="s">
        <v>10</v>
      </c>
      <c r="D1480" s="3" t="s">
        <v>7</v>
      </c>
      <c r="E1480" s="1" t="s">
        <v>11</v>
      </c>
      <c r="F1480" s="5">
        <v>46196.628252314818</v>
      </c>
      <c r="G1480" t="s">
        <v>943</v>
      </c>
      <c r="H1480" t="s">
        <v>646</v>
      </c>
      <c r="I1480" s="3">
        <f>VLOOKUP(G1480,Sheet2!A:J,10,0)</f>
        <v>22</v>
      </c>
      <c r="J1480" s="13"/>
      <c r="K1480" s="13"/>
    </row>
    <row r="1481" spans="1:11">
      <c r="A1481" s="4" t="s">
        <v>1777</v>
      </c>
      <c r="B1481" s="2" t="s">
        <v>1657</v>
      </c>
      <c r="C1481" s="2" t="s">
        <v>1658</v>
      </c>
      <c r="D1481" s="4" t="s">
        <v>7</v>
      </c>
      <c r="E1481" s="2" t="s">
        <v>14</v>
      </c>
      <c r="F1481" s="6">
        <v>46198.304189814815</v>
      </c>
      <c r="G1481" t="s">
        <v>943</v>
      </c>
      <c r="H1481" t="s">
        <v>646</v>
      </c>
      <c r="I1481" s="3">
        <f>VLOOKUP(G1481,Sheet2!A:J,10,0)</f>
        <v>22</v>
      </c>
      <c r="J1481" s="13"/>
      <c r="K1481" s="13"/>
    </row>
    <row r="1482" spans="1:11">
      <c r="A1482" s="3" t="s">
        <v>1778</v>
      </c>
      <c r="B1482" s="1" t="s">
        <v>1657</v>
      </c>
      <c r="C1482" s="1" t="s">
        <v>1658</v>
      </c>
      <c r="D1482" s="3" t="s">
        <v>7</v>
      </c>
      <c r="E1482" s="1" t="s">
        <v>14</v>
      </c>
      <c r="F1482" s="5">
        <v>46197.510497685187</v>
      </c>
      <c r="G1482" t="s">
        <v>943</v>
      </c>
      <c r="H1482" t="s">
        <v>646</v>
      </c>
      <c r="I1482" s="3">
        <f>VLOOKUP(G1482,Sheet2!A:J,10,0)</f>
        <v>22</v>
      </c>
      <c r="J1482" s="13"/>
      <c r="K1482" s="13"/>
    </row>
    <row r="1483" spans="1:11">
      <c r="A1483" s="4" t="s">
        <v>1779</v>
      </c>
      <c r="B1483" s="2" t="s">
        <v>1657</v>
      </c>
      <c r="C1483" s="2" t="s">
        <v>1658</v>
      </c>
      <c r="D1483" s="4" t="s">
        <v>7</v>
      </c>
      <c r="E1483" s="2" t="s">
        <v>14</v>
      </c>
      <c r="F1483" s="6">
        <v>46197.600497685184</v>
      </c>
      <c r="G1483" t="s">
        <v>943</v>
      </c>
      <c r="H1483" t="s">
        <v>646</v>
      </c>
      <c r="I1483" s="3">
        <f>VLOOKUP(G1483,Sheet2!A:J,10,0)</f>
        <v>22</v>
      </c>
      <c r="J1483" s="13"/>
      <c r="K1483" s="13"/>
    </row>
    <row r="1484" spans="1:11">
      <c r="A1484" s="3" t="s">
        <v>1780</v>
      </c>
      <c r="B1484" s="1" t="s">
        <v>9</v>
      </c>
      <c r="C1484" s="1" t="s">
        <v>10</v>
      </c>
      <c r="D1484" s="3" t="s">
        <v>7</v>
      </c>
      <c r="E1484" s="1" t="s">
        <v>11</v>
      </c>
      <c r="F1484" s="5">
        <v>46196.899583333332</v>
      </c>
      <c r="G1484" t="s">
        <v>943</v>
      </c>
      <c r="H1484" t="s">
        <v>646</v>
      </c>
      <c r="I1484" s="3">
        <f>VLOOKUP(G1484,Sheet2!A:J,10,0)</f>
        <v>22</v>
      </c>
      <c r="J1484" s="13"/>
      <c r="K1484" s="13"/>
    </row>
    <row r="1485" spans="1:11">
      <c r="A1485" s="4" t="s">
        <v>1781</v>
      </c>
      <c r="B1485" s="2" t="s">
        <v>6</v>
      </c>
      <c r="C1485" s="2" t="s">
        <v>6</v>
      </c>
      <c r="D1485" s="4" t="s">
        <v>7</v>
      </c>
      <c r="E1485" s="2" t="s">
        <v>8</v>
      </c>
      <c r="F1485" s="6">
        <v>46197.588206018518</v>
      </c>
      <c r="G1485" t="s">
        <v>943</v>
      </c>
      <c r="H1485" t="s">
        <v>646</v>
      </c>
      <c r="I1485" s="3">
        <f>VLOOKUP(G1485,Sheet2!A:J,10,0)</f>
        <v>22</v>
      </c>
      <c r="J1485" s="13"/>
      <c r="K1485" s="13"/>
    </row>
    <row r="1486" spans="1:11">
      <c r="A1486" s="3" t="s">
        <v>1782</v>
      </c>
      <c r="B1486" s="1" t="s">
        <v>275</v>
      </c>
      <c r="C1486" s="1" t="s">
        <v>276</v>
      </c>
      <c r="D1486" s="3" t="s">
        <v>7</v>
      </c>
      <c r="E1486" s="1" t="s">
        <v>277</v>
      </c>
      <c r="F1486" s="5">
        <v>46196.718993055554</v>
      </c>
      <c r="G1486" t="s">
        <v>943</v>
      </c>
      <c r="H1486" t="s">
        <v>646</v>
      </c>
      <c r="I1486" s="3">
        <f>VLOOKUP(G1486,Sheet2!A:J,10,0)</f>
        <v>22</v>
      </c>
      <c r="J1486" s="13"/>
      <c r="K1486" s="13"/>
    </row>
    <row r="1487" spans="1:11">
      <c r="A1487" s="4" t="s">
        <v>1783</v>
      </c>
      <c r="B1487" s="2" t="s">
        <v>1657</v>
      </c>
      <c r="C1487" s="2" t="s">
        <v>1658</v>
      </c>
      <c r="D1487" s="4" t="s">
        <v>7</v>
      </c>
      <c r="E1487" s="2" t="s">
        <v>14</v>
      </c>
      <c r="F1487" s="6">
        <v>46197.400613425925</v>
      </c>
      <c r="G1487" t="s">
        <v>943</v>
      </c>
      <c r="H1487" t="s">
        <v>646</v>
      </c>
      <c r="I1487" s="3">
        <f>VLOOKUP(G1487,Sheet2!A:J,10,0)</f>
        <v>22</v>
      </c>
      <c r="J1487" s="13"/>
      <c r="K1487" s="13"/>
    </row>
    <row r="1488" spans="1:11">
      <c r="A1488" s="3" t="s">
        <v>1784</v>
      </c>
      <c r="B1488" s="1" t="s">
        <v>1657</v>
      </c>
      <c r="C1488" s="1" t="s">
        <v>1658</v>
      </c>
      <c r="D1488" s="3" t="s">
        <v>7</v>
      </c>
      <c r="E1488" s="1" t="s">
        <v>14</v>
      </c>
      <c r="F1488" s="5">
        <v>46192.384722222225</v>
      </c>
      <c r="G1488" t="s">
        <v>943</v>
      </c>
      <c r="H1488" t="s">
        <v>646</v>
      </c>
      <c r="I1488" s="3">
        <f>VLOOKUP(G1488,Sheet2!A:J,10,0)</f>
        <v>22</v>
      </c>
      <c r="J1488" s="13"/>
      <c r="K1488" s="13"/>
    </row>
    <row r="1489" spans="1:11">
      <c r="A1489" s="4" t="s">
        <v>1785</v>
      </c>
      <c r="B1489" s="2" t="s">
        <v>1657</v>
      </c>
      <c r="C1489" s="2" t="s">
        <v>1658</v>
      </c>
      <c r="D1489" s="4" t="s">
        <v>7</v>
      </c>
      <c r="E1489" s="2" t="s">
        <v>14</v>
      </c>
      <c r="F1489" s="6">
        <v>46197.481886574074</v>
      </c>
      <c r="G1489" t="s">
        <v>943</v>
      </c>
      <c r="H1489" t="s">
        <v>646</v>
      </c>
      <c r="I1489" s="3">
        <f>VLOOKUP(G1489,Sheet2!A:J,10,0)</f>
        <v>22</v>
      </c>
      <c r="J1489" s="13"/>
      <c r="K1489" s="13"/>
    </row>
    <row r="1490" spans="1:11">
      <c r="A1490" s="3" t="s">
        <v>1786</v>
      </c>
      <c r="B1490" s="1" t="s">
        <v>9</v>
      </c>
      <c r="C1490" s="1" t="s">
        <v>10</v>
      </c>
      <c r="D1490" s="3" t="s">
        <v>7</v>
      </c>
      <c r="E1490" s="1" t="s">
        <v>11</v>
      </c>
      <c r="F1490" s="5">
        <v>46198.327314814815</v>
      </c>
      <c r="G1490" t="s">
        <v>943</v>
      </c>
      <c r="H1490" t="s">
        <v>646</v>
      </c>
      <c r="I1490" s="3">
        <f>VLOOKUP(G1490,Sheet2!A:J,10,0)</f>
        <v>22</v>
      </c>
      <c r="J1490" s="13"/>
      <c r="K1490" s="13"/>
    </row>
    <row r="1491" spans="1:11">
      <c r="A1491" s="4" t="s">
        <v>1787</v>
      </c>
      <c r="B1491" s="2" t="s">
        <v>1657</v>
      </c>
      <c r="C1491" s="2" t="s">
        <v>1658</v>
      </c>
      <c r="D1491" s="4" t="s">
        <v>7</v>
      </c>
      <c r="E1491" s="2" t="s">
        <v>14</v>
      </c>
      <c r="F1491" s="6">
        <v>46198.294409722221</v>
      </c>
      <c r="G1491" t="s">
        <v>943</v>
      </c>
      <c r="H1491" t="s">
        <v>646</v>
      </c>
      <c r="I1491" s="3">
        <f>VLOOKUP(G1491,Sheet2!A:J,10,0)</f>
        <v>22</v>
      </c>
      <c r="J1491" s="13"/>
      <c r="K1491" s="13"/>
    </row>
    <row r="1492" spans="1:11">
      <c r="A1492" s="3" t="s">
        <v>1788</v>
      </c>
      <c r="B1492" s="1" t="s">
        <v>1657</v>
      </c>
      <c r="C1492" s="1" t="s">
        <v>1658</v>
      </c>
      <c r="D1492" s="3" t="s">
        <v>7</v>
      </c>
      <c r="E1492" s="1" t="s">
        <v>14</v>
      </c>
      <c r="F1492" s="5">
        <v>46196.497465277775</v>
      </c>
      <c r="G1492" t="s">
        <v>943</v>
      </c>
      <c r="H1492" t="s">
        <v>646</v>
      </c>
      <c r="I1492" s="3">
        <f>VLOOKUP(G1492,Sheet2!A:J,10,0)</f>
        <v>22</v>
      </c>
      <c r="J1492" s="13"/>
      <c r="K1492" s="13"/>
    </row>
    <row r="1493" spans="1:11">
      <c r="A1493" s="4" t="s">
        <v>1789</v>
      </c>
      <c r="B1493" s="2" t="s">
        <v>1657</v>
      </c>
      <c r="C1493" s="2" t="s">
        <v>1658</v>
      </c>
      <c r="D1493" s="4" t="s">
        <v>7</v>
      </c>
      <c r="E1493" s="2" t="s">
        <v>14</v>
      </c>
      <c r="F1493" s="6">
        <v>46197.419768518521</v>
      </c>
      <c r="G1493" t="s">
        <v>943</v>
      </c>
      <c r="H1493" t="s">
        <v>646</v>
      </c>
      <c r="I1493" s="3">
        <f>VLOOKUP(G1493,Sheet2!A:J,10,0)</f>
        <v>22</v>
      </c>
      <c r="J1493" s="13"/>
      <c r="K1493" s="13"/>
    </row>
    <row r="1494" spans="1:11">
      <c r="A1494" s="3" t="s">
        <v>1790</v>
      </c>
      <c r="B1494" s="1" t="s">
        <v>9</v>
      </c>
      <c r="C1494" s="1" t="s">
        <v>10</v>
      </c>
      <c r="D1494" s="3" t="s">
        <v>7</v>
      </c>
      <c r="E1494" s="1" t="s">
        <v>11</v>
      </c>
      <c r="F1494" s="5">
        <v>46197.372997685183</v>
      </c>
      <c r="G1494" t="s">
        <v>943</v>
      </c>
      <c r="H1494" t="s">
        <v>646</v>
      </c>
      <c r="I1494" s="3">
        <f>VLOOKUP(G1494,Sheet2!A:J,10,0)</f>
        <v>22</v>
      </c>
      <c r="J1494" s="13"/>
      <c r="K1494" s="13"/>
    </row>
    <row r="1495" spans="1:11">
      <c r="A1495" s="4" t="s">
        <v>1791</v>
      </c>
      <c r="B1495" s="2" t="s">
        <v>9</v>
      </c>
      <c r="C1495" s="2" t="s">
        <v>10</v>
      </c>
      <c r="D1495" s="4" t="s">
        <v>7</v>
      </c>
      <c r="E1495" s="2" t="s">
        <v>11</v>
      </c>
      <c r="F1495" s="6">
        <v>46197.401967592596</v>
      </c>
      <c r="G1495" t="s">
        <v>943</v>
      </c>
      <c r="H1495" t="s">
        <v>646</v>
      </c>
      <c r="I1495" s="3">
        <f>VLOOKUP(G1495,Sheet2!A:J,10,0)</f>
        <v>22</v>
      </c>
      <c r="J1495" s="13"/>
      <c r="K1495" s="13"/>
    </row>
    <row r="1496" spans="1:11">
      <c r="A1496" s="3" t="s">
        <v>1792</v>
      </c>
      <c r="B1496" s="1" t="s">
        <v>9</v>
      </c>
      <c r="C1496" s="1" t="s">
        <v>10</v>
      </c>
      <c r="D1496" s="3" t="s">
        <v>7</v>
      </c>
      <c r="E1496" s="1" t="s">
        <v>11</v>
      </c>
      <c r="F1496" s="5">
        <v>46196.810532407406</v>
      </c>
      <c r="G1496" t="s">
        <v>943</v>
      </c>
      <c r="H1496" t="s">
        <v>646</v>
      </c>
      <c r="I1496" s="3">
        <f>VLOOKUP(G1496,Sheet2!A:J,10,0)</f>
        <v>22</v>
      </c>
      <c r="J1496" s="13"/>
      <c r="K1496" s="13"/>
    </row>
    <row r="1497" spans="1:11">
      <c r="A1497" s="4" t="s">
        <v>1793</v>
      </c>
      <c r="B1497" s="2" t="s">
        <v>9</v>
      </c>
      <c r="C1497" s="2" t="s">
        <v>10</v>
      </c>
      <c r="D1497" s="4" t="s">
        <v>7</v>
      </c>
      <c r="E1497" s="2" t="s">
        <v>11</v>
      </c>
      <c r="F1497" s="6">
        <v>46196.91978009259</v>
      </c>
      <c r="G1497" t="s">
        <v>943</v>
      </c>
      <c r="H1497" t="s">
        <v>646</v>
      </c>
      <c r="I1497" s="3">
        <f>VLOOKUP(G1497,Sheet2!A:J,10,0)</f>
        <v>22</v>
      </c>
      <c r="J1497" s="13"/>
      <c r="K1497" s="13"/>
    </row>
    <row r="1498" spans="1:11">
      <c r="A1498" s="3" t="s">
        <v>1794</v>
      </c>
      <c r="B1498" s="1" t="s">
        <v>9</v>
      </c>
      <c r="C1498" s="1" t="s">
        <v>10</v>
      </c>
      <c r="D1498" s="3" t="s">
        <v>7</v>
      </c>
      <c r="E1498" s="1" t="s">
        <v>11</v>
      </c>
      <c r="F1498" s="5">
        <v>46197.29760416667</v>
      </c>
      <c r="G1498" t="s">
        <v>943</v>
      </c>
      <c r="H1498" t="s">
        <v>646</v>
      </c>
      <c r="I1498" s="3">
        <f>VLOOKUP(G1498,Sheet2!A:J,10,0)</f>
        <v>22</v>
      </c>
      <c r="J1498" s="13"/>
      <c r="K1498" s="13"/>
    </row>
    <row r="1499" spans="1:11">
      <c r="A1499" s="4" t="s">
        <v>1795</v>
      </c>
      <c r="B1499" s="2" t="s">
        <v>1657</v>
      </c>
      <c r="C1499" s="2" t="s">
        <v>1658</v>
      </c>
      <c r="D1499" s="4" t="s">
        <v>7</v>
      </c>
      <c r="E1499" s="2" t="s">
        <v>14</v>
      </c>
      <c r="F1499" s="6">
        <v>46192.35601851852</v>
      </c>
      <c r="G1499" t="s">
        <v>943</v>
      </c>
      <c r="H1499" t="s">
        <v>646</v>
      </c>
      <c r="I1499" s="3">
        <f>VLOOKUP(G1499,Sheet2!A:J,10,0)</f>
        <v>22</v>
      </c>
      <c r="J1499" s="13"/>
      <c r="K1499" s="13"/>
    </row>
    <row r="1500" spans="1:11">
      <c r="A1500" s="3" t="s">
        <v>1796</v>
      </c>
      <c r="B1500" s="1" t="s">
        <v>1657</v>
      </c>
      <c r="C1500" s="1" t="s">
        <v>1658</v>
      </c>
      <c r="D1500" s="3" t="s">
        <v>7</v>
      </c>
      <c r="E1500" s="1" t="s">
        <v>14</v>
      </c>
      <c r="F1500" s="5">
        <v>46188.881064814814</v>
      </c>
      <c r="G1500" t="s">
        <v>943</v>
      </c>
      <c r="H1500" t="s">
        <v>646</v>
      </c>
      <c r="I1500" s="3">
        <f>VLOOKUP(G1500,Sheet2!A:J,10,0)</f>
        <v>22</v>
      </c>
      <c r="J1500" s="13"/>
      <c r="K1500" s="13"/>
    </row>
    <row r="1501" spans="1:11">
      <c r="A1501" s="4" t="s">
        <v>1797</v>
      </c>
      <c r="B1501" s="2" t="s">
        <v>1657</v>
      </c>
      <c r="C1501" s="2" t="s">
        <v>1658</v>
      </c>
      <c r="D1501" s="4" t="s">
        <v>7</v>
      </c>
      <c r="E1501" s="2" t="s">
        <v>14</v>
      </c>
      <c r="F1501" s="6">
        <v>46188.914085648146</v>
      </c>
      <c r="G1501" t="s">
        <v>943</v>
      </c>
      <c r="H1501" t="s">
        <v>646</v>
      </c>
      <c r="I1501" s="3">
        <f>VLOOKUP(G1501,Sheet2!A:J,10,0)</f>
        <v>22</v>
      </c>
      <c r="J1501" s="13"/>
      <c r="K1501" s="13"/>
    </row>
    <row r="1502" spans="1:11">
      <c r="A1502" s="3" t="s">
        <v>1798</v>
      </c>
      <c r="B1502" s="1" t="s">
        <v>1657</v>
      </c>
      <c r="C1502" s="1" t="s">
        <v>1658</v>
      </c>
      <c r="D1502" s="3" t="s">
        <v>7</v>
      </c>
      <c r="E1502" s="1" t="s">
        <v>14</v>
      </c>
      <c r="F1502" s="5">
        <v>46197.423842592594</v>
      </c>
      <c r="G1502" t="s">
        <v>943</v>
      </c>
      <c r="H1502" t="s">
        <v>646</v>
      </c>
      <c r="I1502" s="3">
        <f>VLOOKUP(G1502,Sheet2!A:J,10,0)</f>
        <v>22</v>
      </c>
      <c r="J1502" s="13"/>
      <c r="K1502" s="13"/>
    </row>
    <row r="1503" spans="1:11">
      <c r="A1503" s="4" t="s">
        <v>1799</v>
      </c>
      <c r="B1503" s="2" t="s">
        <v>1657</v>
      </c>
      <c r="C1503" s="2" t="s">
        <v>1658</v>
      </c>
      <c r="D1503" s="4" t="s">
        <v>7</v>
      </c>
      <c r="E1503" s="2" t="s">
        <v>14</v>
      </c>
      <c r="F1503" s="6">
        <v>46196.423460648148</v>
      </c>
      <c r="G1503" t="s">
        <v>943</v>
      </c>
      <c r="H1503" t="s">
        <v>646</v>
      </c>
      <c r="I1503" s="3">
        <f>VLOOKUP(G1503,Sheet2!A:J,10,0)</f>
        <v>22</v>
      </c>
      <c r="J1503" s="13"/>
      <c r="K1503" s="13"/>
    </row>
    <row r="1504" spans="1:11">
      <c r="A1504" s="3" t="s">
        <v>1800</v>
      </c>
      <c r="B1504" s="1" t="s">
        <v>12</v>
      </c>
      <c r="C1504" s="1" t="s">
        <v>13</v>
      </c>
      <c r="D1504" s="3" t="s">
        <v>7</v>
      </c>
      <c r="E1504" s="1" t="s">
        <v>14</v>
      </c>
      <c r="F1504" s="5">
        <v>46196.446226851855</v>
      </c>
      <c r="G1504" t="s">
        <v>943</v>
      </c>
      <c r="H1504" t="s">
        <v>646</v>
      </c>
      <c r="I1504" s="3">
        <f>VLOOKUP(G1504,Sheet2!A:J,10,0)</f>
        <v>22</v>
      </c>
      <c r="J1504" s="13"/>
      <c r="K1504" s="13"/>
    </row>
    <row r="1505" spans="1:11">
      <c r="A1505" s="4" t="s">
        <v>1801</v>
      </c>
      <c r="B1505" s="2" t="s">
        <v>1657</v>
      </c>
      <c r="C1505" s="2" t="s">
        <v>1658</v>
      </c>
      <c r="D1505" s="4" t="s">
        <v>7</v>
      </c>
      <c r="E1505" s="2" t="s">
        <v>14</v>
      </c>
      <c r="F1505" s="6">
        <v>46196.609780092593</v>
      </c>
      <c r="G1505" t="s">
        <v>943</v>
      </c>
      <c r="H1505" t="s">
        <v>646</v>
      </c>
      <c r="I1505" s="3">
        <f>VLOOKUP(G1505,Sheet2!A:J,10,0)</f>
        <v>22</v>
      </c>
      <c r="J1505" s="13"/>
      <c r="K1505" s="13"/>
    </row>
    <row r="1506" spans="1:11">
      <c r="A1506" s="3" t="s">
        <v>1802</v>
      </c>
      <c r="B1506" s="1" t="s">
        <v>1657</v>
      </c>
      <c r="C1506" s="1" t="s">
        <v>1658</v>
      </c>
      <c r="D1506" s="3" t="s">
        <v>7</v>
      </c>
      <c r="E1506" s="1" t="s">
        <v>14</v>
      </c>
      <c r="F1506" s="5">
        <v>46197.374641203707</v>
      </c>
      <c r="G1506" t="s">
        <v>943</v>
      </c>
      <c r="H1506" t="s">
        <v>646</v>
      </c>
      <c r="I1506" s="3">
        <f>VLOOKUP(G1506,Sheet2!A:J,10,0)</f>
        <v>22</v>
      </c>
      <c r="J1506" s="13"/>
      <c r="K1506" s="13"/>
    </row>
    <row r="1507" spans="1:11">
      <c r="A1507" s="4" t="s">
        <v>1803</v>
      </c>
      <c r="B1507" s="2" t="s">
        <v>1657</v>
      </c>
      <c r="C1507" s="2" t="s">
        <v>1658</v>
      </c>
      <c r="D1507" s="4" t="s">
        <v>7</v>
      </c>
      <c r="E1507" s="2" t="s">
        <v>14</v>
      </c>
      <c r="F1507" s="6">
        <v>46197.313946759263</v>
      </c>
      <c r="G1507" t="s">
        <v>943</v>
      </c>
      <c r="H1507" t="s">
        <v>646</v>
      </c>
      <c r="I1507" s="3">
        <f>VLOOKUP(G1507,Sheet2!A:J,10,0)</f>
        <v>22</v>
      </c>
      <c r="J1507" s="13"/>
      <c r="K1507" s="13"/>
    </row>
    <row r="1508" spans="1:11">
      <c r="A1508" s="3" t="s">
        <v>1804</v>
      </c>
      <c r="B1508" s="1" t="s">
        <v>1657</v>
      </c>
      <c r="C1508" s="1" t="s">
        <v>1658</v>
      </c>
      <c r="D1508" s="3" t="s">
        <v>7</v>
      </c>
      <c r="E1508" s="1" t="s">
        <v>14</v>
      </c>
      <c r="F1508" s="5">
        <v>46195.400416666664</v>
      </c>
      <c r="G1508" t="s">
        <v>943</v>
      </c>
      <c r="H1508" t="s">
        <v>646</v>
      </c>
      <c r="I1508" s="3">
        <f>VLOOKUP(G1508,Sheet2!A:J,10,0)</f>
        <v>22</v>
      </c>
      <c r="J1508" s="13"/>
      <c r="K1508" s="13"/>
    </row>
    <row r="1509" spans="1:11">
      <c r="A1509" s="4" t="s">
        <v>1805</v>
      </c>
      <c r="B1509" s="2" t="s">
        <v>1657</v>
      </c>
      <c r="C1509" s="2" t="s">
        <v>1658</v>
      </c>
      <c r="D1509" s="4" t="s">
        <v>7</v>
      </c>
      <c r="E1509" s="2" t="s">
        <v>14</v>
      </c>
      <c r="F1509" s="6">
        <v>46196.563969907409</v>
      </c>
      <c r="G1509" t="s">
        <v>943</v>
      </c>
      <c r="H1509" t="s">
        <v>646</v>
      </c>
      <c r="I1509" s="3">
        <f>VLOOKUP(G1509,Sheet2!A:J,10,0)</f>
        <v>22</v>
      </c>
      <c r="J1509" s="13"/>
      <c r="K1509" s="13"/>
    </row>
    <row r="1510" spans="1:11">
      <c r="A1510" s="3" t="s">
        <v>1806</v>
      </c>
      <c r="B1510" s="1" t="s">
        <v>1657</v>
      </c>
      <c r="C1510" s="1" t="s">
        <v>1658</v>
      </c>
      <c r="D1510" s="3" t="s">
        <v>7</v>
      </c>
      <c r="E1510" s="1" t="s">
        <v>14</v>
      </c>
      <c r="F1510" s="5">
        <v>46197.584664351853</v>
      </c>
      <c r="G1510" t="s">
        <v>943</v>
      </c>
      <c r="H1510" t="s">
        <v>646</v>
      </c>
      <c r="I1510" s="3">
        <f>VLOOKUP(G1510,Sheet2!A:J,10,0)</f>
        <v>22</v>
      </c>
      <c r="J1510" s="13"/>
      <c r="K1510" s="13"/>
    </row>
    <row r="1511" spans="1:11">
      <c r="A1511" s="4" t="s">
        <v>1807</v>
      </c>
      <c r="B1511" s="2" t="s">
        <v>6</v>
      </c>
      <c r="C1511" s="2" t="s">
        <v>6</v>
      </c>
      <c r="D1511" s="4" t="s">
        <v>7</v>
      </c>
      <c r="E1511" s="2" t="s">
        <v>8</v>
      </c>
      <c r="F1511" s="6">
        <v>46196.663368055553</v>
      </c>
      <c r="G1511" t="s">
        <v>943</v>
      </c>
      <c r="H1511" t="s">
        <v>646</v>
      </c>
      <c r="I1511" s="3">
        <f>VLOOKUP(G1511,Sheet2!A:J,10,0)</f>
        <v>22</v>
      </c>
      <c r="J1511" s="13"/>
      <c r="K1511" s="13"/>
    </row>
    <row r="1512" spans="1:11">
      <c r="A1512" s="3" t="s">
        <v>1808</v>
      </c>
      <c r="B1512" s="1" t="s">
        <v>1657</v>
      </c>
      <c r="C1512" s="1" t="s">
        <v>1658</v>
      </c>
      <c r="D1512" s="3" t="s">
        <v>7</v>
      </c>
      <c r="E1512" s="1" t="s">
        <v>14</v>
      </c>
      <c r="F1512" s="5">
        <v>46196.507418981484</v>
      </c>
      <c r="G1512" t="s">
        <v>943</v>
      </c>
      <c r="H1512" t="s">
        <v>646</v>
      </c>
      <c r="I1512" s="3">
        <f>VLOOKUP(G1512,Sheet2!A:J,10,0)</f>
        <v>22</v>
      </c>
      <c r="J1512" s="13"/>
      <c r="K1512" s="13"/>
    </row>
    <row r="1513" spans="1:11">
      <c r="A1513" s="4" t="s">
        <v>1809</v>
      </c>
      <c r="B1513" s="2" t="s">
        <v>1657</v>
      </c>
      <c r="C1513" s="2" t="s">
        <v>1658</v>
      </c>
      <c r="D1513" s="4" t="s">
        <v>7</v>
      </c>
      <c r="E1513" s="2" t="s">
        <v>14</v>
      </c>
      <c r="F1513" s="6">
        <v>46197.469861111109</v>
      </c>
      <c r="G1513" t="s">
        <v>943</v>
      </c>
      <c r="H1513" t="s">
        <v>646</v>
      </c>
      <c r="I1513" s="3">
        <f>VLOOKUP(G1513,Sheet2!A:J,10,0)</f>
        <v>22</v>
      </c>
      <c r="J1513" s="13"/>
      <c r="K1513" s="13"/>
    </row>
    <row r="1514" spans="1:11">
      <c r="A1514" s="3" t="s">
        <v>1810</v>
      </c>
      <c r="B1514" s="1" t="s">
        <v>1657</v>
      </c>
      <c r="C1514" s="1" t="s">
        <v>1658</v>
      </c>
      <c r="D1514" s="3" t="s">
        <v>7</v>
      </c>
      <c r="E1514" s="1" t="s">
        <v>14</v>
      </c>
      <c r="F1514" s="5">
        <v>46196.405624999999</v>
      </c>
      <c r="G1514" t="s">
        <v>943</v>
      </c>
      <c r="H1514" t="s">
        <v>646</v>
      </c>
      <c r="I1514" s="3">
        <f>VLOOKUP(G1514,Sheet2!A:J,10,0)</f>
        <v>22</v>
      </c>
      <c r="J1514" s="13"/>
      <c r="K1514" s="13"/>
    </row>
    <row r="1515" spans="1:11">
      <c r="A1515" s="3" t="s">
        <v>123</v>
      </c>
      <c r="B1515" s="1" t="s">
        <v>98</v>
      </c>
      <c r="C1515" s="1" t="s">
        <v>99</v>
      </c>
      <c r="D1515" s="3" t="s">
        <v>7</v>
      </c>
      <c r="E1515" s="1" t="s">
        <v>100</v>
      </c>
      <c r="F1515" s="5">
        <v>46085.504027777781</v>
      </c>
      <c r="G1515" t="s">
        <v>147</v>
      </c>
      <c r="H1515" t="s">
        <v>153</v>
      </c>
      <c r="I1515" s="3">
        <f>VLOOKUP(G1515,Sheet2!A:J,10,0)</f>
        <v>4</v>
      </c>
      <c r="J1515" s="13"/>
      <c r="K1515" s="13">
        <v>46065</v>
      </c>
    </row>
    <row r="1516" spans="1:11">
      <c r="A1516" s="4" t="s">
        <v>124</v>
      </c>
      <c r="B1516" s="2" t="s">
        <v>98</v>
      </c>
      <c r="C1516" s="2" t="s">
        <v>99</v>
      </c>
      <c r="D1516" s="4" t="s">
        <v>7</v>
      </c>
      <c r="E1516" s="2" t="s">
        <v>100</v>
      </c>
      <c r="F1516" s="6">
        <v>46084.566979166666</v>
      </c>
      <c r="G1516" t="s">
        <v>147</v>
      </c>
      <c r="H1516" t="s">
        <v>153</v>
      </c>
      <c r="I1516" s="3">
        <f>VLOOKUP(G1516,Sheet2!A:J,10,0)</f>
        <v>4</v>
      </c>
      <c r="J1516" s="13"/>
      <c r="K1516" s="13">
        <v>46077</v>
      </c>
    </row>
    <row r="1517" spans="1:11">
      <c r="A1517" s="3" t="s">
        <v>125</v>
      </c>
      <c r="B1517" s="1" t="s">
        <v>98</v>
      </c>
      <c r="C1517" s="1" t="s">
        <v>99</v>
      </c>
      <c r="D1517" s="3" t="s">
        <v>7</v>
      </c>
      <c r="E1517" s="1" t="s">
        <v>100</v>
      </c>
      <c r="F1517" s="5">
        <v>46098.269861111112</v>
      </c>
      <c r="G1517" t="s">
        <v>147</v>
      </c>
      <c r="H1517" t="s">
        <v>153</v>
      </c>
      <c r="I1517" s="3">
        <f>VLOOKUP(G1517,Sheet2!A:J,10,0)</f>
        <v>4</v>
      </c>
      <c r="J1517" s="13"/>
      <c r="K1517" s="13">
        <v>46066</v>
      </c>
    </row>
    <row r="1518" spans="1:11">
      <c r="A1518" s="4" t="s">
        <v>126</v>
      </c>
      <c r="B1518" s="2" t="s">
        <v>98</v>
      </c>
      <c r="C1518" s="2" t="s">
        <v>99</v>
      </c>
      <c r="D1518" s="4" t="s">
        <v>7</v>
      </c>
      <c r="E1518" s="2" t="s">
        <v>100</v>
      </c>
      <c r="F1518" s="6">
        <v>46098.415717592594</v>
      </c>
      <c r="G1518" t="s">
        <v>147</v>
      </c>
      <c r="H1518" t="s">
        <v>153</v>
      </c>
      <c r="I1518" s="3">
        <f>VLOOKUP(G1518,Sheet2!A:J,10,0)</f>
        <v>4</v>
      </c>
      <c r="J1518" s="13"/>
      <c r="K1518" s="13">
        <v>46066</v>
      </c>
    </row>
    <row r="1519" spans="1:11">
      <c r="A1519" s="3" t="s">
        <v>127</v>
      </c>
      <c r="B1519" s="1" t="s">
        <v>98</v>
      </c>
      <c r="C1519" s="1" t="s">
        <v>99</v>
      </c>
      <c r="D1519" s="3" t="s">
        <v>7</v>
      </c>
      <c r="E1519" s="1" t="s">
        <v>100</v>
      </c>
      <c r="F1519" s="5">
        <v>46085.320393518516</v>
      </c>
      <c r="G1519" t="s">
        <v>147</v>
      </c>
      <c r="H1519" t="s">
        <v>153</v>
      </c>
      <c r="I1519" s="3">
        <f>VLOOKUP(G1519,Sheet2!A:J,10,0)</f>
        <v>4</v>
      </c>
      <c r="J1519" s="13"/>
      <c r="K1519" s="13">
        <v>46066</v>
      </c>
    </row>
    <row r="1520" spans="1:11">
      <c r="A1520" s="4" t="s">
        <v>129</v>
      </c>
      <c r="B1520" s="2" t="s">
        <v>98</v>
      </c>
      <c r="C1520" s="2" t="s">
        <v>99</v>
      </c>
      <c r="D1520" s="4" t="s">
        <v>7</v>
      </c>
      <c r="E1520" s="2" t="s">
        <v>100</v>
      </c>
      <c r="F1520" s="6">
        <v>46134.260034722225</v>
      </c>
      <c r="G1520" t="s">
        <v>147</v>
      </c>
      <c r="H1520" t="s">
        <v>153</v>
      </c>
      <c r="I1520" s="3">
        <f>VLOOKUP(G1520,Sheet2!A:J,10,0)</f>
        <v>4</v>
      </c>
      <c r="J1520" s="13"/>
      <c r="K1520" s="13">
        <v>46104</v>
      </c>
    </row>
    <row r="1521" spans="1:11">
      <c r="A1521" s="3" t="s">
        <v>130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46085.503321759257</v>
      </c>
      <c r="G1521" t="s">
        <v>147</v>
      </c>
      <c r="H1521" t="s">
        <v>153</v>
      </c>
      <c r="I1521" s="3">
        <f>VLOOKUP(G1521,Sheet2!A:J,10,0)</f>
        <v>4</v>
      </c>
      <c r="J1521" s="13"/>
      <c r="K1521" s="13">
        <v>46085</v>
      </c>
    </row>
    <row r="1522" spans="1:11">
      <c r="A1522" s="4" t="s">
        <v>131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46080.518611111111</v>
      </c>
      <c r="G1522" t="s">
        <v>147</v>
      </c>
      <c r="H1522" t="s">
        <v>153</v>
      </c>
      <c r="I1522" s="3">
        <f>VLOOKUP(G1522,Sheet2!A:J,10,0)</f>
        <v>4</v>
      </c>
      <c r="J1522" s="13"/>
      <c r="K1522" s="13">
        <v>46080</v>
      </c>
    </row>
    <row r="1523" spans="1:11">
      <c r="A1523" s="3" t="s">
        <v>132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46134.260752314818</v>
      </c>
      <c r="G1523" t="s">
        <v>147</v>
      </c>
      <c r="H1523" t="s">
        <v>153</v>
      </c>
      <c r="I1523" s="3">
        <f>VLOOKUP(G1523,Sheet2!A:J,10,0)</f>
        <v>4</v>
      </c>
      <c r="J1523" s="13"/>
      <c r="K1523" s="13">
        <v>46101</v>
      </c>
    </row>
    <row r="1524" spans="1:11">
      <c r="A1524" s="4" t="s">
        <v>133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46080.520381944443</v>
      </c>
      <c r="G1524" t="s">
        <v>147</v>
      </c>
      <c r="H1524" t="s">
        <v>153</v>
      </c>
      <c r="I1524" s="3">
        <f>VLOOKUP(G1524,Sheet2!A:J,10,0)</f>
        <v>4</v>
      </c>
      <c r="J1524" s="13"/>
      <c r="K1524" s="13">
        <v>46080</v>
      </c>
    </row>
    <row r="1525" spans="1:11">
      <c r="A1525" s="3" t="s">
        <v>134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46085.504965277774</v>
      </c>
      <c r="G1525" t="s">
        <v>147</v>
      </c>
      <c r="H1525" t="s">
        <v>153</v>
      </c>
      <c r="I1525" s="3">
        <f>VLOOKUP(G1525,Sheet2!A:J,10,0)</f>
        <v>4</v>
      </c>
      <c r="J1525" s="13"/>
      <c r="K1525" s="13">
        <v>46085</v>
      </c>
    </row>
    <row r="1526" spans="1:11">
      <c r="A1526" s="4" t="s">
        <v>135</v>
      </c>
      <c r="B1526" s="2" t="s">
        <v>98</v>
      </c>
      <c r="C1526" s="2" t="s">
        <v>99</v>
      </c>
      <c r="D1526" s="4" t="s">
        <v>7</v>
      </c>
      <c r="E1526" s="2" t="s">
        <v>100</v>
      </c>
      <c r="F1526" s="6">
        <v>46080.552210648151</v>
      </c>
      <c r="G1526" t="s">
        <v>147</v>
      </c>
      <c r="H1526" t="s">
        <v>153</v>
      </c>
      <c r="I1526" s="3">
        <f>VLOOKUP(G1526,Sheet2!A:J,10,0)</f>
        <v>4</v>
      </c>
      <c r="J1526" s="13"/>
      <c r="K1526" s="13">
        <v>46086</v>
      </c>
    </row>
    <row r="1527" spans="1:11">
      <c r="A1527" s="3" t="s">
        <v>136</v>
      </c>
      <c r="B1527" s="1" t="s">
        <v>98</v>
      </c>
      <c r="C1527" s="1" t="s">
        <v>99</v>
      </c>
      <c r="D1527" s="3" t="s">
        <v>7</v>
      </c>
      <c r="E1527" s="1" t="s">
        <v>100</v>
      </c>
      <c r="F1527" s="5">
        <v>46080.521469907406</v>
      </c>
      <c r="G1527" t="s">
        <v>147</v>
      </c>
      <c r="H1527" t="s">
        <v>153</v>
      </c>
      <c r="I1527" s="3">
        <f>VLOOKUP(G1527,Sheet2!A:J,10,0)</f>
        <v>4</v>
      </c>
      <c r="J1527" s="13"/>
      <c r="K1527" s="13">
        <v>46080</v>
      </c>
    </row>
    <row r="1528" spans="1:11">
      <c r="A1528" s="4" t="s">
        <v>137</v>
      </c>
      <c r="B1528" s="2" t="s">
        <v>98</v>
      </c>
      <c r="C1528" s="2" t="s">
        <v>99</v>
      </c>
      <c r="D1528" s="4" t="s">
        <v>7</v>
      </c>
      <c r="E1528" s="2" t="s">
        <v>100</v>
      </c>
      <c r="F1528" s="6">
        <v>46134.261747685188</v>
      </c>
      <c r="G1528" t="s">
        <v>147</v>
      </c>
      <c r="H1528" t="s">
        <v>153</v>
      </c>
      <c r="I1528" s="3">
        <f>VLOOKUP(G1528,Sheet2!A:J,10,0)</f>
        <v>4</v>
      </c>
      <c r="J1528" s="13"/>
      <c r="K1528" s="13">
        <v>46119</v>
      </c>
    </row>
    <row r="1529" spans="1:11">
      <c r="A1529" s="3" t="s">
        <v>138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46098.309884259259</v>
      </c>
      <c r="G1529" t="s">
        <v>147</v>
      </c>
      <c r="H1529" t="s">
        <v>153</v>
      </c>
      <c r="I1529" s="3">
        <f>VLOOKUP(G1529,Sheet2!A:J,10,0)</f>
        <v>4</v>
      </c>
      <c r="J1529" s="13"/>
      <c r="K1529" s="13">
        <v>46097</v>
      </c>
    </row>
    <row r="1530" spans="1:11">
      <c r="A1530" s="4" t="s">
        <v>139</v>
      </c>
      <c r="B1530" s="2" t="s">
        <v>98</v>
      </c>
      <c r="C1530" s="2" t="s">
        <v>99</v>
      </c>
      <c r="D1530" s="4" t="s">
        <v>7</v>
      </c>
      <c r="E1530" s="2" t="s">
        <v>100</v>
      </c>
      <c r="F1530" s="6">
        <v>46134.26121527778</v>
      </c>
      <c r="G1530" t="s">
        <v>147</v>
      </c>
      <c r="H1530" t="s">
        <v>153</v>
      </c>
      <c r="I1530" s="3">
        <f>VLOOKUP(G1530,Sheet2!A:J,10,0)</f>
        <v>4</v>
      </c>
      <c r="J1530" s="13"/>
      <c r="K1530" s="13">
        <v>46104</v>
      </c>
    </row>
    <row r="1531" spans="1:11">
      <c r="A1531" s="3" t="s">
        <v>140</v>
      </c>
      <c r="B1531" s="1" t="s">
        <v>98</v>
      </c>
      <c r="C1531" s="1" t="s">
        <v>99</v>
      </c>
      <c r="D1531" s="3" t="s">
        <v>7</v>
      </c>
      <c r="E1531" s="1" t="s">
        <v>100</v>
      </c>
      <c r="F1531" s="5">
        <v>46097.368449074071</v>
      </c>
      <c r="G1531" t="s">
        <v>147</v>
      </c>
      <c r="H1531" t="s">
        <v>153</v>
      </c>
      <c r="I1531" s="3">
        <f>VLOOKUP(G1531,Sheet2!A:J,10,0)</f>
        <v>4</v>
      </c>
      <c r="J1531" s="13"/>
      <c r="K1531" s="13">
        <v>46093</v>
      </c>
    </row>
    <row r="1532" spans="1:11">
      <c r="A1532" s="4" t="s">
        <v>141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46111.557569444441</v>
      </c>
      <c r="G1532" t="s">
        <v>147</v>
      </c>
      <c r="H1532" t="s">
        <v>153</v>
      </c>
      <c r="I1532" s="3">
        <f>VLOOKUP(G1532,Sheet2!A:J,10,0)</f>
        <v>4</v>
      </c>
      <c r="J1532" s="13"/>
      <c r="K1532" s="13">
        <v>46119</v>
      </c>
    </row>
    <row r="1533" spans="1:11">
      <c r="A1533" s="3" t="s">
        <v>142</v>
      </c>
      <c r="B1533" s="1" t="s">
        <v>98</v>
      </c>
      <c r="C1533" s="1" t="s">
        <v>99</v>
      </c>
      <c r="D1533" s="3" t="s">
        <v>7</v>
      </c>
      <c r="E1533" s="1" t="s">
        <v>100</v>
      </c>
      <c r="F1533" s="5">
        <v>46111.559004629627</v>
      </c>
      <c r="G1533" t="s">
        <v>147</v>
      </c>
      <c r="H1533" t="s">
        <v>153</v>
      </c>
      <c r="I1533" s="3">
        <f>VLOOKUP(G1533,Sheet2!A:J,10,0)</f>
        <v>4</v>
      </c>
      <c r="J1533" s="13"/>
      <c r="K1533" s="13">
        <v>46119</v>
      </c>
    </row>
    <row r="1534" spans="1:11">
      <c r="A1534" s="4" t="s">
        <v>143</v>
      </c>
      <c r="B1534" s="2" t="s">
        <v>98</v>
      </c>
      <c r="C1534" s="2" t="s">
        <v>99</v>
      </c>
      <c r="D1534" s="4" t="s">
        <v>7</v>
      </c>
      <c r="E1534" s="2" t="s">
        <v>100</v>
      </c>
      <c r="F1534" s="6">
        <v>46111.560324074075</v>
      </c>
      <c r="G1534" t="s">
        <v>147</v>
      </c>
      <c r="H1534" t="s">
        <v>153</v>
      </c>
      <c r="I1534" s="3">
        <f>VLOOKUP(G1534,Sheet2!A:J,10,0)</f>
        <v>4</v>
      </c>
      <c r="J1534" s="13"/>
      <c r="K1534" s="13">
        <v>46119</v>
      </c>
    </row>
    <row r="1535" spans="1:11">
      <c r="A1535" s="3" t="s">
        <v>351</v>
      </c>
      <c r="B1535" s="1" t="s">
        <v>948</v>
      </c>
      <c r="C1535" s="1" t="s">
        <v>949</v>
      </c>
      <c r="D1535" s="3" t="s">
        <v>7</v>
      </c>
      <c r="E1535" s="1" t="s">
        <v>14</v>
      </c>
      <c r="F1535" s="5">
        <v>46160.319953703707</v>
      </c>
      <c r="G1535" t="s">
        <v>318</v>
      </c>
      <c r="H1535" t="s">
        <v>320</v>
      </c>
      <c r="I1535" s="3">
        <f>VLOOKUP(G1535,Sheet2!A:J,10,0)</f>
        <v>10</v>
      </c>
      <c r="J1535" s="13" t="s">
        <v>1979</v>
      </c>
      <c r="K1535" s="13">
        <v>46164</v>
      </c>
    </row>
    <row r="1536" spans="1:11">
      <c r="A1536" s="4" t="s">
        <v>352</v>
      </c>
      <c r="B1536" s="2" t="s">
        <v>98</v>
      </c>
      <c r="C1536" s="2" t="s">
        <v>99</v>
      </c>
      <c r="D1536" s="4" t="s">
        <v>7</v>
      </c>
      <c r="E1536" s="2" t="s">
        <v>100</v>
      </c>
      <c r="F1536" s="6">
        <v>46155.258032407408</v>
      </c>
      <c r="G1536" t="s">
        <v>318</v>
      </c>
      <c r="H1536" t="s">
        <v>320</v>
      </c>
      <c r="I1536" s="3">
        <f>VLOOKUP(G1536,Sheet2!A:J,10,0)</f>
        <v>10</v>
      </c>
      <c r="J1536" s="13"/>
      <c r="K1536" s="13">
        <v>46155</v>
      </c>
    </row>
    <row r="1537" spans="1:11">
      <c r="A1537" s="3" t="s">
        <v>353</v>
      </c>
      <c r="B1537" s="1" t="s">
        <v>98</v>
      </c>
      <c r="C1537" s="1" t="s">
        <v>99</v>
      </c>
      <c r="D1537" s="3" t="s">
        <v>7</v>
      </c>
      <c r="E1537" s="1" t="s">
        <v>100</v>
      </c>
      <c r="F1537" s="5">
        <v>46155.27652777778</v>
      </c>
      <c r="G1537" t="s">
        <v>318</v>
      </c>
      <c r="H1537" t="s">
        <v>320</v>
      </c>
      <c r="I1537" s="3">
        <f>VLOOKUP(G1537,Sheet2!A:J,10,0)</f>
        <v>10</v>
      </c>
      <c r="J1537" s="13"/>
      <c r="K1537" s="13">
        <v>46155</v>
      </c>
    </row>
    <row r="1538" spans="1:11">
      <c r="A1538" s="4" t="s">
        <v>354</v>
      </c>
      <c r="B1538" s="2" t="s">
        <v>948</v>
      </c>
      <c r="C1538" s="2" t="s">
        <v>949</v>
      </c>
      <c r="D1538" s="4" t="s">
        <v>7</v>
      </c>
      <c r="E1538" s="2" t="s">
        <v>14</v>
      </c>
      <c r="F1538" s="6">
        <v>46160.412141203706</v>
      </c>
      <c r="G1538" t="s">
        <v>318</v>
      </c>
      <c r="H1538" t="s">
        <v>320</v>
      </c>
      <c r="I1538" s="3">
        <f>VLOOKUP(G1538,Sheet2!A:J,10,0)</f>
        <v>10</v>
      </c>
      <c r="J1538" s="13" t="s">
        <v>1979</v>
      </c>
      <c r="K1538" s="13">
        <v>46161</v>
      </c>
    </row>
    <row r="1539" spans="1:11">
      <c r="A1539" s="3" t="s">
        <v>355</v>
      </c>
      <c r="B1539" s="1" t="s">
        <v>98</v>
      </c>
      <c r="C1539" s="1" t="s">
        <v>99</v>
      </c>
      <c r="D1539" s="3" t="s">
        <v>7</v>
      </c>
      <c r="E1539" s="1" t="s">
        <v>100</v>
      </c>
      <c r="F1539" s="5">
        <v>46155.280347222222</v>
      </c>
      <c r="G1539" t="s">
        <v>318</v>
      </c>
      <c r="H1539" t="s">
        <v>320</v>
      </c>
      <c r="I1539" s="3">
        <f>VLOOKUP(G1539,Sheet2!A:J,10,0)</f>
        <v>10</v>
      </c>
      <c r="J1539" s="13"/>
      <c r="K1539" s="13">
        <v>46150</v>
      </c>
    </row>
    <row r="1540" spans="1:11">
      <c r="A1540" s="4" t="s">
        <v>356</v>
      </c>
      <c r="B1540" s="2" t="s">
        <v>98</v>
      </c>
      <c r="C1540" s="2" t="s">
        <v>99</v>
      </c>
      <c r="D1540" s="4" t="s">
        <v>7</v>
      </c>
      <c r="E1540" s="2" t="s">
        <v>100</v>
      </c>
      <c r="F1540" s="6">
        <v>46155.280856481484</v>
      </c>
      <c r="G1540" t="s">
        <v>318</v>
      </c>
      <c r="H1540" t="s">
        <v>320</v>
      </c>
      <c r="I1540" s="3">
        <f>VLOOKUP(G1540,Sheet2!A:J,10,0)</f>
        <v>10</v>
      </c>
      <c r="J1540" s="13"/>
      <c r="K1540" s="13">
        <v>46150</v>
      </c>
    </row>
    <row r="1541" spans="1:11">
      <c r="A1541" s="3" t="s">
        <v>357</v>
      </c>
      <c r="B1541" s="1" t="s">
        <v>98</v>
      </c>
      <c r="C1541" s="1" t="s">
        <v>99</v>
      </c>
      <c r="D1541" s="3" t="s">
        <v>7</v>
      </c>
      <c r="E1541" s="1" t="s">
        <v>100</v>
      </c>
      <c r="F1541" s="5">
        <v>46155.281192129631</v>
      </c>
      <c r="G1541" t="s">
        <v>318</v>
      </c>
      <c r="H1541" t="s">
        <v>320</v>
      </c>
      <c r="I1541" s="3">
        <f>VLOOKUP(G1541,Sheet2!A:J,10,0)</f>
        <v>10</v>
      </c>
      <c r="J1541" s="13"/>
      <c r="K1541" s="13">
        <v>46150</v>
      </c>
    </row>
    <row r="1542" spans="1:11">
      <c r="A1542" s="4" t="s">
        <v>358</v>
      </c>
      <c r="B1542" s="2" t="s">
        <v>98</v>
      </c>
      <c r="C1542" s="2" t="s">
        <v>99</v>
      </c>
      <c r="D1542" s="4" t="s">
        <v>7</v>
      </c>
      <c r="E1542" s="2" t="s">
        <v>100</v>
      </c>
      <c r="F1542" s="6">
        <v>46155.2815162037</v>
      </c>
      <c r="G1542" t="s">
        <v>318</v>
      </c>
      <c r="H1542" t="s">
        <v>320</v>
      </c>
      <c r="I1542" s="3">
        <f>VLOOKUP(G1542,Sheet2!A:J,10,0)</f>
        <v>10</v>
      </c>
      <c r="J1542" s="13"/>
      <c r="K1542" s="13">
        <v>46150</v>
      </c>
    </row>
    <row r="1543" spans="1:11">
      <c r="A1543" s="3" t="s">
        <v>359</v>
      </c>
      <c r="B1543" s="1" t="s">
        <v>948</v>
      </c>
      <c r="C1543" s="1" t="s">
        <v>949</v>
      </c>
      <c r="D1543" s="3" t="s">
        <v>7</v>
      </c>
      <c r="E1543" s="1" t="s">
        <v>14</v>
      </c>
      <c r="F1543" s="5">
        <v>46160.403090277781</v>
      </c>
      <c r="G1543" t="s">
        <v>318</v>
      </c>
      <c r="H1543" t="s">
        <v>320</v>
      </c>
      <c r="I1543" s="3">
        <f>VLOOKUP(G1543,Sheet2!A:J,10,0)</f>
        <v>10</v>
      </c>
      <c r="J1543" s="13" t="s">
        <v>1979</v>
      </c>
      <c r="K1543" s="13">
        <v>46162</v>
      </c>
    </row>
    <row r="1544" spans="1:11">
      <c r="A1544" s="4" t="s">
        <v>360</v>
      </c>
      <c r="B1544" s="2" t="s">
        <v>98</v>
      </c>
      <c r="C1544" s="2" t="s">
        <v>99</v>
      </c>
      <c r="D1544" s="4" t="s">
        <v>7</v>
      </c>
      <c r="E1544" s="2" t="s">
        <v>100</v>
      </c>
      <c r="F1544" s="6">
        <v>46174.486446759256</v>
      </c>
      <c r="G1544" t="s">
        <v>318</v>
      </c>
      <c r="H1544" t="s">
        <v>320</v>
      </c>
      <c r="I1544" s="3">
        <f>VLOOKUP(G1544,Sheet2!A:J,10,0)</f>
        <v>10</v>
      </c>
      <c r="J1544" s="13"/>
      <c r="K1544" s="13">
        <v>46156</v>
      </c>
    </row>
    <row r="1545" spans="1:11">
      <c r="A1545" s="3" t="s">
        <v>361</v>
      </c>
      <c r="B1545" s="1" t="s">
        <v>98</v>
      </c>
      <c r="C1545" s="1" t="s">
        <v>99</v>
      </c>
      <c r="D1545" s="3" t="s">
        <v>7</v>
      </c>
      <c r="E1545" s="1" t="s">
        <v>100</v>
      </c>
      <c r="F1545" s="5">
        <v>46155.27915509259</v>
      </c>
      <c r="G1545" t="s">
        <v>318</v>
      </c>
      <c r="H1545" t="s">
        <v>320</v>
      </c>
      <c r="I1545" s="3">
        <f>VLOOKUP(G1545,Sheet2!A:J,10,0)</f>
        <v>10</v>
      </c>
      <c r="J1545" s="13"/>
      <c r="K1545" s="13">
        <v>46155</v>
      </c>
    </row>
    <row r="1546" spans="1:11">
      <c r="A1546" s="4" t="s">
        <v>362</v>
      </c>
      <c r="B1546" s="2" t="s">
        <v>98</v>
      </c>
      <c r="C1546" s="2" t="s">
        <v>99</v>
      </c>
      <c r="D1546" s="4" t="s">
        <v>7</v>
      </c>
      <c r="E1546" s="2" t="s">
        <v>100</v>
      </c>
      <c r="F1546" s="6">
        <v>46174.487083333333</v>
      </c>
      <c r="G1546" t="s">
        <v>318</v>
      </c>
      <c r="H1546" t="s">
        <v>320</v>
      </c>
      <c r="I1546" s="3">
        <f>VLOOKUP(G1546,Sheet2!A:J,10,0)</f>
        <v>10</v>
      </c>
      <c r="J1546" s="13"/>
      <c r="K1546" s="13">
        <v>46156</v>
      </c>
    </row>
    <row r="1547" spans="1:11">
      <c r="A1547" s="3" t="s">
        <v>363</v>
      </c>
      <c r="B1547" s="1" t="s">
        <v>98</v>
      </c>
      <c r="C1547" s="1" t="s">
        <v>99</v>
      </c>
      <c r="D1547" s="3" t="s">
        <v>7</v>
      </c>
      <c r="E1547" s="1" t="s">
        <v>100</v>
      </c>
      <c r="F1547" s="5">
        <v>46155.279768518521</v>
      </c>
      <c r="G1547" t="s">
        <v>318</v>
      </c>
      <c r="H1547" t="s">
        <v>320</v>
      </c>
      <c r="I1547" s="3">
        <f>VLOOKUP(G1547,Sheet2!A:J,10,0)</f>
        <v>10</v>
      </c>
      <c r="J1547" s="13"/>
      <c r="K1547" s="13">
        <v>46155</v>
      </c>
    </row>
    <row r="1548" spans="1:11">
      <c r="A1548" s="4" t="s">
        <v>364</v>
      </c>
      <c r="B1548" s="2" t="s">
        <v>98</v>
      </c>
      <c r="C1548" s="2" t="s">
        <v>99</v>
      </c>
      <c r="D1548" s="4" t="s">
        <v>7</v>
      </c>
      <c r="E1548" s="2" t="s">
        <v>100</v>
      </c>
      <c r="F1548" s="6">
        <v>46174.487685185188</v>
      </c>
      <c r="G1548" t="s">
        <v>318</v>
      </c>
      <c r="H1548" t="s">
        <v>320</v>
      </c>
      <c r="I1548" s="3">
        <f>VLOOKUP(G1548,Sheet2!A:J,10,0)</f>
        <v>10</v>
      </c>
      <c r="J1548" s="13"/>
      <c r="K1548" s="13">
        <v>46155</v>
      </c>
    </row>
    <row r="1549" spans="1:11">
      <c r="A1549" s="3" t="s">
        <v>365</v>
      </c>
      <c r="B1549" s="1" t="s">
        <v>948</v>
      </c>
      <c r="C1549" s="1" t="s">
        <v>949</v>
      </c>
      <c r="D1549" s="3" t="s">
        <v>7</v>
      </c>
      <c r="E1549" s="1" t="s">
        <v>14</v>
      </c>
      <c r="F1549" s="5">
        <v>46160.328935185185</v>
      </c>
      <c r="G1549" t="s">
        <v>318</v>
      </c>
      <c r="H1549" t="s">
        <v>320</v>
      </c>
      <c r="I1549" s="3">
        <f>VLOOKUP(G1549,Sheet2!A:J,10,0)</f>
        <v>10</v>
      </c>
      <c r="J1549" s="13" t="s">
        <v>1979</v>
      </c>
      <c r="K1549" s="13">
        <v>46164</v>
      </c>
    </row>
    <row r="1550" spans="1:11">
      <c r="A1550" s="3" t="s">
        <v>1661</v>
      </c>
      <c r="B1550" s="1" t="s">
        <v>98</v>
      </c>
      <c r="C1550" s="1" t="s">
        <v>99</v>
      </c>
      <c r="D1550" s="3" t="s">
        <v>7</v>
      </c>
      <c r="E1550" s="1" t="s">
        <v>100</v>
      </c>
      <c r="F1550" s="5">
        <v>46181.597280092596</v>
      </c>
      <c r="G1550" t="s">
        <v>509</v>
      </c>
      <c r="H1550" t="s">
        <v>941</v>
      </c>
      <c r="I1550" s="3">
        <f>VLOOKUP(G1550,Sheet2!A:J,10,0)</f>
        <v>14</v>
      </c>
      <c r="J1550" s="13"/>
      <c r="K1550" s="13">
        <v>46185</v>
      </c>
    </row>
    <row r="1551" spans="1:11">
      <c r="A1551" s="4" t="s">
        <v>1662</v>
      </c>
      <c r="B1551" s="2" t="s">
        <v>98</v>
      </c>
      <c r="C1551" s="2" t="s">
        <v>99</v>
      </c>
      <c r="D1551" s="4" t="s">
        <v>7</v>
      </c>
      <c r="E1551" s="2" t="s">
        <v>100</v>
      </c>
      <c r="F1551" s="6">
        <v>46185.436018518521</v>
      </c>
      <c r="G1551" t="s">
        <v>509</v>
      </c>
      <c r="H1551" t="s">
        <v>941</v>
      </c>
      <c r="I1551" s="3">
        <f>VLOOKUP(G1551,Sheet2!A:J,10,0)</f>
        <v>14</v>
      </c>
      <c r="J1551" s="13"/>
      <c r="K1551" s="13">
        <v>46185</v>
      </c>
    </row>
    <row r="1552" spans="1:11">
      <c r="A1552" s="3" t="s">
        <v>1663</v>
      </c>
      <c r="B1552" s="1" t="s">
        <v>98</v>
      </c>
      <c r="C1552" s="1" t="s">
        <v>99</v>
      </c>
      <c r="D1552" s="3" t="s">
        <v>7</v>
      </c>
      <c r="E1552" s="1" t="s">
        <v>100</v>
      </c>
      <c r="F1552" s="5">
        <v>46181.596944444442</v>
      </c>
      <c r="G1552" t="s">
        <v>509</v>
      </c>
      <c r="H1552" t="s">
        <v>941</v>
      </c>
      <c r="I1552" s="3">
        <f>VLOOKUP(G1552,Sheet2!A:J,10,0)</f>
        <v>14</v>
      </c>
      <c r="J1552" s="13"/>
      <c r="K1552" s="13">
        <v>46185</v>
      </c>
    </row>
    <row r="1553" spans="1:11">
      <c r="A1553" s="4" t="s">
        <v>1664</v>
      </c>
      <c r="B1553" s="2" t="s">
        <v>98</v>
      </c>
      <c r="C1553" s="2" t="s">
        <v>99</v>
      </c>
      <c r="D1553" s="4" t="s">
        <v>7</v>
      </c>
      <c r="E1553" s="2" t="s">
        <v>100</v>
      </c>
      <c r="F1553" s="6">
        <v>46185.435671296298</v>
      </c>
      <c r="G1553" t="s">
        <v>509</v>
      </c>
      <c r="H1553" t="s">
        <v>941</v>
      </c>
      <c r="I1553" s="3">
        <f>VLOOKUP(G1553,Sheet2!A:J,10,0)</f>
        <v>14</v>
      </c>
      <c r="J1553" s="13"/>
      <c r="K1553" s="13">
        <v>46185</v>
      </c>
    </row>
    <row r="1554" spans="1:11">
      <c r="A1554" s="3" t="s">
        <v>1665</v>
      </c>
      <c r="B1554" s="1" t="s">
        <v>98</v>
      </c>
      <c r="C1554" s="1" t="s">
        <v>99</v>
      </c>
      <c r="D1554" s="3" t="s">
        <v>7</v>
      </c>
      <c r="E1554" s="1" t="s">
        <v>100</v>
      </c>
      <c r="F1554" s="5">
        <v>46185.435300925928</v>
      </c>
      <c r="G1554" t="s">
        <v>509</v>
      </c>
      <c r="H1554" t="s">
        <v>941</v>
      </c>
      <c r="I1554" s="3">
        <f>VLOOKUP(G1554,Sheet2!A:J,10,0)</f>
        <v>14</v>
      </c>
      <c r="J1554" s="13"/>
      <c r="K1554" s="13">
        <v>46185</v>
      </c>
    </row>
    <row r="1555" spans="1:11">
      <c r="A1555" s="4" t="s">
        <v>1666</v>
      </c>
      <c r="B1555" s="2" t="s">
        <v>98</v>
      </c>
      <c r="C1555" s="2" t="s">
        <v>99</v>
      </c>
      <c r="D1555" s="4" t="s">
        <v>7</v>
      </c>
      <c r="E1555" s="2" t="s">
        <v>100</v>
      </c>
      <c r="F1555" s="6">
        <v>46191.321516203701</v>
      </c>
      <c r="G1555" t="s">
        <v>509</v>
      </c>
      <c r="H1555" t="s">
        <v>941</v>
      </c>
      <c r="I1555" s="3">
        <f>VLOOKUP(G1555,Sheet2!A:J,10,0)</f>
        <v>14</v>
      </c>
      <c r="J1555" s="13"/>
      <c r="K1555" s="13">
        <v>46192</v>
      </c>
    </row>
    <row r="1556" spans="1:11">
      <c r="A1556" s="3" t="s">
        <v>1667</v>
      </c>
      <c r="B1556" s="1" t="s">
        <v>98</v>
      </c>
      <c r="C1556" s="1" t="s">
        <v>99</v>
      </c>
      <c r="D1556" s="3" t="s">
        <v>7</v>
      </c>
      <c r="E1556" s="1" t="s">
        <v>100</v>
      </c>
      <c r="F1556" s="5">
        <v>46197.511006944442</v>
      </c>
      <c r="G1556" t="s">
        <v>509</v>
      </c>
      <c r="H1556" t="s">
        <v>941</v>
      </c>
      <c r="I1556" s="3">
        <f>VLOOKUP(G1556,Sheet2!A:J,10,0)</f>
        <v>14</v>
      </c>
      <c r="J1556" s="13" t="s">
        <v>1987</v>
      </c>
      <c r="K1556" s="13"/>
    </row>
    <row r="1557" spans="1:11">
      <c r="A1557" s="4" t="s">
        <v>1668</v>
      </c>
      <c r="B1557" s="2" t="s">
        <v>643</v>
      </c>
      <c r="C1557" s="2" t="s">
        <v>644</v>
      </c>
      <c r="D1557" s="4" t="s">
        <v>7</v>
      </c>
      <c r="E1557" s="2" t="s">
        <v>14</v>
      </c>
      <c r="F1557" s="6">
        <v>46197.656724537039</v>
      </c>
      <c r="G1557" t="s">
        <v>509</v>
      </c>
      <c r="H1557" t="s">
        <v>941</v>
      </c>
      <c r="I1557" s="3">
        <f>VLOOKUP(G1557,Sheet2!A:J,10,0)</f>
        <v>14</v>
      </c>
      <c r="J1557" s="13"/>
      <c r="K1557" s="13">
        <v>46192</v>
      </c>
    </row>
    <row r="1558" spans="1:11">
      <c r="A1558" s="3" t="s">
        <v>1669</v>
      </c>
      <c r="B1558" s="1" t="s">
        <v>98</v>
      </c>
      <c r="C1558" s="1" t="s">
        <v>99</v>
      </c>
      <c r="D1558" s="3" t="s">
        <v>7</v>
      </c>
      <c r="E1558" s="1" t="s">
        <v>100</v>
      </c>
      <c r="F1558" s="5">
        <v>46185.434791666667</v>
      </c>
      <c r="G1558" t="s">
        <v>509</v>
      </c>
      <c r="H1558" t="s">
        <v>941</v>
      </c>
      <c r="I1558" s="3">
        <f>VLOOKUP(G1558,Sheet2!A:J,10,0)</f>
        <v>14</v>
      </c>
      <c r="J1558" s="13"/>
      <c r="K1558" s="13">
        <v>46185</v>
      </c>
    </row>
    <row r="1559" spans="1:11">
      <c r="A1559" s="4" t="s">
        <v>1670</v>
      </c>
      <c r="B1559" s="2" t="s">
        <v>98</v>
      </c>
      <c r="C1559" s="2" t="s">
        <v>99</v>
      </c>
      <c r="D1559" s="4" t="s">
        <v>7</v>
      </c>
      <c r="E1559" s="2" t="s">
        <v>100</v>
      </c>
      <c r="F1559" s="6">
        <v>46197.511423611111</v>
      </c>
      <c r="G1559" t="s">
        <v>509</v>
      </c>
      <c r="H1559" t="s">
        <v>941</v>
      </c>
      <c r="I1559" s="3">
        <f>VLOOKUP(G1559,Sheet2!A:J,10,0)</f>
        <v>14</v>
      </c>
      <c r="J1559" s="13" t="s">
        <v>1987</v>
      </c>
      <c r="K1559" s="13"/>
    </row>
    <row r="1560" spans="1:11">
      <c r="A1560" s="3" t="s">
        <v>1671</v>
      </c>
      <c r="B1560" s="1" t="s">
        <v>98</v>
      </c>
      <c r="C1560" s="1" t="s">
        <v>99</v>
      </c>
      <c r="D1560" s="3" t="s">
        <v>7</v>
      </c>
      <c r="E1560" s="1" t="s">
        <v>100</v>
      </c>
      <c r="F1560" s="5">
        <v>46191.32234953704</v>
      </c>
      <c r="G1560" t="s">
        <v>509</v>
      </c>
      <c r="H1560" t="s">
        <v>941</v>
      </c>
      <c r="I1560" s="3">
        <f>VLOOKUP(G1560,Sheet2!A:J,10,0)</f>
        <v>14</v>
      </c>
      <c r="J1560" s="13"/>
      <c r="K1560" s="13">
        <v>46188</v>
      </c>
    </row>
    <row r="1561" spans="1:11">
      <c r="A1561" s="4" t="s">
        <v>1672</v>
      </c>
      <c r="B1561" s="2" t="s">
        <v>98</v>
      </c>
      <c r="C1561" s="2" t="s">
        <v>99</v>
      </c>
      <c r="D1561" s="4" t="s">
        <v>7</v>
      </c>
      <c r="E1561" s="2" t="s">
        <v>100</v>
      </c>
      <c r="F1561" s="6">
        <v>46189.363993055558</v>
      </c>
      <c r="G1561" t="s">
        <v>509</v>
      </c>
      <c r="H1561" t="s">
        <v>941</v>
      </c>
      <c r="I1561" s="3">
        <f>VLOOKUP(G1561,Sheet2!A:J,10,0)</f>
        <v>14</v>
      </c>
      <c r="J1561" s="13"/>
      <c r="K1561" s="13">
        <v>46191</v>
      </c>
    </row>
    <row r="1562" spans="1:11">
      <c r="A1562" s="3" t="s">
        <v>1673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46191.32267361111</v>
      </c>
      <c r="G1562" t="s">
        <v>509</v>
      </c>
      <c r="H1562" t="s">
        <v>941</v>
      </c>
      <c r="I1562" s="3">
        <f>VLOOKUP(G1562,Sheet2!A:J,10,0)</f>
        <v>14</v>
      </c>
      <c r="J1562" s="13"/>
      <c r="K1562" s="13"/>
    </row>
    <row r="1563" spans="1:11">
      <c r="A1563" s="4" t="s">
        <v>1674</v>
      </c>
      <c r="B1563" s="2" t="s">
        <v>98</v>
      </c>
      <c r="C1563" s="2" t="s">
        <v>99</v>
      </c>
      <c r="D1563" s="4" t="s">
        <v>7</v>
      </c>
      <c r="E1563" s="2" t="s">
        <v>100</v>
      </c>
      <c r="F1563" s="6">
        <v>46197.511793981481</v>
      </c>
      <c r="G1563" t="s">
        <v>509</v>
      </c>
      <c r="H1563" t="s">
        <v>941</v>
      </c>
      <c r="I1563" s="3">
        <f>VLOOKUP(G1563,Sheet2!A:J,10,0)</f>
        <v>14</v>
      </c>
      <c r="J1563" s="13" t="s">
        <v>1987</v>
      </c>
      <c r="K1563" s="13"/>
    </row>
    <row r="1564" spans="1:11">
      <c r="A1564" s="3" t="s">
        <v>1675</v>
      </c>
      <c r="B1564" s="1" t="s">
        <v>1884</v>
      </c>
      <c r="C1564" s="1" t="s">
        <v>1885</v>
      </c>
      <c r="D1564" s="3" t="s">
        <v>7</v>
      </c>
      <c r="E1564" s="1" t="s">
        <v>647</v>
      </c>
      <c r="F1564" s="5">
        <v>46190.566134259258</v>
      </c>
      <c r="G1564" t="s">
        <v>509</v>
      </c>
      <c r="H1564" t="s">
        <v>941</v>
      </c>
      <c r="I1564" s="3">
        <f>VLOOKUP(G1564,Sheet2!A:J,10,0)</f>
        <v>14</v>
      </c>
      <c r="J1564" s="13"/>
      <c r="K1564" s="13"/>
    </row>
    <row r="1565" spans="1:11">
      <c r="A1565" s="4" t="s">
        <v>1676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46191.323136574072</v>
      </c>
      <c r="G1565" t="s">
        <v>509</v>
      </c>
      <c r="H1565" t="s">
        <v>941</v>
      </c>
      <c r="I1565" s="3">
        <f>VLOOKUP(G1565,Sheet2!A:J,10,0)</f>
        <v>14</v>
      </c>
      <c r="J1565" s="13"/>
      <c r="K1565" s="13">
        <v>46192</v>
      </c>
    </row>
    <row r="1566" spans="1:11">
      <c r="A1566" s="3" t="s">
        <v>1677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46191.324201388888</v>
      </c>
      <c r="G1566" t="s">
        <v>509</v>
      </c>
      <c r="H1566" t="s">
        <v>941</v>
      </c>
      <c r="I1566" s="3">
        <f>VLOOKUP(G1566,Sheet2!A:J,10,0)</f>
        <v>14</v>
      </c>
      <c r="J1566" s="13"/>
      <c r="K1566" s="13"/>
    </row>
    <row r="1567" spans="1:11">
      <c r="A1567" s="4" t="s">
        <v>1678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46196.521874999999</v>
      </c>
      <c r="G1567" t="s">
        <v>509</v>
      </c>
      <c r="H1567" t="s">
        <v>941</v>
      </c>
      <c r="I1567" s="3">
        <f>VLOOKUP(G1567,Sheet2!A:J,10,0)</f>
        <v>14</v>
      </c>
      <c r="J1567" s="13" t="s">
        <v>1987</v>
      </c>
      <c r="K1567" s="13"/>
    </row>
    <row r="1568" spans="1:11">
      <c r="A1568" s="3" t="s">
        <v>1679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46197.508287037039</v>
      </c>
      <c r="G1568" t="s">
        <v>509</v>
      </c>
      <c r="H1568" t="s">
        <v>941</v>
      </c>
      <c r="I1568" s="3">
        <f>VLOOKUP(G1568,Sheet2!A:J,10,0)</f>
        <v>14</v>
      </c>
      <c r="J1568" s="13" t="s">
        <v>1987</v>
      </c>
      <c r="K1568" s="13"/>
    </row>
    <row r="1569" spans="1:11">
      <c r="A1569" s="4" t="s">
        <v>1680</v>
      </c>
      <c r="B1569" s="2" t="s">
        <v>98</v>
      </c>
      <c r="C1569" s="2" t="s">
        <v>99</v>
      </c>
      <c r="D1569" s="4" t="s">
        <v>7</v>
      </c>
      <c r="E1569" s="2" t="s">
        <v>100</v>
      </c>
      <c r="F1569" s="6">
        <v>46197.508784722224</v>
      </c>
      <c r="G1569" t="s">
        <v>509</v>
      </c>
      <c r="H1569" t="s">
        <v>941</v>
      </c>
      <c r="I1569" s="3">
        <f>VLOOKUP(G1569,Sheet2!A:J,10,0)</f>
        <v>14</v>
      </c>
      <c r="J1569" s="13"/>
      <c r="K1569" s="13"/>
    </row>
    <row r="1570" spans="1:11">
      <c r="A1570" s="3" t="s">
        <v>1681</v>
      </c>
      <c r="B1570" s="1" t="s">
        <v>98</v>
      </c>
      <c r="C1570" s="1" t="s">
        <v>99</v>
      </c>
      <c r="D1570" s="3" t="s">
        <v>7</v>
      </c>
      <c r="E1570" s="1" t="s">
        <v>100</v>
      </c>
      <c r="F1570" s="5">
        <v>46197.507928240739</v>
      </c>
      <c r="G1570" t="s">
        <v>509</v>
      </c>
      <c r="H1570" t="s">
        <v>941</v>
      </c>
      <c r="I1570" s="3">
        <f>VLOOKUP(G1570,Sheet2!A:J,10,0)</f>
        <v>14</v>
      </c>
      <c r="J1570" s="13"/>
      <c r="K1570" s="13"/>
    </row>
    <row r="1571" spans="1:11">
      <c r="A1571" s="4" t="s">
        <v>1682</v>
      </c>
      <c r="B1571" s="2" t="s">
        <v>643</v>
      </c>
      <c r="C1571" s="2" t="s">
        <v>644</v>
      </c>
      <c r="D1571" s="4" t="s">
        <v>7</v>
      </c>
      <c r="E1571" s="2" t="s">
        <v>14</v>
      </c>
      <c r="F1571" s="6">
        <v>46198.297881944447</v>
      </c>
      <c r="G1571" t="s">
        <v>509</v>
      </c>
      <c r="H1571" t="s">
        <v>941</v>
      </c>
      <c r="I1571" s="3">
        <f>VLOOKUP(G1571,Sheet2!A:J,10,0)</f>
        <v>14</v>
      </c>
      <c r="J1571" s="13"/>
      <c r="K1571" s="13"/>
    </row>
    <row r="1572" spans="1:11">
      <c r="A1572" s="3" t="s">
        <v>1683</v>
      </c>
      <c r="B1572" s="1" t="s">
        <v>643</v>
      </c>
      <c r="C1572" s="1" t="s">
        <v>644</v>
      </c>
      <c r="D1572" s="3" t="s">
        <v>7</v>
      </c>
      <c r="E1572" s="1" t="s">
        <v>14</v>
      </c>
      <c r="F1572" s="5">
        <v>46196.693368055552</v>
      </c>
      <c r="G1572" t="s">
        <v>509</v>
      </c>
      <c r="H1572" t="s">
        <v>941</v>
      </c>
      <c r="I1572" s="3">
        <f>VLOOKUP(G1572,Sheet2!A:J,10,0)</f>
        <v>14</v>
      </c>
      <c r="J1572" s="13"/>
      <c r="K1572" s="13"/>
    </row>
    <row r="1573" spans="1:11">
      <c r="A1573" s="4" t="s">
        <v>1684</v>
      </c>
      <c r="B1573" s="2" t="s">
        <v>643</v>
      </c>
      <c r="C1573" s="2" t="s">
        <v>644</v>
      </c>
      <c r="D1573" s="4" t="s">
        <v>7</v>
      </c>
      <c r="E1573" s="2" t="s">
        <v>14</v>
      </c>
      <c r="F1573" s="6">
        <v>46198.305844907409</v>
      </c>
      <c r="G1573" t="s">
        <v>509</v>
      </c>
      <c r="H1573" t="s">
        <v>941</v>
      </c>
      <c r="I1573" s="3">
        <f>VLOOKUP(G1573,Sheet2!A:J,10,0)</f>
        <v>14</v>
      </c>
      <c r="J1573" s="13"/>
      <c r="K1573" s="13"/>
    </row>
    <row r="1574" spans="1:11">
      <c r="A1574" s="3" t="s">
        <v>1685</v>
      </c>
      <c r="B1574" s="1" t="s">
        <v>1884</v>
      </c>
      <c r="C1574" s="1" t="s">
        <v>1885</v>
      </c>
      <c r="D1574" s="3" t="s">
        <v>7</v>
      </c>
      <c r="E1574" s="1" t="s">
        <v>647</v>
      </c>
      <c r="F1574" s="5">
        <v>46198.305162037039</v>
      </c>
      <c r="G1574" t="s">
        <v>509</v>
      </c>
      <c r="H1574" t="s">
        <v>941</v>
      </c>
      <c r="I1574" s="3">
        <f>VLOOKUP(G1574,Sheet2!A:J,10,0)</f>
        <v>14</v>
      </c>
      <c r="J1574" s="13"/>
      <c r="K1574" s="13"/>
    </row>
    <row r="1575" spans="1:11">
      <c r="A1575" s="4" t="s">
        <v>1686</v>
      </c>
      <c r="B1575" s="2" t="s">
        <v>1997</v>
      </c>
      <c r="C1575" s="2" t="s">
        <v>1998</v>
      </c>
      <c r="D1575" s="4" t="s">
        <v>7</v>
      </c>
      <c r="E1575" s="2" t="s">
        <v>157</v>
      </c>
      <c r="F1575" s="6">
        <v>46198.312939814816</v>
      </c>
      <c r="G1575" t="s">
        <v>509</v>
      </c>
      <c r="H1575" t="s">
        <v>941</v>
      </c>
      <c r="I1575" s="3">
        <f>VLOOKUP(G1575,Sheet2!A:J,10,0)</f>
        <v>14</v>
      </c>
      <c r="J1575" s="13"/>
      <c r="K1575" s="13"/>
    </row>
    <row r="1576" spans="1:11">
      <c r="A1576" s="3" t="s">
        <v>1687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46174.553715277776</v>
      </c>
      <c r="G1576" t="s">
        <v>509</v>
      </c>
      <c r="H1576" t="s">
        <v>941</v>
      </c>
      <c r="I1576" s="3">
        <f>VLOOKUP(G1576,Sheet2!A:J,10,0)</f>
        <v>14</v>
      </c>
      <c r="J1576" s="13"/>
      <c r="K1576" s="13"/>
    </row>
    <row r="1577" spans="1:11">
      <c r="A1577" s="4" t="s">
        <v>1688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46174.553715277776</v>
      </c>
      <c r="G1577" t="s">
        <v>509</v>
      </c>
      <c r="H1577" t="s">
        <v>941</v>
      </c>
      <c r="I1577" s="3">
        <f>VLOOKUP(G1577,Sheet2!A:J,10,0)</f>
        <v>14</v>
      </c>
      <c r="J1577" s="13"/>
      <c r="K1577" s="13"/>
    </row>
    <row r="1578" spans="1:11">
      <c r="A1578" s="3" t="s">
        <v>1689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46174.553715277776</v>
      </c>
      <c r="G1578" t="s">
        <v>509</v>
      </c>
      <c r="H1578" t="s">
        <v>941</v>
      </c>
      <c r="I1578" s="3">
        <f>VLOOKUP(G1578,Sheet2!A:J,10,0)</f>
        <v>14</v>
      </c>
      <c r="J1578" s="13"/>
      <c r="K1578" s="13"/>
    </row>
    <row r="1579" spans="1:11">
      <c r="A1579" s="4" t="s">
        <v>1690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46174.553715277776</v>
      </c>
      <c r="G1579" t="s">
        <v>509</v>
      </c>
      <c r="H1579" t="s">
        <v>941</v>
      </c>
      <c r="I1579" s="3">
        <f>VLOOKUP(G1579,Sheet2!A:J,10,0)</f>
        <v>14</v>
      </c>
      <c r="J1579" s="13"/>
      <c r="K1579" s="13"/>
    </row>
    <row r="1580" spans="1:11">
      <c r="A1580" s="3" t="s">
        <v>1920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46189.601875</v>
      </c>
      <c r="G1580" t="s">
        <v>966</v>
      </c>
      <c r="H1580" t="s">
        <v>941</v>
      </c>
      <c r="I1580" s="3">
        <f>VLOOKUP(G1580,Sheet2!A:J,10,0)</f>
        <v>25</v>
      </c>
      <c r="J1580" s="13"/>
      <c r="K1580" s="13"/>
    </row>
    <row r="1581" spans="1:11">
      <c r="A1581" s="4" t="s">
        <v>1921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46189.601875</v>
      </c>
      <c r="G1581" t="s">
        <v>966</v>
      </c>
      <c r="H1581" t="s">
        <v>941</v>
      </c>
      <c r="I1581" s="3">
        <f>VLOOKUP(G1581,Sheet2!A:J,10,0)</f>
        <v>25</v>
      </c>
      <c r="J1581" s="13"/>
      <c r="K1581" s="13"/>
    </row>
    <row r="1582" spans="1:11">
      <c r="A1582" s="3" t="s">
        <v>1922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46189.601875</v>
      </c>
      <c r="G1582" t="s">
        <v>966</v>
      </c>
      <c r="H1582" t="s">
        <v>941</v>
      </c>
      <c r="I1582" s="3">
        <f>VLOOKUP(G1582,Sheet2!A:J,10,0)</f>
        <v>25</v>
      </c>
      <c r="J1582" s="13"/>
      <c r="K1582" s="13"/>
    </row>
    <row r="1583" spans="1:11">
      <c r="A1583" s="4" t="s">
        <v>1923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46189.601875</v>
      </c>
      <c r="G1583" t="s">
        <v>966</v>
      </c>
      <c r="H1583" t="s">
        <v>941</v>
      </c>
      <c r="I1583" s="3">
        <f>VLOOKUP(G1583,Sheet2!A:J,10,0)</f>
        <v>25</v>
      </c>
      <c r="J1583" s="13"/>
      <c r="K1583" s="13"/>
    </row>
    <row r="1584" spans="1:11">
      <c r="A1584" s="3" t="s">
        <v>1924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46189.601875</v>
      </c>
      <c r="G1584" t="s">
        <v>966</v>
      </c>
      <c r="H1584" t="s">
        <v>941</v>
      </c>
      <c r="I1584" s="3">
        <f>VLOOKUP(G1584,Sheet2!A:J,10,0)</f>
        <v>25</v>
      </c>
      <c r="J1584" s="13"/>
      <c r="K1584" s="13"/>
    </row>
    <row r="1585" spans="1:11">
      <c r="A1585" s="4" t="s">
        <v>1925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46189.601875</v>
      </c>
      <c r="G1585" t="s">
        <v>966</v>
      </c>
      <c r="H1585" t="s">
        <v>941</v>
      </c>
      <c r="I1585" s="3">
        <f>VLOOKUP(G1585,Sheet2!A:J,10,0)</f>
        <v>25</v>
      </c>
      <c r="J1585" s="13"/>
      <c r="K1585" s="13"/>
    </row>
    <row r="1586" spans="1:11">
      <c r="A1586" s="3" t="s">
        <v>1926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46189.601875</v>
      </c>
      <c r="G1586" t="s">
        <v>966</v>
      </c>
      <c r="H1586" t="s">
        <v>941</v>
      </c>
      <c r="I1586" s="3">
        <f>VLOOKUP(G1586,Sheet2!A:J,10,0)</f>
        <v>25</v>
      </c>
      <c r="J1586" s="13"/>
      <c r="K1586" s="13"/>
    </row>
    <row r="1587" spans="1:11">
      <c r="A1587" s="4" t="s">
        <v>1927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46189.601875</v>
      </c>
      <c r="G1587" t="s">
        <v>966</v>
      </c>
      <c r="H1587" t="s">
        <v>941</v>
      </c>
      <c r="I1587" s="3">
        <f>VLOOKUP(G1587,Sheet2!A:J,10,0)</f>
        <v>25</v>
      </c>
      <c r="J1587" s="13"/>
      <c r="K1587" s="13"/>
    </row>
    <row r="1588" spans="1:11">
      <c r="A1588" s="3" t="s">
        <v>1928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46189.601875</v>
      </c>
      <c r="G1588" t="s">
        <v>966</v>
      </c>
      <c r="H1588" t="s">
        <v>941</v>
      </c>
      <c r="I1588" s="3">
        <f>VLOOKUP(G1588,Sheet2!A:J,10,0)</f>
        <v>25</v>
      </c>
      <c r="J1588" s="13"/>
      <c r="K1588" s="13"/>
    </row>
    <row r="1589" spans="1:11">
      <c r="A1589" s="4" t="s">
        <v>1929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46189.601875</v>
      </c>
      <c r="G1589" t="s">
        <v>966</v>
      </c>
      <c r="H1589" t="s">
        <v>941</v>
      </c>
      <c r="I1589" s="3">
        <f>VLOOKUP(G1589,Sheet2!A:J,10,0)</f>
        <v>25</v>
      </c>
      <c r="J1589" s="13"/>
      <c r="K1589" s="13"/>
    </row>
    <row r="1590" spans="1:11">
      <c r="A1590" s="3" t="s">
        <v>1930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46189.601875</v>
      </c>
      <c r="G1590" t="s">
        <v>966</v>
      </c>
      <c r="H1590" t="s">
        <v>941</v>
      </c>
      <c r="I1590" s="3">
        <f>VLOOKUP(G1590,Sheet2!A:J,10,0)</f>
        <v>25</v>
      </c>
      <c r="J1590" s="13"/>
      <c r="K1590" s="13"/>
    </row>
    <row r="1591" spans="1:11">
      <c r="A1591" s="4" t="s">
        <v>1931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46189.601875</v>
      </c>
      <c r="G1591" t="s">
        <v>966</v>
      </c>
      <c r="H1591" t="s">
        <v>941</v>
      </c>
      <c r="I1591" s="3">
        <f>VLOOKUP(G1591,Sheet2!A:J,10,0)</f>
        <v>25</v>
      </c>
      <c r="J1591" s="13"/>
      <c r="K1591" s="13"/>
    </row>
    <row r="1592" spans="1:11">
      <c r="A1592" s="3" t="s">
        <v>1932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46189.601875</v>
      </c>
      <c r="G1592" t="s">
        <v>966</v>
      </c>
      <c r="H1592" t="s">
        <v>941</v>
      </c>
      <c r="I1592" s="3">
        <f>VLOOKUP(G1592,Sheet2!A:J,10,0)</f>
        <v>25</v>
      </c>
      <c r="J1592" s="13"/>
      <c r="K1592" s="13"/>
    </row>
    <row r="1593" spans="1:11">
      <c r="A1593" s="4" t="s">
        <v>1933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46189.601875</v>
      </c>
      <c r="G1593" t="s">
        <v>966</v>
      </c>
      <c r="H1593" t="s">
        <v>941</v>
      </c>
      <c r="I1593" s="3">
        <f>VLOOKUP(G1593,Sheet2!A:J,10,0)</f>
        <v>25</v>
      </c>
      <c r="J1593" s="13"/>
      <c r="K1593" s="13"/>
    </row>
    <row r="1594" spans="1:11">
      <c r="A1594" s="3" t="s">
        <v>1934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46189.601875</v>
      </c>
      <c r="G1594" t="s">
        <v>966</v>
      </c>
      <c r="H1594" t="s">
        <v>941</v>
      </c>
      <c r="I1594" s="3">
        <f>VLOOKUP(G1594,Sheet2!A:J,10,0)</f>
        <v>25</v>
      </c>
      <c r="J1594" s="13"/>
      <c r="K1594" s="13"/>
    </row>
    <row r="1595" spans="1:11">
      <c r="A1595" s="4" t="s">
        <v>1935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46189.601875</v>
      </c>
      <c r="G1595" t="s">
        <v>966</v>
      </c>
      <c r="H1595" t="s">
        <v>941</v>
      </c>
      <c r="I1595" s="3">
        <f>VLOOKUP(G1595,Sheet2!A:J,10,0)</f>
        <v>25</v>
      </c>
      <c r="J1595" s="13"/>
      <c r="K1595" s="13"/>
    </row>
    <row r="1596" spans="1:11">
      <c r="A1596" s="3" t="s">
        <v>1936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46189.601875</v>
      </c>
      <c r="G1596" t="s">
        <v>966</v>
      </c>
      <c r="H1596" t="s">
        <v>941</v>
      </c>
      <c r="I1596" s="3">
        <f>VLOOKUP(G1596,Sheet2!A:J,10,0)</f>
        <v>25</v>
      </c>
      <c r="J1596" s="13"/>
      <c r="K1596" s="13"/>
    </row>
    <row r="1597" spans="1:11">
      <c r="A1597" s="4" t="s">
        <v>1937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46189.601875</v>
      </c>
      <c r="G1597" t="s">
        <v>966</v>
      </c>
      <c r="H1597" t="s">
        <v>941</v>
      </c>
      <c r="I1597" s="3">
        <f>VLOOKUP(G1597,Sheet2!A:J,10,0)</f>
        <v>25</v>
      </c>
      <c r="J1597" s="13"/>
      <c r="K1597" s="13"/>
    </row>
    <row r="1598" spans="1:11">
      <c r="A1598" s="3" t="s">
        <v>1938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46189.601875</v>
      </c>
      <c r="G1598" t="s">
        <v>966</v>
      </c>
      <c r="H1598" t="s">
        <v>941</v>
      </c>
      <c r="I1598" s="3">
        <f>VLOOKUP(G1598,Sheet2!A:J,10,0)</f>
        <v>25</v>
      </c>
      <c r="J1598" s="13"/>
      <c r="K1598" s="13"/>
    </row>
    <row r="1599" spans="1:11">
      <c r="A1599" s="4" t="s">
        <v>1939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46189.601875</v>
      </c>
      <c r="G1599" t="s">
        <v>966</v>
      </c>
      <c r="H1599" t="s">
        <v>941</v>
      </c>
      <c r="I1599" s="3">
        <f>VLOOKUP(G1599,Sheet2!A:J,10,0)</f>
        <v>25</v>
      </c>
      <c r="J1599" s="13"/>
      <c r="K1599" s="13"/>
    </row>
    <row r="1600" spans="1:11">
      <c r="A1600" s="3" t="s">
        <v>1940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46189.601875</v>
      </c>
      <c r="G1600" t="s">
        <v>966</v>
      </c>
      <c r="H1600" t="s">
        <v>941</v>
      </c>
      <c r="I1600" s="3">
        <f>VLOOKUP(G1600,Sheet2!A:J,10,0)</f>
        <v>25</v>
      </c>
      <c r="J1600" s="13"/>
      <c r="K1600" s="13"/>
    </row>
    <row r="1601" spans="1:11">
      <c r="A1601" s="4" t="s">
        <v>1941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46189.601875</v>
      </c>
      <c r="G1601" t="s">
        <v>966</v>
      </c>
      <c r="H1601" t="s">
        <v>941</v>
      </c>
      <c r="I1601" s="3">
        <f>VLOOKUP(G1601,Sheet2!A:J,10,0)</f>
        <v>25</v>
      </c>
      <c r="J1601" s="13"/>
      <c r="K1601" s="13"/>
    </row>
    <row r="1602" spans="1:11">
      <c r="A1602" s="3" t="s">
        <v>1942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46189.601875</v>
      </c>
      <c r="G1602" t="s">
        <v>966</v>
      </c>
      <c r="H1602" t="s">
        <v>941</v>
      </c>
      <c r="I1602" s="3">
        <f>VLOOKUP(G1602,Sheet2!A:J,10,0)</f>
        <v>25</v>
      </c>
      <c r="J1602" s="13"/>
      <c r="K1602" s="13"/>
    </row>
    <row r="1603" spans="1:11">
      <c r="A1603" s="4" t="s">
        <v>1943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46189.601875</v>
      </c>
      <c r="G1603" t="s">
        <v>966</v>
      </c>
      <c r="H1603" t="s">
        <v>941</v>
      </c>
      <c r="I1603" s="3">
        <f>VLOOKUP(G1603,Sheet2!A:J,10,0)</f>
        <v>25</v>
      </c>
      <c r="J1603" s="13"/>
      <c r="K1603" s="13"/>
    </row>
    <row r="1604" spans="1:11">
      <c r="A1604" s="3" t="s">
        <v>1944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46189.601875</v>
      </c>
      <c r="G1604" t="s">
        <v>966</v>
      </c>
      <c r="H1604" t="s">
        <v>941</v>
      </c>
      <c r="I1604" s="3">
        <f>VLOOKUP(G1604,Sheet2!A:J,10,0)</f>
        <v>25</v>
      </c>
      <c r="J1604" s="13"/>
      <c r="K1604" s="13"/>
    </row>
    <row r="1605" spans="1:11">
      <c r="A1605" s="4" t="s">
        <v>1945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46189.601875</v>
      </c>
      <c r="G1605" t="s">
        <v>966</v>
      </c>
      <c r="H1605" t="s">
        <v>941</v>
      </c>
      <c r="I1605" s="3">
        <f>VLOOKUP(G1605,Sheet2!A:J,10,0)</f>
        <v>25</v>
      </c>
      <c r="J1605" s="13"/>
      <c r="K1605" s="13"/>
    </row>
    <row r="1606" spans="1:11">
      <c r="A1606" s="3" t="s">
        <v>1946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46189.601875</v>
      </c>
      <c r="G1606" t="s">
        <v>966</v>
      </c>
      <c r="H1606" t="s">
        <v>941</v>
      </c>
      <c r="I1606" s="3">
        <f>VLOOKUP(G1606,Sheet2!A:J,10,0)</f>
        <v>25</v>
      </c>
      <c r="J1606" s="13"/>
      <c r="K1606" s="13"/>
    </row>
    <row r="1607" spans="1:11">
      <c r="A1607" s="4" t="s">
        <v>1947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46189.601875</v>
      </c>
      <c r="G1607" t="s">
        <v>966</v>
      </c>
      <c r="H1607" t="s">
        <v>941</v>
      </c>
      <c r="I1607" s="3">
        <f>VLOOKUP(G1607,Sheet2!A:J,10,0)</f>
        <v>25</v>
      </c>
      <c r="J1607" s="13"/>
      <c r="K1607" s="13"/>
    </row>
    <row r="1608" spans="1:11">
      <c r="A1608" s="3" t="s">
        <v>1948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46189.601875</v>
      </c>
      <c r="G1608" t="s">
        <v>966</v>
      </c>
      <c r="H1608" t="s">
        <v>941</v>
      </c>
      <c r="I1608" s="3">
        <f>VLOOKUP(G1608,Sheet2!A:J,10,0)</f>
        <v>25</v>
      </c>
      <c r="J1608" s="13"/>
      <c r="K1608" s="13"/>
    </row>
    <row r="1609" spans="1:11">
      <c r="A1609" s="4" t="s">
        <v>1949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46189.601875</v>
      </c>
      <c r="G1609" t="s">
        <v>966</v>
      </c>
      <c r="H1609" t="s">
        <v>941</v>
      </c>
      <c r="I1609" s="3">
        <f>VLOOKUP(G1609,Sheet2!A:J,10,0)</f>
        <v>25</v>
      </c>
      <c r="J1609" s="13"/>
      <c r="K1609" s="13"/>
    </row>
    <row r="1610" spans="1:11">
      <c r="A1610" s="3" t="s">
        <v>1950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46189.601875</v>
      </c>
      <c r="G1610" t="s">
        <v>966</v>
      </c>
      <c r="H1610" t="s">
        <v>941</v>
      </c>
      <c r="I1610" s="3">
        <f>VLOOKUP(G1610,Sheet2!A:J,10,0)</f>
        <v>25</v>
      </c>
      <c r="J1610" s="13"/>
      <c r="K1610" s="13"/>
    </row>
    <row r="1611" spans="1:11">
      <c r="A1611" s="4" t="s">
        <v>1951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46189.601875</v>
      </c>
      <c r="G1611" t="s">
        <v>966</v>
      </c>
      <c r="H1611" t="s">
        <v>941</v>
      </c>
      <c r="I1611" s="3">
        <f>VLOOKUP(G1611,Sheet2!A:J,10,0)</f>
        <v>25</v>
      </c>
      <c r="J1611" s="13"/>
      <c r="K1611" s="13"/>
    </row>
    <row r="1612" spans="1:11">
      <c r="A1612" s="3" t="s">
        <v>1952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46189.601875</v>
      </c>
      <c r="G1612" t="s">
        <v>966</v>
      </c>
      <c r="H1612" t="s">
        <v>941</v>
      </c>
      <c r="I1612" s="3">
        <f>VLOOKUP(G1612,Sheet2!A:J,10,0)</f>
        <v>25</v>
      </c>
      <c r="J1612" s="13"/>
      <c r="K1612" s="13"/>
    </row>
    <row r="1613" spans="1:11">
      <c r="A1613" s="4" t="s">
        <v>1953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46189.601875</v>
      </c>
      <c r="G1613" t="s">
        <v>966</v>
      </c>
      <c r="H1613" t="s">
        <v>941</v>
      </c>
      <c r="I1613" s="3">
        <f>VLOOKUP(G1613,Sheet2!A:J,10,0)</f>
        <v>25</v>
      </c>
      <c r="J1613" s="13"/>
      <c r="K1613" s="13"/>
    </row>
    <row r="1614" spans="1:11">
      <c r="A1614" s="3" t="s">
        <v>1954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46189.601875</v>
      </c>
      <c r="G1614" t="s">
        <v>966</v>
      </c>
      <c r="H1614" t="s">
        <v>941</v>
      </c>
      <c r="I1614" s="3">
        <f>VLOOKUP(G1614,Sheet2!A:J,10,0)</f>
        <v>25</v>
      </c>
      <c r="J1614" s="13"/>
      <c r="K1614" s="13"/>
    </row>
    <row r="1615" spans="1:11">
      <c r="A1615" s="4" t="s">
        <v>1955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46189.601875</v>
      </c>
      <c r="G1615" t="s">
        <v>966</v>
      </c>
      <c r="H1615" t="s">
        <v>941</v>
      </c>
      <c r="I1615" s="3">
        <f>VLOOKUP(G1615,Sheet2!A:J,10,0)</f>
        <v>25</v>
      </c>
      <c r="J1615" s="13"/>
      <c r="K1615" s="13"/>
    </row>
    <row r="1616" spans="1:11">
      <c r="A1616" s="3" t="s">
        <v>1956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46189.601875</v>
      </c>
      <c r="G1616" t="s">
        <v>966</v>
      </c>
      <c r="H1616" t="s">
        <v>941</v>
      </c>
      <c r="I1616" s="3">
        <f>VLOOKUP(G1616,Sheet2!A:J,10,0)</f>
        <v>25</v>
      </c>
      <c r="J1616" s="13"/>
      <c r="K1616" s="13"/>
    </row>
    <row r="1617" spans="1:11">
      <c r="A1617" s="4" t="s">
        <v>1957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46189.601875</v>
      </c>
      <c r="G1617" t="s">
        <v>966</v>
      </c>
      <c r="H1617" t="s">
        <v>941</v>
      </c>
      <c r="I1617" s="3">
        <f>VLOOKUP(G1617,Sheet2!A:J,10,0)</f>
        <v>25</v>
      </c>
      <c r="J1617" s="13"/>
      <c r="K1617" s="13"/>
    </row>
    <row r="1618" spans="1:11">
      <c r="A1618" s="3" t="s">
        <v>1958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46189.601875</v>
      </c>
      <c r="G1618" t="s">
        <v>966</v>
      </c>
      <c r="H1618" t="s">
        <v>941</v>
      </c>
      <c r="I1618" s="3">
        <f>VLOOKUP(G1618,Sheet2!A:J,10,0)</f>
        <v>25</v>
      </c>
      <c r="J1618" s="13"/>
      <c r="K1618" s="13"/>
    </row>
    <row r="1619" spans="1:11">
      <c r="A1619" s="4" t="s">
        <v>1959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46189.601875</v>
      </c>
      <c r="G1619" t="s">
        <v>966</v>
      </c>
      <c r="H1619" t="s">
        <v>941</v>
      </c>
      <c r="I1619" s="3">
        <f>VLOOKUP(G1619,Sheet2!A:J,10,0)</f>
        <v>25</v>
      </c>
      <c r="J1619" s="13"/>
      <c r="K1619" s="13"/>
    </row>
    <row r="1620" spans="1:11">
      <c r="A1620" s="3" t="s">
        <v>1960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46189.601875</v>
      </c>
      <c r="G1620" t="s">
        <v>966</v>
      </c>
      <c r="H1620" t="s">
        <v>941</v>
      </c>
      <c r="I1620" s="3">
        <f>VLOOKUP(G1620,Sheet2!A:J,10,0)</f>
        <v>25</v>
      </c>
      <c r="J1620" s="13"/>
      <c r="K1620" s="13"/>
    </row>
    <row r="1621" spans="1:11">
      <c r="A1621" s="4" t="s">
        <v>1961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46189.601875</v>
      </c>
      <c r="G1621" t="s">
        <v>966</v>
      </c>
      <c r="H1621" t="s">
        <v>941</v>
      </c>
      <c r="I1621" s="3">
        <f>VLOOKUP(G1621,Sheet2!A:J,10,0)</f>
        <v>25</v>
      </c>
      <c r="J1621" s="13"/>
      <c r="K1621" s="13"/>
    </row>
    <row r="1622" spans="1:11">
      <c r="A1622" s="3" t="s">
        <v>1962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46189.601875</v>
      </c>
      <c r="G1622" t="s">
        <v>966</v>
      </c>
      <c r="H1622" t="s">
        <v>941</v>
      </c>
      <c r="I1622" s="3">
        <f>VLOOKUP(G1622,Sheet2!A:J,10,0)</f>
        <v>25</v>
      </c>
      <c r="J1622" s="13"/>
      <c r="K1622" s="13"/>
    </row>
    <row r="1623" spans="1:11">
      <c r="A1623" s="4" t="s">
        <v>1963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46189.601875</v>
      </c>
      <c r="G1623" t="s">
        <v>966</v>
      </c>
      <c r="H1623" t="s">
        <v>941</v>
      </c>
      <c r="I1623" s="3">
        <f>VLOOKUP(G1623,Sheet2!A:J,10,0)</f>
        <v>25</v>
      </c>
      <c r="J1623" s="13"/>
      <c r="K1623" s="13"/>
    </row>
    <row r="1624" spans="1:11">
      <c r="A1624" s="3" t="s">
        <v>1964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46189.601875</v>
      </c>
      <c r="G1624" t="s">
        <v>966</v>
      </c>
      <c r="H1624" t="s">
        <v>941</v>
      </c>
      <c r="I1624" s="3">
        <f>VLOOKUP(G1624,Sheet2!A:J,10,0)</f>
        <v>25</v>
      </c>
      <c r="J1624" s="13"/>
      <c r="K1624" s="13"/>
    </row>
    <row r="1625" spans="1:11">
      <c r="A1625" s="4" t="s">
        <v>1965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46189.601875</v>
      </c>
      <c r="G1625" t="s">
        <v>966</v>
      </c>
      <c r="H1625" t="s">
        <v>941</v>
      </c>
      <c r="I1625" s="3">
        <f>VLOOKUP(G1625,Sheet2!A:J,10,0)</f>
        <v>25</v>
      </c>
      <c r="J1625" s="13"/>
      <c r="K1625" s="13"/>
    </row>
    <row r="1626" spans="1:11">
      <c r="A1626" s="3" t="s">
        <v>1966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46189.601875</v>
      </c>
      <c r="G1626" t="s">
        <v>966</v>
      </c>
      <c r="H1626" t="s">
        <v>941</v>
      </c>
      <c r="I1626" s="3">
        <f>VLOOKUP(G1626,Sheet2!A:J,10,0)</f>
        <v>25</v>
      </c>
      <c r="J1626" s="13"/>
      <c r="K1626" s="13"/>
    </row>
    <row r="1627" spans="1:11">
      <c r="A1627" s="3" t="s">
        <v>1248</v>
      </c>
      <c r="B1627" s="1" t="s">
        <v>98</v>
      </c>
      <c r="C1627" s="1" t="s">
        <v>99</v>
      </c>
      <c r="D1627" s="3" t="s">
        <v>7</v>
      </c>
      <c r="E1627" s="1" t="s">
        <v>100</v>
      </c>
      <c r="F1627" s="5">
        <v>46171.296516203707</v>
      </c>
      <c r="G1627" t="s">
        <v>960</v>
      </c>
      <c r="H1627" t="s">
        <v>941</v>
      </c>
      <c r="I1627" s="3">
        <f>VLOOKUP(G1627,Sheet2!A:J,10,0)</f>
        <v>26</v>
      </c>
      <c r="J1627" s="13"/>
      <c r="K1627" s="13">
        <v>46170</v>
      </c>
    </row>
    <row r="1628" spans="1:11">
      <c r="A1628" s="4" t="s">
        <v>1249</v>
      </c>
      <c r="B1628" s="2" t="s">
        <v>98</v>
      </c>
      <c r="C1628" s="2" t="s">
        <v>99</v>
      </c>
      <c r="D1628" s="4" t="s">
        <v>7</v>
      </c>
      <c r="E1628" s="2" t="s">
        <v>100</v>
      </c>
      <c r="F1628" s="6">
        <v>46174.462164351855</v>
      </c>
      <c r="G1628" t="s">
        <v>960</v>
      </c>
      <c r="H1628" t="s">
        <v>941</v>
      </c>
      <c r="I1628" s="3">
        <f>VLOOKUP(G1628,Sheet2!A:J,10,0)</f>
        <v>26</v>
      </c>
      <c r="J1628" s="13"/>
      <c r="K1628" s="13">
        <v>46177</v>
      </c>
    </row>
    <row r="1629" spans="1:11">
      <c r="A1629" s="3" t="s">
        <v>1250</v>
      </c>
      <c r="B1629" s="1" t="s">
        <v>98</v>
      </c>
      <c r="C1629" s="1" t="s">
        <v>99</v>
      </c>
      <c r="D1629" s="3" t="s">
        <v>7</v>
      </c>
      <c r="E1629" s="1" t="s">
        <v>100</v>
      </c>
      <c r="F1629" s="5">
        <v>46171.296817129631</v>
      </c>
      <c r="G1629" t="s">
        <v>960</v>
      </c>
      <c r="H1629" t="s">
        <v>941</v>
      </c>
      <c r="I1629" s="3">
        <f>VLOOKUP(G1629,Sheet2!A:J,10,0)</f>
        <v>26</v>
      </c>
      <c r="J1629" s="13"/>
      <c r="K1629" s="13">
        <v>46170</v>
      </c>
    </row>
    <row r="1630" spans="1:11">
      <c r="A1630" s="4" t="s">
        <v>1251</v>
      </c>
      <c r="B1630" s="2" t="s">
        <v>98</v>
      </c>
      <c r="C1630" s="2" t="s">
        <v>99</v>
      </c>
      <c r="D1630" s="4" t="s">
        <v>7</v>
      </c>
      <c r="E1630" s="2" t="s">
        <v>100</v>
      </c>
      <c r="F1630" s="6">
        <v>46171.297071759262</v>
      </c>
      <c r="G1630" t="s">
        <v>960</v>
      </c>
      <c r="H1630" t="s">
        <v>941</v>
      </c>
      <c r="I1630" s="3">
        <f>VLOOKUP(G1630,Sheet2!A:J,10,0)</f>
        <v>26</v>
      </c>
      <c r="J1630" s="13"/>
      <c r="K1630" s="13">
        <v>46170</v>
      </c>
    </row>
    <row r="1631" spans="1:11">
      <c r="A1631" s="3" t="s">
        <v>1252</v>
      </c>
      <c r="B1631" s="1" t="s">
        <v>98</v>
      </c>
      <c r="C1631" s="1" t="s">
        <v>99</v>
      </c>
      <c r="D1631" s="3" t="s">
        <v>7</v>
      </c>
      <c r="E1631" s="1" t="s">
        <v>100</v>
      </c>
      <c r="F1631" s="5">
        <v>46174.463356481479</v>
      </c>
      <c r="G1631" t="s">
        <v>960</v>
      </c>
      <c r="H1631" t="s">
        <v>941</v>
      </c>
      <c r="I1631" s="3">
        <f>VLOOKUP(G1631,Sheet2!A:J,10,0)</f>
        <v>26</v>
      </c>
      <c r="J1631" s="13"/>
      <c r="K1631" s="13">
        <v>46177</v>
      </c>
    </row>
    <row r="1632" spans="1:11">
      <c r="A1632" s="4" t="s">
        <v>1253</v>
      </c>
      <c r="B1632" s="2" t="s">
        <v>98</v>
      </c>
      <c r="C1632" s="2" t="s">
        <v>99</v>
      </c>
      <c r="D1632" s="4" t="s">
        <v>7</v>
      </c>
      <c r="E1632" s="2" t="s">
        <v>100</v>
      </c>
      <c r="F1632" s="6">
        <v>46174.456157407411</v>
      </c>
      <c r="G1632" t="s">
        <v>960</v>
      </c>
      <c r="H1632" t="s">
        <v>941</v>
      </c>
      <c r="I1632" s="3">
        <f>VLOOKUP(G1632,Sheet2!A:J,10,0)</f>
        <v>26</v>
      </c>
      <c r="J1632" s="13"/>
      <c r="K1632" s="13">
        <v>46171</v>
      </c>
    </row>
    <row r="1633" spans="1:11">
      <c r="A1633" s="3" t="s">
        <v>1254</v>
      </c>
      <c r="B1633" s="1" t="s">
        <v>98</v>
      </c>
      <c r="C1633" s="1" t="s">
        <v>99</v>
      </c>
      <c r="D1633" s="3" t="s">
        <v>7</v>
      </c>
      <c r="E1633" s="1" t="s">
        <v>100</v>
      </c>
      <c r="F1633" s="5">
        <v>46174.465891203705</v>
      </c>
      <c r="G1633" t="s">
        <v>960</v>
      </c>
      <c r="H1633" t="s">
        <v>941</v>
      </c>
      <c r="I1633" s="3">
        <f>VLOOKUP(G1633,Sheet2!A:J,10,0)</f>
        <v>26</v>
      </c>
      <c r="J1633" s="13"/>
      <c r="K1633" s="13">
        <v>46171</v>
      </c>
    </row>
    <row r="1634" spans="1:11">
      <c r="A1634" s="4" t="s">
        <v>1255</v>
      </c>
      <c r="B1634" s="2" t="s">
        <v>98</v>
      </c>
      <c r="C1634" s="2" t="s">
        <v>99</v>
      </c>
      <c r="D1634" s="4" t="s">
        <v>7</v>
      </c>
      <c r="E1634" s="2" t="s">
        <v>100</v>
      </c>
      <c r="F1634" s="6">
        <v>46171.29409722222</v>
      </c>
      <c r="G1634" t="s">
        <v>960</v>
      </c>
      <c r="H1634" t="s">
        <v>941</v>
      </c>
      <c r="I1634" s="3">
        <f>VLOOKUP(G1634,Sheet2!A:J,10,0)</f>
        <v>26</v>
      </c>
      <c r="J1634" s="13"/>
      <c r="K1634" s="13">
        <v>46170</v>
      </c>
    </row>
    <row r="1635" spans="1:11">
      <c r="A1635" s="3" t="s">
        <v>1256</v>
      </c>
      <c r="B1635" s="1" t="s">
        <v>98</v>
      </c>
      <c r="C1635" s="1" t="s">
        <v>99</v>
      </c>
      <c r="D1635" s="3" t="s">
        <v>7</v>
      </c>
      <c r="E1635" s="1" t="s">
        <v>100</v>
      </c>
      <c r="F1635" s="5">
        <v>46174.466435185182</v>
      </c>
      <c r="G1635" t="s">
        <v>960</v>
      </c>
      <c r="H1635" t="s">
        <v>941</v>
      </c>
      <c r="I1635" s="3">
        <f>VLOOKUP(G1635,Sheet2!A:J,10,0)</f>
        <v>26</v>
      </c>
      <c r="J1635" s="13"/>
      <c r="K1635" s="13">
        <v>46171</v>
      </c>
    </row>
    <row r="1636" spans="1:11">
      <c r="A1636" s="4" t="s">
        <v>1257</v>
      </c>
      <c r="B1636" s="2" t="s">
        <v>98</v>
      </c>
      <c r="C1636" s="2" t="s">
        <v>99</v>
      </c>
      <c r="D1636" s="4" t="s">
        <v>7</v>
      </c>
      <c r="E1636" s="2" t="s">
        <v>100</v>
      </c>
      <c r="F1636" s="6">
        <v>46174.467326388891</v>
      </c>
      <c r="G1636" t="s">
        <v>960</v>
      </c>
      <c r="H1636" t="s">
        <v>941</v>
      </c>
      <c r="I1636" s="3">
        <f>VLOOKUP(G1636,Sheet2!A:J,10,0)</f>
        <v>26</v>
      </c>
      <c r="J1636" s="13"/>
      <c r="K1636" s="13">
        <v>46171</v>
      </c>
    </row>
    <row r="1637" spans="1:11">
      <c r="A1637" s="3" t="s">
        <v>1258</v>
      </c>
      <c r="B1637" s="1" t="s">
        <v>98</v>
      </c>
      <c r="C1637" s="1" t="s">
        <v>99</v>
      </c>
      <c r="D1637" s="3" t="s">
        <v>7</v>
      </c>
      <c r="E1637" s="1" t="s">
        <v>100</v>
      </c>
      <c r="F1637" s="5">
        <v>46189.359837962962</v>
      </c>
      <c r="G1637" t="s">
        <v>960</v>
      </c>
      <c r="H1637" t="s">
        <v>941</v>
      </c>
      <c r="I1637" s="3">
        <f>VLOOKUP(G1637,Sheet2!A:J,10,0)</f>
        <v>26</v>
      </c>
      <c r="J1637" s="13"/>
      <c r="K1637" s="13">
        <v>46191</v>
      </c>
    </row>
    <row r="1638" spans="1:11">
      <c r="A1638" s="3" t="s">
        <v>907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46176.411412037036</v>
      </c>
      <c r="G1638" t="s">
        <v>705</v>
      </c>
      <c r="H1638" t="s">
        <v>703</v>
      </c>
      <c r="I1638" s="3">
        <f>VLOOKUP(G1638,Sheet2!A:J,10,0)</f>
        <v>19</v>
      </c>
      <c r="J1638" s="13"/>
      <c r="K1638" s="13">
        <v>46157</v>
      </c>
    </row>
    <row r="1639" spans="1:11">
      <c r="A1639" s="4" t="s">
        <v>908</v>
      </c>
      <c r="B1639" s="2" t="s">
        <v>98</v>
      </c>
      <c r="C1639" s="2" t="s">
        <v>99</v>
      </c>
      <c r="D1639" s="4" t="s">
        <v>7</v>
      </c>
      <c r="E1639" s="2" t="s">
        <v>100</v>
      </c>
      <c r="F1639" s="6">
        <v>46183.39503472222</v>
      </c>
      <c r="G1639" t="s">
        <v>705</v>
      </c>
      <c r="H1639" t="s">
        <v>703</v>
      </c>
      <c r="I1639" s="3">
        <f>VLOOKUP(G1639,Sheet2!A:J,10,0)</f>
        <v>19</v>
      </c>
      <c r="J1639" s="13"/>
      <c r="K1639" s="13"/>
    </row>
    <row r="1640" spans="1:11">
      <c r="A1640" s="3" t="s">
        <v>909</v>
      </c>
      <c r="B1640" s="1" t="s">
        <v>98</v>
      </c>
      <c r="C1640" s="1" t="s">
        <v>99</v>
      </c>
      <c r="D1640" s="3" t="s">
        <v>7</v>
      </c>
      <c r="E1640" s="1" t="s">
        <v>100</v>
      </c>
      <c r="F1640" s="5">
        <v>46183.387731481482</v>
      </c>
      <c r="G1640" t="s">
        <v>705</v>
      </c>
      <c r="H1640" t="s">
        <v>703</v>
      </c>
      <c r="I1640" s="3">
        <f>VLOOKUP(G1640,Sheet2!A:J,10,0)</f>
        <v>19</v>
      </c>
      <c r="J1640" s="13"/>
      <c r="K1640" s="13"/>
    </row>
    <row r="1641" spans="1:11">
      <c r="A1641" s="4" t="s">
        <v>910</v>
      </c>
      <c r="B1641" s="2" t="s">
        <v>98</v>
      </c>
      <c r="C1641" s="2" t="s">
        <v>99</v>
      </c>
      <c r="D1641" s="4" t="s">
        <v>7</v>
      </c>
      <c r="E1641" s="2" t="s">
        <v>100</v>
      </c>
      <c r="F1641" s="6">
        <v>46176.412314814814</v>
      </c>
      <c r="G1641" t="s">
        <v>705</v>
      </c>
      <c r="H1641" t="s">
        <v>703</v>
      </c>
      <c r="I1641" s="3">
        <f>VLOOKUP(G1641,Sheet2!A:J,10,0)</f>
        <v>19</v>
      </c>
      <c r="J1641" s="13"/>
      <c r="K1641" s="13">
        <v>46157</v>
      </c>
    </row>
    <row r="1642" spans="1:11">
      <c r="A1642" s="3" t="s">
        <v>911</v>
      </c>
      <c r="B1642" s="1" t="s">
        <v>98</v>
      </c>
      <c r="C1642" s="1" t="s">
        <v>99</v>
      </c>
      <c r="D1642" s="3" t="s">
        <v>7</v>
      </c>
      <c r="E1642" s="1" t="s">
        <v>100</v>
      </c>
      <c r="F1642" s="5">
        <v>46176.412974537037</v>
      </c>
      <c r="G1642" t="s">
        <v>705</v>
      </c>
      <c r="H1642" t="s">
        <v>703</v>
      </c>
      <c r="I1642" s="3">
        <f>VLOOKUP(G1642,Sheet2!A:J,10,0)</f>
        <v>19</v>
      </c>
      <c r="J1642" s="13"/>
      <c r="K1642" s="13">
        <v>46157</v>
      </c>
    </row>
    <row r="1643" spans="1:11">
      <c r="A1643" s="4" t="s">
        <v>912</v>
      </c>
      <c r="B1643" s="2" t="s">
        <v>98</v>
      </c>
      <c r="C1643" s="2" t="s">
        <v>99</v>
      </c>
      <c r="D1643" s="4" t="s">
        <v>7</v>
      </c>
      <c r="E1643" s="2" t="s">
        <v>100</v>
      </c>
      <c r="F1643" s="6">
        <v>46176.413645833331</v>
      </c>
      <c r="G1643" t="s">
        <v>705</v>
      </c>
      <c r="H1643" t="s">
        <v>703</v>
      </c>
      <c r="I1643" s="3">
        <f>VLOOKUP(G1643,Sheet2!A:J,10,0)</f>
        <v>19</v>
      </c>
      <c r="J1643" s="13"/>
      <c r="K1643" s="13">
        <v>46157</v>
      </c>
    </row>
    <row r="1644" spans="1:11">
      <c r="A1644" s="3" t="s">
        <v>913</v>
      </c>
      <c r="B1644" s="1" t="s">
        <v>98</v>
      </c>
      <c r="C1644" s="1" t="s">
        <v>99</v>
      </c>
      <c r="D1644" s="3" t="s">
        <v>7</v>
      </c>
      <c r="E1644" s="1" t="s">
        <v>100</v>
      </c>
      <c r="F1644" s="5">
        <v>46176.414212962962</v>
      </c>
      <c r="G1644" t="s">
        <v>705</v>
      </c>
      <c r="H1644" t="s">
        <v>703</v>
      </c>
      <c r="I1644" s="3">
        <f>VLOOKUP(G1644,Sheet2!A:J,10,0)</f>
        <v>19</v>
      </c>
      <c r="J1644" s="13"/>
      <c r="K1644" s="13">
        <v>46157</v>
      </c>
    </row>
    <row r="1645" spans="1:11">
      <c r="A1645" s="4" t="s">
        <v>914</v>
      </c>
      <c r="B1645" s="2" t="s">
        <v>98</v>
      </c>
      <c r="C1645" s="2" t="s">
        <v>99</v>
      </c>
      <c r="D1645" s="4" t="s">
        <v>7</v>
      </c>
      <c r="E1645" s="2" t="s">
        <v>100</v>
      </c>
      <c r="F1645" s="6">
        <v>46183.395520833335</v>
      </c>
      <c r="G1645" t="s">
        <v>705</v>
      </c>
      <c r="H1645" t="s">
        <v>703</v>
      </c>
      <c r="I1645" s="3">
        <f>VLOOKUP(G1645,Sheet2!A:J,10,0)</f>
        <v>19</v>
      </c>
      <c r="J1645" s="13"/>
      <c r="K1645" s="13">
        <v>46174</v>
      </c>
    </row>
    <row r="1646" spans="1:11">
      <c r="A1646" s="3" t="s">
        <v>915</v>
      </c>
      <c r="B1646" s="1" t="s">
        <v>98</v>
      </c>
      <c r="C1646" s="1" t="s">
        <v>99</v>
      </c>
      <c r="D1646" s="3" t="s">
        <v>7</v>
      </c>
      <c r="E1646" s="1" t="s">
        <v>100</v>
      </c>
      <c r="F1646" s="5">
        <v>46183.386921296296</v>
      </c>
      <c r="G1646" t="s">
        <v>705</v>
      </c>
      <c r="H1646" t="s">
        <v>703</v>
      </c>
      <c r="I1646" s="3">
        <f>VLOOKUP(G1646,Sheet2!A:J,10,0)</f>
        <v>19</v>
      </c>
      <c r="J1646" s="13"/>
      <c r="K1646" s="13">
        <v>46157</v>
      </c>
    </row>
    <row r="1647" spans="1:11">
      <c r="A1647" s="4" t="s">
        <v>916</v>
      </c>
      <c r="B1647" s="2" t="s">
        <v>98</v>
      </c>
      <c r="C1647" s="2" t="s">
        <v>99</v>
      </c>
      <c r="D1647" s="4" t="s">
        <v>7</v>
      </c>
      <c r="E1647" s="2" t="s">
        <v>100</v>
      </c>
      <c r="F1647" s="6">
        <v>46183.396145833336</v>
      </c>
      <c r="G1647" t="s">
        <v>705</v>
      </c>
      <c r="H1647" t="s">
        <v>703</v>
      </c>
      <c r="I1647" s="3">
        <f>VLOOKUP(G1647,Sheet2!A:J,10,0)</f>
        <v>19</v>
      </c>
      <c r="J1647" s="13"/>
      <c r="K1647" s="13">
        <v>46174</v>
      </c>
    </row>
    <row r="1648" spans="1:11">
      <c r="A1648" s="3" t="s">
        <v>917</v>
      </c>
      <c r="B1648" s="1" t="s">
        <v>98</v>
      </c>
      <c r="C1648" s="1" t="s">
        <v>99</v>
      </c>
      <c r="D1648" s="3" t="s">
        <v>7</v>
      </c>
      <c r="E1648" s="1" t="s">
        <v>100</v>
      </c>
      <c r="F1648" s="5">
        <v>46183.400254629632</v>
      </c>
      <c r="G1648" t="s">
        <v>705</v>
      </c>
      <c r="H1648" t="s">
        <v>703</v>
      </c>
      <c r="I1648" s="3">
        <f>VLOOKUP(G1648,Sheet2!A:J,10,0)</f>
        <v>19</v>
      </c>
      <c r="J1648" s="13"/>
      <c r="K1648" s="13">
        <v>46174</v>
      </c>
    </row>
    <row r="1649" spans="1:11">
      <c r="A1649" s="4" t="s">
        <v>918</v>
      </c>
      <c r="B1649" s="2" t="s">
        <v>98</v>
      </c>
      <c r="C1649" s="2" t="s">
        <v>99</v>
      </c>
      <c r="D1649" s="4" t="s">
        <v>7</v>
      </c>
      <c r="E1649" s="2" t="s">
        <v>100</v>
      </c>
      <c r="F1649" s="6">
        <v>46183.404143518521</v>
      </c>
      <c r="G1649" t="s">
        <v>705</v>
      </c>
      <c r="H1649" t="s">
        <v>703</v>
      </c>
      <c r="I1649" s="3">
        <f>VLOOKUP(G1649,Sheet2!A:J,10,0)</f>
        <v>19</v>
      </c>
      <c r="J1649" s="13"/>
      <c r="K1649" s="13">
        <v>46174</v>
      </c>
    </row>
    <row r="1650" spans="1:11">
      <c r="A1650" s="3" t="s">
        <v>919</v>
      </c>
      <c r="B1650" s="1" t="s">
        <v>98</v>
      </c>
      <c r="C1650" s="1" t="s">
        <v>99</v>
      </c>
      <c r="D1650" s="3" t="s">
        <v>7</v>
      </c>
      <c r="E1650" s="1" t="s">
        <v>100</v>
      </c>
      <c r="F1650" s="5">
        <v>46183.40452546296</v>
      </c>
      <c r="G1650" t="s">
        <v>705</v>
      </c>
      <c r="H1650" t="s">
        <v>703</v>
      </c>
      <c r="I1650" s="3">
        <f>VLOOKUP(G1650,Sheet2!A:J,10,0)</f>
        <v>19</v>
      </c>
      <c r="J1650" s="13"/>
      <c r="K1650" s="13">
        <v>46174</v>
      </c>
    </row>
    <row r="1651" spans="1:11">
      <c r="A1651" s="4" t="s">
        <v>920</v>
      </c>
      <c r="B1651" s="2" t="s">
        <v>98</v>
      </c>
      <c r="C1651" s="2" t="s">
        <v>99</v>
      </c>
      <c r="D1651" s="4" t="s">
        <v>7</v>
      </c>
      <c r="E1651" s="2" t="s">
        <v>100</v>
      </c>
      <c r="F1651" s="6">
        <v>46183.405034722222</v>
      </c>
      <c r="G1651" t="s">
        <v>705</v>
      </c>
      <c r="H1651" t="s">
        <v>703</v>
      </c>
      <c r="I1651" s="3">
        <f>VLOOKUP(G1651,Sheet2!A:J,10,0)</f>
        <v>19</v>
      </c>
      <c r="J1651" s="13"/>
      <c r="K1651" s="13">
        <v>46174</v>
      </c>
    </row>
    <row r="1652" spans="1:11">
      <c r="A1652" s="3" t="s">
        <v>921</v>
      </c>
      <c r="B1652" s="1" t="s">
        <v>98</v>
      </c>
      <c r="C1652" s="1" t="s">
        <v>99</v>
      </c>
      <c r="D1652" s="3" t="s">
        <v>7</v>
      </c>
      <c r="E1652" s="1" t="s">
        <v>100</v>
      </c>
      <c r="F1652" s="5">
        <v>46176.279849537037</v>
      </c>
      <c r="G1652" t="s">
        <v>706</v>
      </c>
      <c r="H1652" t="s">
        <v>704</v>
      </c>
      <c r="I1652" s="3">
        <f>VLOOKUP(G1652,Sheet2!A:J,10,0)</f>
        <v>20</v>
      </c>
      <c r="J1652" s="13"/>
      <c r="K1652" s="13"/>
    </row>
    <row r="1653" spans="1:11">
      <c r="A1653" s="4" t="s">
        <v>922</v>
      </c>
      <c r="B1653" s="2" t="s">
        <v>98</v>
      </c>
      <c r="C1653" s="2" t="s">
        <v>99</v>
      </c>
      <c r="D1653" s="4" t="s">
        <v>7</v>
      </c>
      <c r="E1653" s="2" t="s">
        <v>100</v>
      </c>
      <c r="F1653" s="6">
        <v>46183.410902777781</v>
      </c>
      <c r="G1653" t="s">
        <v>706</v>
      </c>
      <c r="H1653" t="s">
        <v>704</v>
      </c>
      <c r="I1653" s="3">
        <f>VLOOKUP(G1653,Sheet2!A:J,10,0)</f>
        <v>20</v>
      </c>
      <c r="J1653" s="13"/>
      <c r="K1653" s="13">
        <v>46157</v>
      </c>
    </row>
    <row r="1654" spans="1:11">
      <c r="A1654" s="3" t="s">
        <v>923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46183.41134259259</v>
      </c>
      <c r="G1654" t="s">
        <v>706</v>
      </c>
      <c r="H1654" t="s">
        <v>704</v>
      </c>
      <c r="I1654" s="3">
        <f>VLOOKUP(G1654,Sheet2!A:J,10,0)</f>
        <v>20</v>
      </c>
      <c r="J1654" s="13"/>
      <c r="K1654" s="13">
        <v>46157</v>
      </c>
    </row>
    <row r="1655" spans="1:11">
      <c r="A1655" s="4" t="s">
        <v>924</v>
      </c>
      <c r="B1655" s="2" t="s">
        <v>98</v>
      </c>
      <c r="C1655" s="2" t="s">
        <v>99</v>
      </c>
      <c r="D1655" s="4" t="s">
        <v>7</v>
      </c>
      <c r="E1655" s="2" t="s">
        <v>100</v>
      </c>
      <c r="F1655" s="6">
        <v>46183.411759259259</v>
      </c>
      <c r="G1655" t="s">
        <v>706</v>
      </c>
      <c r="H1655" t="s">
        <v>704</v>
      </c>
      <c r="I1655" s="3">
        <f>VLOOKUP(G1655,Sheet2!A:J,10,0)</f>
        <v>20</v>
      </c>
      <c r="J1655" s="13"/>
      <c r="K1655" s="13">
        <v>46157</v>
      </c>
    </row>
    <row r="1656" spans="1:11">
      <c r="A1656" s="3" t="s">
        <v>925</v>
      </c>
      <c r="B1656" s="1" t="s">
        <v>98</v>
      </c>
      <c r="C1656" s="1" t="s">
        <v>99</v>
      </c>
      <c r="D1656" s="3" t="s">
        <v>7</v>
      </c>
      <c r="E1656" s="1" t="s">
        <v>100</v>
      </c>
      <c r="F1656" s="5">
        <v>46183.412175925929</v>
      </c>
      <c r="G1656" t="s">
        <v>706</v>
      </c>
      <c r="H1656" t="s">
        <v>704</v>
      </c>
      <c r="I1656" s="3">
        <f>VLOOKUP(G1656,Sheet2!A:J,10,0)</f>
        <v>20</v>
      </c>
      <c r="J1656" s="13"/>
      <c r="K1656" s="13">
        <v>46157</v>
      </c>
    </row>
    <row r="1657" spans="1:11">
      <c r="A1657" s="4" t="s">
        <v>926</v>
      </c>
      <c r="B1657" s="2" t="s">
        <v>98</v>
      </c>
      <c r="C1657" s="2" t="s">
        <v>99</v>
      </c>
      <c r="D1657" s="4" t="s">
        <v>7</v>
      </c>
      <c r="E1657" s="2" t="s">
        <v>100</v>
      </c>
      <c r="F1657" s="6">
        <v>46183.406215277777</v>
      </c>
      <c r="G1657" t="s">
        <v>706</v>
      </c>
      <c r="H1657" t="s">
        <v>704</v>
      </c>
      <c r="I1657" s="3">
        <f>VLOOKUP(G1657,Sheet2!A:J,10,0)</f>
        <v>20</v>
      </c>
      <c r="J1657" s="13"/>
      <c r="K1657" s="13">
        <v>46174</v>
      </c>
    </row>
    <row r="1658" spans="1:11">
      <c r="A1658" s="3" t="s">
        <v>927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46183.412592592591</v>
      </c>
      <c r="G1658" t="s">
        <v>706</v>
      </c>
      <c r="H1658" t="s">
        <v>704</v>
      </c>
      <c r="I1658" s="3">
        <f>VLOOKUP(G1658,Sheet2!A:J,10,0)</f>
        <v>20</v>
      </c>
      <c r="J1658" s="13"/>
      <c r="K1658" s="13">
        <v>46157</v>
      </c>
    </row>
    <row r="1659" spans="1:11">
      <c r="A1659" s="4" t="s">
        <v>928</v>
      </c>
      <c r="B1659" s="2" t="s">
        <v>98</v>
      </c>
      <c r="C1659" s="2" t="s">
        <v>99</v>
      </c>
      <c r="D1659" s="4" t="s">
        <v>7</v>
      </c>
      <c r="E1659" s="2" t="s">
        <v>100</v>
      </c>
      <c r="F1659" s="6">
        <v>46183.406631944446</v>
      </c>
      <c r="G1659" t="s">
        <v>706</v>
      </c>
      <c r="H1659" t="s">
        <v>704</v>
      </c>
      <c r="I1659" s="3">
        <f>VLOOKUP(G1659,Sheet2!A:J,10,0)</f>
        <v>20</v>
      </c>
      <c r="J1659" s="13"/>
      <c r="K1659" s="13">
        <v>46174</v>
      </c>
    </row>
    <row r="1660" spans="1:11">
      <c r="A1660" s="3" t="s">
        <v>929</v>
      </c>
      <c r="B1660" s="1" t="s">
        <v>98</v>
      </c>
      <c r="C1660" s="1" t="s">
        <v>99</v>
      </c>
      <c r="D1660" s="3" t="s">
        <v>7</v>
      </c>
      <c r="E1660" s="1" t="s">
        <v>100</v>
      </c>
      <c r="F1660" s="5">
        <v>46183.407152777778</v>
      </c>
      <c r="G1660" t="s">
        <v>706</v>
      </c>
      <c r="H1660" t="s">
        <v>704</v>
      </c>
      <c r="I1660" s="3">
        <f>VLOOKUP(G1660,Sheet2!A:J,10,0)</f>
        <v>20</v>
      </c>
      <c r="J1660" s="13"/>
      <c r="K1660" s="13">
        <v>46174</v>
      </c>
    </row>
    <row r="1661" spans="1:11">
      <c r="A1661" s="4" t="s">
        <v>930</v>
      </c>
      <c r="B1661" s="2" t="s">
        <v>98</v>
      </c>
      <c r="C1661" s="2" t="s">
        <v>99</v>
      </c>
      <c r="D1661" s="4" t="s">
        <v>7</v>
      </c>
      <c r="E1661" s="2" t="s">
        <v>100</v>
      </c>
      <c r="F1661" s="6">
        <v>46183.407557870371</v>
      </c>
      <c r="G1661" t="s">
        <v>706</v>
      </c>
      <c r="H1661" t="s">
        <v>704</v>
      </c>
      <c r="I1661" s="3">
        <f>VLOOKUP(G1661,Sheet2!A:J,10,0)</f>
        <v>20</v>
      </c>
      <c r="J1661" s="13"/>
      <c r="K1661" s="13">
        <v>46174</v>
      </c>
    </row>
    <row r="1662" spans="1:11">
      <c r="A1662" s="3" t="s">
        <v>931</v>
      </c>
      <c r="B1662" s="1" t="s">
        <v>98</v>
      </c>
      <c r="C1662" s="1" t="s">
        <v>99</v>
      </c>
      <c r="D1662" s="3" t="s">
        <v>7</v>
      </c>
      <c r="E1662" s="1" t="s">
        <v>100</v>
      </c>
      <c r="F1662" s="5">
        <v>46183.408101851855</v>
      </c>
      <c r="G1662" t="s">
        <v>706</v>
      </c>
      <c r="H1662" t="s">
        <v>704</v>
      </c>
      <c r="I1662" s="3">
        <f>VLOOKUP(G1662,Sheet2!A:J,10,0)</f>
        <v>20</v>
      </c>
      <c r="J1662" s="13"/>
      <c r="K1662" s="13">
        <v>46174</v>
      </c>
    </row>
    <row r="1663" spans="1:11">
      <c r="A1663" s="4" t="s">
        <v>932</v>
      </c>
      <c r="B1663" s="2" t="s">
        <v>98</v>
      </c>
      <c r="C1663" s="2" t="s">
        <v>99</v>
      </c>
      <c r="D1663" s="4" t="s">
        <v>7</v>
      </c>
      <c r="E1663" s="2" t="s">
        <v>100</v>
      </c>
      <c r="F1663" s="6">
        <v>46183.408483796295</v>
      </c>
      <c r="G1663" t="s">
        <v>706</v>
      </c>
      <c r="H1663" t="s">
        <v>704</v>
      </c>
      <c r="I1663" s="3">
        <f>VLOOKUP(G1663,Sheet2!A:J,10,0)</f>
        <v>20</v>
      </c>
      <c r="J1663" s="13"/>
      <c r="K1663" s="13">
        <v>46174</v>
      </c>
    </row>
    <row r="1664" spans="1:11">
      <c r="A1664" s="3" t="s">
        <v>933</v>
      </c>
      <c r="B1664" s="1" t="s">
        <v>98</v>
      </c>
      <c r="C1664" s="1" t="s">
        <v>99</v>
      </c>
      <c r="D1664" s="3" t="s">
        <v>7</v>
      </c>
      <c r="E1664" s="1" t="s">
        <v>100</v>
      </c>
      <c r="F1664" s="5">
        <v>46183.40896990741</v>
      </c>
      <c r="G1664" t="s">
        <v>706</v>
      </c>
      <c r="H1664" t="s">
        <v>704</v>
      </c>
      <c r="I1664" s="3">
        <f>VLOOKUP(G1664,Sheet2!A:J,10,0)</f>
        <v>20</v>
      </c>
      <c r="J1664" s="13"/>
      <c r="K1664" s="13">
        <v>46174</v>
      </c>
    </row>
    <row r="1665" spans="1:11">
      <c r="A1665" s="4" t="s">
        <v>934</v>
      </c>
      <c r="B1665" s="2" t="s">
        <v>98</v>
      </c>
      <c r="C1665" s="2" t="s">
        <v>99</v>
      </c>
      <c r="D1665" s="4" t="s">
        <v>7</v>
      </c>
      <c r="E1665" s="2" t="s">
        <v>100</v>
      </c>
      <c r="F1665" s="6">
        <v>46183.413101851853</v>
      </c>
      <c r="G1665" t="s">
        <v>706</v>
      </c>
      <c r="H1665" t="s">
        <v>704</v>
      </c>
      <c r="I1665" s="3">
        <f>VLOOKUP(G1665,Sheet2!A:J,10,0)</f>
        <v>20</v>
      </c>
      <c r="J1665" s="13"/>
      <c r="K1665" s="13">
        <v>46157</v>
      </c>
    </row>
    <row r="1666" spans="1:11">
      <c r="A1666" s="3" t="s">
        <v>1691</v>
      </c>
      <c r="B1666" s="1" t="s">
        <v>1657</v>
      </c>
      <c r="C1666" s="1" t="s">
        <v>1658</v>
      </c>
      <c r="D1666" s="3" t="s">
        <v>7</v>
      </c>
      <c r="E1666" s="1" t="s">
        <v>14</v>
      </c>
      <c r="F1666" s="5">
        <v>46179.241840277777</v>
      </c>
      <c r="G1666" s="1" t="s">
        <v>963</v>
      </c>
      <c r="H1666" t="s">
        <v>703</v>
      </c>
      <c r="I1666" s="3">
        <f>VLOOKUP(G1666,Sheet2!A:J,10,0)</f>
        <v>29</v>
      </c>
      <c r="J1666" s="13"/>
      <c r="K1666" s="13"/>
    </row>
    <row r="1667" spans="1:11">
      <c r="A1667" s="4" t="s">
        <v>1692</v>
      </c>
      <c r="B1667" s="2" t="s">
        <v>937</v>
      </c>
      <c r="C1667" s="2" t="s">
        <v>938</v>
      </c>
      <c r="D1667" s="4" t="s">
        <v>7</v>
      </c>
      <c r="E1667" s="2" t="s">
        <v>14</v>
      </c>
      <c r="F1667" s="6">
        <v>46184.241828703707</v>
      </c>
      <c r="G1667" s="1" t="s">
        <v>963</v>
      </c>
      <c r="H1667" t="s">
        <v>703</v>
      </c>
      <c r="I1667" s="3">
        <f>VLOOKUP(G1667,Sheet2!A:J,10,0)</f>
        <v>29</v>
      </c>
      <c r="J1667" s="13"/>
      <c r="K1667" s="13"/>
    </row>
    <row r="1668" spans="1:11">
      <c r="A1668" s="3" t="s">
        <v>1693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46184.228425925925</v>
      </c>
      <c r="G1668" s="1" t="s">
        <v>963</v>
      </c>
      <c r="H1668" t="s">
        <v>703</v>
      </c>
      <c r="I1668" s="3">
        <f>VLOOKUP(G1668,Sheet2!A:J,10,0)</f>
        <v>29</v>
      </c>
      <c r="J1668" s="13"/>
      <c r="K1668" s="13"/>
    </row>
    <row r="1669" spans="1:11">
      <c r="A1669" s="4" t="s">
        <v>1694</v>
      </c>
      <c r="B1669" s="2" t="s">
        <v>9</v>
      </c>
      <c r="C1669" s="2" t="s">
        <v>10</v>
      </c>
      <c r="D1669" s="4" t="s">
        <v>7</v>
      </c>
      <c r="E1669" s="2" t="s">
        <v>11</v>
      </c>
      <c r="F1669" s="6">
        <v>46197.44730324074</v>
      </c>
      <c r="G1669" s="1" t="s">
        <v>963</v>
      </c>
      <c r="H1669" t="s">
        <v>703</v>
      </c>
      <c r="I1669" s="3">
        <f>VLOOKUP(G1669,Sheet2!A:J,10,0)</f>
        <v>29</v>
      </c>
      <c r="J1669" s="13"/>
      <c r="K1669" s="13"/>
    </row>
    <row r="1670" spans="1:11">
      <c r="A1670" s="3" t="s">
        <v>1695</v>
      </c>
      <c r="B1670" s="1" t="s">
        <v>9</v>
      </c>
      <c r="C1670" s="1" t="s">
        <v>10</v>
      </c>
      <c r="D1670" s="3" t="s">
        <v>7</v>
      </c>
      <c r="E1670" s="1" t="s">
        <v>11</v>
      </c>
      <c r="F1670" s="5">
        <v>46197.857060185182</v>
      </c>
      <c r="G1670" s="1" t="s">
        <v>963</v>
      </c>
      <c r="H1670" t="s">
        <v>703</v>
      </c>
      <c r="I1670" s="3">
        <f>VLOOKUP(G1670,Sheet2!A:J,10,0)</f>
        <v>29</v>
      </c>
      <c r="J1670" s="13"/>
      <c r="K1670" s="13"/>
    </row>
    <row r="1671" spans="1:11">
      <c r="A1671" s="4" t="s">
        <v>1696</v>
      </c>
      <c r="B1671" s="2" t="s">
        <v>9</v>
      </c>
      <c r="C1671" s="2" t="s">
        <v>10</v>
      </c>
      <c r="D1671" s="4" t="s">
        <v>7</v>
      </c>
      <c r="E1671" s="2" t="s">
        <v>11</v>
      </c>
      <c r="F1671" s="6">
        <v>46197.321018518516</v>
      </c>
      <c r="G1671" s="1" t="s">
        <v>963</v>
      </c>
      <c r="H1671" t="s">
        <v>703</v>
      </c>
      <c r="I1671" s="3">
        <f>VLOOKUP(G1671,Sheet2!A:J,10,0)</f>
        <v>29</v>
      </c>
      <c r="J1671" s="13"/>
      <c r="K1671" s="13"/>
    </row>
    <row r="1672" spans="1:11">
      <c r="A1672" s="3" t="s">
        <v>1697</v>
      </c>
      <c r="B1672" s="1" t="s">
        <v>9</v>
      </c>
      <c r="C1672" s="1" t="s">
        <v>10</v>
      </c>
      <c r="D1672" s="3" t="s">
        <v>7</v>
      </c>
      <c r="E1672" s="1" t="s">
        <v>11</v>
      </c>
      <c r="F1672" s="5">
        <v>46197.314004629632</v>
      </c>
      <c r="G1672" s="1" t="s">
        <v>963</v>
      </c>
      <c r="H1672" t="s">
        <v>703</v>
      </c>
      <c r="I1672" s="3">
        <f>VLOOKUP(G1672,Sheet2!A:J,10,0)</f>
        <v>29</v>
      </c>
      <c r="J1672" s="13"/>
      <c r="K1672" s="13"/>
    </row>
    <row r="1673" spans="1:11">
      <c r="A1673" s="4" t="s">
        <v>1698</v>
      </c>
      <c r="B1673" s="2" t="s">
        <v>9</v>
      </c>
      <c r="C1673" s="2" t="s">
        <v>10</v>
      </c>
      <c r="D1673" s="4" t="s">
        <v>7</v>
      </c>
      <c r="E1673" s="2" t="s">
        <v>11</v>
      </c>
      <c r="F1673" s="6">
        <v>46197.430567129632</v>
      </c>
      <c r="G1673" s="1" t="s">
        <v>963</v>
      </c>
      <c r="H1673" t="s">
        <v>703</v>
      </c>
      <c r="I1673" s="3">
        <f>VLOOKUP(G1673,Sheet2!A:J,10,0)</f>
        <v>29</v>
      </c>
      <c r="J1673" s="13"/>
      <c r="K1673" s="13"/>
    </row>
    <row r="1674" spans="1:11">
      <c r="A1674" s="3" t="s">
        <v>1699</v>
      </c>
      <c r="B1674" s="1" t="s">
        <v>9</v>
      </c>
      <c r="C1674" s="1" t="s">
        <v>10</v>
      </c>
      <c r="D1674" s="3" t="s">
        <v>7</v>
      </c>
      <c r="E1674" s="1" t="s">
        <v>11</v>
      </c>
      <c r="F1674" s="5">
        <v>46197.849108796298</v>
      </c>
      <c r="G1674" s="1" t="s">
        <v>963</v>
      </c>
      <c r="H1674" t="s">
        <v>703</v>
      </c>
      <c r="I1674" s="3">
        <f>VLOOKUP(G1674,Sheet2!A:J,10,0)</f>
        <v>29</v>
      </c>
      <c r="J1674" s="13"/>
      <c r="K1674" s="13"/>
    </row>
    <row r="1675" spans="1:11">
      <c r="A1675" s="4" t="s">
        <v>1700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46184.316631944443</v>
      </c>
      <c r="G1675" s="1" t="s">
        <v>963</v>
      </c>
      <c r="H1675" t="s">
        <v>703</v>
      </c>
      <c r="I1675" s="3">
        <f>VLOOKUP(G1675,Sheet2!A:J,10,0)</f>
        <v>29</v>
      </c>
      <c r="J1675" s="13"/>
      <c r="K1675" s="13"/>
    </row>
    <row r="1676" spans="1:11">
      <c r="A1676" s="3" t="s">
        <v>1701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46184.316296296296</v>
      </c>
      <c r="G1676" s="1" t="s">
        <v>963</v>
      </c>
      <c r="H1676" t="s">
        <v>703</v>
      </c>
      <c r="I1676" s="3">
        <f>VLOOKUP(G1676,Sheet2!A:J,10,0)</f>
        <v>29</v>
      </c>
      <c r="J1676" s="13"/>
      <c r="K1676" s="13"/>
    </row>
    <row r="1677" spans="1:11">
      <c r="A1677" s="4" t="s">
        <v>1702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46184.31591435185</v>
      </c>
      <c r="G1677" s="1" t="s">
        <v>963</v>
      </c>
      <c r="H1677" t="s">
        <v>703</v>
      </c>
      <c r="I1677" s="3">
        <f>VLOOKUP(G1677,Sheet2!A:J,10,0)</f>
        <v>29</v>
      </c>
      <c r="J1677" s="13"/>
      <c r="K1677" s="13"/>
    </row>
    <row r="1678" spans="1:11">
      <c r="A1678" s="3" t="s">
        <v>1703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46184.239189814813</v>
      </c>
      <c r="G1678" s="1" t="s">
        <v>963</v>
      </c>
      <c r="H1678" t="s">
        <v>703</v>
      </c>
      <c r="I1678" s="3">
        <f>VLOOKUP(G1678,Sheet2!A:J,10,0)</f>
        <v>29</v>
      </c>
      <c r="J1678" s="13"/>
      <c r="K1678" s="13"/>
    </row>
    <row r="1679" spans="1:11">
      <c r="A1679" s="4" t="s">
        <v>1704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46184.315000000002</v>
      </c>
      <c r="G1679" s="1" t="s">
        <v>963</v>
      </c>
      <c r="H1679" t="s">
        <v>703</v>
      </c>
      <c r="I1679" s="3">
        <f>VLOOKUP(G1679,Sheet2!A:J,10,0)</f>
        <v>29</v>
      </c>
      <c r="J1679" s="13"/>
      <c r="K1679" s="13"/>
    </row>
    <row r="1680" spans="1:11">
      <c r="A1680" s="3" t="s">
        <v>1705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46184.314513888887</v>
      </c>
      <c r="G1680" s="1" t="s">
        <v>963</v>
      </c>
      <c r="H1680" t="s">
        <v>703</v>
      </c>
      <c r="I1680" s="3">
        <f>VLOOKUP(G1680,Sheet2!A:J,10,0)</f>
        <v>29</v>
      </c>
      <c r="J1680" s="13"/>
      <c r="K1680" s="13"/>
    </row>
    <row r="1681" spans="1:11">
      <c r="A1681" s="4" t="s">
        <v>1706</v>
      </c>
      <c r="B1681" s="2" t="s">
        <v>9</v>
      </c>
      <c r="C1681" s="2" t="s">
        <v>10</v>
      </c>
      <c r="D1681" s="4" t="s">
        <v>7</v>
      </c>
      <c r="E1681" s="2" t="s">
        <v>11</v>
      </c>
      <c r="F1681" s="6">
        <v>46197.440567129626</v>
      </c>
      <c r="G1681" s="1" t="s">
        <v>963</v>
      </c>
      <c r="H1681" t="s">
        <v>703</v>
      </c>
      <c r="I1681" s="3">
        <f>VLOOKUP(G1681,Sheet2!A:J,10,0)</f>
        <v>29</v>
      </c>
      <c r="J1681" s="13"/>
      <c r="K1681" s="13"/>
    </row>
    <row r="1682" spans="1:11">
      <c r="A1682" s="3" t="s">
        <v>1707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46184.230763888889</v>
      </c>
      <c r="G1682" s="1" t="s">
        <v>963</v>
      </c>
      <c r="H1682" t="s">
        <v>703</v>
      </c>
      <c r="I1682" s="3">
        <f>VLOOKUP(G1682,Sheet2!A:J,10,0)</f>
        <v>29</v>
      </c>
      <c r="J1682" s="13"/>
      <c r="K1682" s="13"/>
    </row>
    <row r="1683" spans="1:11">
      <c r="A1683" s="4" t="s">
        <v>1708</v>
      </c>
      <c r="B1683" s="2" t="s">
        <v>9</v>
      </c>
      <c r="C1683" s="2" t="s">
        <v>10</v>
      </c>
      <c r="D1683" s="4" t="s">
        <v>7</v>
      </c>
      <c r="E1683" s="2" t="s">
        <v>11</v>
      </c>
      <c r="F1683" s="6">
        <v>46197.31722222222</v>
      </c>
      <c r="G1683" s="1" t="s">
        <v>963</v>
      </c>
      <c r="H1683" t="s">
        <v>703</v>
      </c>
      <c r="I1683" s="3">
        <f>VLOOKUP(G1683,Sheet2!A:J,10,0)</f>
        <v>29</v>
      </c>
      <c r="J1683" s="13"/>
      <c r="K1683" s="13"/>
    </row>
    <row r="1684" spans="1:11">
      <c r="A1684" s="3" t="s">
        <v>1709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46184.229930555557</v>
      </c>
      <c r="G1684" s="1" t="s">
        <v>963</v>
      </c>
      <c r="H1684" t="s">
        <v>703</v>
      </c>
      <c r="I1684" s="3">
        <f>VLOOKUP(G1684,Sheet2!A:J,10,0)</f>
        <v>29</v>
      </c>
      <c r="J1684" s="13"/>
      <c r="K1684" s="13"/>
    </row>
    <row r="1685" spans="1:11">
      <c r="A1685" s="4" t="s">
        <v>1710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46184.231446759259</v>
      </c>
      <c r="G1685" s="1" t="s">
        <v>963</v>
      </c>
      <c r="H1685" t="s">
        <v>703</v>
      </c>
      <c r="I1685" s="3">
        <f>VLOOKUP(G1685,Sheet2!A:J,10,0)</f>
        <v>29</v>
      </c>
      <c r="J1685" s="13"/>
      <c r="K1685" s="13"/>
    </row>
    <row r="1686" spans="1:11">
      <c r="A1686" s="3" t="s">
        <v>1711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46184.217881944445</v>
      </c>
      <c r="G1686" s="1" t="s">
        <v>963</v>
      </c>
      <c r="H1686" t="s">
        <v>703</v>
      </c>
      <c r="I1686" s="3">
        <f>VLOOKUP(G1686,Sheet2!A:J,10,0)</f>
        <v>29</v>
      </c>
      <c r="J1686" s="13"/>
      <c r="K1686" s="13"/>
    </row>
    <row r="1687" spans="1:11">
      <c r="A1687" s="4" t="s">
        <v>1712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46184.227430555555</v>
      </c>
      <c r="G1687" s="1" t="s">
        <v>963</v>
      </c>
      <c r="H1687" t="s">
        <v>703</v>
      </c>
      <c r="I1687" s="3">
        <f>VLOOKUP(G1687,Sheet2!A:J,10,0)</f>
        <v>29</v>
      </c>
      <c r="J1687" s="13"/>
      <c r="K1687" s="13"/>
    </row>
    <row r="1688" spans="1:11">
      <c r="A1688" s="3" t="s">
        <v>1713</v>
      </c>
      <c r="B1688" s="1" t="s">
        <v>9</v>
      </c>
      <c r="C1688" s="1" t="s">
        <v>10</v>
      </c>
      <c r="D1688" s="3" t="s">
        <v>7</v>
      </c>
      <c r="E1688" s="1" t="s">
        <v>11</v>
      </c>
      <c r="F1688" s="5">
        <v>46197.423680555556</v>
      </c>
      <c r="G1688" s="1" t="s">
        <v>963</v>
      </c>
      <c r="H1688" t="s">
        <v>703</v>
      </c>
      <c r="I1688" s="3">
        <f>VLOOKUP(G1688,Sheet2!A:J,10,0)</f>
        <v>29</v>
      </c>
      <c r="J1688" s="13"/>
      <c r="K1688" s="13"/>
    </row>
    <row r="1689" spans="1:11">
      <c r="A1689" s="4" t="s">
        <v>1714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46184.240856481483</v>
      </c>
      <c r="G1689" s="1" t="s">
        <v>963</v>
      </c>
      <c r="H1689" t="s">
        <v>703</v>
      </c>
      <c r="I1689" s="3">
        <f>VLOOKUP(G1689,Sheet2!A:J,10,0)</f>
        <v>29</v>
      </c>
      <c r="J1689" s="13"/>
      <c r="K1689" s="13"/>
    </row>
    <row r="1690" spans="1:11">
      <c r="A1690" s="3" t="s">
        <v>1715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46184.236481481479</v>
      </c>
      <c r="G1690" s="1" t="s">
        <v>963</v>
      </c>
      <c r="H1690" t="s">
        <v>703</v>
      </c>
      <c r="I1690" s="3">
        <f>VLOOKUP(G1690,Sheet2!A:J,10,0)</f>
        <v>29</v>
      </c>
      <c r="J1690" s="13"/>
      <c r="K1690" s="13"/>
    </row>
    <row r="1691" spans="1:11">
      <c r="A1691" s="4" t="s">
        <v>1716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46184.235717592594</v>
      </c>
      <c r="G1691" s="1" t="s">
        <v>963</v>
      </c>
      <c r="H1691" t="s">
        <v>703</v>
      </c>
      <c r="I1691" s="3">
        <f>VLOOKUP(G1691,Sheet2!A:J,10,0)</f>
        <v>29</v>
      </c>
      <c r="J1691" s="13"/>
      <c r="K1691" s="13"/>
    </row>
    <row r="1692" spans="1:11">
      <c r="A1692" s="3" t="s">
        <v>1717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46184.234976851854</v>
      </c>
      <c r="G1692" s="1" t="s">
        <v>963</v>
      </c>
      <c r="H1692" t="s">
        <v>703</v>
      </c>
      <c r="I1692" s="3">
        <f>VLOOKUP(G1692,Sheet2!A:J,10,0)</f>
        <v>29</v>
      </c>
      <c r="J1692" s="13"/>
      <c r="K1692" s="13"/>
    </row>
    <row r="1693" spans="1:11">
      <c r="A1693" s="4" t="s">
        <v>1718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46184.237754629627</v>
      </c>
      <c r="G1693" s="1" t="s">
        <v>963</v>
      </c>
      <c r="H1693" t="s">
        <v>703</v>
      </c>
      <c r="I1693" s="3">
        <f>VLOOKUP(G1693,Sheet2!A:J,10,0)</f>
        <v>29</v>
      </c>
      <c r="J1693" s="13"/>
      <c r="K1693" s="13"/>
    </row>
    <row r="1694" spans="1:11">
      <c r="A1694" s="3" t="s">
        <v>1719</v>
      </c>
      <c r="B1694" s="1" t="s">
        <v>9</v>
      </c>
      <c r="C1694" s="1" t="s">
        <v>10</v>
      </c>
      <c r="D1694" s="3" t="s">
        <v>7</v>
      </c>
      <c r="E1694" s="1" t="s">
        <v>11</v>
      </c>
      <c r="F1694" s="5">
        <v>46197.443842592591</v>
      </c>
      <c r="G1694" s="1" t="s">
        <v>963</v>
      </c>
      <c r="H1694" t="s">
        <v>703</v>
      </c>
      <c r="I1694" s="3">
        <f>VLOOKUP(G1694,Sheet2!A:J,10,0)</f>
        <v>29</v>
      </c>
      <c r="J1694" s="13"/>
      <c r="K1694" s="13"/>
    </row>
    <row r="1695" spans="1:11">
      <c r="A1695" s="4" t="s">
        <v>1720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46184.23238425926</v>
      </c>
      <c r="G1695" s="1" t="s">
        <v>963</v>
      </c>
      <c r="H1695" t="s">
        <v>703</v>
      </c>
      <c r="I1695" s="3">
        <f>VLOOKUP(G1695,Sheet2!A:J,10,0)</f>
        <v>29</v>
      </c>
      <c r="J1695" s="13"/>
      <c r="K1695" s="13"/>
    </row>
    <row r="1696" spans="1:11">
      <c r="A1696" s="3" t="s">
        <v>1721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46184.233275462961</v>
      </c>
      <c r="G1696" s="1" t="s">
        <v>963</v>
      </c>
      <c r="H1696" t="s">
        <v>703</v>
      </c>
      <c r="I1696" s="3">
        <f>VLOOKUP(G1696,Sheet2!A:J,10,0)</f>
        <v>29</v>
      </c>
      <c r="J1696" s="13"/>
      <c r="K1696" s="13"/>
    </row>
    <row r="1697" spans="1:11">
      <c r="A1697" s="4" t="s">
        <v>1722</v>
      </c>
      <c r="B1697" s="2" t="s">
        <v>9</v>
      </c>
      <c r="C1697" s="2" t="s">
        <v>10</v>
      </c>
      <c r="D1697" s="4" t="s">
        <v>7</v>
      </c>
      <c r="E1697" s="2" t="s">
        <v>11</v>
      </c>
      <c r="F1697" s="6">
        <v>46197.294062499997</v>
      </c>
      <c r="G1697" s="1" t="s">
        <v>963</v>
      </c>
      <c r="H1697" t="s">
        <v>703</v>
      </c>
      <c r="I1697" s="3">
        <f>VLOOKUP(G1697,Sheet2!A:J,10,0)</f>
        <v>29</v>
      </c>
      <c r="J1697" s="13"/>
      <c r="K1697" s="13"/>
    </row>
    <row r="1698" spans="1:11">
      <c r="A1698" s="3" t="s">
        <v>1815</v>
      </c>
      <c r="B1698" s="1" t="s">
        <v>9</v>
      </c>
      <c r="C1698" s="1" t="s">
        <v>10</v>
      </c>
      <c r="D1698" s="3" t="s">
        <v>7</v>
      </c>
      <c r="E1698" s="1" t="s">
        <v>11</v>
      </c>
      <c r="F1698" s="5">
        <v>46197.317418981482</v>
      </c>
      <c r="G1698" s="1" t="s">
        <v>963</v>
      </c>
      <c r="H1698" t="s">
        <v>703</v>
      </c>
      <c r="I1698" s="3">
        <f>VLOOKUP(G1698,Sheet2!A:J,10,0)</f>
        <v>29</v>
      </c>
      <c r="J1698" s="13"/>
      <c r="K1698" s="13"/>
    </row>
    <row r="1699" spans="1:11">
      <c r="A1699" s="4" t="s">
        <v>1816</v>
      </c>
      <c r="B1699" s="2" t="s">
        <v>275</v>
      </c>
      <c r="C1699" s="2" t="s">
        <v>276</v>
      </c>
      <c r="D1699" s="4" t="s">
        <v>7</v>
      </c>
      <c r="E1699" s="2" t="s">
        <v>277</v>
      </c>
      <c r="F1699" s="6">
        <v>46197.323321759257</v>
      </c>
      <c r="G1699" s="1" t="s">
        <v>963</v>
      </c>
      <c r="H1699" t="s">
        <v>703</v>
      </c>
      <c r="I1699" s="3">
        <f>VLOOKUP(G1699,Sheet2!A:J,10,0)</f>
        <v>29</v>
      </c>
      <c r="J1699" s="13"/>
      <c r="K1699" s="13"/>
    </row>
    <row r="1700" spans="1:11">
      <c r="A1700" s="3" t="s">
        <v>1817</v>
      </c>
      <c r="B1700" s="1" t="s">
        <v>275</v>
      </c>
      <c r="C1700" s="1" t="s">
        <v>276</v>
      </c>
      <c r="D1700" s="3" t="s">
        <v>7</v>
      </c>
      <c r="E1700" s="1" t="s">
        <v>277</v>
      </c>
      <c r="F1700" s="5">
        <v>46191.822928240741</v>
      </c>
      <c r="G1700" s="1" t="s">
        <v>963</v>
      </c>
      <c r="H1700" t="s">
        <v>703</v>
      </c>
      <c r="I1700" s="3">
        <f>VLOOKUP(G1700,Sheet2!A:J,10,0)</f>
        <v>29</v>
      </c>
      <c r="J1700" s="13"/>
      <c r="K1700" s="13"/>
    </row>
    <row r="1701" spans="1:11">
      <c r="A1701" s="4" t="s">
        <v>1818</v>
      </c>
      <c r="B1701" s="2" t="s">
        <v>9</v>
      </c>
      <c r="C1701" s="2" t="s">
        <v>10</v>
      </c>
      <c r="D1701" s="4" t="s">
        <v>7</v>
      </c>
      <c r="E1701" s="2" t="s">
        <v>11</v>
      </c>
      <c r="F1701" s="6">
        <v>46197.317546296297</v>
      </c>
      <c r="G1701" s="1" t="s">
        <v>963</v>
      </c>
      <c r="H1701" t="s">
        <v>703</v>
      </c>
      <c r="I1701" s="3">
        <f>VLOOKUP(G1701,Sheet2!A:J,10,0)</f>
        <v>29</v>
      </c>
      <c r="J1701" s="13"/>
      <c r="K1701" s="13"/>
    </row>
    <row r="1702" spans="1:11">
      <c r="A1702" s="3" t="s">
        <v>1819</v>
      </c>
      <c r="B1702" s="1" t="s">
        <v>9</v>
      </c>
      <c r="C1702" s="1" t="s">
        <v>10</v>
      </c>
      <c r="D1702" s="3" t="s">
        <v>7</v>
      </c>
      <c r="E1702" s="1" t="s">
        <v>11</v>
      </c>
      <c r="F1702" s="5">
        <v>46197.351875</v>
      </c>
      <c r="G1702" s="1" t="s">
        <v>963</v>
      </c>
      <c r="H1702" t="s">
        <v>703</v>
      </c>
      <c r="I1702" s="3">
        <f>VLOOKUP(G1702,Sheet2!A:J,10,0)</f>
        <v>29</v>
      </c>
      <c r="J1702" s="13"/>
      <c r="K1702" s="13"/>
    </row>
    <row r="1703" spans="1:11">
      <c r="A1703" s="4" t="s">
        <v>1820</v>
      </c>
      <c r="B1703" s="2" t="s">
        <v>9</v>
      </c>
      <c r="C1703" s="2" t="s">
        <v>10</v>
      </c>
      <c r="D1703" s="4" t="s">
        <v>7</v>
      </c>
      <c r="E1703" s="2" t="s">
        <v>11</v>
      </c>
      <c r="F1703" s="6">
        <v>46197.433749999997</v>
      </c>
      <c r="G1703" s="1" t="s">
        <v>963</v>
      </c>
      <c r="H1703" t="s">
        <v>703</v>
      </c>
      <c r="I1703" s="3">
        <f>VLOOKUP(G1703,Sheet2!A:J,10,0)</f>
        <v>29</v>
      </c>
      <c r="J1703" s="13"/>
      <c r="K1703" s="13"/>
    </row>
    <row r="1704" spans="1:11">
      <c r="A1704" s="3" t="s">
        <v>1821</v>
      </c>
      <c r="B1704" s="1" t="s">
        <v>9</v>
      </c>
      <c r="C1704" s="1" t="s">
        <v>10</v>
      </c>
      <c r="D1704" s="3" t="s">
        <v>7</v>
      </c>
      <c r="E1704" s="1" t="s">
        <v>11</v>
      </c>
      <c r="F1704" s="5">
        <v>46197.279108796298</v>
      </c>
      <c r="G1704" s="1" t="s">
        <v>963</v>
      </c>
      <c r="H1704" t="s">
        <v>703</v>
      </c>
      <c r="I1704" s="3">
        <f>VLOOKUP(G1704,Sheet2!A:J,10,0)</f>
        <v>29</v>
      </c>
      <c r="J1704" s="13"/>
      <c r="K1704" s="13"/>
    </row>
    <row r="1705" spans="1:11">
      <c r="A1705" s="4" t="s">
        <v>1822</v>
      </c>
      <c r="B1705" s="2" t="s">
        <v>9</v>
      </c>
      <c r="C1705" s="2" t="s">
        <v>10</v>
      </c>
      <c r="D1705" s="4" t="s">
        <v>7</v>
      </c>
      <c r="E1705" s="2" t="s">
        <v>11</v>
      </c>
      <c r="F1705" s="6">
        <v>46197.309201388889</v>
      </c>
      <c r="G1705" s="1" t="s">
        <v>963</v>
      </c>
      <c r="H1705" t="s">
        <v>703</v>
      </c>
      <c r="I1705" s="3">
        <f>VLOOKUP(G1705,Sheet2!A:J,10,0)</f>
        <v>29</v>
      </c>
      <c r="J1705" s="13"/>
      <c r="K1705" s="13"/>
    </row>
    <row r="1706" spans="1:11">
      <c r="A1706" s="3" t="s">
        <v>1823</v>
      </c>
      <c r="B1706" s="1" t="s">
        <v>6</v>
      </c>
      <c r="C1706" s="1" t="s">
        <v>6</v>
      </c>
      <c r="D1706" s="3" t="s">
        <v>7</v>
      </c>
      <c r="E1706" s="1" t="s">
        <v>8</v>
      </c>
      <c r="F1706" s="5">
        <v>46191.577615740738</v>
      </c>
      <c r="G1706" s="1" t="s">
        <v>963</v>
      </c>
      <c r="H1706" t="s">
        <v>703</v>
      </c>
      <c r="I1706" s="3">
        <f>VLOOKUP(G1706,Sheet2!A:J,10,0)</f>
        <v>29</v>
      </c>
      <c r="J1706" s="13"/>
      <c r="K1706" s="13"/>
    </row>
    <row r="1707" spans="1:11">
      <c r="A1707" s="4" t="s">
        <v>1824</v>
      </c>
      <c r="B1707" s="2" t="s">
        <v>9</v>
      </c>
      <c r="C1707" s="2" t="s">
        <v>10</v>
      </c>
      <c r="D1707" s="4" t="s">
        <v>7</v>
      </c>
      <c r="E1707" s="2" t="s">
        <v>11</v>
      </c>
      <c r="F1707" s="6">
        <v>46197.317708333336</v>
      </c>
      <c r="G1707" s="1" t="s">
        <v>963</v>
      </c>
      <c r="H1707" t="s">
        <v>703</v>
      </c>
      <c r="I1707" s="3">
        <f>VLOOKUP(G1707,Sheet2!A:J,10,0)</f>
        <v>29</v>
      </c>
      <c r="J1707" s="13"/>
      <c r="K1707" s="13"/>
    </row>
    <row r="1708" spans="1:11">
      <c r="A1708" s="3" t="s">
        <v>1825</v>
      </c>
      <c r="B1708" s="1" t="s">
        <v>9</v>
      </c>
      <c r="C1708" s="1" t="s">
        <v>10</v>
      </c>
      <c r="D1708" s="3" t="s">
        <v>7</v>
      </c>
      <c r="E1708" s="1" t="s">
        <v>11</v>
      </c>
      <c r="F1708" s="5">
        <v>46197.297500000001</v>
      </c>
      <c r="G1708" s="1" t="s">
        <v>963</v>
      </c>
      <c r="H1708" t="s">
        <v>703</v>
      </c>
      <c r="I1708" s="3">
        <f>VLOOKUP(G1708,Sheet2!A:J,10,0)</f>
        <v>29</v>
      </c>
      <c r="J1708" s="13"/>
      <c r="K1708" s="13"/>
    </row>
    <row r="1709" spans="1:11">
      <c r="A1709" s="4" t="s">
        <v>1826</v>
      </c>
      <c r="B1709" s="2" t="s">
        <v>9</v>
      </c>
      <c r="C1709" s="2" t="s">
        <v>10</v>
      </c>
      <c r="D1709" s="4" t="s">
        <v>7</v>
      </c>
      <c r="E1709" s="2" t="s">
        <v>11</v>
      </c>
      <c r="F1709" s="6">
        <v>46197.368622685186</v>
      </c>
      <c r="G1709" s="1" t="s">
        <v>963</v>
      </c>
      <c r="H1709" t="s">
        <v>703</v>
      </c>
      <c r="I1709" s="3">
        <f>VLOOKUP(G1709,Sheet2!A:J,10,0)</f>
        <v>29</v>
      </c>
      <c r="J1709" s="13"/>
      <c r="K1709" s="13"/>
    </row>
    <row r="1710" spans="1:11">
      <c r="A1710" s="3" t="s">
        <v>1827</v>
      </c>
      <c r="B1710" s="1" t="s">
        <v>9</v>
      </c>
      <c r="C1710" s="1" t="s">
        <v>10</v>
      </c>
      <c r="D1710" s="3" t="s">
        <v>7</v>
      </c>
      <c r="E1710" s="1" t="s">
        <v>11</v>
      </c>
      <c r="F1710" s="5">
        <v>46197.290081018517</v>
      </c>
      <c r="G1710" s="1" t="s">
        <v>963</v>
      </c>
      <c r="H1710" t="s">
        <v>703</v>
      </c>
      <c r="I1710" s="3">
        <f>VLOOKUP(G1710,Sheet2!A:J,10,0)</f>
        <v>29</v>
      </c>
      <c r="J1710" s="13"/>
      <c r="K1710" s="13"/>
    </row>
    <row r="1711" spans="1:11">
      <c r="A1711" s="4" t="s">
        <v>1828</v>
      </c>
      <c r="B1711" s="2" t="s">
        <v>6</v>
      </c>
      <c r="C1711" s="2" t="s">
        <v>6</v>
      </c>
      <c r="D1711" s="4" t="s">
        <v>7</v>
      </c>
      <c r="E1711" s="2" t="s">
        <v>8</v>
      </c>
      <c r="F1711" s="6">
        <v>46192.595578703702</v>
      </c>
      <c r="G1711" s="1" t="s">
        <v>963</v>
      </c>
      <c r="H1711" t="s">
        <v>703</v>
      </c>
      <c r="I1711" s="3">
        <f>VLOOKUP(G1711,Sheet2!A:J,10,0)</f>
        <v>29</v>
      </c>
      <c r="J1711" s="13"/>
      <c r="K1711" s="13"/>
    </row>
    <row r="1712" spans="1:11">
      <c r="A1712" s="3" t="s">
        <v>1829</v>
      </c>
      <c r="B1712" s="1" t="s">
        <v>6</v>
      </c>
      <c r="C1712" s="1" t="s">
        <v>6</v>
      </c>
      <c r="D1712" s="3" t="s">
        <v>7</v>
      </c>
      <c r="E1712" s="1" t="s">
        <v>8</v>
      </c>
      <c r="F1712" s="5">
        <v>46192.595138888886</v>
      </c>
      <c r="G1712" s="1" t="s">
        <v>963</v>
      </c>
      <c r="H1712" t="s">
        <v>703</v>
      </c>
      <c r="I1712" s="3">
        <f>VLOOKUP(G1712,Sheet2!A:J,10,0)</f>
        <v>29</v>
      </c>
      <c r="J1712" s="13"/>
      <c r="K1712" s="13"/>
    </row>
    <row r="1713" spans="1:11">
      <c r="A1713" s="4" t="s">
        <v>1830</v>
      </c>
      <c r="B1713" s="2" t="s">
        <v>6</v>
      </c>
      <c r="C1713" s="2" t="s">
        <v>6</v>
      </c>
      <c r="D1713" s="4" t="s">
        <v>7</v>
      </c>
      <c r="E1713" s="2" t="s">
        <v>8</v>
      </c>
      <c r="F1713" s="6">
        <v>46191.545763888891</v>
      </c>
      <c r="G1713" s="1" t="s">
        <v>963</v>
      </c>
      <c r="H1713" t="s">
        <v>703</v>
      </c>
      <c r="I1713" s="3">
        <f>VLOOKUP(G1713,Sheet2!A:J,10,0)</f>
        <v>29</v>
      </c>
      <c r="J1713" s="13"/>
      <c r="K1713" s="13"/>
    </row>
    <row r="1714" spans="1:11">
      <c r="A1714" s="3" t="s">
        <v>1831</v>
      </c>
      <c r="B1714" s="1" t="s">
        <v>6</v>
      </c>
      <c r="C1714" s="1" t="s">
        <v>6</v>
      </c>
      <c r="D1714" s="3" t="s">
        <v>7</v>
      </c>
      <c r="E1714" s="1" t="s">
        <v>8</v>
      </c>
      <c r="F1714" s="5">
        <v>46191.545289351852</v>
      </c>
      <c r="G1714" s="1" t="s">
        <v>963</v>
      </c>
      <c r="H1714" t="s">
        <v>703</v>
      </c>
      <c r="I1714" s="3">
        <f>VLOOKUP(G1714,Sheet2!A:J,10,0)</f>
        <v>29</v>
      </c>
      <c r="J1714" s="13"/>
      <c r="K1714" s="13"/>
    </row>
    <row r="1715" spans="1:11">
      <c r="A1715" s="4" t="s">
        <v>1832</v>
      </c>
      <c r="B1715" s="2" t="s">
        <v>9</v>
      </c>
      <c r="C1715" s="2" t="s">
        <v>10</v>
      </c>
      <c r="D1715" s="4" t="s">
        <v>7</v>
      </c>
      <c r="E1715" s="2" t="s">
        <v>11</v>
      </c>
      <c r="F1715" s="6">
        <v>46197.302060185182</v>
      </c>
      <c r="G1715" s="1" t="s">
        <v>963</v>
      </c>
      <c r="H1715" t="s">
        <v>703</v>
      </c>
      <c r="I1715" s="3">
        <f>VLOOKUP(G1715,Sheet2!A:J,10,0)</f>
        <v>29</v>
      </c>
      <c r="J1715" s="13"/>
      <c r="K1715" s="13"/>
    </row>
    <row r="1716" spans="1:11">
      <c r="A1716" s="3" t="s">
        <v>1833</v>
      </c>
      <c r="B1716" s="1" t="s">
        <v>275</v>
      </c>
      <c r="C1716" s="1" t="s">
        <v>276</v>
      </c>
      <c r="D1716" s="3" t="s">
        <v>7</v>
      </c>
      <c r="E1716" s="1" t="s">
        <v>277</v>
      </c>
      <c r="F1716" s="5">
        <v>46197.364027777781</v>
      </c>
      <c r="G1716" s="1" t="s">
        <v>963</v>
      </c>
      <c r="H1716" t="s">
        <v>703</v>
      </c>
      <c r="I1716" s="3">
        <f>VLOOKUP(G1716,Sheet2!A:J,10,0)</f>
        <v>29</v>
      </c>
      <c r="J1716" s="13"/>
      <c r="K1716" s="13"/>
    </row>
    <row r="1717" spans="1:11">
      <c r="A1717" s="4" t="s">
        <v>1834</v>
      </c>
      <c r="B1717" s="2" t="s">
        <v>275</v>
      </c>
      <c r="C1717" s="2" t="s">
        <v>276</v>
      </c>
      <c r="D1717" s="4" t="s">
        <v>7</v>
      </c>
      <c r="E1717" s="2" t="s">
        <v>277</v>
      </c>
      <c r="F1717" s="6">
        <v>46197.370219907411</v>
      </c>
      <c r="G1717" s="1" t="s">
        <v>963</v>
      </c>
      <c r="H1717" t="s">
        <v>703</v>
      </c>
      <c r="I1717" s="3">
        <f>VLOOKUP(G1717,Sheet2!A:J,10,0)</f>
        <v>29</v>
      </c>
      <c r="J1717" s="13"/>
      <c r="K1717" s="13"/>
    </row>
    <row r="1718" spans="1:11">
      <c r="A1718" s="3" t="s">
        <v>1835</v>
      </c>
      <c r="B1718" s="1" t="s">
        <v>9</v>
      </c>
      <c r="C1718" s="1" t="s">
        <v>10</v>
      </c>
      <c r="D1718" s="3" t="s">
        <v>7</v>
      </c>
      <c r="E1718" s="1" t="s">
        <v>11</v>
      </c>
      <c r="F1718" s="5">
        <v>46192.620532407411</v>
      </c>
      <c r="G1718" s="1" t="s">
        <v>963</v>
      </c>
      <c r="H1718" t="s">
        <v>703</v>
      </c>
      <c r="I1718" s="3">
        <f>VLOOKUP(G1718,Sheet2!A:J,10,0)</f>
        <v>29</v>
      </c>
      <c r="J1718" s="13"/>
      <c r="K1718" s="13"/>
    </row>
    <row r="1719" spans="1:11">
      <c r="A1719" s="4" t="s">
        <v>1836</v>
      </c>
      <c r="B1719" s="2" t="s">
        <v>9</v>
      </c>
      <c r="C1719" s="2" t="s">
        <v>10</v>
      </c>
      <c r="D1719" s="4" t="s">
        <v>7</v>
      </c>
      <c r="E1719" s="2" t="s">
        <v>11</v>
      </c>
      <c r="F1719" s="6">
        <v>46197.42728009259</v>
      </c>
      <c r="G1719" s="1" t="s">
        <v>963</v>
      </c>
      <c r="H1719" t="s">
        <v>703</v>
      </c>
      <c r="I1719" s="3">
        <f>VLOOKUP(G1719,Sheet2!A:J,10,0)</f>
        <v>29</v>
      </c>
      <c r="J1719" s="13"/>
      <c r="K1719" s="13"/>
    </row>
    <row r="1720" spans="1:11">
      <c r="A1720" s="3" t="s">
        <v>1837</v>
      </c>
      <c r="B1720" s="1" t="s">
        <v>9</v>
      </c>
      <c r="C1720" s="1" t="s">
        <v>10</v>
      </c>
      <c r="D1720" s="3" t="s">
        <v>7</v>
      </c>
      <c r="E1720" s="1" t="s">
        <v>11</v>
      </c>
      <c r="F1720" s="5">
        <v>46197.28533564815</v>
      </c>
      <c r="G1720" s="1" t="s">
        <v>963</v>
      </c>
      <c r="H1720" t="s">
        <v>703</v>
      </c>
      <c r="I1720" s="3">
        <f>VLOOKUP(G1720,Sheet2!A:J,10,0)</f>
        <v>29</v>
      </c>
      <c r="J1720" s="13"/>
      <c r="K1720" s="13"/>
    </row>
    <row r="1721" spans="1:11">
      <c r="A1721" s="4" t="s">
        <v>1838</v>
      </c>
      <c r="B1721" s="2" t="s">
        <v>275</v>
      </c>
      <c r="C1721" s="2" t="s">
        <v>276</v>
      </c>
      <c r="D1721" s="4" t="s">
        <v>7</v>
      </c>
      <c r="E1721" s="2" t="s">
        <v>277</v>
      </c>
      <c r="F1721" s="6">
        <v>46197.268773148149</v>
      </c>
      <c r="G1721" s="1" t="s">
        <v>963</v>
      </c>
      <c r="H1721" t="s">
        <v>703</v>
      </c>
      <c r="I1721" s="3">
        <f>VLOOKUP(G1721,Sheet2!A:J,10,0)</f>
        <v>29</v>
      </c>
      <c r="J1721" s="13"/>
      <c r="K1721" s="13"/>
    </row>
    <row r="1722" spans="1:11">
      <c r="A1722" s="3" t="s">
        <v>1839</v>
      </c>
      <c r="B1722" s="1" t="s">
        <v>9</v>
      </c>
      <c r="C1722" s="1" t="s">
        <v>10</v>
      </c>
      <c r="D1722" s="3" t="s">
        <v>7</v>
      </c>
      <c r="E1722" s="1" t="s">
        <v>11</v>
      </c>
      <c r="F1722" s="5">
        <v>46197.330069444448</v>
      </c>
      <c r="G1722" s="1" t="s">
        <v>963</v>
      </c>
      <c r="H1722" t="s">
        <v>703</v>
      </c>
      <c r="I1722" s="3">
        <f>VLOOKUP(G1722,Sheet2!A:J,10,0)</f>
        <v>29</v>
      </c>
      <c r="J1722" s="13"/>
      <c r="K1722" s="13"/>
    </row>
    <row r="1723" spans="1:11">
      <c r="A1723" s="4" t="s">
        <v>1840</v>
      </c>
      <c r="B1723" s="2" t="s">
        <v>275</v>
      </c>
      <c r="C1723" s="2" t="s">
        <v>276</v>
      </c>
      <c r="D1723" s="4" t="s">
        <v>7</v>
      </c>
      <c r="E1723" s="2" t="s">
        <v>277</v>
      </c>
      <c r="F1723" s="6">
        <v>46191.655833333331</v>
      </c>
      <c r="G1723" s="1" t="s">
        <v>963</v>
      </c>
      <c r="H1723" t="s">
        <v>703</v>
      </c>
      <c r="I1723" s="3">
        <f>VLOOKUP(G1723,Sheet2!A:J,10,0)</f>
        <v>29</v>
      </c>
      <c r="J1723" s="13"/>
      <c r="K1723" s="13"/>
    </row>
    <row r="1724" spans="1:11">
      <c r="A1724" s="3" t="s">
        <v>1841</v>
      </c>
      <c r="B1724" s="1" t="s">
        <v>9</v>
      </c>
      <c r="C1724" s="1" t="s">
        <v>10</v>
      </c>
      <c r="D1724" s="3" t="s">
        <v>7</v>
      </c>
      <c r="E1724" s="1" t="s">
        <v>11</v>
      </c>
      <c r="F1724" s="5">
        <v>46197.419768518521</v>
      </c>
      <c r="G1724" s="1" t="s">
        <v>963</v>
      </c>
      <c r="H1724" t="s">
        <v>703</v>
      </c>
      <c r="I1724" s="3">
        <f>VLOOKUP(G1724,Sheet2!A:J,10,0)</f>
        <v>29</v>
      </c>
      <c r="J1724" s="13"/>
      <c r="K1724" s="13"/>
    </row>
    <row r="1725" spans="1:11">
      <c r="A1725" s="4" t="s">
        <v>1842</v>
      </c>
      <c r="B1725" s="2" t="s">
        <v>9</v>
      </c>
      <c r="C1725" s="2" t="s">
        <v>10</v>
      </c>
      <c r="D1725" s="4" t="s">
        <v>7</v>
      </c>
      <c r="E1725" s="2" t="s">
        <v>11</v>
      </c>
      <c r="F1725" s="6">
        <v>46197.360555555555</v>
      </c>
      <c r="G1725" s="1" t="s">
        <v>963</v>
      </c>
      <c r="H1725" t="s">
        <v>703</v>
      </c>
      <c r="I1725" s="3">
        <f>VLOOKUP(G1725,Sheet2!A:J,10,0)</f>
        <v>29</v>
      </c>
      <c r="J1725" s="13"/>
      <c r="K1725" s="13"/>
    </row>
    <row r="1726" spans="1:11">
      <c r="A1726" s="3" t="s">
        <v>1843</v>
      </c>
      <c r="B1726" s="1" t="s">
        <v>275</v>
      </c>
      <c r="C1726" s="1" t="s">
        <v>276</v>
      </c>
      <c r="D1726" s="3" t="s">
        <v>7</v>
      </c>
      <c r="E1726" s="1" t="s">
        <v>277</v>
      </c>
      <c r="F1726" s="5">
        <v>46197.353703703702</v>
      </c>
      <c r="G1726" s="1" t="s">
        <v>963</v>
      </c>
      <c r="H1726" t="s">
        <v>703</v>
      </c>
      <c r="I1726" s="3">
        <f>VLOOKUP(G1726,Sheet2!A:J,10,0)</f>
        <v>29</v>
      </c>
      <c r="J1726" s="13"/>
      <c r="K1726" s="13"/>
    </row>
    <row r="1727" spans="1:11">
      <c r="A1727" s="4" t="s">
        <v>1844</v>
      </c>
      <c r="B1727" s="2" t="s">
        <v>6</v>
      </c>
      <c r="C1727" s="2" t="s">
        <v>6</v>
      </c>
      <c r="D1727" s="4" t="s">
        <v>7</v>
      </c>
      <c r="E1727" s="2" t="s">
        <v>8</v>
      </c>
      <c r="F1727" s="6">
        <v>46192.595520833333</v>
      </c>
      <c r="G1727" s="1" t="s">
        <v>963</v>
      </c>
      <c r="H1727" t="s">
        <v>703</v>
      </c>
      <c r="I1727" s="3">
        <f>VLOOKUP(G1727,Sheet2!A:J,10,0)</f>
        <v>29</v>
      </c>
      <c r="J1727" s="13"/>
      <c r="K1727" s="13"/>
    </row>
    <row r="1728" spans="1:11">
      <c r="A1728" s="3" t="s">
        <v>1845</v>
      </c>
      <c r="B1728" s="1" t="s">
        <v>6</v>
      </c>
      <c r="C1728" s="1" t="s">
        <v>6</v>
      </c>
      <c r="D1728" s="3" t="s">
        <v>7</v>
      </c>
      <c r="E1728" s="1" t="s">
        <v>8</v>
      </c>
      <c r="F1728" s="5">
        <v>46192.608784722222</v>
      </c>
      <c r="G1728" s="1" t="s">
        <v>963</v>
      </c>
      <c r="H1728" t="s">
        <v>703</v>
      </c>
      <c r="I1728" s="3">
        <f>VLOOKUP(G1728,Sheet2!A:J,10,0)</f>
        <v>29</v>
      </c>
      <c r="J1728" s="13"/>
      <c r="K1728" s="13"/>
    </row>
    <row r="1729" spans="1:11">
      <c r="A1729" s="4" t="s">
        <v>1846</v>
      </c>
      <c r="B1729" s="2" t="s">
        <v>6</v>
      </c>
      <c r="C1729" s="2" t="s">
        <v>6</v>
      </c>
      <c r="D1729" s="4" t="s">
        <v>7</v>
      </c>
      <c r="E1729" s="2" t="s">
        <v>8</v>
      </c>
      <c r="F1729" s="6">
        <v>46191.54546296296</v>
      </c>
      <c r="G1729" s="1" t="s">
        <v>963</v>
      </c>
      <c r="H1729" t="s">
        <v>703</v>
      </c>
      <c r="I1729" s="3">
        <f>VLOOKUP(G1729,Sheet2!A:J,10,0)</f>
        <v>29</v>
      </c>
      <c r="J1729" s="13"/>
      <c r="K1729" s="13"/>
    </row>
    <row r="1730" spans="1:11">
      <c r="A1730" s="3" t="s">
        <v>1723</v>
      </c>
      <c r="B1730" s="1" t="s">
        <v>9</v>
      </c>
      <c r="C1730" s="1" t="s">
        <v>10</v>
      </c>
      <c r="D1730" s="3" t="s">
        <v>7</v>
      </c>
      <c r="E1730" s="1" t="s">
        <v>11</v>
      </c>
      <c r="F1730" s="5">
        <v>46197.533009259256</v>
      </c>
      <c r="G1730" t="s">
        <v>964</v>
      </c>
      <c r="H1730" t="s">
        <v>704</v>
      </c>
      <c r="I1730" s="3">
        <f>VLOOKUP(G1730,Sheet2!A:J,10,0)</f>
        <v>30</v>
      </c>
      <c r="J1730" s="13"/>
      <c r="K1730" s="13"/>
    </row>
    <row r="1731" spans="1:11">
      <c r="A1731" s="4" t="s">
        <v>1724</v>
      </c>
      <c r="B1731" s="2" t="s">
        <v>6</v>
      </c>
      <c r="C1731" s="2" t="s">
        <v>6</v>
      </c>
      <c r="D1731" s="4" t="s">
        <v>7</v>
      </c>
      <c r="E1731" s="2" t="s">
        <v>8</v>
      </c>
      <c r="F1731" s="6">
        <v>46191.545578703706</v>
      </c>
      <c r="G1731" t="s">
        <v>964</v>
      </c>
      <c r="H1731" t="s">
        <v>704</v>
      </c>
      <c r="I1731" s="3">
        <f>VLOOKUP(G1731,Sheet2!A:J,10,0)</f>
        <v>30</v>
      </c>
      <c r="J1731" s="13"/>
      <c r="K1731" s="13"/>
    </row>
    <row r="1732" spans="1:11">
      <c r="A1732" s="3" t="s">
        <v>1725</v>
      </c>
      <c r="B1732" s="1" t="s">
        <v>9</v>
      </c>
      <c r="C1732" s="1" t="s">
        <v>10</v>
      </c>
      <c r="D1732" s="3" t="s">
        <v>7</v>
      </c>
      <c r="E1732" s="1" t="s">
        <v>11</v>
      </c>
      <c r="F1732" s="5">
        <v>46197.476666666669</v>
      </c>
      <c r="G1732" t="s">
        <v>964</v>
      </c>
      <c r="H1732" t="s">
        <v>704</v>
      </c>
      <c r="I1732" s="3">
        <f>VLOOKUP(G1732,Sheet2!A:J,10,0)</f>
        <v>30</v>
      </c>
      <c r="J1732" s="13"/>
      <c r="K1732" s="13"/>
    </row>
    <row r="1733" spans="1:11">
      <c r="A1733" s="4" t="s">
        <v>1726</v>
      </c>
      <c r="B1733" s="2" t="s">
        <v>937</v>
      </c>
      <c r="C1733" s="2" t="s">
        <v>938</v>
      </c>
      <c r="D1733" s="4" t="s">
        <v>7</v>
      </c>
      <c r="E1733" s="2" t="s">
        <v>14</v>
      </c>
      <c r="F1733" s="6">
        <v>46184.45076388889</v>
      </c>
      <c r="G1733" t="s">
        <v>964</v>
      </c>
      <c r="H1733" t="s">
        <v>704</v>
      </c>
      <c r="I1733" s="3">
        <f>VLOOKUP(G1733,Sheet2!A:J,10,0)</f>
        <v>30</v>
      </c>
      <c r="J1733" s="13"/>
      <c r="K1733" s="13"/>
    </row>
    <row r="1734" spans="1:11">
      <c r="A1734" s="3" t="s">
        <v>1727</v>
      </c>
      <c r="B1734" s="1" t="s">
        <v>937</v>
      </c>
      <c r="C1734" s="1" t="s">
        <v>938</v>
      </c>
      <c r="D1734" s="3" t="s">
        <v>7</v>
      </c>
      <c r="E1734" s="1" t="s">
        <v>14</v>
      </c>
      <c r="F1734" s="5">
        <v>46184.454618055555</v>
      </c>
      <c r="G1734" t="s">
        <v>964</v>
      </c>
      <c r="H1734" t="s">
        <v>704</v>
      </c>
      <c r="I1734" s="3">
        <f>VLOOKUP(G1734,Sheet2!A:J,10,0)</f>
        <v>30</v>
      </c>
      <c r="J1734" s="13"/>
      <c r="K1734" s="13"/>
    </row>
    <row r="1735" spans="1:11">
      <c r="A1735" s="4" t="s">
        <v>1728</v>
      </c>
      <c r="B1735" s="2" t="s">
        <v>9</v>
      </c>
      <c r="C1735" s="2" t="s">
        <v>10</v>
      </c>
      <c r="D1735" s="4" t="s">
        <v>7</v>
      </c>
      <c r="E1735" s="2" t="s">
        <v>11</v>
      </c>
      <c r="F1735" s="6">
        <v>46197.549618055556</v>
      </c>
      <c r="G1735" t="s">
        <v>964</v>
      </c>
      <c r="H1735" t="s">
        <v>704</v>
      </c>
      <c r="I1735" s="3">
        <f>VLOOKUP(G1735,Sheet2!A:J,10,0)</f>
        <v>30</v>
      </c>
      <c r="J1735" s="13"/>
      <c r="K1735" s="13"/>
    </row>
    <row r="1736" spans="1:11">
      <c r="A1736" s="3" t="s">
        <v>1729</v>
      </c>
      <c r="B1736" s="1" t="s">
        <v>9</v>
      </c>
      <c r="C1736" s="1" t="s">
        <v>10</v>
      </c>
      <c r="D1736" s="3" t="s">
        <v>7</v>
      </c>
      <c r="E1736" s="1" t="s">
        <v>11</v>
      </c>
      <c r="F1736" s="5">
        <v>46196.901678240742</v>
      </c>
      <c r="G1736" t="s">
        <v>964</v>
      </c>
      <c r="H1736" t="s">
        <v>704</v>
      </c>
      <c r="I1736" s="3">
        <f>VLOOKUP(G1736,Sheet2!A:J,10,0)</f>
        <v>30</v>
      </c>
      <c r="J1736" s="13"/>
      <c r="K1736" s="13"/>
    </row>
    <row r="1737" spans="1:11">
      <c r="A1737" s="4" t="s">
        <v>1730</v>
      </c>
      <c r="B1737" s="2" t="s">
        <v>6</v>
      </c>
      <c r="C1737" s="2" t="s">
        <v>6</v>
      </c>
      <c r="D1737" s="4" t="s">
        <v>7</v>
      </c>
      <c r="E1737" s="2" t="s">
        <v>8</v>
      </c>
      <c r="F1737" s="6">
        <v>46191.54550925926</v>
      </c>
      <c r="G1737" t="s">
        <v>964</v>
      </c>
      <c r="H1737" t="s">
        <v>704</v>
      </c>
      <c r="I1737" s="3">
        <f>VLOOKUP(G1737,Sheet2!A:J,10,0)</f>
        <v>30</v>
      </c>
      <c r="J1737" s="13"/>
      <c r="K1737" s="13"/>
    </row>
    <row r="1738" spans="1:11">
      <c r="A1738" s="3" t="s">
        <v>1731</v>
      </c>
      <c r="B1738" s="1" t="s">
        <v>6</v>
      </c>
      <c r="C1738" s="1" t="s">
        <v>6</v>
      </c>
      <c r="D1738" s="3" t="s">
        <v>7</v>
      </c>
      <c r="E1738" s="1" t="s">
        <v>8</v>
      </c>
      <c r="F1738" s="5">
        <v>46192.595358796294</v>
      </c>
      <c r="G1738" t="s">
        <v>964</v>
      </c>
      <c r="H1738" t="s">
        <v>704</v>
      </c>
      <c r="I1738" s="3">
        <f>VLOOKUP(G1738,Sheet2!A:J,10,0)</f>
        <v>30</v>
      </c>
      <c r="J1738" s="13"/>
      <c r="K1738" s="13"/>
    </row>
    <row r="1739" spans="1:11">
      <c r="A1739" s="4" t="s">
        <v>1732</v>
      </c>
      <c r="B1739" s="2" t="s">
        <v>937</v>
      </c>
      <c r="C1739" s="2" t="s">
        <v>938</v>
      </c>
      <c r="D1739" s="4" t="s">
        <v>7</v>
      </c>
      <c r="E1739" s="2" t="s">
        <v>14</v>
      </c>
      <c r="F1739" s="6">
        <v>46184.400995370372</v>
      </c>
      <c r="G1739" t="s">
        <v>964</v>
      </c>
      <c r="H1739" t="s">
        <v>704</v>
      </c>
      <c r="I1739" s="3">
        <f>VLOOKUP(G1739,Sheet2!A:J,10,0)</f>
        <v>30</v>
      </c>
      <c r="J1739" s="13"/>
      <c r="K1739" s="13"/>
    </row>
    <row r="1740" spans="1:11">
      <c r="A1740" s="3" t="s">
        <v>1733</v>
      </c>
      <c r="B1740" s="1" t="s">
        <v>9</v>
      </c>
      <c r="C1740" s="1" t="s">
        <v>10</v>
      </c>
      <c r="D1740" s="3" t="s">
        <v>7</v>
      </c>
      <c r="E1740" s="1" t="s">
        <v>11</v>
      </c>
      <c r="F1740" s="5">
        <v>46196.897013888891</v>
      </c>
      <c r="G1740" t="s">
        <v>964</v>
      </c>
      <c r="H1740" t="s">
        <v>704</v>
      </c>
      <c r="I1740" s="3">
        <f>VLOOKUP(G1740,Sheet2!A:J,10,0)</f>
        <v>30</v>
      </c>
      <c r="J1740" s="13"/>
      <c r="K1740" s="13"/>
    </row>
    <row r="1741" spans="1:11">
      <c r="A1741" s="4" t="s">
        <v>1734</v>
      </c>
      <c r="B1741" s="2" t="s">
        <v>1657</v>
      </c>
      <c r="C1741" s="2" t="s">
        <v>1658</v>
      </c>
      <c r="D1741" s="4" t="s">
        <v>7</v>
      </c>
      <c r="E1741" s="2" t="s">
        <v>14</v>
      </c>
      <c r="F1741" s="6">
        <v>46181.59584490741</v>
      </c>
      <c r="G1741" t="s">
        <v>964</v>
      </c>
      <c r="H1741" t="s">
        <v>704</v>
      </c>
      <c r="I1741" s="3">
        <f>VLOOKUP(G1741,Sheet2!A:J,10,0)</f>
        <v>30</v>
      </c>
      <c r="J1741" s="13"/>
      <c r="K1741" s="13"/>
    </row>
    <row r="1742" spans="1:11">
      <c r="A1742" s="3" t="s">
        <v>1735</v>
      </c>
      <c r="B1742" s="1" t="s">
        <v>9</v>
      </c>
      <c r="C1742" s="1" t="s">
        <v>10</v>
      </c>
      <c r="D1742" s="3" t="s">
        <v>7</v>
      </c>
      <c r="E1742" s="1" t="s">
        <v>11</v>
      </c>
      <c r="F1742" s="5">
        <v>46196.910300925927</v>
      </c>
      <c r="G1742" t="s">
        <v>964</v>
      </c>
      <c r="H1742" t="s">
        <v>704</v>
      </c>
      <c r="I1742" s="3">
        <f>VLOOKUP(G1742,Sheet2!A:J,10,0)</f>
        <v>30</v>
      </c>
      <c r="J1742" s="13"/>
      <c r="K1742" s="13"/>
    </row>
    <row r="1743" spans="1:11">
      <c r="A1743" s="4" t="s">
        <v>1736</v>
      </c>
      <c r="B1743" s="2" t="s">
        <v>6</v>
      </c>
      <c r="C1743" s="2" t="s">
        <v>6</v>
      </c>
      <c r="D1743" s="4" t="s">
        <v>7</v>
      </c>
      <c r="E1743" s="2" t="s">
        <v>8</v>
      </c>
      <c r="F1743" s="6">
        <v>46191.545601851853</v>
      </c>
      <c r="G1743" t="s">
        <v>964</v>
      </c>
      <c r="H1743" t="s">
        <v>704</v>
      </c>
      <c r="I1743" s="3">
        <f>VLOOKUP(G1743,Sheet2!A:J,10,0)</f>
        <v>30</v>
      </c>
      <c r="J1743" s="13"/>
      <c r="K1743" s="13"/>
    </row>
    <row r="1744" spans="1:11">
      <c r="A1744" s="3" t="s">
        <v>1737</v>
      </c>
      <c r="B1744" s="1" t="s">
        <v>9</v>
      </c>
      <c r="C1744" s="1" t="s">
        <v>10</v>
      </c>
      <c r="D1744" s="3" t="s">
        <v>7</v>
      </c>
      <c r="E1744" s="1" t="s">
        <v>11</v>
      </c>
      <c r="F1744" s="5">
        <v>46197.812511574077</v>
      </c>
      <c r="G1744" t="s">
        <v>964</v>
      </c>
      <c r="H1744" t="s">
        <v>704</v>
      </c>
      <c r="I1744" s="3">
        <f>VLOOKUP(G1744,Sheet2!A:J,10,0)</f>
        <v>30</v>
      </c>
      <c r="J1744" s="13"/>
      <c r="K1744" s="13"/>
    </row>
    <row r="1745" spans="1:11">
      <c r="A1745" s="4" t="s">
        <v>1738</v>
      </c>
      <c r="B1745" s="2" t="s">
        <v>6</v>
      </c>
      <c r="C1745" s="2" t="s">
        <v>6</v>
      </c>
      <c r="D1745" s="4" t="s">
        <v>7</v>
      </c>
      <c r="E1745" s="2" t="s">
        <v>8</v>
      </c>
      <c r="F1745" s="6">
        <v>46191.545543981483</v>
      </c>
      <c r="G1745" t="s">
        <v>964</v>
      </c>
      <c r="H1745" t="s">
        <v>704</v>
      </c>
      <c r="I1745" s="3">
        <f>VLOOKUP(G1745,Sheet2!A:J,10,0)</f>
        <v>30</v>
      </c>
      <c r="J1745" s="13"/>
      <c r="K1745" s="13"/>
    </row>
    <row r="1746" spans="1:11">
      <c r="A1746" s="3" t="s">
        <v>1739</v>
      </c>
      <c r="B1746" s="1" t="s">
        <v>937</v>
      </c>
      <c r="C1746" s="1" t="s">
        <v>938</v>
      </c>
      <c r="D1746" s="3" t="s">
        <v>7</v>
      </c>
      <c r="E1746" s="1" t="s">
        <v>14</v>
      </c>
      <c r="F1746" s="5">
        <v>46184.400405092594</v>
      </c>
      <c r="G1746" t="s">
        <v>964</v>
      </c>
      <c r="H1746" t="s">
        <v>704</v>
      </c>
      <c r="I1746" s="3">
        <f>VLOOKUP(G1746,Sheet2!A:J,10,0)</f>
        <v>30</v>
      </c>
      <c r="J1746" s="13"/>
      <c r="K1746" s="13"/>
    </row>
    <row r="1747" spans="1:11">
      <c r="A1747" s="4" t="s">
        <v>1740</v>
      </c>
      <c r="B1747" s="2" t="s">
        <v>6</v>
      </c>
      <c r="C1747" s="2" t="s">
        <v>6</v>
      </c>
      <c r="D1747" s="4" t="s">
        <v>7</v>
      </c>
      <c r="E1747" s="2" t="s">
        <v>8</v>
      </c>
      <c r="F1747" s="6">
        <v>46192.595451388886</v>
      </c>
      <c r="G1747" t="s">
        <v>964</v>
      </c>
      <c r="H1747" t="s">
        <v>704</v>
      </c>
      <c r="I1747" s="3">
        <f>VLOOKUP(G1747,Sheet2!A:J,10,0)</f>
        <v>30</v>
      </c>
      <c r="J1747" s="13"/>
      <c r="K1747" s="13"/>
    </row>
    <row r="1748" spans="1:11">
      <c r="A1748" s="3" t="s">
        <v>1741</v>
      </c>
      <c r="B1748" s="1" t="s">
        <v>6</v>
      </c>
      <c r="C1748" s="1" t="s">
        <v>6</v>
      </c>
      <c r="D1748" s="3" t="s">
        <v>7</v>
      </c>
      <c r="E1748" s="1" t="s">
        <v>8</v>
      </c>
      <c r="F1748" s="5">
        <v>46192.595300925925</v>
      </c>
      <c r="G1748" t="s">
        <v>964</v>
      </c>
      <c r="H1748" t="s">
        <v>704</v>
      </c>
      <c r="I1748" s="3">
        <f>VLOOKUP(G1748,Sheet2!A:J,10,0)</f>
        <v>30</v>
      </c>
      <c r="J1748" s="13"/>
      <c r="K1748" s="13"/>
    </row>
    <row r="1749" spans="1:11">
      <c r="A1749" s="4" t="s">
        <v>1742</v>
      </c>
      <c r="B1749" s="2" t="s">
        <v>275</v>
      </c>
      <c r="C1749" s="2" t="s">
        <v>276</v>
      </c>
      <c r="D1749" s="4" t="s">
        <v>7</v>
      </c>
      <c r="E1749" s="2" t="s">
        <v>277</v>
      </c>
      <c r="F1749" s="6">
        <v>46191.905324074076</v>
      </c>
      <c r="G1749" t="s">
        <v>964</v>
      </c>
      <c r="H1749" t="s">
        <v>704</v>
      </c>
      <c r="I1749" s="3">
        <f>VLOOKUP(G1749,Sheet2!A:J,10,0)</f>
        <v>30</v>
      </c>
      <c r="J1749" s="13"/>
      <c r="K1749" s="13"/>
    </row>
    <row r="1750" spans="1:11">
      <c r="A1750" s="3" t="s">
        <v>1743</v>
      </c>
      <c r="B1750" s="1" t="s">
        <v>937</v>
      </c>
      <c r="C1750" s="1" t="s">
        <v>938</v>
      </c>
      <c r="D1750" s="3" t="s">
        <v>7</v>
      </c>
      <c r="E1750" s="1" t="s">
        <v>14</v>
      </c>
      <c r="F1750" s="5">
        <v>46184.490115740744</v>
      </c>
      <c r="G1750" t="s">
        <v>964</v>
      </c>
      <c r="H1750" t="s">
        <v>704</v>
      </c>
      <c r="I1750" s="3">
        <f>VLOOKUP(G1750,Sheet2!A:J,10,0)</f>
        <v>30</v>
      </c>
      <c r="J1750" s="13"/>
      <c r="K1750" s="13"/>
    </row>
    <row r="1751" spans="1:11">
      <c r="A1751" s="4" t="s">
        <v>1744</v>
      </c>
      <c r="B1751" s="2" t="s">
        <v>648</v>
      </c>
      <c r="C1751" s="2" t="s">
        <v>649</v>
      </c>
      <c r="D1751" s="4" t="s">
        <v>7</v>
      </c>
      <c r="E1751" s="2" t="s">
        <v>14</v>
      </c>
      <c r="F1751" s="6">
        <v>46197.382245370369</v>
      </c>
      <c r="G1751" t="s">
        <v>964</v>
      </c>
      <c r="H1751" t="s">
        <v>704</v>
      </c>
      <c r="I1751" s="3">
        <f>VLOOKUP(G1751,Sheet2!A:J,10,0)</f>
        <v>30</v>
      </c>
      <c r="J1751" s="13"/>
      <c r="K1751" s="13"/>
    </row>
    <row r="1752" spans="1:11">
      <c r="A1752" s="3" t="s">
        <v>1745</v>
      </c>
      <c r="B1752" s="1" t="s">
        <v>937</v>
      </c>
      <c r="C1752" s="1" t="s">
        <v>938</v>
      </c>
      <c r="D1752" s="3" t="s">
        <v>7</v>
      </c>
      <c r="E1752" s="1" t="s">
        <v>14</v>
      </c>
      <c r="F1752" s="5">
        <v>46184.491203703707</v>
      </c>
      <c r="G1752" t="s">
        <v>964</v>
      </c>
      <c r="H1752" t="s">
        <v>704</v>
      </c>
      <c r="I1752" s="3">
        <f>VLOOKUP(G1752,Sheet2!A:J,10,0)</f>
        <v>30</v>
      </c>
      <c r="J1752" s="13"/>
      <c r="K1752" s="13"/>
    </row>
    <row r="1753" spans="1:11">
      <c r="A1753" s="4" t="s">
        <v>1746</v>
      </c>
      <c r="B1753" s="2" t="s">
        <v>937</v>
      </c>
      <c r="C1753" s="2" t="s">
        <v>938</v>
      </c>
      <c r="D1753" s="4" t="s">
        <v>7</v>
      </c>
      <c r="E1753" s="2" t="s">
        <v>14</v>
      </c>
      <c r="F1753" s="6">
        <v>46184.494062500002</v>
      </c>
      <c r="G1753" t="s">
        <v>964</v>
      </c>
      <c r="H1753" t="s">
        <v>704</v>
      </c>
      <c r="I1753" s="3">
        <f>VLOOKUP(G1753,Sheet2!A:J,10,0)</f>
        <v>30</v>
      </c>
      <c r="J1753" s="13"/>
      <c r="K1753" s="13"/>
    </row>
    <row r="1754" spans="1:11">
      <c r="A1754" s="3" t="s">
        <v>1747</v>
      </c>
      <c r="B1754" s="1" t="s">
        <v>9</v>
      </c>
      <c r="C1754" s="1" t="s">
        <v>10</v>
      </c>
      <c r="D1754" s="3" t="s">
        <v>7</v>
      </c>
      <c r="E1754" s="1" t="s">
        <v>11</v>
      </c>
      <c r="F1754" s="5">
        <v>46196.905925925923</v>
      </c>
      <c r="G1754" t="s">
        <v>964</v>
      </c>
      <c r="H1754" t="s">
        <v>704</v>
      </c>
      <c r="I1754" s="3">
        <f>VLOOKUP(G1754,Sheet2!A:J,10,0)</f>
        <v>30</v>
      </c>
      <c r="J1754" s="13"/>
      <c r="K1754" s="13"/>
    </row>
    <row r="1755" spans="1:11">
      <c r="A1755" s="4" t="s">
        <v>1748</v>
      </c>
      <c r="B1755" s="2" t="s">
        <v>9</v>
      </c>
      <c r="C1755" s="2" t="s">
        <v>10</v>
      </c>
      <c r="D1755" s="4" t="s">
        <v>7</v>
      </c>
      <c r="E1755" s="2" t="s">
        <v>11</v>
      </c>
      <c r="F1755" s="6">
        <v>46197.465960648151</v>
      </c>
      <c r="G1755" t="s">
        <v>964</v>
      </c>
      <c r="H1755" t="s">
        <v>704</v>
      </c>
      <c r="I1755" s="3">
        <f>VLOOKUP(G1755,Sheet2!A:J,10,0)</f>
        <v>30</v>
      </c>
      <c r="J1755" s="13"/>
      <c r="K1755" s="13"/>
    </row>
    <row r="1756" spans="1:11">
      <c r="A1756" s="3" t="s">
        <v>1749</v>
      </c>
      <c r="B1756" s="1" t="s">
        <v>9</v>
      </c>
      <c r="C1756" s="1" t="s">
        <v>10</v>
      </c>
      <c r="D1756" s="3" t="s">
        <v>7</v>
      </c>
      <c r="E1756" s="1" t="s">
        <v>11</v>
      </c>
      <c r="F1756" s="5">
        <v>46196.348680555559</v>
      </c>
      <c r="G1756" t="s">
        <v>964</v>
      </c>
      <c r="H1756" t="s">
        <v>704</v>
      </c>
      <c r="I1756" s="3">
        <f>VLOOKUP(G1756,Sheet2!A:J,10,0)</f>
        <v>30</v>
      </c>
      <c r="J1756" s="13"/>
      <c r="K1756" s="13"/>
    </row>
    <row r="1757" spans="1:11">
      <c r="A1757" s="4" t="s">
        <v>1750</v>
      </c>
      <c r="B1757" s="2" t="s">
        <v>9</v>
      </c>
      <c r="C1757" s="2" t="s">
        <v>10</v>
      </c>
      <c r="D1757" s="4" t="s">
        <v>7</v>
      </c>
      <c r="E1757" s="2" t="s">
        <v>11</v>
      </c>
      <c r="F1757" s="6">
        <v>46197.300011574072</v>
      </c>
      <c r="G1757" t="s">
        <v>964</v>
      </c>
      <c r="H1757" t="s">
        <v>704</v>
      </c>
      <c r="I1757" s="3">
        <f>VLOOKUP(G1757,Sheet2!A:J,10,0)</f>
        <v>30</v>
      </c>
      <c r="J1757" s="13"/>
      <c r="K1757" s="13"/>
    </row>
    <row r="1758" spans="1:11">
      <c r="A1758" s="3" t="s">
        <v>1751</v>
      </c>
      <c r="B1758" s="1" t="s">
        <v>937</v>
      </c>
      <c r="C1758" s="1" t="s">
        <v>938</v>
      </c>
      <c r="D1758" s="3" t="s">
        <v>7</v>
      </c>
      <c r="E1758" s="1" t="s">
        <v>14</v>
      </c>
      <c r="F1758" s="5">
        <v>46184.491342592592</v>
      </c>
      <c r="G1758" t="s">
        <v>964</v>
      </c>
      <c r="H1758" t="s">
        <v>704</v>
      </c>
      <c r="I1758" s="3">
        <f>VLOOKUP(G1758,Sheet2!A:J,10,0)</f>
        <v>30</v>
      </c>
      <c r="J1758" s="13"/>
      <c r="K1758" s="13"/>
    </row>
    <row r="1759" spans="1:11">
      <c r="A1759" s="4" t="s">
        <v>1752</v>
      </c>
      <c r="B1759" s="2" t="s">
        <v>9</v>
      </c>
      <c r="C1759" s="2" t="s">
        <v>10</v>
      </c>
      <c r="D1759" s="4" t="s">
        <v>7</v>
      </c>
      <c r="E1759" s="2" t="s">
        <v>11</v>
      </c>
      <c r="F1759" s="6">
        <v>46197.483240740738</v>
      </c>
      <c r="G1759" t="s">
        <v>964</v>
      </c>
      <c r="H1759" t="s">
        <v>704</v>
      </c>
      <c r="I1759" s="3">
        <f>VLOOKUP(G1759,Sheet2!A:J,10,0)</f>
        <v>30</v>
      </c>
      <c r="J1759" s="13"/>
      <c r="K1759" s="13"/>
    </row>
    <row r="1760" spans="1:11">
      <c r="A1760" s="3" t="s">
        <v>1753</v>
      </c>
      <c r="B1760" s="1" t="s">
        <v>9</v>
      </c>
      <c r="C1760" s="1" t="s">
        <v>10</v>
      </c>
      <c r="D1760" s="3" t="s">
        <v>7</v>
      </c>
      <c r="E1760" s="1" t="s">
        <v>11</v>
      </c>
      <c r="F1760" s="5">
        <v>46197.539479166669</v>
      </c>
      <c r="G1760" t="s">
        <v>964</v>
      </c>
      <c r="H1760" t="s">
        <v>704</v>
      </c>
      <c r="I1760" s="3">
        <f>VLOOKUP(G1760,Sheet2!A:J,10,0)</f>
        <v>30</v>
      </c>
      <c r="J1760" s="13"/>
      <c r="K1760" s="13"/>
    </row>
    <row r="1761" spans="1:11">
      <c r="A1761" s="4" t="s">
        <v>1754</v>
      </c>
      <c r="B1761" s="2" t="s">
        <v>9</v>
      </c>
      <c r="C1761" s="2" t="s">
        <v>10</v>
      </c>
      <c r="D1761" s="4" t="s">
        <v>7</v>
      </c>
      <c r="E1761" s="2" t="s">
        <v>11</v>
      </c>
      <c r="F1761" s="6">
        <v>46196.355763888889</v>
      </c>
      <c r="G1761" t="s">
        <v>964</v>
      </c>
      <c r="H1761" t="s">
        <v>704</v>
      </c>
      <c r="I1761" s="3">
        <f>VLOOKUP(G1761,Sheet2!A:J,10,0)</f>
        <v>30</v>
      </c>
      <c r="J1761" s="13"/>
      <c r="K1761" s="13"/>
    </row>
    <row r="1762" spans="1:11">
      <c r="A1762" s="3" t="s">
        <v>1847</v>
      </c>
      <c r="B1762" s="1" t="s">
        <v>937</v>
      </c>
      <c r="C1762" s="1" t="s">
        <v>938</v>
      </c>
      <c r="D1762" s="3" t="s">
        <v>7</v>
      </c>
      <c r="E1762" s="1" t="s">
        <v>14</v>
      </c>
      <c r="F1762" s="5">
        <v>46184.493391203701</v>
      </c>
      <c r="G1762" t="s">
        <v>964</v>
      </c>
      <c r="H1762" t="s">
        <v>704</v>
      </c>
      <c r="I1762" s="3">
        <f>VLOOKUP(G1762,Sheet2!A:J,10,0)</f>
        <v>30</v>
      </c>
      <c r="J1762" s="13"/>
      <c r="K1762" s="13"/>
    </row>
    <row r="1763" spans="1:11">
      <c r="A1763" s="4" t="s">
        <v>1848</v>
      </c>
      <c r="B1763" s="2" t="s">
        <v>650</v>
      </c>
      <c r="C1763" s="2" t="s">
        <v>651</v>
      </c>
      <c r="D1763" s="4" t="s">
        <v>7</v>
      </c>
      <c r="E1763" s="2" t="s">
        <v>647</v>
      </c>
      <c r="F1763" s="6">
        <v>46197.382685185185</v>
      </c>
      <c r="G1763" t="s">
        <v>964</v>
      </c>
      <c r="H1763" t="s">
        <v>704</v>
      </c>
      <c r="I1763" s="3">
        <f>VLOOKUP(G1763,Sheet2!A:J,10,0)</f>
        <v>30</v>
      </c>
      <c r="J1763" s="13"/>
      <c r="K1763" s="13"/>
    </row>
    <row r="1764" spans="1:11">
      <c r="A1764" s="3" t="s">
        <v>1849</v>
      </c>
      <c r="B1764" s="1" t="s">
        <v>650</v>
      </c>
      <c r="C1764" s="1" t="s">
        <v>651</v>
      </c>
      <c r="D1764" s="3" t="s">
        <v>7</v>
      </c>
      <c r="E1764" s="1" t="s">
        <v>647</v>
      </c>
      <c r="F1764" s="5">
        <v>46197.382465277777</v>
      </c>
      <c r="G1764" t="s">
        <v>964</v>
      </c>
      <c r="H1764" t="s">
        <v>704</v>
      </c>
      <c r="I1764" s="3">
        <f>VLOOKUP(G1764,Sheet2!A:J,10,0)</f>
        <v>30</v>
      </c>
      <c r="J1764" s="13"/>
      <c r="K1764" s="13"/>
    </row>
    <row r="1765" spans="1:11">
      <c r="A1765" s="4" t="s">
        <v>1850</v>
      </c>
      <c r="B1765" s="2" t="s">
        <v>937</v>
      </c>
      <c r="C1765" s="2" t="s">
        <v>938</v>
      </c>
      <c r="D1765" s="4" t="s">
        <v>7</v>
      </c>
      <c r="E1765" s="2" t="s">
        <v>14</v>
      </c>
      <c r="F1765" s="6">
        <v>46184.462025462963</v>
      </c>
      <c r="G1765" t="s">
        <v>964</v>
      </c>
      <c r="H1765" t="s">
        <v>704</v>
      </c>
      <c r="I1765" s="3">
        <f>VLOOKUP(G1765,Sheet2!A:J,10,0)</f>
        <v>30</v>
      </c>
      <c r="J1765" s="13"/>
      <c r="K1765" s="13"/>
    </row>
    <row r="1766" spans="1:11">
      <c r="A1766" s="3" t="s">
        <v>1851</v>
      </c>
      <c r="B1766" s="1" t="s">
        <v>9</v>
      </c>
      <c r="C1766" s="1" t="s">
        <v>10</v>
      </c>
      <c r="D1766" s="3" t="s">
        <v>7</v>
      </c>
      <c r="E1766" s="1" t="s">
        <v>11</v>
      </c>
      <c r="F1766" s="5">
        <v>46197.479907407411</v>
      </c>
      <c r="G1766" t="s">
        <v>964</v>
      </c>
      <c r="H1766" t="s">
        <v>704</v>
      </c>
      <c r="I1766" s="3">
        <f>VLOOKUP(G1766,Sheet2!A:J,10,0)</f>
        <v>30</v>
      </c>
      <c r="J1766" s="13"/>
      <c r="K1766" s="13"/>
    </row>
    <row r="1767" spans="1:11">
      <c r="A1767" s="4" t="s">
        <v>1852</v>
      </c>
      <c r="B1767" s="2" t="s">
        <v>275</v>
      </c>
      <c r="C1767" s="2" t="s">
        <v>276</v>
      </c>
      <c r="D1767" s="4" t="s">
        <v>7</v>
      </c>
      <c r="E1767" s="2" t="s">
        <v>277</v>
      </c>
      <c r="F1767" s="6">
        <v>46196.36136574074</v>
      </c>
      <c r="G1767" t="s">
        <v>964</v>
      </c>
      <c r="H1767" t="s">
        <v>704</v>
      </c>
      <c r="I1767" s="3">
        <f>VLOOKUP(G1767,Sheet2!A:J,10,0)</f>
        <v>30</v>
      </c>
      <c r="J1767" s="13"/>
      <c r="K1767" s="13"/>
    </row>
    <row r="1768" spans="1:11">
      <c r="A1768" s="3" t="s">
        <v>1853</v>
      </c>
      <c r="B1768" s="1" t="s">
        <v>9</v>
      </c>
      <c r="C1768" s="1" t="s">
        <v>10</v>
      </c>
      <c r="D1768" s="3" t="s">
        <v>7</v>
      </c>
      <c r="E1768" s="1" t="s">
        <v>11</v>
      </c>
      <c r="F1768" s="5">
        <v>46197.542731481481</v>
      </c>
      <c r="G1768" t="s">
        <v>964</v>
      </c>
      <c r="H1768" t="s">
        <v>704</v>
      </c>
      <c r="I1768" s="3">
        <f>VLOOKUP(G1768,Sheet2!A:J,10,0)</f>
        <v>30</v>
      </c>
      <c r="J1768" s="13"/>
      <c r="K1768" s="13"/>
    </row>
    <row r="1769" spans="1:11">
      <c r="A1769" s="4" t="s">
        <v>1854</v>
      </c>
      <c r="B1769" s="2" t="s">
        <v>9</v>
      </c>
      <c r="C1769" s="2" t="s">
        <v>10</v>
      </c>
      <c r="D1769" s="4" t="s">
        <v>7</v>
      </c>
      <c r="E1769" s="2" t="s">
        <v>11</v>
      </c>
      <c r="F1769" s="6">
        <v>46196.364317129628</v>
      </c>
      <c r="G1769" t="s">
        <v>964</v>
      </c>
      <c r="H1769" t="s">
        <v>704</v>
      </c>
      <c r="I1769" s="3">
        <f>VLOOKUP(G1769,Sheet2!A:J,10,0)</f>
        <v>30</v>
      </c>
      <c r="J1769" s="13"/>
      <c r="K1769" s="13"/>
    </row>
    <row r="1770" spans="1:11">
      <c r="A1770" s="3" t="s">
        <v>1855</v>
      </c>
      <c r="B1770" s="1" t="s">
        <v>9</v>
      </c>
      <c r="C1770" s="1" t="s">
        <v>10</v>
      </c>
      <c r="D1770" s="3" t="s">
        <v>7</v>
      </c>
      <c r="E1770" s="1" t="s">
        <v>11</v>
      </c>
      <c r="F1770" s="5">
        <v>46197.553182870368</v>
      </c>
      <c r="G1770" t="s">
        <v>964</v>
      </c>
      <c r="H1770" t="s">
        <v>704</v>
      </c>
      <c r="I1770" s="3">
        <f>VLOOKUP(G1770,Sheet2!A:J,10,0)</f>
        <v>30</v>
      </c>
      <c r="J1770" s="13"/>
      <c r="K1770" s="13"/>
    </row>
    <row r="1771" spans="1:11">
      <c r="A1771" s="4" t="s">
        <v>1856</v>
      </c>
      <c r="B1771" s="2" t="s">
        <v>9</v>
      </c>
      <c r="C1771" s="2" t="s">
        <v>10</v>
      </c>
      <c r="D1771" s="4" t="s">
        <v>7</v>
      </c>
      <c r="E1771" s="2" t="s">
        <v>11</v>
      </c>
      <c r="F1771" s="6">
        <v>46197.546550925923</v>
      </c>
      <c r="G1771" t="s">
        <v>964</v>
      </c>
      <c r="H1771" t="s">
        <v>704</v>
      </c>
      <c r="I1771" s="3">
        <f>VLOOKUP(G1771,Sheet2!A:J,10,0)</f>
        <v>30</v>
      </c>
      <c r="J1771" s="13"/>
      <c r="K1771" s="13"/>
    </row>
    <row r="1772" spans="1:11">
      <c r="A1772" s="3" t="s">
        <v>1857</v>
      </c>
      <c r="B1772" s="1" t="s">
        <v>9</v>
      </c>
      <c r="C1772" s="1" t="s">
        <v>10</v>
      </c>
      <c r="D1772" s="3" t="s">
        <v>7</v>
      </c>
      <c r="E1772" s="1" t="s">
        <v>11</v>
      </c>
      <c r="F1772" s="5">
        <v>46197.470011574071</v>
      </c>
      <c r="G1772" t="s">
        <v>964</v>
      </c>
      <c r="H1772" t="s">
        <v>704</v>
      </c>
      <c r="I1772" s="3">
        <f>VLOOKUP(G1772,Sheet2!A:J,10,0)</f>
        <v>30</v>
      </c>
      <c r="J1772" s="13"/>
      <c r="K1772" s="13"/>
    </row>
    <row r="1773" spans="1:11">
      <c r="A1773" s="4" t="s">
        <v>1858</v>
      </c>
      <c r="B1773" s="2" t="s">
        <v>9</v>
      </c>
      <c r="C1773" s="2" t="s">
        <v>10</v>
      </c>
      <c r="D1773" s="4" t="s">
        <v>7</v>
      </c>
      <c r="E1773" s="2" t="s">
        <v>11</v>
      </c>
      <c r="F1773" s="6">
        <v>46197.473692129628</v>
      </c>
      <c r="G1773" t="s">
        <v>964</v>
      </c>
      <c r="H1773" t="s">
        <v>704</v>
      </c>
      <c r="I1773" s="3">
        <f>VLOOKUP(G1773,Sheet2!A:J,10,0)</f>
        <v>30</v>
      </c>
      <c r="J1773" s="13"/>
      <c r="K1773" s="13"/>
    </row>
    <row r="1774" spans="1:11">
      <c r="A1774" s="3" t="s">
        <v>1859</v>
      </c>
      <c r="B1774" s="1" t="s">
        <v>937</v>
      </c>
      <c r="C1774" s="1" t="s">
        <v>938</v>
      </c>
      <c r="D1774" s="3" t="s">
        <v>7</v>
      </c>
      <c r="E1774" s="1" t="s">
        <v>14</v>
      </c>
      <c r="F1774" s="5">
        <v>46184.466597222221</v>
      </c>
      <c r="G1774" t="s">
        <v>964</v>
      </c>
      <c r="H1774" t="s">
        <v>704</v>
      </c>
      <c r="I1774" s="3">
        <f>VLOOKUP(G1774,Sheet2!A:J,10,0)</f>
        <v>30</v>
      </c>
      <c r="J1774" s="13"/>
      <c r="K1774" s="13"/>
    </row>
    <row r="1775" spans="1:11">
      <c r="A1775" s="4" t="s">
        <v>1860</v>
      </c>
      <c r="B1775" s="2" t="s">
        <v>9</v>
      </c>
      <c r="C1775" s="2" t="s">
        <v>10</v>
      </c>
      <c r="D1775" s="4" t="s">
        <v>7</v>
      </c>
      <c r="E1775" s="2" t="s">
        <v>11</v>
      </c>
      <c r="F1775" s="6">
        <v>46197.772465277776</v>
      </c>
      <c r="G1775" t="s">
        <v>964</v>
      </c>
      <c r="H1775" t="s">
        <v>704</v>
      </c>
      <c r="I1775" s="3">
        <f>VLOOKUP(G1775,Sheet2!A:J,10,0)</f>
        <v>30</v>
      </c>
      <c r="J1775" s="13"/>
      <c r="K1775" s="13"/>
    </row>
    <row r="1776" spans="1:11">
      <c r="A1776" s="3" t="s">
        <v>1861</v>
      </c>
      <c r="B1776" s="1" t="s">
        <v>937</v>
      </c>
      <c r="C1776" s="1" t="s">
        <v>938</v>
      </c>
      <c r="D1776" s="3" t="s">
        <v>7</v>
      </c>
      <c r="E1776" s="1" t="s">
        <v>14</v>
      </c>
      <c r="F1776" s="5">
        <v>46184.46770833333</v>
      </c>
      <c r="G1776" t="s">
        <v>964</v>
      </c>
      <c r="H1776" t="s">
        <v>704</v>
      </c>
      <c r="I1776" s="3">
        <f>VLOOKUP(G1776,Sheet2!A:J,10,0)</f>
        <v>30</v>
      </c>
      <c r="J1776" s="13"/>
      <c r="K1776" s="13"/>
    </row>
    <row r="1777" spans="1:11">
      <c r="A1777" s="4" t="s">
        <v>1862</v>
      </c>
      <c r="B1777" s="2" t="s">
        <v>937</v>
      </c>
      <c r="C1777" s="2" t="s">
        <v>938</v>
      </c>
      <c r="D1777" s="4" t="s">
        <v>7</v>
      </c>
      <c r="E1777" s="2" t="s">
        <v>14</v>
      </c>
      <c r="F1777" s="6">
        <v>46184.492268518516</v>
      </c>
      <c r="G1777" t="s">
        <v>964</v>
      </c>
      <c r="H1777" t="s">
        <v>704</v>
      </c>
      <c r="I1777" s="3">
        <f>VLOOKUP(G1777,Sheet2!A:J,10,0)</f>
        <v>30</v>
      </c>
      <c r="J1777" s="13"/>
      <c r="K1777" s="13"/>
    </row>
    <row r="1778" spans="1:11">
      <c r="A1778" s="3" t="s">
        <v>1863</v>
      </c>
      <c r="B1778" s="1" t="s">
        <v>9</v>
      </c>
      <c r="C1778" s="1" t="s">
        <v>10</v>
      </c>
      <c r="D1778" s="3" t="s">
        <v>7</v>
      </c>
      <c r="E1778" s="1" t="s">
        <v>11</v>
      </c>
      <c r="F1778" s="5">
        <v>46197.536203703705</v>
      </c>
      <c r="G1778" t="s">
        <v>964</v>
      </c>
      <c r="H1778" t="s">
        <v>704</v>
      </c>
      <c r="I1778" s="3">
        <f>VLOOKUP(G1778,Sheet2!A:J,10,0)</f>
        <v>30</v>
      </c>
      <c r="J1778" s="13"/>
      <c r="K1778" s="13"/>
    </row>
    <row r="1779" spans="1:11">
      <c r="A1779" s="4" t="s">
        <v>1864</v>
      </c>
      <c r="B1779" s="2" t="s">
        <v>1657</v>
      </c>
      <c r="C1779" s="2" t="s">
        <v>1658</v>
      </c>
      <c r="D1779" s="4" t="s">
        <v>7</v>
      </c>
      <c r="E1779" s="2" t="s">
        <v>14</v>
      </c>
      <c r="F1779" s="6">
        <v>46190.381863425922</v>
      </c>
      <c r="G1779" t="s">
        <v>964</v>
      </c>
      <c r="H1779" t="s">
        <v>704</v>
      </c>
      <c r="I1779" s="3">
        <f>VLOOKUP(G1779,Sheet2!A:J,10,0)</f>
        <v>30</v>
      </c>
      <c r="J1779" s="13"/>
      <c r="K1779" s="13"/>
    </row>
    <row r="1780" spans="1:11">
      <c r="A1780" s="3" t="s">
        <v>1865</v>
      </c>
      <c r="B1780" s="1" t="s">
        <v>9</v>
      </c>
      <c r="C1780" s="1" t="s">
        <v>10</v>
      </c>
      <c r="D1780" s="3" t="s">
        <v>7</v>
      </c>
      <c r="E1780" s="1" t="s">
        <v>11</v>
      </c>
      <c r="F1780" s="5">
        <v>46197.801319444443</v>
      </c>
      <c r="G1780" t="s">
        <v>964</v>
      </c>
      <c r="H1780" t="s">
        <v>704</v>
      </c>
      <c r="I1780" s="3">
        <f>VLOOKUP(G1780,Sheet2!A:J,10,0)</f>
        <v>30</v>
      </c>
      <c r="J1780" s="13"/>
      <c r="K1780" s="13"/>
    </row>
    <row r="1781" spans="1:11">
      <c r="A1781" s="4" t="s">
        <v>1866</v>
      </c>
      <c r="B1781" s="2" t="s">
        <v>6</v>
      </c>
      <c r="C1781" s="2" t="s">
        <v>6</v>
      </c>
      <c r="D1781" s="4" t="s">
        <v>7</v>
      </c>
      <c r="E1781" s="2" t="s">
        <v>8</v>
      </c>
      <c r="F1781" s="6">
        <v>46192.595243055555</v>
      </c>
      <c r="G1781" t="s">
        <v>964</v>
      </c>
      <c r="H1781" t="s">
        <v>704</v>
      </c>
      <c r="I1781" s="3">
        <f>VLOOKUP(G1781,Sheet2!A:J,10,0)</f>
        <v>30</v>
      </c>
      <c r="J1781" s="13"/>
      <c r="K1781" s="13"/>
    </row>
    <row r="1782" spans="1:11">
      <c r="A1782" s="3" t="s">
        <v>1867</v>
      </c>
      <c r="B1782" s="1" t="s">
        <v>937</v>
      </c>
      <c r="C1782" s="1" t="s">
        <v>938</v>
      </c>
      <c r="D1782" s="3" t="s">
        <v>7</v>
      </c>
      <c r="E1782" s="1" t="s">
        <v>14</v>
      </c>
      <c r="F1782" s="5">
        <v>46184.488020833334</v>
      </c>
      <c r="G1782" t="s">
        <v>964</v>
      </c>
      <c r="H1782" t="s">
        <v>704</v>
      </c>
      <c r="I1782" s="3">
        <f>VLOOKUP(G1782,Sheet2!A:J,10,0)</f>
        <v>30</v>
      </c>
      <c r="J1782" s="13"/>
      <c r="K1782" s="13"/>
    </row>
    <row r="1783" spans="1:11">
      <c r="A1783" s="4" t="s">
        <v>1868</v>
      </c>
      <c r="B1783" s="2" t="s">
        <v>275</v>
      </c>
      <c r="C1783" s="2" t="s">
        <v>276</v>
      </c>
      <c r="D1783" s="4" t="s">
        <v>7</v>
      </c>
      <c r="E1783" s="2" t="s">
        <v>277</v>
      </c>
      <c r="F1783" s="6">
        <v>46197.518414351849</v>
      </c>
      <c r="G1783" t="s">
        <v>964</v>
      </c>
      <c r="H1783" t="s">
        <v>704</v>
      </c>
      <c r="I1783" s="3">
        <f>VLOOKUP(G1783,Sheet2!A:J,10,0)</f>
        <v>30</v>
      </c>
      <c r="J1783" s="13"/>
      <c r="K1783" s="13"/>
    </row>
    <row r="1784" spans="1:11">
      <c r="A1784" s="3" t="s">
        <v>1869</v>
      </c>
      <c r="B1784" s="1" t="s">
        <v>937</v>
      </c>
      <c r="C1784" s="1" t="s">
        <v>938</v>
      </c>
      <c r="D1784" s="3" t="s">
        <v>7</v>
      </c>
      <c r="E1784" s="1" t="s">
        <v>14</v>
      </c>
      <c r="F1784" s="5">
        <v>46184.485775462963</v>
      </c>
      <c r="G1784" t="s">
        <v>964</v>
      </c>
      <c r="H1784" t="s">
        <v>704</v>
      </c>
      <c r="I1784" s="3">
        <f>VLOOKUP(G1784,Sheet2!A:J,10,0)</f>
        <v>30</v>
      </c>
      <c r="J1784" s="13"/>
      <c r="K1784" s="13"/>
    </row>
    <row r="1785" spans="1:11">
      <c r="A1785" s="4" t="s">
        <v>1870</v>
      </c>
      <c r="B1785" s="2" t="s">
        <v>1813</v>
      </c>
      <c r="C1785" s="2" t="s">
        <v>1814</v>
      </c>
      <c r="D1785" s="4" t="s">
        <v>7</v>
      </c>
      <c r="E1785" s="2" t="s">
        <v>647</v>
      </c>
      <c r="F1785" s="6">
        <v>46188.399247685185</v>
      </c>
      <c r="G1785" t="s">
        <v>964</v>
      </c>
      <c r="H1785" t="s">
        <v>704</v>
      </c>
      <c r="I1785" s="3">
        <f>VLOOKUP(G1785,Sheet2!A:J,10,0)</f>
        <v>30</v>
      </c>
      <c r="J1785" s="13"/>
      <c r="K1785" s="13"/>
    </row>
    <row r="1786" spans="1:11">
      <c r="A1786" s="3" t="s">
        <v>1871</v>
      </c>
      <c r="B1786" s="1" t="s">
        <v>1657</v>
      </c>
      <c r="C1786" s="1" t="s">
        <v>1658</v>
      </c>
      <c r="D1786" s="3" t="s">
        <v>7</v>
      </c>
      <c r="E1786" s="1" t="s">
        <v>14</v>
      </c>
      <c r="F1786" s="5">
        <v>46190.38077546296</v>
      </c>
      <c r="G1786" t="s">
        <v>964</v>
      </c>
      <c r="H1786" t="s">
        <v>704</v>
      </c>
      <c r="I1786" s="3">
        <f>VLOOKUP(G1786,Sheet2!A:J,10,0)</f>
        <v>30</v>
      </c>
      <c r="J1786" s="13"/>
      <c r="K1786" s="13"/>
    </row>
    <row r="1787" spans="1:11">
      <c r="A1787" s="4" t="s">
        <v>1872</v>
      </c>
      <c r="B1787" s="2" t="s">
        <v>9</v>
      </c>
      <c r="C1787" s="2" t="s">
        <v>10</v>
      </c>
      <c r="D1787" s="4" t="s">
        <v>7</v>
      </c>
      <c r="E1787" s="2" t="s">
        <v>11</v>
      </c>
      <c r="F1787" s="6">
        <v>46196.352314814816</v>
      </c>
      <c r="G1787" t="s">
        <v>964</v>
      </c>
      <c r="H1787" t="s">
        <v>704</v>
      </c>
      <c r="I1787" s="3">
        <f>VLOOKUP(G1787,Sheet2!A:J,10,0)</f>
        <v>30</v>
      </c>
      <c r="J1787" s="13"/>
      <c r="K1787" s="13"/>
    </row>
    <row r="1788" spans="1:11">
      <c r="A1788" s="3" t="s">
        <v>1873</v>
      </c>
      <c r="B1788" s="1" t="s">
        <v>9</v>
      </c>
      <c r="C1788" s="1" t="s">
        <v>10</v>
      </c>
      <c r="D1788" s="3" t="s">
        <v>7</v>
      </c>
      <c r="E1788" s="1" t="s">
        <v>11</v>
      </c>
      <c r="F1788" s="5">
        <v>46197.836678240739</v>
      </c>
      <c r="G1788" t="s">
        <v>964</v>
      </c>
      <c r="H1788" t="s">
        <v>704</v>
      </c>
      <c r="I1788" s="3">
        <f>VLOOKUP(G1788,Sheet2!A:J,10,0)</f>
        <v>30</v>
      </c>
      <c r="J1788" s="13"/>
      <c r="K1788" s="13"/>
    </row>
    <row r="1789" spans="1:11">
      <c r="A1789" s="4" t="s">
        <v>1874</v>
      </c>
      <c r="B1789" s="2" t="s">
        <v>1657</v>
      </c>
      <c r="C1789" s="2" t="s">
        <v>1658</v>
      </c>
      <c r="D1789" s="4" t="s">
        <v>7</v>
      </c>
      <c r="E1789" s="2" t="s">
        <v>14</v>
      </c>
      <c r="F1789" s="6">
        <v>46190.380486111113</v>
      </c>
      <c r="G1789" t="s">
        <v>964</v>
      </c>
      <c r="H1789" t="s">
        <v>704</v>
      </c>
      <c r="I1789" s="3">
        <f>VLOOKUP(G1789,Sheet2!A:J,10,0)</f>
        <v>30</v>
      </c>
      <c r="J1789" s="13"/>
      <c r="K1789" s="13"/>
    </row>
    <row r="1790" spans="1:11">
      <c r="A1790" s="3" t="s">
        <v>1875</v>
      </c>
      <c r="B1790" s="1" t="s">
        <v>1657</v>
      </c>
      <c r="C1790" s="1" t="s">
        <v>1658</v>
      </c>
      <c r="D1790" s="3" t="s">
        <v>7</v>
      </c>
      <c r="E1790" s="1" t="s">
        <v>14</v>
      </c>
      <c r="F1790" s="5">
        <v>46190.380949074075</v>
      </c>
      <c r="G1790" t="s">
        <v>964</v>
      </c>
      <c r="H1790" t="s">
        <v>704</v>
      </c>
      <c r="I1790" s="3">
        <f>VLOOKUP(G1790,Sheet2!A:J,10,0)</f>
        <v>30</v>
      </c>
      <c r="J1790" s="13"/>
      <c r="K1790" s="13"/>
    </row>
    <row r="1791" spans="1:11">
      <c r="A1791" s="4" t="s">
        <v>1876</v>
      </c>
      <c r="B1791" s="2" t="s">
        <v>9</v>
      </c>
      <c r="C1791" s="2" t="s">
        <v>10</v>
      </c>
      <c r="D1791" s="4" t="s">
        <v>7</v>
      </c>
      <c r="E1791" s="2" t="s">
        <v>11</v>
      </c>
      <c r="F1791" s="6">
        <v>46197.529560185183</v>
      </c>
      <c r="G1791" t="s">
        <v>964</v>
      </c>
      <c r="H1791" t="s">
        <v>704</v>
      </c>
      <c r="I1791" s="3">
        <f>VLOOKUP(G1791,Sheet2!A:J,10,0)</f>
        <v>30</v>
      </c>
      <c r="J1791" s="13"/>
      <c r="K1791" s="13"/>
    </row>
    <row r="1792" spans="1:11">
      <c r="A1792" s="3" t="s">
        <v>1877</v>
      </c>
      <c r="B1792" s="1" t="s">
        <v>1657</v>
      </c>
      <c r="C1792" s="1" t="s">
        <v>1658</v>
      </c>
      <c r="D1792" s="3" t="s">
        <v>7</v>
      </c>
      <c r="E1792" s="1" t="s">
        <v>14</v>
      </c>
      <c r="F1792" s="5">
        <v>46190.381458333337</v>
      </c>
      <c r="G1792" t="s">
        <v>964</v>
      </c>
      <c r="H1792" t="s">
        <v>704</v>
      </c>
      <c r="I1792" s="3">
        <f>VLOOKUP(G1792,Sheet2!A:J,10,0)</f>
        <v>30</v>
      </c>
      <c r="J1792" s="13"/>
      <c r="K1792" s="13"/>
    </row>
    <row r="1793" spans="1:11">
      <c r="A1793" s="4" t="s">
        <v>1878</v>
      </c>
      <c r="B1793" s="2" t="s">
        <v>1657</v>
      </c>
      <c r="C1793" s="2" t="s">
        <v>1658</v>
      </c>
      <c r="D1793" s="4" t="s">
        <v>7</v>
      </c>
      <c r="E1793" s="2" t="s">
        <v>14</v>
      </c>
      <c r="F1793" s="6">
        <v>46190.380636574075</v>
      </c>
      <c r="G1793" t="s">
        <v>964</v>
      </c>
      <c r="H1793" t="s">
        <v>704</v>
      </c>
      <c r="I1793" s="3">
        <f>VLOOKUP(G1793,Sheet2!A:J,10,0)</f>
        <v>30</v>
      </c>
      <c r="J1793" s="13"/>
      <c r="K1793" s="13"/>
    </row>
    <row r="1794" spans="1:11">
      <c r="A1794" s="3" t="s">
        <v>950</v>
      </c>
      <c r="B1794" s="1" t="s">
        <v>98</v>
      </c>
      <c r="C1794" s="1" t="s">
        <v>99</v>
      </c>
      <c r="D1794" s="3" t="s">
        <v>7</v>
      </c>
      <c r="E1794" s="1" t="s">
        <v>100</v>
      </c>
      <c r="F1794" s="5">
        <v>46169.375775462962</v>
      </c>
      <c r="G1794" t="s">
        <v>939</v>
      </c>
      <c r="H1794" t="s">
        <v>940</v>
      </c>
      <c r="I1794" s="3">
        <f>VLOOKUP(G1794,Sheet2!A:J,10,0)</f>
        <v>21</v>
      </c>
      <c r="J1794" s="13"/>
      <c r="K1794" s="13"/>
    </row>
    <row r="1795" spans="1:11">
      <c r="A1795" s="4" t="s">
        <v>951</v>
      </c>
      <c r="B1795" s="2" t="s">
        <v>9</v>
      </c>
      <c r="C1795" s="2" t="s">
        <v>10</v>
      </c>
      <c r="D1795" s="4" t="s">
        <v>7</v>
      </c>
      <c r="E1795" s="2" t="s">
        <v>11</v>
      </c>
      <c r="F1795" s="6">
        <v>46191.405104166668</v>
      </c>
      <c r="G1795" t="s">
        <v>939</v>
      </c>
      <c r="H1795" t="s">
        <v>940</v>
      </c>
      <c r="I1795" s="3">
        <f>VLOOKUP(G1795,Sheet2!A:J,10,0)</f>
        <v>21</v>
      </c>
      <c r="J1795" s="13"/>
      <c r="K1795" s="13"/>
    </row>
    <row r="1796" spans="1:11">
      <c r="A1796" s="3" t="s">
        <v>952</v>
      </c>
      <c r="B1796" s="1" t="s">
        <v>6</v>
      </c>
      <c r="C1796" s="1" t="s">
        <v>6</v>
      </c>
      <c r="D1796" s="3" t="s">
        <v>7</v>
      </c>
      <c r="E1796" s="1" t="s">
        <v>8</v>
      </c>
      <c r="F1796" s="5">
        <v>46191.596817129626</v>
      </c>
      <c r="G1796" t="s">
        <v>939</v>
      </c>
      <c r="H1796" t="s">
        <v>940</v>
      </c>
      <c r="I1796" s="3">
        <f>VLOOKUP(G1796,Sheet2!A:J,10,0)</f>
        <v>21</v>
      </c>
      <c r="J1796" s="13"/>
      <c r="K1796" s="13"/>
    </row>
    <row r="1797" spans="1:11">
      <c r="A1797" s="4" t="s">
        <v>953</v>
      </c>
      <c r="B1797" s="2" t="s">
        <v>12</v>
      </c>
      <c r="C1797" s="2" t="s">
        <v>13</v>
      </c>
      <c r="D1797" s="4" t="s">
        <v>7</v>
      </c>
      <c r="E1797" s="2" t="s">
        <v>14</v>
      </c>
      <c r="F1797" s="6">
        <v>46168.587719907409</v>
      </c>
      <c r="G1797" t="s">
        <v>939</v>
      </c>
      <c r="H1797" t="s">
        <v>940</v>
      </c>
      <c r="I1797" s="3">
        <f>VLOOKUP(G1797,Sheet2!A:J,10,0)</f>
        <v>21</v>
      </c>
      <c r="J1797" s="13"/>
      <c r="K1797" s="13"/>
    </row>
    <row r="1798" spans="1:11">
      <c r="A1798" s="3" t="s">
        <v>954</v>
      </c>
      <c r="B1798" s="1" t="s">
        <v>98</v>
      </c>
      <c r="C1798" s="1" t="s">
        <v>99</v>
      </c>
      <c r="D1798" s="3" t="s">
        <v>7</v>
      </c>
      <c r="E1798" s="1" t="s">
        <v>100</v>
      </c>
      <c r="F1798" s="5">
        <v>46169.373541666668</v>
      </c>
      <c r="G1798" t="s">
        <v>939</v>
      </c>
      <c r="H1798" t="s">
        <v>940</v>
      </c>
      <c r="I1798" s="3">
        <f>VLOOKUP(G1798,Sheet2!A:J,10,0)</f>
        <v>21</v>
      </c>
      <c r="J1798" s="13"/>
      <c r="K1798" s="13">
        <v>46169</v>
      </c>
    </row>
    <row r="1799" spans="1:11">
      <c r="A1799" s="4" t="s">
        <v>955</v>
      </c>
      <c r="B1799" s="2" t="s">
        <v>9</v>
      </c>
      <c r="C1799" s="2" t="s">
        <v>10</v>
      </c>
      <c r="D1799" s="4" t="s">
        <v>7</v>
      </c>
      <c r="E1799" s="2" t="s">
        <v>11</v>
      </c>
      <c r="F1799" s="6">
        <v>46196.285370370373</v>
      </c>
      <c r="G1799" t="s">
        <v>939</v>
      </c>
      <c r="H1799" t="s">
        <v>940</v>
      </c>
      <c r="I1799" s="3">
        <f>VLOOKUP(G1799,Sheet2!A:J,10,0)</f>
        <v>21</v>
      </c>
      <c r="J1799" s="13"/>
      <c r="K1799" s="13"/>
    </row>
    <row r="1800" spans="1:11">
      <c r="A1800" s="3" t="s">
        <v>956</v>
      </c>
      <c r="B1800" s="1" t="s">
        <v>6</v>
      </c>
      <c r="C1800" s="1" t="s">
        <v>6</v>
      </c>
      <c r="D1800" s="3" t="s">
        <v>7</v>
      </c>
      <c r="E1800" s="1" t="s">
        <v>8</v>
      </c>
      <c r="F1800" s="5">
        <v>46192.6409375</v>
      </c>
      <c r="G1800" t="s">
        <v>939</v>
      </c>
      <c r="H1800" t="s">
        <v>940</v>
      </c>
      <c r="I1800" s="3">
        <f>VLOOKUP(G1800,Sheet2!A:J,10,0)</f>
        <v>21</v>
      </c>
      <c r="J1800" s="13"/>
      <c r="K1800" s="13"/>
    </row>
    <row r="1801" spans="1:11">
      <c r="A1801" s="4" t="s">
        <v>957</v>
      </c>
      <c r="B1801" s="2" t="s">
        <v>9</v>
      </c>
      <c r="C1801" s="2" t="s">
        <v>10</v>
      </c>
      <c r="D1801" s="4" t="s">
        <v>7</v>
      </c>
      <c r="E1801" s="2" t="s">
        <v>11</v>
      </c>
      <c r="F1801" s="6">
        <v>46196.544849537036</v>
      </c>
      <c r="G1801" t="s">
        <v>939</v>
      </c>
      <c r="H1801" t="s">
        <v>940</v>
      </c>
      <c r="I1801" s="3">
        <f>VLOOKUP(G1801,Sheet2!A:J,10,0)</f>
        <v>21</v>
      </c>
      <c r="J1801" s="13"/>
      <c r="K1801" s="13"/>
    </row>
    <row r="1802" spans="1:11">
      <c r="A1802" s="3" t="s">
        <v>958</v>
      </c>
      <c r="B1802" s="1" t="s">
        <v>9</v>
      </c>
      <c r="C1802" s="1" t="s">
        <v>10</v>
      </c>
      <c r="D1802" s="3" t="s">
        <v>7</v>
      </c>
      <c r="E1802" s="1" t="s">
        <v>11</v>
      </c>
      <c r="F1802" s="5">
        <v>46196.284224537034</v>
      </c>
      <c r="G1802" t="s">
        <v>939</v>
      </c>
      <c r="H1802" t="s">
        <v>940</v>
      </c>
      <c r="I1802" s="3">
        <f>VLOOKUP(G1802,Sheet2!A:J,10,0)</f>
        <v>21</v>
      </c>
      <c r="J1802" s="13"/>
      <c r="K1802" s="13"/>
    </row>
    <row r="1803" spans="1:11">
      <c r="A1803" s="4" t="s">
        <v>959</v>
      </c>
      <c r="B1803" s="2" t="s">
        <v>9</v>
      </c>
      <c r="C1803" s="2" t="s">
        <v>10</v>
      </c>
      <c r="D1803" s="4" t="s">
        <v>7</v>
      </c>
      <c r="E1803" s="2" t="s">
        <v>11</v>
      </c>
      <c r="F1803" s="6">
        <v>46196.284745370373</v>
      </c>
      <c r="G1803" t="s">
        <v>939</v>
      </c>
      <c r="H1803" t="s">
        <v>940</v>
      </c>
      <c r="I1803" s="3">
        <f>VLOOKUP(G1803,Sheet2!A:J,10,0)</f>
        <v>21</v>
      </c>
      <c r="J1803" s="13"/>
      <c r="K1803" s="13"/>
    </row>
    <row r="1804" spans="1:11">
      <c r="A1804" s="3" t="s">
        <v>1967</v>
      </c>
      <c r="B1804" s="1" t="s">
        <v>643</v>
      </c>
      <c r="C1804" s="1" t="s">
        <v>644</v>
      </c>
      <c r="D1804" s="3" t="s">
        <v>7</v>
      </c>
      <c r="E1804" s="1" t="s">
        <v>14</v>
      </c>
      <c r="F1804" s="5">
        <v>46191.691967592589</v>
      </c>
      <c r="G1804" t="s">
        <v>965</v>
      </c>
      <c r="H1804" t="s">
        <v>1259</v>
      </c>
      <c r="I1804" s="3">
        <f>VLOOKUP(G1804,Sheet2!A:J,10,0)</f>
        <v>31</v>
      </c>
      <c r="J1804" s="13"/>
      <c r="K1804" s="13"/>
    </row>
    <row r="1805" spans="1:11">
      <c r="A1805" s="4" t="s">
        <v>1968</v>
      </c>
      <c r="B1805" s="2" t="s">
        <v>9</v>
      </c>
      <c r="C1805" s="2" t="s">
        <v>10</v>
      </c>
      <c r="D1805" s="4" t="s">
        <v>7</v>
      </c>
      <c r="E1805" s="2" t="s">
        <v>11</v>
      </c>
      <c r="F1805" s="6">
        <v>46192.714120370372</v>
      </c>
      <c r="G1805" t="s">
        <v>965</v>
      </c>
      <c r="H1805" t="s">
        <v>1259</v>
      </c>
      <c r="I1805" s="3">
        <f>VLOOKUP(G1805,Sheet2!A:J,10,0)</f>
        <v>31</v>
      </c>
      <c r="J1805" s="13"/>
      <c r="K1805" s="13"/>
    </row>
    <row r="1806" spans="1:11">
      <c r="A1806" s="3" t="s">
        <v>1969</v>
      </c>
      <c r="B1806" s="1" t="s">
        <v>6</v>
      </c>
      <c r="C1806" s="1" t="s">
        <v>6</v>
      </c>
      <c r="D1806" s="3" t="s">
        <v>7</v>
      </c>
      <c r="E1806" s="1" t="s">
        <v>128</v>
      </c>
      <c r="F1806" s="5">
        <v>46190.499618055554</v>
      </c>
      <c r="G1806" t="s">
        <v>965</v>
      </c>
      <c r="H1806" t="s">
        <v>1259</v>
      </c>
      <c r="I1806" s="3">
        <f>VLOOKUP(G1806,Sheet2!A:J,10,0)</f>
        <v>31</v>
      </c>
      <c r="J1806" s="13"/>
      <c r="K1806" s="13"/>
    </row>
    <row r="1807" spans="1:11">
      <c r="A1807" s="4" t="s">
        <v>1970</v>
      </c>
      <c r="B1807" s="2" t="s">
        <v>6</v>
      </c>
      <c r="C1807" s="2" t="s">
        <v>6</v>
      </c>
      <c r="D1807" s="4" t="s">
        <v>7</v>
      </c>
      <c r="E1807" s="2" t="s">
        <v>128</v>
      </c>
      <c r="F1807" s="6">
        <v>46190.499618055554</v>
      </c>
      <c r="G1807" t="s">
        <v>965</v>
      </c>
      <c r="H1807" t="s">
        <v>1259</v>
      </c>
      <c r="I1807" s="3">
        <f>VLOOKUP(G1807,Sheet2!A:J,10,0)</f>
        <v>31</v>
      </c>
      <c r="J1807" s="13"/>
      <c r="K1807" s="13"/>
    </row>
    <row r="1808" spans="1:11">
      <c r="A1808" s="3" t="s">
        <v>1971</v>
      </c>
      <c r="B1808" s="1" t="s">
        <v>6</v>
      </c>
      <c r="C1808" s="1" t="s">
        <v>6</v>
      </c>
      <c r="D1808" s="3" t="s">
        <v>7</v>
      </c>
      <c r="E1808" s="1" t="s">
        <v>128</v>
      </c>
      <c r="F1808" s="5">
        <v>46190.499618055554</v>
      </c>
      <c r="G1808" t="s">
        <v>965</v>
      </c>
      <c r="H1808" t="s">
        <v>1259</v>
      </c>
      <c r="I1808" s="3">
        <f>VLOOKUP(G1808,Sheet2!A:J,10,0)</f>
        <v>31</v>
      </c>
      <c r="J1808" s="13"/>
      <c r="K1808" s="13"/>
    </row>
    <row r="1809" spans="1:11">
      <c r="A1809" s="4" t="s">
        <v>1972</v>
      </c>
      <c r="B1809" s="2" t="s">
        <v>6</v>
      </c>
      <c r="C1809" s="2" t="s">
        <v>6</v>
      </c>
      <c r="D1809" s="4" t="s">
        <v>7</v>
      </c>
      <c r="E1809" s="2" t="s">
        <v>128</v>
      </c>
      <c r="F1809" s="6">
        <v>46190.499618055554</v>
      </c>
      <c r="G1809" t="s">
        <v>965</v>
      </c>
      <c r="H1809" t="s">
        <v>1259</v>
      </c>
      <c r="I1809" s="3">
        <f>VLOOKUP(G1809,Sheet2!A:J,10,0)</f>
        <v>31</v>
      </c>
      <c r="J1809" s="13"/>
      <c r="K1809" s="13"/>
    </row>
    <row r="1810" spans="1:11">
      <c r="A1810" s="3" t="s">
        <v>1973</v>
      </c>
      <c r="B1810" s="1" t="s">
        <v>6</v>
      </c>
      <c r="C1810" s="1" t="s">
        <v>6</v>
      </c>
      <c r="D1810" s="3" t="s">
        <v>7</v>
      </c>
      <c r="E1810" s="1" t="s">
        <v>128</v>
      </c>
      <c r="F1810" s="5">
        <v>46190.499618055554</v>
      </c>
      <c r="G1810" t="s">
        <v>965</v>
      </c>
      <c r="H1810" t="s">
        <v>1259</v>
      </c>
      <c r="I1810" s="3">
        <f>VLOOKUP(G1810,Sheet2!A:J,10,0)</f>
        <v>31</v>
      </c>
      <c r="J1810" s="13"/>
      <c r="K1810" s="13"/>
    </row>
    <row r="1811" spans="1:11">
      <c r="A1811" s="4" t="s">
        <v>1974</v>
      </c>
      <c r="B1811" s="2" t="s">
        <v>6</v>
      </c>
      <c r="C1811" s="2" t="s">
        <v>6</v>
      </c>
      <c r="D1811" s="4" t="s">
        <v>7</v>
      </c>
      <c r="E1811" s="2" t="s">
        <v>128</v>
      </c>
      <c r="F1811" s="6">
        <v>46190.499618055554</v>
      </c>
      <c r="G1811" t="s">
        <v>965</v>
      </c>
      <c r="H1811" t="s">
        <v>1259</v>
      </c>
      <c r="I1811" s="3">
        <f>VLOOKUP(G1811,Sheet2!A:J,10,0)</f>
        <v>31</v>
      </c>
      <c r="J1811" s="13"/>
      <c r="K1811" s="13"/>
    </row>
  </sheetData>
  <autoFilter ref="A1:L1811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1686</v>
      </c>
      <c r="B2" t="s">
        <v>1997</v>
      </c>
      <c r="C2" t="s">
        <v>1998</v>
      </c>
      <c r="D2" t="s">
        <v>7</v>
      </c>
      <c r="E2" t="s">
        <v>157</v>
      </c>
      <c r="F2" s="17">
        <v>46198.312939814816</v>
      </c>
      <c r="G2" t="s">
        <v>509</v>
      </c>
      <c r="H2" t="s">
        <v>941</v>
      </c>
      <c r="I2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1686</v>
      </c>
      <c r="B2" t="s">
        <v>1997</v>
      </c>
      <c r="C2" t="s">
        <v>1998</v>
      </c>
      <c r="D2" t="s">
        <v>7</v>
      </c>
      <c r="E2" t="s">
        <v>157</v>
      </c>
      <c r="F2" s="17">
        <v>46198.312939814816</v>
      </c>
      <c r="G2" t="s">
        <v>509</v>
      </c>
      <c r="H2" t="s">
        <v>941</v>
      </c>
      <c r="I2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1685</v>
      </c>
      <c r="B2" t="s">
        <v>1884</v>
      </c>
      <c r="C2" t="s">
        <v>1885</v>
      </c>
      <c r="D2" t="s">
        <v>7</v>
      </c>
      <c r="E2" t="s">
        <v>647</v>
      </c>
      <c r="F2" s="17">
        <v>46198.305162037039</v>
      </c>
      <c r="G2" t="s">
        <v>509</v>
      </c>
      <c r="H2" t="s">
        <v>941</v>
      </c>
      <c r="I2">
        <v>14</v>
      </c>
    </row>
    <row r="3" spans="1:12">
      <c r="A3" t="s">
        <v>1675</v>
      </c>
      <c r="B3" t="s">
        <v>1884</v>
      </c>
      <c r="C3" t="s">
        <v>1885</v>
      </c>
      <c r="D3" t="s">
        <v>7</v>
      </c>
      <c r="E3" t="s">
        <v>647</v>
      </c>
      <c r="F3" s="17">
        <v>46190.566134259258</v>
      </c>
      <c r="G3" t="s">
        <v>509</v>
      </c>
      <c r="H3" t="s">
        <v>941</v>
      </c>
      <c r="I3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L121"/>
  <sheetViews>
    <sheetView topLeftCell="A38" zoomScaleNormal="100" workbookViewId="0">
      <selection activeCell="F61" sqref="F61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9" max="9" width="0" hidden="1" customWidth="1"/>
    <col min="11" max="11" width="70" bestFit="1" customWidth="1"/>
    <col min="12" max="12" width="9.7109375" bestFit="1" customWidth="1"/>
  </cols>
  <sheetData>
    <row r="1" spans="1:11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1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2"/>
    </row>
    <row r="3" spans="1:11">
      <c r="D3" s="8" t="s">
        <v>99</v>
      </c>
      <c r="E3" s="8" t="s">
        <v>100</v>
      </c>
      <c r="F3" s="9">
        <v>6</v>
      </c>
      <c r="G3" s="22"/>
      <c r="I3" t="str">
        <f t="shared" ref="I3:I66" si="0">MID(B3,3,21)</f>
        <v/>
      </c>
      <c r="K3" s="16"/>
    </row>
    <row r="4" spans="1:11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2"/>
      <c r="I4" t="str">
        <f t="shared" si="0"/>
        <v>17IA14.10</v>
      </c>
      <c r="K4" s="16"/>
    </row>
    <row r="5" spans="1:11">
      <c r="D5" s="8" t="s">
        <v>99</v>
      </c>
      <c r="E5" s="8" t="s">
        <v>100</v>
      </c>
      <c r="F5" s="9">
        <v>16</v>
      </c>
      <c r="G5" s="22"/>
      <c r="I5" t="str">
        <f t="shared" si="0"/>
        <v/>
      </c>
      <c r="K5" s="16"/>
    </row>
    <row r="6" spans="1:11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2"/>
      <c r="I6" t="str">
        <f t="shared" si="0"/>
        <v>17IA23.00</v>
      </c>
      <c r="K6" s="16"/>
    </row>
    <row r="7" spans="1:11">
      <c r="D7" s="8" t="s">
        <v>99</v>
      </c>
      <c r="E7" s="8" t="s">
        <v>100</v>
      </c>
      <c r="F7" s="9">
        <v>14</v>
      </c>
      <c r="G7" s="22"/>
      <c r="I7" t="str">
        <f t="shared" si="0"/>
        <v/>
      </c>
      <c r="K7" s="16"/>
    </row>
    <row r="8" spans="1:11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</row>
    <row r="9" spans="1:11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</row>
    <row r="10" spans="1:11">
      <c r="D10" s="8" t="s">
        <v>13</v>
      </c>
      <c r="E10" s="8" t="s">
        <v>14</v>
      </c>
      <c r="F10" s="9">
        <v>2</v>
      </c>
      <c r="G10" s="23"/>
      <c r="I10" t="str">
        <f t="shared" si="0"/>
        <v/>
      </c>
    </row>
    <row r="11" spans="1:11">
      <c r="D11" s="8" t="s">
        <v>6</v>
      </c>
      <c r="E11" s="8" t="s">
        <v>8</v>
      </c>
      <c r="F11" s="9">
        <v>11</v>
      </c>
      <c r="I11" t="str">
        <f t="shared" si="0"/>
        <v/>
      </c>
    </row>
    <row r="12" spans="1:11">
      <c r="D12" s="8" t="s">
        <v>99</v>
      </c>
      <c r="E12" s="8" t="s">
        <v>100</v>
      </c>
      <c r="F12" s="9">
        <v>8</v>
      </c>
      <c r="I12" t="str">
        <f t="shared" si="0"/>
        <v/>
      </c>
    </row>
    <row r="13" spans="1:11">
      <c r="D13" s="8" t="s">
        <v>644</v>
      </c>
      <c r="E13" s="8" t="s">
        <v>14</v>
      </c>
      <c r="F13" s="9">
        <v>1</v>
      </c>
      <c r="I13" t="str">
        <f t="shared" si="0"/>
        <v/>
      </c>
    </row>
    <row r="14" spans="1:11">
      <c r="D14" s="8" t="s">
        <v>654</v>
      </c>
      <c r="E14" s="8" t="s">
        <v>647</v>
      </c>
      <c r="F14" s="9">
        <v>2</v>
      </c>
      <c r="I14" t="str">
        <f t="shared" si="0"/>
        <v/>
      </c>
    </row>
    <row r="15" spans="1:11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</row>
    <row r="16" spans="1:11">
      <c r="D16" s="8" t="s">
        <v>13</v>
      </c>
      <c r="E16" s="8" t="s">
        <v>14</v>
      </c>
      <c r="F16" s="9">
        <v>1</v>
      </c>
      <c r="I16" t="str">
        <f t="shared" si="0"/>
        <v/>
      </c>
    </row>
    <row r="17" spans="1:12">
      <c r="D17" s="8" t="s">
        <v>6</v>
      </c>
      <c r="E17" s="8" t="s">
        <v>8</v>
      </c>
      <c r="F17" s="9">
        <v>12</v>
      </c>
      <c r="I17" t="str">
        <f t="shared" si="0"/>
        <v/>
      </c>
    </row>
    <row r="18" spans="1:12">
      <c r="D18" s="8" t="s">
        <v>99</v>
      </c>
      <c r="E18" s="8" t="s">
        <v>100</v>
      </c>
      <c r="F18" s="9">
        <v>8</v>
      </c>
      <c r="I18" t="str">
        <f t="shared" si="0"/>
        <v/>
      </c>
    </row>
    <row r="19" spans="1:12">
      <c r="D19" s="8" t="s">
        <v>276</v>
      </c>
      <c r="E19" s="8" t="s">
        <v>277</v>
      </c>
      <c r="F19" s="9">
        <v>1</v>
      </c>
      <c r="G19" s="24"/>
      <c r="I19" t="str">
        <f t="shared" si="0"/>
        <v/>
      </c>
      <c r="L19" s="13"/>
    </row>
    <row r="20" spans="1:12">
      <c r="D20" s="8" t="s">
        <v>654</v>
      </c>
      <c r="E20" s="8" t="s">
        <v>647</v>
      </c>
      <c r="F20" s="9">
        <v>1</v>
      </c>
      <c r="I20" t="str">
        <f t="shared" si="0"/>
        <v/>
      </c>
    </row>
    <row r="21" spans="1:12">
      <c r="D21" s="8" t="s">
        <v>906</v>
      </c>
      <c r="E21" s="8" t="s">
        <v>647</v>
      </c>
      <c r="F21" s="9">
        <v>2</v>
      </c>
      <c r="I21" t="str">
        <f t="shared" si="0"/>
        <v/>
      </c>
    </row>
    <row r="22" spans="1:12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</row>
    <row r="23" spans="1:12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</row>
    <row r="24" spans="1:12">
      <c r="D24" s="8" t="s">
        <v>6</v>
      </c>
      <c r="E24" s="8" t="s">
        <v>8</v>
      </c>
      <c r="F24" s="9">
        <v>8</v>
      </c>
      <c r="I24" t="str">
        <f t="shared" si="0"/>
        <v/>
      </c>
    </row>
    <row r="25" spans="1:12">
      <c r="D25" s="8" t="s">
        <v>99</v>
      </c>
      <c r="E25" s="8" t="s">
        <v>100</v>
      </c>
      <c r="F25" s="9">
        <v>10</v>
      </c>
      <c r="I25" t="str">
        <f t="shared" si="0"/>
        <v/>
      </c>
    </row>
    <row r="26" spans="1:12">
      <c r="D26" s="8" t="s">
        <v>276</v>
      </c>
      <c r="E26" s="8" t="s">
        <v>277</v>
      </c>
      <c r="F26" s="9">
        <v>4</v>
      </c>
      <c r="I26" t="str">
        <f t="shared" si="0"/>
        <v/>
      </c>
    </row>
    <row r="27" spans="1:12">
      <c r="D27" s="8" t="s">
        <v>654</v>
      </c>
      <c r="E27" s="8" t="s">
        <v>647</v>
      </c>
      <c r="F27" s="9">
        <v>3</v>
      </c>
      <c r="I27" t="str">
        <f t="shared" si="0"/>
        <v/>
      </c>
    </row>
    <row r="28" spans="1:12">
      <c r="D28" s="8" t="s">
        <v>906</v>
      </c>
      <c r="E28" s="8" t="s">
        <v>647</v>
      </c>
      <c r="F28" s="9">
        <v>3</v>
      </c>
      <c r="I28" t="str">
        <f t="shared" si="0"/>
        <v/>
      </c>
    </row>
    <row r="29" spans="1:12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</row>
    <row r="30" spans="1:12">
      <c r="D30" s="8" t="s">
        <v>6</v>
      </c>
      <c r="E30" s="8" t="s">
        <v>8</v>
      </c>
      <c r="F30" s="9">
        <v>20</v>
      </c>
      <c r="I30" t="str">
        <f t="shared" si="0"/>
        <v/>
      </c>
    </row>
    <row r="31" spans="1:12">
      <c r="D31" s="8" t="s">
        <v>99</v>
      </c>
      <c r="E31" s="8" t="s">
        <v>100</v>
      </c>
      <c r="F31" s="9">
        <v>10</v>
      </c>
      <c r="I31" t="str">
        <f t="shared" si="0"/>
        <v/>
      </c>
    </row>
    <row r="32" spans="1:12">
      <c r="D32" s="8" t="s">
        <v>276</v>
      </c>
      <c r="E32" s="8" t="s">
        <v>277</v>
      </c>
      <c r="F32" s="9">
        <v>4</v>
      </c>
      <c r="I32" t="str">
        <f t="shared" si="0"/>
        <v/>
      </c>
    </row>
    <row r="33" spans="1:9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</row>
    <row r="34" spans="1:9">
      <c r="D34" s="8" t="s">
        <v>99</v>
      </c>
      <c r="E34" s="8" t="s">
        <v>100</v>
      </c>
      <c r="F34" s="9">
        <v>14</v>
      </c>
      <c r="I34" t="str">
        <f t="shared" si="0"/>
        <v/>
      </c>
    </row>
    <row r="35" spans="1:9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</row>
    <row r="36" spans="1:9">
      <c r="D36" s="8" t="s">
        <v>949</v>
      </c>
      <c r="E36" s="8" t="s">
        <v>14</v>
      </c>
      <c r="F36" s="9">
        <v>4</v>
      </c>
      <c r="I36" t="str">
        <f t="shared" si="0"/>
        <v/>
      </c>
    </row>
    <row r="37" spans="1:9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29</v>
      </c>
      <c r="I37" t="str">
        <f t="shared" si="0"/>
        <v>17IA14.50</v>
      </c>
    </row>
    <row r="38" spans="1:9">
      <c r="D38" s="8" t="s">
        <v>13</v>
      </c>
      <c r="E38" s="8" t="s">
        <v>14</v>
      </c>
      <c r="F38" s="9">
        <v>46</v>
      </c>
      <c r="I38" t="str">
        <f t="shared" si="0"/>
        <v/>
      </c>
    </row>
    <row r="39" spans="1:9">
      <c r="D39" s="8" t="s">
        <v>6</v>
      </c>
      <c r="E39" s="8" t="s">
        <v>8</v>
      </c>
      <c r="F39" s="9">
        <v>37</v>
      </c>
      <c r="I39" t="str">
        <f t="shared" si="0"/>
        <v/>
      </c>
    </row>
    <row r="40" spans="1:9">
      <c r="D40" s="8" t="s">
        <v>99</v>
      </c>
      <c r="E40" s="8" t="s">
        <v>100</v>
      </c>
      <c r="F40" s="9">
        <v>9</v>
      </c>
      <c r="I40" t="str">
        <f t="shared" si="0"/>
        <v/>
      </c>
    </row>
    <row r="41" spans="1:9">
      <c r="D41" s="8" t="s">
        <v>276</v>
      </c>
      <c r="E41" s="8" t="s">
        <v>277</v>
      </c>
      <c r="F41" s="9">
        <v>7</v>
      </c>
      <c r="I41" t="str">
        <f t="shared" si="0"/>
        <v/>
      </c>
    </row>
    <row r="42" spans="1:9">
      <c r="D42" s="8" t="s">
        <v>654</v>
      </c>
      <c r="E42" s="8" t="s">
        <v>647</v>
      </c>
      <c r="F42" s="9">
        <v>1</v>
      </c>
      <c r="I42" t="str">
        <f t="shared" si="0"/>
        <v/>
      </c>
    </row>
    <row r="43" spans="1:9">
      <c r="D43" s="8" t="s">
        <v>649</v>
      </c>
      <c r="E43" s="8" t="s">
        <v>14</v>
      </c>
      <c r="F43" s="9">
        <v>1</v>
      </c>
      <c r="I43" t="str">
        <f t="shared" si="0"/>
        <v/>
      </c>
    </row>
    <row r="44" spans="1:9">
      <c r="D44" s="8" t="s">
        <v>660</v>
      </c>
      <c r="E44" s="8" t="s">
        <v>277</v>
      </c>
      <c r="F44" s="9">
        <v>1</v>
      </c>
      <c r="I44" t="str">
        <f t="shared" si="0"/>
        <v/>
      </c>
    </row>
    <row r="45" spans="1:9">
      <c r="D45" s="8" t="s">
        <v>906</v>
      </c>
      <c r="E45" s="8" t="s">
        <v>647</v>
      </c>
      <c r="F45" s="9">
        <v>1</v>
      </c>
      <c r="I45" t="str">
        <f t="shared" si="0"/>
        <v/>
      </c>
    </row>
    <row r="46" spans="1:9">
      <c r="A46" s="8">
        <v>12</v>
      </c>
      <c r="B46" s="8" t="s">
        <v>367</v>
      </c>
      <c r="C46" s="8" t="s">
        <v>2009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</row>
    <row r="47" spans="1:9">
      <c r="D47" s="8" t="s">
        <v>13</v>
      </c>
      <c r="E47" s="8" t="s">
        <v>14</v>
      </c>
      <c r="F47" s="9">
        <v>47</v>
      </c>
      <c r="I47" t="str">
        <f t="shared" si="0"/>
        <v/>
      </c>
    </row>
    <row r="48" spans="1:9">
      <c r="D48" s="8" t="s">
        <v>6</v>
      </c>
      <c r="E48" s="8" t="s">
        <v>8</v>
      </c>
      <c r="F48" s="9">
        <v>32</v>
      </c>
      <c r="I48" t="str">
        <f t="shared" si="0"/>
        <v/>
      </c>
    </row>
    <row r="49" spans="1:11">
      <c r="D49" s="8" t="s">
        <v>99</v>
      </c>
      <c r="E49" s="8" t="s">
        <v>100</v>
      </c>
      <c r="F49" s="9">
        <v>1</v>
      </c>
      <c r="I49" t="str">
        <f t="shared" si="0"/>
        <v/>
      </c>
    </row>
    <row r="50" spans="1:11">
      <c r="D50" s="8" t="s">
        <v>947</v>
      </c>
      <c r="E50" s="8" t="s">
        <v>157</v>
      </c>
      <c r="F50" s="9">
        <v>1</v>
      </c>
      <c r="I50" t="str">
        <f t="shared" si="0"/>
        <v/>
      </c>
    </row>
    <row r="51" spans="1:11">
      <c r="D51" s="8" t="s">
        <v>276</v>
      </c>
      <c r="E51" s="8" t="s">
        <v>277</v>
      </c>
      <c r="F51" s="9">
        <v>4</v>
      </c>
      <c r="I51" t="str">
        <f t="shared" si="0"/>
        <v/>
      </c>
    </row>
    <row r="52" spans="1:11">
      <c r="D52" s="8" t="s">
        <v>651</v>
      </c>
      <c r="E52" s="8" t="s">
        <v>647</v>
      </c>
      <c r="F52" s="9">
        <v>31</v>
      </c>
      <c r="I52" t="str">
        <f t="shared" si="0"/>
        <v/>
      </c>
    </row>
    <row r="53" spans="1:11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2</v>
      </c>
      <c r="I53" t="str">
        <f t="shared" si="0"/>
        <v>17IA24.10</v>
      </c>
    </row>
    <row r="54" spans="1:11">
      <c r="D54" s="8" t="s">
        <v>13</v>
      </c>
      <c r="E54" s="8" t="s">
        <v>14</v>
      </c>
      <c r="F54" s="9">
        <v>2</v>
      </c>
      <c r="I54" t="str">
        <f t="shared" si="0"/>
        <v/>
      </c>
    </row>
    <row r="55" spans="1:11">
      <c r="D55" s="8" t="s">
        <v>6</v>
      </c>
      <c r="E55" s="8" t="s">
        <v>8</v>
      </c>
      <c r="F55" s="9">
        <v>32</v>
      </c>
      <c r="I55" t="str">
        <f>MID(B55,3,21)</f>
        <v/>
      </c>
    </row>
    <row r="56" spans="1:11">
      <c r="D56" s="8" t="s">
        <v>276</v>
      </c>
      <c r="E56" s="8" t="s">
        <v>277</v>
      </c>
      <c r="F56" s="9">
        <v>2</v>
      </c>
      <c r="I56" t="str">
        <f t="shared" si="0"/>
        <v/>
      </c>
    </row>
    <row r="57" spans="1:11">
      <c r="D57" s="8" t="s">
        <v>654</v>
      </c>
      <c r="E57" s="8" t="s">
        <v>647</v>
      </c>
      <c r="F57" s="9">
        <v>3</v>
      </c>
      <c r="I57" t="str">
        <f t="shared" si="0"/>
        <v/>
      </c>
    </row>
    <row r="58" spans="1:11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4</v>
      </c>
      <c r="I58" t="str">
        <f t="shared" si="0"/>
        <v>17IA44.10</v>
      </c>
    </row>
    <row r="59" spans="1:11">
      <c r="D59" s="8" t="s">
        <v>99</v>
      </c>
      <c r="E59" s="8" t="s">
        <v>100</v>
      </c>
      <c r="F59" s="9">
        <v>19</v>
      </c>
      <c r="I59" t="str">
        <f t="shared" si="0"/>
        <v/>
      </c>
    </row>
    <row r="60" spans="1:11">
      <c r="D60" s="8" t="s">
        <v>644</v>
      </c>
      <c r="E60" s="8" t="s">
        <v>14</v>
      </c>
      <c r="F60" s="9">
        <v>4</v>
      </c>
      <c r="I60" t="str">
        <f t="shared" si="0"/>
        <v/>
      </c>
    </row>
    <row r="61" spans="1:11">
      <c r="D61" s="8" t="s">
        <v>1885</v>
      </c>
      <c r="E61" s="8" t="s">
        <v>647</v>
      </c>
      <c r="F61" s="9">
        <v>2</v>
      </c>
      <c r="I61" t="str">
        <f t="shared" si="0"/>
        <v/>
      </c>
      <c r="K61" s="21" t="s">
        <v>1977</v>
      </c>
    </row>
    <row r="62" spans="1:11">
      <c r="D62" s="8" t="s">
        <v>1998</v>
      </c>
      <c r="E62" s="8" t="s">
        <v>157</v>
      </c>
      <c r="F62" s="9">
        <v>1</v>
      </c>
      <c r="I62" t="str">
        <f t="shared" si="0"/>
        <v/>
      </c>
      <c r="K62" t="s">
        <v>1888</v>
      </c>
    </row>
    <row r="63" spans="1:11">
      <c r="A63" s="8">
        <v>17</v>
      </c>
      <c r="B63" s="8" t="s">
        <v>656</v>
      </c>
      <c r="C63" s="8" t="s">
        <v>658</v>
      </c>
      <c r="D63" s="8" t="s">
        <v>6</v>
      </c>
      <c r="E63" s="8" t="s">
        <v>8</v>
      </c>
      <c r="F63" s="9">
        <v>46</v>
      </c>
      <c r="I63" t="str">
        <f t="shared" si="0"/>
        <v>17IA15.90</v>
      </c>
    </row>
    <row r="64" spans="1:11">
      <c r="D64" s="8" t="s">
        <v>99</v>
      </c>
      <c r="E64" s="8" t="s">
        <v>100</v>
      </c>
      <c r="F64" s="9">
        <v>14</v>
      </c>
      <c r="I64" t="str">
        <f t="shared" si="0"/>
        <v/>
      </c>
    </row>
    <row r="65" spans="1:9">
      <c r="D65" s="8" t="s">
        <v>276</v>
      </c>
      <c r="E65" s="8" t="s">
        <v>277</v>
      </c>
      <c r="F65" s="9">
        <v>2</v>
      </c>
      <c r="G65" s="11"/>
      <c r="I65" t="str">
        <f t="shared" si="0"/>
        <v/>
      </c>
    </row>
    <row r="66" spans="1:9">
      <c r="A66" s="8">
        <v>18</v>
      </c>
      <c r="B66" s="25" t="s">
        <v>655</v>
      </c>
      <c r="C66" s="8" t="s">
        <v>657</v>
      </c>
      <c r="D66" s="8" t="s">
        <v>6</v>
      </c>
      <c r="E66" s="8" t="s">
        <v>8</v>
      </c>
      <c r="F66" s="9">
        <v>44</v>
      </c>
      <c r="G66" s="11"/>
      <c r="I66" t="str">
        <f t="shared" si="0"/>
        <v>17IA15.80</v>
      </c>
    </row>
    <row r="67" spans="1:9">
      <c r="D67" s="8" t="s">
        <v>99</v>
      </c>
      <c r="E67" s="8" t="s">
        <v>100</v>
      </c>
      <c r="F67" s="9">
        <v>18</v>
      </c>
      <c r="I67" t="str">
        <f t="shared" ref="I67:I107" si="1">MID(B67,3,21)</f>
        <v/>
      </c>
    </row>
    <row r="68" spans="1:9">
      <c r="A68" s="8">
        <v>19</v>
      </c>
      <c r="B68" s="8" t="s">
        <v>705</v>
      </c>
      <c r="C68" s="8" t="s">
        <v>703</v>
      </c>
      <c r="D68" s="8" t="s">
        <v>99</v>
      </c>
      <c r="E68" s="8" t="s">
        <v>100</v>
      </c>
      <c r="F68" s="9">
        <v>14</v>
      </c>
      <c r="G68" s="11"/>
      <c r="I68" t="str">
        <f t="shared" si="1"/>
        <v>19BA11.00</v>
      </c>
    </row>
    <row r="69" spans="1:9">
      <c r="A69" s="8">
        <v>20</v>
      </c>
      <c r="B69" s="8" t="s">
        <v>706</v>
      </c>
      <c r="C69" s="8" t="s">
        <v>704</v>
      </c>
      <c r="D69" s="8" t="s">
        <v>99</v>
      </c>
      <c r="E69" s="8" t="s">
        <v>100</v>
      </c>
      <c r="F69" s="9">
        <v>14</v>
      </c>
      <c r="G69" s="11"/>
      <c r="I69" t="str">
        <f t="shared" si="1"/>
        <v>19BA11.10</v>
      </c>
    </row>
    <row r="70" spans="1:9">
      <c r="A70" s="8">
        <v>21</v>
      </c>
      <c r="B70" s="8" t="s">
        <v>939</v>
      </c>
      <c r="C70" s="8" t="s">
        <v>940</v>
      </c>
      <c r="D70" s="8" t="s">
        <v>10</v>
      </c>
      <c r="E70" s="8" t="s">
        <v>11</v>
      </c>
      <c r="F70" s="9">
        <v>5</v>
      </c>
      <c r="G70" s="11"/>
      <c r="I70" t="str">
        <f t="shared" si="1"/>
        <v>20LA21.00</v>
      </c>
    </row>
    <row r="71" spans="1:9">
      <c r="D71" s="8" t="s">
        <v>13</v>
      </c>
      <c r="E71" s="8" t="s">
        <v>14</v>
      </c>
      <c r="F71" s="9">
        <v>1</v>
      </c>
      <c r="H71" s="8"/>
      <c r="I71" t="str">
        <f t="shared" si="1"/>
        <v/>
      </c>
    </row>
    <row r="72" spans="1:9">
      <c r="D72" s="8" t="s">
        <v>6</v>
      </c>
      <c r="E72" s="8" t="s">
        <v>8</v>
      </c>
      <c r="F72" s="9">
        <v>2</v>
      </c>
      <c r="G72" s="11"/>
      <c r="I72" t="str">
        <f t="shared" si="1"/>
        <v/>
      </c>
    </row>
    <row r="73" spans="1:9">
      <c r="D73" s="8" t="s">
        <v>99</v>
      </c>
      <c r="E73" s="8" t="s">
        <v>100</v>
      </c>
      <c r="F73" s="9">
        <v>2</v>
      </c>
      <c r="G73" s="11"/>
      <c r="I73" t="str">
        <f t="shared" si="1"/>
        <v/>
      </c>
    </row>
    <row r="74" spans="1:9">
      <c r="A74" s="8">
        <v>22</v>
      </c>
      <c r="B74" s="8" t="s">
        <v>943</v>
      </c>
      <c r="C74" s="8" t="s">
        <v>646</v>
      </c>
      <c r="D74" s="8" t="s">
        <v>10</v>
      </c>
      <c r="E74" s="8" t="s">
        <v>11</v>
      </c>
      <c r="F74" s="9">
        <v>13</v>
      </c>
      <c r="G74" s="11"/>
      <c r="I74" t="str">
        <f t="shared" si="1"/>
        <v>17IA25.30</v>
      </c>
    </row>
    <row r="75" spans="1:9">
      <c r="D75" s="8" t="s">
        <v>13</v>
      </c>
      <c r="E75" s="8" t="s">
        <v>14</v>
      </c>
      <c r="F75" s="9">
        <v>1</v>
      </c>
      <c r="G75" s="11"/>
      <c r="H75" s="11"/>
      <c r="I75" t="str">
        <f t="shared" si="1"/>
        <v/>
      </c>
    </row>
    <row r="76" spans="1:9">
      <c r="D76" s="8" t="s">
        <v>6</v>
      </c>
      <c r="E76" s="8" t="s">
        <v>8</v>
      </c>
      <c r="F76" s="9">
        <v>4</v>
      </c>
      <c r="G76" s="11"/>
      <c r="H76" s="8"/>
      <c r="I76" t="str">
        <f t="shared" si="1"/>
        <v/>
      </c>
    </row>
    <row r="77" spans="1:9">
      <c r="D77" s="8" t="s">
        <v>276</v>
      </c>
      <c r="E77" s="8" t="s">
        <v>277</v>
      </c>
      <c r="F77" s="9">
        <v>1</v>
      </c>
      <c r="G77" s="11"/>
      <c r="I77" t="str">
        <f t="shared" si="1"/>
        <v/>
      </c>
    </row>
    <row r="78" spans="1:9">
      <c r="D78" s="8" t="s">
        <v>654</v>
      </c>
      <c r="E78" s="8" t="s">
        <v>647</v>
      </c>
      <c r="F78" s="9">
        <v>1</v>
      </c>
      <c r="G78" s="11"/>
      <c r="H78" s="8"/>
      <c r="I78" t="str">
        <f t="shared" si="1"/>
        <v/>
      </c>
    </row>
    <row r="79" spans="1:9">
      <c r="D79" s="8" t="s">
        <v>1658</v>
      </c>
      <c r="E79" s="8" t="s">
        <v>14</v>
      </c>
      <c r="F79" s="9">
        <v>27</v>
      </c>
      <c r="G79" s="11"/>
      <c r="I79" t="str">
        <f t="shared" si="1"/>
        <v/>
      </c>
    </row>
    <row r="80" spans="1:9">
      <c r="A80" s="8">
        <v>23</v>
      </c>
      <c r="B80" s="8" t="s">
        <v>945</v>
      </c>
      <c r="C80" s="8" t="s">
        <v>657</v>
      </c>
      <c r="D80" s="8" t="s">
        <v>6</v>
      </c>
      <c r="E80" s="8" t="s">
        <v>128</v>
      </c>
      <c r="F80" s="9">
        <v>120</v>
      </c>
      <c r="G80" s="11"/>
      <c r="I80" t="str">
        <f t="shared" si="1"/>
        <v>17IA15.60</v>
      </c>
    </row>
    <row r="81" spans="1:11">
      <c r="D81" s="8" t="s">
        <v>1660</v>
      </c>
      <c r="E81" s="8" t="s">
        <v>14</v>
      </c>
      <c r="F81" s="9">
        <v>2</v>
      </c>
      <c r="I81" t="str">
        <f t="shared" si="1"/>
        <v/>
      </c>
    </row>
    <row r="82" spans="1:11">
      <c r="D82" s="8" t="s">
        <v>1658</v>
      </c>
      <c r="E82" s="8" t="s">
        <v>14</v>
      </c>
      <c r="F82" s="9">
        <v>66</v>
      </c>
      <c r="G82" s="11"/>
      <c r="I82" t="str">
        <f t="shared" si="1"/>
        <v/>
      </c>
    </row>
    <row r="83" spans="1:11">
      <c r="A83" s="8">
        <v>24</v>
      </c>
      <c r="B83" s="8" t="s">
        <v>944</v>
      </c>
      <c r="C83" s="8" t="s">
        <v>658</v>
      </c>
      <c r="D83" s="8" t="s">
        <v>6</v>
      </c>
      <c r="E83" s="8" t="s">
        <v>128</v>
      </c>
      <c r="F83" s="9">
        <v>34</v>
      </c>
      <c r="G83" s="11"/>
      <c r="I83" t="str">
        <f t="shared" si="1"/>
        <v>17IA15.70</v>
      </c>
    </row>
    <row r="84" spans="1:11">
      <c r="D84" s="8" t="s">
        <v>649</v>
      </c>
      <c r="E84" s="8" t="s">
        <v>14</v>
      </c>
      <c r="F84" s="9">
        <v>1</v>
      </c>
      <c r="G84" s="11"/>
      <c r="H84" s="8"/>
      <c r="I84" t="str">
        <f t="shared" si="1"/>
        <v/>
      </c>
    </row>
    <row r="85" spans="1:11">
      <c r="D85" s="8" t="s">
        <v>1660</v>
      </c>
      <c r="E85" s="8" t="s">
        <v>14</v>
      </c>
      <c r="F85" s="9">
        <v>5</v>
      </c>
      <c r="G85" s="11"/>
      <c r="I85" t="str">
        <f t="shared" si="1"/>
        <v/>
      </c>
    </row>
    <row r="86" spans="1:11">
      <c r="D86" s="8" t="s">
        <v>1658</v>
      </c>
      <c r="E86" s="8" t="s">
        <v>14</v>
      </c>
      <c r="F86" s="9">
        <v>148</v>
      </c>
      <c r="G86" s="11"/>
      <c r="H86" s="11"/>
      <c r="I86" t="str">
        <f t="shared" si="1"/>
        <v/>
      </c>
      <c r="K86" s="26"/>
    </row>
    <row r="87" spans="1:11">
      <c r="A87" s="8">
        <v>25</v>
      </c>
      <c r="B87" s="8" t="s">
        <v>966</v>
      </c>
      <c r="C87" s="8" t="s">
        <v>941</v>
      </c>
      <c r="D87" s="8" t="s">
        <v>6</v>
      </c>
      <c r="E87" s="8" t="s">
        <v>128</v>
      </c>
      <c r="F87" s="9">
        <v>47</v>
      </c>
      <c r="I87" t="str">
        <f t="shared" si="1"/>
        <v>17IA45.30</v>
      </c>
    </row>
    <row r="88" spans="1:11">
      <c r="A88" s="8">
        <v>26</v>
      </c>
      <c r="B88" s="8" t="s">
        <v>960</v>
      </c>
      <c r="C88" s="8" t="s">
        <v>941</v>
      </c>
      <c r="D88" s="8" t="s">
        <v>99</v>
      </c>
      <c r="E88" s="8" t="s">
        <v>100</v>
      </c>
      <c r="F88" s="9">
        <v>11</v>
      </c>
      <c r="G88" s="11"/>
      <c r="H88" s="11"/>
      <c r="I88" t="str">
        <f t="shared" si="1"/>
        <v>17IA45.40</v>
      </c>
    </row>
    <row r="89" spans="1:11">
      <c r="A89" s="8">
        <v>27</v>
      </c>
      <c r="B89" s="8" t="s">
        <v>961</v>
      </c>
      <c r="C89" s="8" t="s">
        <v>657</v>
      </c>
      <c r="D89" s="8" t="s">
        <v>10</v>
      </c>
      <c r="E89" s="8" t="s">
        <v>11</v>
      </c>
      <c r="F89" s="9">
        <v>19</v>
      </c>
      <c r="I89" t="str">
        <f t="shared" si="1"/>
        <v>17IA15.95</v>
      </c>
    </row>
    <row r="90" spans="1:11">
      <c r="D90" s="8" t="s">
        <v>13</v>
      </c>
      <c r="E90" s="8" t="s">
        <v>14</v>
      </c>
      <c r="F90" s="9">
        <v>3</v>
      </c>
      <c r="I90" t="str">
        <f t="shared" si="1"/>
        <v/>
      </c>
    </row>
    <row r="91" spans="1:11">
      <c r="D91" s="8" t="s">
        <v>6</v>
      </c>
      <c r="E91" s="8" t="s">
        <v>8</v>
      </c>
      <c r="F91" s="9">
        <v>100</v>
      </c>
      <c r="G91" s="11"/>
      <c r="I91" t="str">
        <f t="shared" si="1"/>
        <v/>
      </c>
    </row>
    <row r="92" spans="1:11">
      <c r="D92" s="8" t="s">
        <v>99</v>
      </c>
      <c r="E92" s="8" t="s">
        <v>100</v>
      </c>
      <c r="F92" s="9">
        <v>6</v>
      </c>
      <c r="I92" t="str">
        <f t="shared" si="1"/>
        <v/>
      </c>
    </row>
    <row r="93" spans="1:11">
      <c r="D93" s="8" t="s">
        <v>276</v>
      </c>
      <c r="E93" s="8" t="s">
        <v>277</v>
      </c>
      <c r="F93" s="9">
        <v>11</v>
      </c>
      <c r="I93" t="str">
        <f t="shared" si="1"/>
        <v/>
      </c>
    </row>
    <row r="94" spans="1:11">
      <c r="D94" s="8" t="s">
        <v>651</v>
      </c>
      <c r="E94" s="8" t="s">
        <v>647</v>
      </c>
      <c r="F94" s="9">
        <v>1</v>
      </c>
      <c r="I94" t="str">
        <f t="shared" si="1"/>
        <v/>
      </c>
    </row>
    <row r="95" spans="1:11">
      <c r="A95" s="8">
        <v>28</v>
      </c>
      <c r="B95" s="8" t="s">
        <v>962</v>
      </c>
      <c r="C95" s="8" t="s">
        <v>658</v>
      </c>
      <c r="D95" s="8" t="s">
        <v>10</v>
      </c>
      <c r="E95" s="8" t="s">
        <v>11</v>
      </c>
      <c r="F95" s="9">
        <v>15</v>
      </c>
      <c r="I95" t="str">
        <f t="shared" si="1"/>
        <v>17IA15.96</v>
      </c>
    </row>
    <row r="96" spans="1:11">
      <c r="D96" s="8" t="s">
        <v>13</v>
      </c>
      <c r="E96" s="8" t="s">
        <v>14</v>
      </c>
      <c r="F96" s="9">
        <v>3</v>
      </c>
      <c r="I96" t="str">
        <f t="shared" si="1"/>
        <v/>
      </c>
    </row>
    <row r="97" spans="1:9">
      <c r="D97" s="8" t="s">
        <v>6</v>
      </c>
      <c r="E97" s="8" t="s">
        <v>8</v>
      </c>
      <c r="F97" s="9">
        <v>98</v>
      </c>
      <c r="I97" t="str">
        <f t="shared" si="1"/>
        <v/>
      </c>
    </row>
    <row r="98" spans="1:9">
      <c r="D98" s="8" t="s">
        <v>99</v>
      </c>
      <c r="E98" s="8" t="s">
        <v>100</v>
      </c>
      <c r="F98" s="9">
        <v>6</v>
      </c>
      <c r="I98" t="str">
        <f t="shared" si="1"/>
        <v/>
      </c>
    </row>
    <row r="99" spans="1:9">
      <c r="D99" s="8" t="s">
        <v>276</v>
      </c>
      <c r="E99" s="8" t="s">
        <v>277</v>
      </c>
      <c r="F99" s="9">
        <v>11</v>
      </c>
      <c r="I99" t="str">
        <f t="shared" si="1"/>
        <v/>
      </c>
    </row>
    <row r="100" spans="1:9">
      <c r="D100" s="8" t="s">
        <v>651</v>
      </c>
      <c r="E100" s="8" t="s">
        <v>647</v>
      </c>
      <c r="F100" s="9">
        <v>1</v>
      </c>
      <c r="I100" t="str">
        <f t="shared" si="1"/>
        <v/>
      </c>
    </row>
    <row r="101" spans="1:9">
      <c r="D101" s="8" t="s">
        <v>654</v>
      </c>
      <c r="E101" s="8" t="s">
        <v>647</v>
      </c>
      <c r="F101" s="9">
        <v>1</v>
      </c>
      <c r="I101" t="str">
        <f t="shared" si="1"/>
        <v/>
      </c>
    </row>
    <row r="102" spans="1:9">
      <c r="D102" s="8" t="s">
        <v>1660</v>
      </c>
      <c r="E102" s="8" t="s">
        <v>14</v>
      </c>
      <c r="F102" s="9">
        <v>1</v>
      </c>
      <c r="I102" t="str">
        <f t="shared" si="1"/>
        <v/>
      </c>
    </row>
    <row r="103" spans="1:9">
      <c r="D103" s="8" t="s">
        <v>1985</v>
      </c>
      <c r="E103" s="8" t="s">
        <v>14</v>
      </c>
      <c r="F103" s="9">
        <v>4</v>
      </c>
      <c r="G103" s="11"/>
      <c r="I103" t="str">
        <f t="shared" si="1"/>
        <v/>
      </c>
    </row>
    <row r="104" spans="1:9">
      <c r="A104" s="8">
        <v>29</v>
      </c>
      <c r="B104" s="8" t="s">
        <v>963</v>
      </c>
      <c r="C104" s="8" t="s">
        <v>703</v>
      </c>
      <c r="D104" s="8" t="s">
        <v>10</v>
      </c>
      <c r="E104" s="8" t="s">
        <v>11</v>
      </c>
      <c r="F104" s="9">
        <v>28</v>
      </c>
      <c r="I104" t="str">
        <f t="shared" si="1"/>
        <v>20LA12.00</v>
      </c>
    </row>
    <row r="105" spans="1:9">
      <c r="D105" s="8" t="s">
        <v>6</v>
      </c>
      <c r="E105" s="8" t="s">
        <v>8</v>
      </c>
      <c r="F105" s="9">
        <v>8</v>
      </c>
      <c r="I105" t="str">
        <f t="shared" si="1"/>
        <v/>
      </c>
    </row>
    <row r="106" spans="1:9">
      <c r="D106" s="8" t="s">
        <v>276</v>
      </c>
      <c r="E106" s="8" t="s">
        <v>277</v>
      </c>
      <c r="F106" s="9">
        <v>7</v>
      </c>
      <c r="I106" t="str">
        <f t="shared" si="1"/>
        <v/>
      </c>
    </row>
    <row r="107" spans="1:9">
      <c r="D107" s="8" t="s">
        <v>938</v>
      </c>
      <c r="E107" s="8" t="s">
        <v>14</v>
      </c>
      <c r="F107" s="9">
        <v>20</v>
      </c>
      <c r="I107" t="str">
        <f t="shared" si="1"/>
        <v/>
      </c>
    </row>
    <row r="108" spans="1:9">
      <c r="D108" s="8" t="s">
        <v>1658</v>
      </c>
      <c r="E108" s="8" t="s">
        <v>14</v>
      </c>
      <c r="F108" s="9">
        <v>1</v>
      </c>
    </row>
    <row r="109" spans="1:9">
      <c r="A109" s="8">
        <v>30</v>
      </c>
      <c r="B109" s="8" t="s">
        <v>964</v>
      </c>
      <c r="C109" s="8" t="s">
        <v>704</v>
      </c>
      <c r="D109" s="8" t="s">
        <v>10</v>
      </c>
      <c r="E109" s="8" t="s">
        <v>11</v>
      </c>
      <c r="F109" s="9">
        <v>27</v>
      </c>
    </row>
    <row r="110" spans="1:9">
      <c r="D110" s="8" t="s">
        <v>6</v>
      </c>
      <c r="E110" s="8" t="s">
        <v>8</v>
      </c>
      <c r="F110" s="9">
        <v>8</v>
      </c>
    </row>
    <row r="111" spans="1:9">
      <c r="D111" s="8" t="s">
        <v>276</v>
      </c>
      <c r="E111" s="8" t="s">
        <v>277</v>
      </c>
      <c r="F111" s="9">
        <v>3</v>
      </c>
    </row>
    <row r="112" spans="1:9">
      <c r="D112" s="8" t="s">
        <v>651</v>
      </c>
      <c r="E112" s="8" t="s">
        <v>647</v>
      </c>
      <c r="F112" s="9">
        <v>2</v>
      </c>
    </row>
    <row r="113" spans="1:6">
      <c r="D113" s="8" t="s">
        <v>649</v>
      </c>
      <c r="E113" s="8" t="s">
        <v>14</v>
      </c>
      <c r="F113" s="9">
        <v>1</v>
      </c>
    </row>
    <row r="114" spans="1:6">
      <c r="D114" s="8" t="s">
        <v>938</v>
      </c>
      <c r="E114" s="8" t="s">
        <v>14</v>
      </c>
      <c r="F114" s="9">
        <v>15</v>
      </c>
    </row>
    <row r="115" spans="1:6">
      <c r="D115" s="8" t="s">
        <v>1658</v>
      </c>
      <c r="E115" s="8" t="s">
        <v>14</v>
      </c>
      <c r="F115" s="9">
        <v>7</v>
      </c>
    </row>
    <row r="116" spans="1:6">
      <c r="D116" s="8" t="s">
        <v>1814</v>
      </c>
      <c r="E116" s="8" t="s">
        <v>647</v>
      </c>
      <c r="F116" s="9">
        <v>1</v>
      </c>
    </row>
    <row r="117" spans="1:6">
      <c r="A117" s="8">
        <v>31</v>
      </c>
      <c r="B117" s="8" t="s">
        <v>965</v>
      </c>
      <c r="C117" s="8" t="s">
        <v>1259</v>
      </c>
      <c r="D117" s="8" t="s">
        <v>10</v>
      </c>
      <c r="E117" s="8" t="s">
        <v>11</v>
      </c>
      <c r="F117" s="9">
        <v>1</v>
      </c>
    </row>
    <row r="118" spans="1:6">
      <c r="D118" s="8" t="s">
        <v>6</v>
      </c>
      <c r="E118" s="8" t="s">
        <v>128</v>
      </c>
      <c r="F118" s="9">
        <v>6</v>
      </c>
    </row>
    <row r="119" spans="1:6">
      <c r="D119" s="8" t="s">
        <v>644</v>
      </c>
      <c r="E119" s="8" t="s">
        <v>14</v>
      </c>
      <c r="F119" s="9">
        <v>1</v>
      </c>
    </row>
    <row r="120" spans="1:6">
      <c r="A120" s="8">
        <v>37</v>
      </c>
      <c r="B120" s="8" t="s">
        <v>1880</v>
      </c>
      <c r="C120" s="8" t="s">
        <v>1891</v>
      </c>
      <c r="D120" s="8" t="s">
        <v>6</v>
      </c>
      <c r="E120" s="8" t="s">
        <v>128</v>
      </c>
      <c r="F120" s="9">
        <v>29</v>
      </c>
    </row>
    <row r="121" spans="1:6">
      <c r="A121" s="8" t="s">
        <v>155</v>
      </c>
      <c r="F121" s="9">
        <v>1810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:Q39"/>
  <sheetViews>
    <sheetView tabSelected="1" workbookViewId="0">
      <pane ySplit="1" topLeftCell="A2" activePane="bottomLeft" state="frozen"/>
      <selection pane="bottomLeft" activeCell="A31" sqref="A31"/>
    </sheetView>
  </sheetViews>
  <sheetFormatPr defaultRowHeight="15"/>
  <cols>
    <col min="1" max="1" width="13.85546875" bestFit="1" customWidth="1"/>
    <col min="2" max="2" width="13.85546875" hidden="1" customWidth="1"/>
    <col min="3" max="3" width="13.85546875" customWidth="1"/>
    <col min="4" max="5" width="13.85546875" hidden="1" customWidth="1"/>
    <col min="6" max="6" width="13.85546875" customWidth="1"/>
    <col min="7" max="7" width="18.5703125" bestFit="1" customWidth="1"/>
    <col min="8" max="8" width="25.7109375" hidden="1" customWidth="1"/>
    <col min="11" max="11" width="122.28515625" bestFit="1" customWidth="1"/>
    <col min="12" max="12" width="30.5703125" bestFit="1" customWidth="1"/>
    <col min="13" max="13" width="14" customWidth="1"/>
    <col min="14" max="14" width="30.7109375" bestFit="1" customWidth="1"/>
    <col min="16" max="16" width="9.5703125" bestFit="1" customWidth="1"/>
    <col min="17" max="17" width="36.5703125" bestFit="1" customWidth="1"/>
  </cols>
  <sheetData>
    <row r="1" spans="1:17">
      <c r="A1" t="s">
        <v>321</v>
      </c>
      <c r="C1" t="s">
        <v>1274</v>
      </c>
      <c r="G1" t="s">
        <v>149</v>
      </c>
      <c r="H1" t="s">
        <v>1260</v>
      </c>
      <c r="I1" t="s">
        <v>3</v>
      </c>
      <c r="J1" t="s">
        <v>315</v>
      </c>
      <c r="K1" t="s">
        <v>702</v>
      </c>
    </row>
    <row r="2" spans="1:17">
      <c r="A2" t="s">
        <v>146</v>
      </c>
      <c r="B2" t="str">
        <f>MID(A2,3,11)</f>
        <v>17IA14.00</v>
      </c>
      <c r="C2" t="str">
        <f>VLOOKUP(A2,Summary!B:B,1,0)</f>
        <v>QT17IA14.00</v>
      </c>
      <c r="F2" t="e">
        <f>VLOOKUP(A2,'[1]Plan - US NPI'!$C$6:$E$192,3,0)</f>
        <v>#N/A</v>
      </c>
      <c r="G2" t="s">
        <v>150</v>
      </c>
      <c r="H2" t="e">
        <v>#N/A</v>
      </c>
      <c r="I2">
        <v>70</v>
      </c>
      <c r="J2">
        <v>1</v>
      </c>
      <c r="Q2" t="s">
        <v>780</v>
      </c>
    </row>
    <row r="3" spans="1:17">
      <c r="A3" t="s">
        <v>145</v>
      </c>
      <c r="B3" t="str">
        <f t="shared" ref="B3:B39" si="0">MID(A3,3,11)</f>
        <v>17IA14.10</v>
      </c>
      <c r="C3" t="str">
        <f>VLOOKUP(A3,Summary!B:B,1,0)</f>
        <v>QT17IA14.10</v>
      </c>
      <c r="F3" t="e">
        <f>VLOOKUP(A3,'[1]Plan - US NPI'!$C$6:$E$192,3,0)</f>
        <v>#N/A</v>
      </c>
      <c r="G3" t="s">
        <v>151</v>
      </c>
      <c r="H3" t="e">
        <v>#N/A</v>
      </c>
      <c r="I3">
        <v>80</v>
      </c>
      <c r="J3">
        <v>2</v>
      </c>
      <c r="Q3" t="s">
        <v>942</v>
      </c>
    </row>
    <row r="4" spans="1:17">
      <c r="A4" t="s">
        <v>144</v>
      </c>
      <c r="B4" t="str">
        <f t="shared" si="0"/>
        <v>17IA23.00</v>
      </c>
      <c r="C4" t="str">
        <f>VLOOKUP(A4,Summary!B:B,1,0)</f>
        <v>QT17IA23.00</v>
      </c>
      <c r="F4" t="e">
        <f>VLOOKUP(A4,'[1]Plan - US NPI'!$C$6:$E$192,3,0)</f>
        <v>#N/A</v>
      </c>
      <c r="G4" t="s">
        <v>152</v>
      </c>
      <c r="H4" t="e">
        <v>#N/A</v>
      </c>
      <c r="I4">
        <v>25</v>
      </c>
      <c r="J4">
        <v>3</v>
      </c>
    </row>
    <row r="5" spans="1:17">
      <c r="A5" t="s">
        <v>147</v>
      </c>
      <c r="B5" t="str">
        <f t="shared" si="0"/>
        <v>17IA43.00</v>
      </c>
      <c r="C5" t="str">
        <f>VLOOKUP(A5,Summary!B:B,1,0)</f>
        <v>QT17IA43.00</v>
      </c>
      <c r="F5" t="e">
        <f>VLOOKUP(A5,'[1]Plan - US NPI'!$C$6:$E$192,3,0)</f>
        <v>#N/A</v>
      </c>
      <c r="G5" t="s">
        <v>153</v>
      </c>
      <c r="H5" t="e">
        <v>#N/A</v>
      </c>
      <c r="I5">
        <v>20</v>
      </c>
      <c r="J5">
        <v>4</v>
      </c>
    </row>
    <row r="6" spans="1:17">
      <c r="A6" t="s">
        <v>236</v>
      </c>
      <c r="B6" t="str">
        <f t="shared" si="0"/>
        <v>17IA14.30</v>
      </c>
      <c r="C6" t="str">
        <f>VLOOKUP(A6,Summary!B:B,1,0)</f>
        <v>QT17IA14.30</v>
      </c>
      <c r="F6" t="str">
        <f>VLOOKUP(A6,'[1]Plan - US NPI'!$C$6:$E$192,3,0)</f>
        <v>AXFIA</v>
      </c>
      <c r="G6" t="s">
        <v>237</v>
      </c>
      <c r="H6" t="s">
        <v>1261</v>
      </c>
      <c r="I6">
        <v>37</v>
      </c>
      <c r="J6">
        <v>5</v>
      </c>
      <c r="K6" t="s">
        <v>372</v>
      </c>
    </row>
    <row r="7" spans="1:17">
      <c r="A7" t="s">
        <v>274</v>
      </c>
      <c r="B7" t="str">
        <f t="shared" si="0"/>
        <v>17IA14.31</v>
      </c>
      <c r="C7" t="str">
        <f>VLOOKUP(A7,Summary!B:B,1,0)</f>
        <v>QT17IA14.31</v>
      </c>
      <c r="F7" t="str">
        <f>VLOOKUP(A7,'[1]Plan - US NPI'!$C$6:$E$192,3,0)</f>
        <v>AXFIA</v>
      </c>
      <c r="G7" t="s">
        <v>237</v>
      </c>
      <c r="H7" t="s">
        <v>1261</v>
      </c>
      <c r="I7">
        <v>37</v>
      </c>
      <c r="J7">
        <v>6</v>
      </c>
      <c r="K7" t="s">
        <v>373</v>
      </c>
    </row>
    <row r="8" spans="1:17">
      <c r="A8" t="s">
        <v>159</v>
      </c>
      <c r="B8" t="str">
        <f t="shared" si="0"/>
        <v>17IA14.20</v>
      </c>
      <c r="C8" t="str">
        <f>VLOOKUP(A8,Summary!B:B,1,0)</f>
        <v>QT17IA14.20</v>
      </c>
      <c r="F8" t="str">
        <f>VLOOKUP(A8,'[1]Plan - US NPI'!$C$6:$E$192,3,0)</f>
        <v>AXFIA</v>
      </c>
      <c r="G8" t="s">
        <v>160</v>
      </c>
      <c r="H8" t="s">
        <v>1262</v>
      </c>
      <c r="I8">
        <v>37</v>
      </c>
      <c r="J8">
        <v>7</v>
      </c>
      <c r="K8" t="s">
        <v>370</v>
      </c>
    </row>
    <row r="9" spans="1:17">
      <c r="A9" t="s">
        <v>198</v>
      </c>
      <c r="B9" t="str">
        <f t="shared" si="0"/>
        <v>17IA14.21</v>
      </c>
      <c r="C9" t="str">
        <f>VLOOKUP(A9,Summary!B:B,1,0)</f>
        <v>QT17IA14.21</v>
      </c>
      <c r="F9" t="str">
        <f>VLOOKUP(A9,'[1]Plan - US NPI'!$C$6:$E$192,3,0)</f>
        <v>AXFIA</v>
      </c>
      <c r="G9" t="s">
        <v>160</v>
      </c>
      <c r="H9" t="s">
        <v>1262</v>
      </c>
      <c r="I9">
        <v>37</v>
      </c>
      <c r="J9">
        <v>8</v>
      </c>
      <c r="K9" t="s">
        <v>371</v>
      </c>
    </row>
    <row r="10" spans="1:17">
      <c r="A10" t="s">
        <v>317</v>
      </c>
      <c r="B10" t="str">
        <f t="shared" si="0"/>
        <v>17IA24.00</v>
      </c>
      <c r="C10" t="str">
        <f>VLOOKUP(A10,Summary!B:B,1,0)</f>
        <v>QT17IA24.00</v>
      </c>
      <c r="F10" t="e">
        <f>VLOOKUP(A10,'[1]Plan - US NPI'!$C$6:$E$192,3,0)</f>
        <v>#N/A</v>
      </c>
      <c r="G10" t="s">
        <v>319</v>
      </c>
      <c r="H10" t="s">
        <v>1263</v>
      </c>
      <c r="I10">
        <v>29</v>
      </c>
      <c r="J10">
        <v>9</v>
      </c>
      <c r="K10" t="s">
        <v>375</v>
      </c>
    </row>
    <row r="11" spans="1:17">
      <c r="A11" t="s">
        <v>318</v>
      </c>
      <c r="B11" t="str">
        <f t="shared" si="0"/>
        <v>17IA44.00</v>
      </c>
      <c r="C11" t="str">
        <f>VLOOKUP(A11,Summary!B:B,1,0)</f>
        <v>QT17IA44.00</v>
      </c>
      <c r="F11" t="e">
        <f>VLOOKUP(A11,'[1]Plan - US NPI'!$C$6:$E$192,3,0)</f>
        <v>#N/A</v>
      </c>
      <c r="G11" t="s">
        <v>320</v>
      </c>
      <c r="H11" t="s">
        <v>1272</v>
      </c>
      <c r="I11">
        <v>15</v>
      </c>
      <c r="J11">
        <v>10</v>
      </c>
      <c r="K11" t="s">
        <v>374</v>
      </c>
    </row>
    <row r="12" spans="1:17">
      <c r="A12" t="s">
        <v>368</v>
      </c>
      <c r="B12" t="str">
        <f t="shared" si="0"/>
        <v>17IA14.50</v>
      </c>
      <c r="C12" t="str">
        <f>VLOOKUP(A12,Summary!B:B,1,0)</f>
        <v>QT17IA14.50</v>
      </c>
      <c r="F12" t="str">
        <f>VLOOKUP(A12,'[1]Plan - US NPI'!$C$6:$E$192,3,0)</f>
        <v>AXFIA</v>
      </c>
      <c r="G12" t="s">
        <v>237</v>
      </c>
      <c r="H12" t="s">
        <v>1261</v>
      </c>
      <c r="I12">
        <v>124</v>
      </c>
      <c r="J12">
        <v>11</v>
      </c>
      <c r="K12" t="s">
        <v>376</v>
      </c>
      <c r="N12" t="s">
        <v>1983</v>
      </c>
    </row>
    <row r="13" spans="1:17">
      <c r="A13" t="s">
        <v>367</v>
      </c>
      <c r="B13" t="str">
        <f t="shared" si="0"/>
        <v>17IA14.40</v>
      </c>
      <c r="C13" t="str">
        <f>VLOOKUP(A13,Summary!B:B,1,0)</f>
        <v>QT17IA14.40</v>
      </c>
      <c r="F13" t="str">
        <f>VLOOKUP(A13,'[1]Plan - US NPI'!$C$6:$E$192,3,0)</f>
        <v>AXFIA</v>
      </c>
      <c r="G13" t="s">
        <v>160</v>
      </c>
      <c r="H13" t="s">
        <v>1262</v>
      </c>
      <c r="I13">
        <v>124</v>
      </c>
      <c r="J13">
        <v>12</v>
      </c>
      <c r="K13" t="s">
        <v>707</v>
      </c>
    </row>
    <row r="14" spans="1:17">
      <c r="A14" s="15" t="s">
        <v>369</v>
      </c>
      <c r="B14" t="str">
        <f t="shared" si="0"/>
        <v>17IA24.10</v>
      </c>
      <c r="C14" t="str">
        <f>VLOOKUP(A14,Summary!B:B,1,0)</f>
        <v>QT17IA24.10</v>
      </c>
      <c r="F14" t="str">
        <f>VLOOKUP(A14,'[1]Plan - US NPI'!$C$6:$E$192,3,0)</f>
        <v>AXFIA</v>
      </c>
      <c r="G14" s="15" t="s">
        <v>646</v>
      </c>
      <c r="H14" t="s">
        <v>1264</v>
      </c>
      <c r="I14" s="15">
        <v>41</v>
      </c>
      <c r="J14" s="15">
        <v>13</v>
      </c>
      <c r="K14" s="15" t="s">
        <v>652</v>
      </c>
      <c r="L14" s="15"/>
    </row>
    <row r="15" spans="1:17">
      <c r="A15" t="s">
        <v>509</v>
      </c>
      <c r="B15" t="str">
        <f t="shared" si="0"/>
        <v>17IA44.10</v>
      </c>
      <c r="C15" t="str">
        <f>VLOOKUP(A15,Summary!B:B,1,0)</f>
        <v>QT17IA44.10</v>
      </c>
      <c r="F15" t="str">
        <f>VLOOKUP(A15,'[1]Plan - US NPI'!$C$6:$E$192,3,0)</f>
        <v>AXFIA</v>
      </c>
      <c r="G15" s="15" t="s">
        <v>941</v>
      </c>
      <c r="H15" t="s">
        <v>1265</v>
      </c>
      <c r="I15">
        <v>30</v>
      </c>
      <c r="J15">
        <v>14</v>
      </c>
      <c r="K15" s="15" t="s">
        <v>1812</v>
      </c>
      <c r="L15" s="15"/>
      <c r="M15" s="15"/>
    </row>
    <row r="16" spans="1:17">
      <c r="A16" t="s">
        <v>655</v>
      </c>
      <c r="B16" t="str">
        <f t="shared" si="0"/>
        <v>17IA15.80</v>
      </c>
      <c r="C16" t="str">
        <f>VLOOKUP(A16,Summary!B:B,1,0)</f>
        <v>QT17IA15.80</v>
      </c>
      <c r="F16" t="e">
        <f>VLOOKUP(A16,'[1]Plan - US NPI'!$C$6:$E$192,3,0)</f>
        <v>#N/A</v>
      </c>
      <c r="G16" t="s">
        <v>657</v>
      </c>
      <c r="H16" t="s">
        <v>1266</v>
      </c>
      <c r="I16">
        <v>62</v>
      </c>
      <c r="J16">
        <v>18</v>
      </c>
      <c r="K16" t="s">
        <v>779</v>
      </c>
    </row>
    <row r="17" spans="1:16">
      <c r="A17" t="s">
        <v>656</v>
      </c>
      <c r="B17" t="str">
        <f t="shared" si="0"/>
        <v>17IA15.90</v>
      </c>
      <c r="C17" t="str">
        <f>VLOOKUP(A17,Summary!B:B,1,0)</f>
        <v>QT17IA15.90</v>
      </c>
      <c r="F17" t="str">
        <f>VLOOKUP(A17,'[1]Plan - US NPI'!$C$6:$E$192,3,0)</f>
        <v>AXFIA</v>
      </c>
      <c r="G17" t="s">
        <v>658</v>
      </c>
      <c r="H17" t="s">
        <v>1267</v>
      </c>
      <c r="I17">
        <v>62</v>
      </c>
      <c r="J17">
        <v>17</v>
      </c>
      <c r="K17" t="s">
        <v>778</v>
      </c>
      <c r="P17" s="20">
        <v>46139</v>
      </c>
    </row>
    <row r="18" spans="1:16">
      <c r="A18" t="s">
        <v>705</v>
      </c>
      <c r="B18" t="str">
        <f t="shared" si="0"/>
        <v>19BA11.00</v>
      </c>
      <c r="C18" t="str">
        <f>VLOOKUP(A18,Summary!B:B,1,0)</f>
        <v>QT19BA11.00</v>
      </c>
      <c r="F18" t="str">
        <f>VLOOKUP(A18,'[1]Plan - US NPI'!$C$6:$E$192,3,0)</f>
        <v>AXOLA</v>
      </c>
      <c r="G18" t="s">
        <v>703</v>
      </c>
      <c r="H18" t="s">
        <v>1268</v>
      </c>
      <c r="I18">
        <v>14</v>
      </c>
      <c r="J18">
        <v>19</v>
      </c>
      <c r="K18" t="s">
        <v>935</v>
      </c>
    </row>
    <row r="19" spans="1:16">
      <c r="A19" t="s">
        <v>706</v>
      </c>
      <c r="B19" t="str">
        <f t="shared" si="0"/>
        <v>19BA11.10</v>
      </c>
      <c r="C19" t="str">
        <f>VLOOKUP(A19,Summary!B:B,1,0)</f>
        <v>QT19BA11.10</v>
      </c>
      <c r="F19" t="str">
        <f>VLOOKUP(A19,'[1]Plan - US NPI'!$C$6:$E$192,3,0)</f>
        <v>AXOLA</v>
      </c>
      <c r="G19" t="s">
        <v>704</v>
      </c>
      <c r="H19" t="s">
        <v>1269</v>
      </c>
      <c r="I19">
        <v>14</v>
      </c>
      <c r="J19">
        <v>20</v>
      </c>
      <c r="K19" t="s">
        <v>936</v>
      </c>
    </row>
    <row r="20" spans="1:16">
      <c r="A20" t="s">
        <v>939</v>
      </c>
      <c r="B20" t="str">
        <f t="shared" si="0"/>
        <v>20LA21.00</v>
      </c>
      <c r="C20" t="str">
        <f>VLOOKUP(A20,Summary!B:B,1,0)</f>
        <v>QT20LA21.00</v>
      </c>
      <c r="F20" t="str">
        <f>VLOOKUP(A20,'[1]Plan - US NPI'!$C$6:$E$192,3,0)</f>
        <v>AXOLA</v>
      </c>
      <c r="G20" t="s">
        <v>940</v>
      </c>
      <c r="H20" t="s">
        <v>1270</v>
      </c>
      <c r="I20">
        <v>10</v>
      </c>
      <c r="J20">
        <v>21</v>
      </c>
      <c r="K20" t="s">
        <v>2007</v>
      </c>
    </row>
    <row r="21" spans="1:16">
      <c r="A21" t="s">
        <v>943</v>
      </c>
      <c r="B21" t="str">
        <f t="shared" si="0"/>
        <v>17IA25.30</v>
      </c>
      <c r="C21" t="str">
        <f>VLOOKUP(A21,Summary!B:B,1,0)</f>
        <v>QT17IA25.30</v>
      </c>
      <c r="D21" t="str">
        <f>MID(A21,3,11)</f>
        <v>17IA25.30</v>
      </c>
      <c r="E21" t="s">
        <v>1759</v>
      </c>
      <c r="F21" t="str">
        <f>VLOOKUP(A21,'[1]Plan - US NPI'!$C$6:$E$192,3,0)</f>
        <v>AXFIA</v>
      </c>
      <c r="G21" s="15" t="s">
        <v>646</v>
      </c>
      <c r="H21" t="s">
        <v>1264</v>
      </c>
      <c r="I21">
        <v>47</v>
      </c>
      <c r="J21">
        <v>22</v>
      </c>
      <c r="K21" s="15" t="s">
        <v>1763</v>
      </c>
      <c r="L21" s="15" t="s">
        <v>1811</v>
      </c>
    </row>
    <row r="22" spans="1:16">
      <c r="A22" t="s">
        <v>945</v>
      </c>
      <c r="B22" t="str">
        <f t="shared" si="0"/>
        <v>17IA15.60</v>
      </c>
      <c r="C22" t="str">
        <f>VLOOKUP(A22,Summary!B:B,1,0)</f>
        <v>QT17IA15.60</v>
      </c>
      <c r="F22" t="str">
        <f>VLOOKUP(A22,'[1]Plan - US NPI'!$C$6:$E$192,3,0)</f>
        <v>AXFIA</v>
      </c>
      <c r="G22" t="s">
        <v>657</v>
      </c>
      <c r="H22" t="s">
        <v>1266</v>
      </c>
      <c r="I22">
        <v>188</v>
      </c>
      <c r="J22">
        <v>23</v>
      </c>
      <c r="K22" s="15" t="s">
        <v>1277</v>
      </c>
      <c r="L22" t="s">
        <v>967</v>
      </c>
    </row>
    <row r="23" spans="1:16">
      <c r="A23" t="s">
        <v>944</v>
      </c>
      <c r="B23" t="str">
        <f t="shared" si="0"/>
        <v>17IA15.70</v>
      </c>
      <c r="C23" t="str">
        <f>VLOOKUP(A23,Summary!B:B,1,0)</f>
        <v>QT17IA15.70</v>
      </c>
      <c r="F23" t="str">
        <f>VLOOKUP(A23,'[1]Plan - US NPI'!$C$6:$E$192,3,0)</f>
        <v>AXFIA</v>
      </c>
      <c r="G23" t="s">
        <v>658</v>
      </c>
      <c r="H23" t="s">
        <v>1267</v>
      </c>
      <c r="I23">
        <v>188</v>
      </c>
      <c r="J23">
        <v>24</v>
      </c>
      <c r="K23" s="15" t="s">
        <v>1278</v>
      </c>
      <c r="L23" t="s">
        <v>967</v>
      </c>
    </row>
    <row r="24" spans="1:16">
      <c r="A24" t="s">
        <v>966</v>
      </c>
      <c r="B24" t="str">
        <f t="shared" si="0"/>
        <v>17IA45.30</v>
      </c>
      <c r="C24" t="str">
        <f>VLOOKUP(A24,Summary!B:B,1,0)</f>
        <v>QT17IA45.30</v>
      </c>
      <c r="D24" t="str">
        <f>MID(A24,3,11)</f>
        <v>17IA45.30</v>
      </c>
      <c r="E24" t="s">
        <v>1759</v>
      </c>
      <c r="F24" t="str">
        <f>VLOOKUP(A24,'[1]Plan - US NPI'!$C$6:$E$192,3,0)</f>
        <v>AXFIA</v>
      </c>
      <c r="G24" s="15" t="s">
        <v>941</v>
      </c>
      <c r="H24" t="s">
        <v>1265</v>
      </c>
      <c r="I24">
        <v>47</v>
      </c>
      <c r="J24">
        <v>25</v>
      </c>
      <c r="K24" s="15" t="s">
        <v>1887</v>
      </c>
      <c r="L24" s="28" t="s">
        <v>2004</v>
      </c>
    </row>
    <row r="25" spans="1:16">
      <c r="A25" t="s">
        <v>960</v>
      </c>
      <c r="B25" t="str">
        <f t="shared" si="0"/>
        <v>17IA45.40</v>
      </c>
      <c r="C25" t="str">
        <f>VLOOKUP(A25,Summary!B:B,1,0)</f>
        <v>QT17IA45.40</v>
      </c>
      <c r="F25" t="str">
        <f>VLOOKUP(A25,'[1]Plan - US NPI'!$C$6:$E$192,3,0)</f>
        <v>AXFIA</v>
      </c>
      <c r="G25" s="15" t="s">
        <v>941</v>
      </c>
      <c r="H25" t="s">
        <v>1265</v>
      </c>
      <c r="I25">
        <v>11</v>
      </c>
      <c r="J25">
        <v>26</v>
      </c>
      <c r="K25" t="s">
        <v>1273</v>
      </c>
      <c r="L25" s="15"/>
      <c r="M25" s="27"/>
    </row>
    <row r="26" spans="1:16">
      <c r="A26" t="s">
        <v>961</v>
      </c>
      <c r="B26" t="str">
        <f t="shared" si="0"/>
        <v>17IA15.95</v>
      </c>
      <c r="C26" t="str">
        <f>VLOOKUP(A26,Summary!B:B,1,0)</f>
        <v>QT17IA15.95</v>
      </c>
      <c r="F26" t="str">
        <f>VLOOKUP(A26,'[1]Plan - US NPI'!$C$6:$E$192,3,0)</f>
        <v>AXFIA</v>
      </c>
      <c r="G26" t="s">
        <v>657</v>
      </c>
      <c r="H26" t="s">
        <v>1266</v>
      </c>
      <c r="I26">
        <v>140</v>
      </c>
      <c r="J26">
        <v>27</v>
      </c>
      <c r="K26" t="s">
        <v>1276</v>
      </c>
    </row>
    <row r="27" spans="1:16">
      <c r="A27" t="s">
        <v>962</v>
      </c>
      <c r="B27" t="str">
        <f t="shared" si="0"/>
        <v>17IA15.96</v>
      </c>
      <c r="C27" t="str">
        <f>VLOOKUP(A27,Summary!B:B,1,0)</f>
        <v>QT17IA15.96</v>
      </c>
      <c r="F27" t="str">
        <f>VLOOKUP(A27,'[1]Plan - US NPI'!$C$6:$E$192,3,0)</f>
        <v>AXFIA</v>
      </c>
      <c r="G27" t="s">
        <v>658</v>
      </c>
      <c r="H27" t="s">
        <v>1267</v>
      </c>
      <c r="I27">
        <v>140</v>
      </c>
      <c r="J27">
        <v>28</v>
      </c>
      <c r="K27" t="s">
        <v>1275</v>
      </c>
    </row>
    <row r="28" spans="1:16">
      <c r="A28" t="s">
        <v>963</v>
      </c>
      <c r="B28" t="str">
        <f t="shared" si="0"/>
        <v>20LA12.00</v>
      </c>
      <c r="C28" t="str">
        <f>VLOOKUP(A28,Summary!B:B,1,0)</f>
        <v>QT20LA12.00</v>
      </c>
      <c r="F28" t="str">
        <f>VLOOKUP(A28,'[1]Plan - US NPI'!$C$6:$E$192,3,0)</f>
        <v>AXOLA</v>
      </c>
      <c r="G28" t="s">
        <v>703</v>
      </c>
      <c r="H28" t="s">
        <v>1268</v>
      </c>
      <c r="I28">
        <v>64</v>
      </c>
      <c r="J28">
        <v>29</v>
      </c>
      <c r="K28" t="s">
        <v>1755</v>
      </c>
    </row>
    <row r="29" spans="1:16">
      <c r="A29" t="s">
        <v>964</v>
      </c>
      <c r="B29" t="str">
        <f t="shared" si="0"/>
        <v>20LA12.10</v>
      </c>
      <c r="C29" t="str">
        <f>VLOOKUP(A29,Summary!B:B,1,0)</f>
        <v>QT20LA12.10</v>
      </c>
      <c r="F29" t="str">
        <f>VLOOKUP(A29,'[1]Plan - US NPI'!$C$6:$E$192,3,0)</f>
        <v>AXOLA</v>
      </c>
      <c r="G29" t="s">
        <v>704</v>
      </c>
      <c r="H29" t="s">
        <v>1269</v>
      </c>
      <c r="I29">
        <v>64</v>
      </c>
      <c r="J29">
        <v>30</v>
      </c>
      <c r="K29" t="s">
        <v>1756</v>
      </c>
    </row>
    <row r="30" spans="1:16">
      <c r="A30" t="s">
        <v>965</v>
      </c>
      <c r="B30" t="str">
        <f t="shared" si="0"/>
        <v>20LA41.00</v>
      </c>
      <c r="C30" t="str">
        <f>VLOOKUP(A30,Summary!B:B,1,0)</f>
        <v>QT20LA41.00</v>
      </c>
      <c r="D30" t="str">
        <f t="shared" ref="D30:D39" si="1">MID(A30,3,11)</f>
        <v>20LA41.00</v>
      </c>
      <c r="E30" t="s">
        <v>1759</v>
      </c>
      <c r="F30" t="str">
        <f>VLOOKUP(A30,'[1]Plan - US NPI'!$C$6:$E$192,3,0)</f>
        <v>AXOLA</v>
      </c>
      <c r="G30" t="s">
        <v>1259</v>
      </c>
      <c r="H30" t="s">
        <v>1271</v>
      </c>
      <c r="I30">
        <v>8</v>
      </c>
      <c r="J30">
        <v>31</v>
      </c>
      <c r="K30" s="15" t="s">
        <v>2008</v>
      </c>
    </row>
    <row r="31" spans="1:16" ht="15.75">
      <c r="A31" t="s">
        <v>645</v>
      </c>
      <c r="B31" t="str">
        <f t="shared" si="0"/>
        <v>19BA21.00</v>
      </c>
      <c r="C31" t="s">
        <v>1986</v>
      </c>
      <c r="D31" t="str">
        <f t="shared" si="1"/>
        <v>19BA21.00</v>
      </c>
      <c r="E31" s="18"/>
      <c r="F31" t="str">
        <f>VLOOKUP(A31,'[1]Plan - US NPI'!$C$6:$E$192,3,0)</f>
        <v>AXOLBA</v>
      </c>
      <c r="G31" t="s">
        <v>1757</v>
      </c>
      <c r="I31">
        <v>22</v>
      </c>
      <c r="J31">
        <v>32</v>
      </c>
      <c r="K31" s="15" t="s">
        <v>2001</v>
      </c>
      <c r="L31" s="19" t="s">
        <v>1762</v>
      </c>
    </row>
    <row r="32" spans="1:16">
      <c r="A32" t="s">
        <v>1279</v>
      </c>
      <c r="B32" t="str">
        <f t="shared" si="0"/>
        <v>19BA12.20</v>
      </c>
      <c r="C32" t="e">
        <f>VLOOKUP(A32,Summary!B:B,1,0)</f>
        <v>#N/A</v>
      </c>
      <c r="D32" t="str">
        <f t="shared" si="1"/>
        <v>19BA12.20</v>
      </c>
      <c r="E32" t="s">
        <v>1759</v>
      </c>
      <c r="F32" t="str">
        <f>VLOOKUP(A32,'[1]Plan - US NPI'!$C$6:$E$192,3,0)</f>
        <v>AXOLBA</v>
      </c>
      <c r="G32" t="s">
        <v>703</v>
      </c>
      <c r="I32">
        <v>32</v>
      </c>
      <c r="J32">
        <v>33</v>
      </c>
      <c r="K32" t="s">
        <v>1760</v>
      </c>
    </row>
    <row r="33" spans="1:13">
      <c r="A33" t="s">
        <v>1280</v>
      </c>
      <c r="B33" t="str">
        <f t="shared" si="0"/>
        <v>19BA12.30</v>
      </c>
      <c r="C33" t="e">
        <f>VLOOKUP(A33,Summary!B:B,1,0)</f>
        <v>#N/A</v>
      </c>
      <c r="D33" t="str">
        <f t="shared" si="1"/>
        <v>19BA12.30</v>
      </c>
      <c r="E33" t="s">
        <v>1759</v>
      </c>
      <c r="F33" t="str">
        <f>VLOOKUP(A33,'[1]Plan - US NPI'!$C$6:$E$192,3,0)</f>
        <v>AXOLBA</v>
      </c>
      <c r="G33" t="s">
        <v>704</v>
      </c>
      <c r="I33">
        <v>32</v>
      </c>
      <c r="J33">
        <v>34</v>
      </c>
      <c r="K33" t="s">
        <v>1761</v>
      </c>
    </row>
    <row r="34" spans="1:13">
      <c r="A34" t="s">
        <v>1758</v>
      </c>
      <c r="B34" t="str">
        <f t="shared" si="0"/>
        <v>19BA41.00</v>
      </c>
      <c r="C34" t="s">
        <v>1986</v>
      </c>
      <c r="D34" t="str">
        <f t="shared" si="1"/>
        <v>19BA41.00</v>
      </c>
      <c r="F34" t="str">
        <f>VLOOKUP(A34,'[1]Plan - US NPI'!$C$6:$E$192,3,0)</f>
        <v>AXOLBA</v>
      </c>
      <c r="G34" t="s">
        <v>1879</v>
      </c>
      <c r="I34">
        <v>8</v>
      </c>
      <c r="J34">
        <v>35</v>
      </c>
      <c r="K34" s="32" t="s">
        <v>1999</v>
      </c>
      <c r="L34" t="s">
        <v>1978</v>
      </c>
      <c r="M34" t="s">
        <v>2000</v>
      </c>
    </row>
    <row r="35" spans="1:13">
      <c r="A35" t="s">
        <v>1880</v>
      </c>
      <c r="B35" t="str">
        <f t="shared" si="0"/>
        <v>17IA24.20</v>
      </c>
      <c r="C35" t="str">
        <f>VLOOKUP(A35,Summary!B:B,1,0)</f>
        <v>QT17IA24.20</v>
      </c>
      <c r="D35" t="str">
        <f t="shared" si="1"/>
        <v>17IA24.20</v>
      </c>
      <c r="F35" t="str">
        <f>VLOOKUP(A35,'[1]Plan - US NPI'!$C$6:$E$192,3,0)</f>
        <v>AXFIA</v>
      </c>
      <c r="G35" t="s">
        <v>1891</v>
      </c>
      <c r="I35">
        <v>29</v>
      </c>
      <c r="J35">
        <v>37</v>
      </c>
      <c r="K35" s="15" t="s">
        <v>1982</v>
      </c>
      <c r="L35" t="s">
        <v>1978</v>
      </c>
    </row>
    <row r="36" spans="1:13">
      <c r="A36" s="15" t="s">
        <v>1886</v>
      </c>
      <c r="B36" t="str">
        <f t="shared" si="0"/>
        <v xml:space="preserve">17IA14.70 </v>
      </c>
      <c r="C36" t="s">
        <v>1986</v>
      </c>
      <c r="D36" t="str">
        <f t="shared" si="1"/>
        <v xml:space="preserve">17IA14.70 </v>
      </c>
      <c r="F36" t="s">
        <v>1881</v>
      </c>
      <c r="G36" t="s">
        <v>1889</v>
      </c>
      <c r="I36">
        <v>74</v>
      </c>
      <c r="J36">
        <v>39</v>
      </c>
      <c r="K36" s="15" t="s">
        <v>2002</v>
      </c>
      <c r="L36" t="s">
        <v>1978</v>
      </c>
    </row>
    <row r="37" spans="1:13">
      <c r="A37" s="15" t="s">
        <v>1882</v>
      </c>
      <c r="B37" t="str">
        <f t="shared" si="0"/>
        <v>17IA14.60</v>
      </c>
      <c r="C37" t="s">
        <v>1986</v>
      </c>
      <c r="D37" t="str">
        <f t="shared" si="1"/>
        <v>17IA14.60</v>
      </c>
      <c r="F37" t="str">
        <f>VLOOKUP(A37,'[1]Plan - US NPI'!$C$6:$E$192,3,0)</f>
        <v>AXFIA</v>
      </c>
      <c r="G37" s="33" t="s">
        <v>1976</v>
      </c>
      <c r="I37">
        <v>74</v>
      </c>
      <c r="J37">
        <v>40</v>
      </c>
      <c r="K37" t="s">
        <v>2003</v>
      </c>
      <c r="L37" t="s">
        <v>1978</v>
      </c>
    </row>
    <row r="38" spans="1:13">
      <c r="A38" t="s">
        <v>1883</v>
      </c>
      <c r="B38" t="str">
        <f t="shared" si="0"/>
        <v>18OA21.00</v>
      </c>
      <c r="C38" t="s">
        <v>2006</v>
      </c>
      <c r="D38" t="str">
        <f t="shared" si="1"/>
        <v>18OA21.00</v>
      </c>
      <c r="F38" t="str">
        <f>VLOOKUP(A38,'[1]Plan - US NPI'!$C$6:$E$192,3,0)</f>
        <v>AXOA</v>
      </c>
      <c r="G38" t="s">
        <v>1975</v>
      </c>
      <c r="I38">
        <v>11</v>
      </c>
      <c r="J38">
        <v>41</v>
      </c>
      <c r="K38" s="28" t="s">
        <v>2010</v>
      </c>
      <c r="L38" t="s">
        <v>1978</v>
      </c>
    </row>
    <row r="39" spans="1:13">
      <c r="A39" t="s">
        <v>1980</v>
      </c>
      <c r="B39" t="str">
        <f t="shared" si="0"/>
        <v>20LA22.00</v>
      </c>
      <c r="C39" t="s">
        <v>1986</v>
      </c>
      <c r="D39" t="str">
        <f t="shared" si="1"/>
        <v>20LA22.00</v>
      </c>
      <c r="F39" t="str">
        <f>VLOOKUP(A39,'[1]Plan - US NPI'!$C$6:$E$192,3,0)</f>
        <v>AXOLA</v>
      </c>
      <c r="G39" t="s">
        <v>1981</v>
      </c>
      <c r="I39">
        <v>14</v>
      </c>
      <c r="J39">
        <v>42</v>
      </c>
      <c r="K39" t="s">
        <v>2005</v>
      </c>
    </row>
  </sheetData>
  <autoFilter ref="A1:K39">
    <filterColumn colId="1"/>
    <filterColumn colId="2"/>
    <filterColumn colId="3"/>
    <filterColumn colId="4"/>
    <filterColumn colId="5"/>
    <filterColumn colId="6"/>
    <filterColumn colId="7"/>
  </autoFilter>
  <sortState ref="A2:M15">
    <sortCondition ref="J2:J1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17"/>
  <sheetViews>
    <sheetView topLeftCell="A1778" workbookViewId="0">
      <selection activeCell="A8" sqref="A8:H1817"/>
    </sheetView>
  </sheetViews>
  <sheetFormatPr defaultRowHeight="15"/>
  <cols>
    <col min="1" max="6" width="23.42578125" customWidth="1"/>
  </cols>
  <sheetData>
    <row r="1" spans="1:8">
      <c r="A1" s="29" t="s">
        <v>1988</v>
      </c>
      <c r="B1" s="29"/>
      <c r="C1" s="29"/>
      <c r="D1" s="30" t="s">
        <v>1989</v>
      </c>
      <c r="E1" s="29"/>
      <c r="F1" s="29"/>
    </row>
    <row r="2" spans="1:8">
      <c r="A2" s="29" t="s">
        <v>1990</v>
      </c>
      <c r="B2" s="29"/>
      <c r="C2" s="29"/>
      <c r="D2" s="30" t="s">
        <v>1991</v>
      </c>
      <c r="E2" s="29"/>
      <c r="F2" s="29"/>
    </row>
    <row r="3" spans="1:8">
      <c r="A3" s="29" t="s">
        <v>1992</v>
      </c>
      <c r="B3" s="29"/>
      <c r="C3" s="29"/>
      <c r="D3" s="30" t="s">
        <v>1993</v>
      </c>
      <c r="E3" s="29"/>
      <c r="F3" s="29"/>
    </row>
    <row r="4" spans="1:8">
      <c r="A4" s="29" t="s">
        <v>1994</v>
      </c>
      <c r="B4" s="29"/>
      <c r="C4" s="29"/>
      <c r="D4" s="30" t="s">
        <v>1995</v>
      </c>
      <c r="E4" s="29"/>
      <c r="F4" s="29"/>
    </row>
    <row r="5" spans="1:8">
      <c r="A5" s="29" t="s">
        <v>1996</v>
      </c>
      <c r="B5" s="29"/>
      <c r="C5" s="29"/>
    </row>
    <row r="6" spans="1:8">
      <c r="A6" s="29"/>
      <c r="B6" s="29"/>
      <c r="C6" s="29"/>
      <c r="D6" s="29"/>
      <c r="E6" s="29"/>
      <c r="F6" s="29"/>
    </row>
    <row r="7" spans="1:8">
      <c r="A7" s="31" t="s">
        <v>0</v>
      </c>
      <c r="B7" s="31" t="s">
        <v>1</v>
      </c>
      <c r="C7" s="31" t="s">
        <v>2</v>
      </c>
      <c r="D7" s="31" t="s">
        <v>3</v>
      </c>
      <c r="E7" s="31" t="s">
        <v>4</v>
      </c>
      <c r="F7" s="31" t="s">
        <v>5</v>
      </c>
    </row>
    <row r="8" spans="1:8">
      <c r="A8" s="3" t="s">
        <v>708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46065.44903935185</v>
      </c>
      <c r="G8" t="s">
        <v>146</v>
      </c>
      <c r="H8" t="s">
        <v>150</v>
      </c>
    </row>
    <row r="9" spans="1:8">
      <c r="A9" s="4" t="s">
        <v>709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46065.450312499997</v>
      </c>
      <c r="G9" t="s">
        <v>146</v>
      </c>
      <c r="H9" t="s">
        <v>150</v>
      </c>
    </row>
    <row r="10" spans="1:8">
      <c r="A10" s="3" t="s">
        <v>710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46071.552071759259</v>
      </c>
      <c r="G10" t="s">
        <v>146</v>
      </c>
      <c r="H10" t="s">
        <v>150</v>
      </c>
    </row>
    <row r="11" spans="1:8">
      <c r="A11" s="4" t="s">
        <v>711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46072.289710648147</v>
      </c>
      <c r="G11" t="s">
        <v>146</v>
      </c>
      <c r="H11" t="s">
        <v>150</v>
      </c>
    </row>
    <row r="12" spans="1:8">
      <c r="A12" s="3" t="s">
        <v>712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46076.370358796295</v>
      </c>
      <c r="G12" t="s">
        <v>146</v>
      </c>
      <c r="H12" t="s">
        <v>150</v>
      </c>
    </row>
    <row r="13" spans="1:8">
      <c r="A13" s="4" t="s">
        <v>713</v>
      </c>
      <c r="B13" s="2" t="s">
        <v>98</v>
      </c>
      <c r="C13" s="2" t="s">
        <v>99</v>
      </c>
      <c r="D13" s="4" t="s">
        <v>7</v>
      </c>
      <c r="E13" s="2" t="s">
        <v>100</v>
      </c>
      <c r="F13" s="6">
        <v>46112.310543981483</v>
      </c>
      <c r="G13" t="s">
        <v>146</v>
      </c>
      <c r="H13" t="s">
        <v>150</v>
      </c>
    </row>
    <row r="14" spans="1:8">
      <c r="A14" s="3" t="s">
        <v>714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46065.432442129626</v>
      </c>
      <c r="G14" t="s">
        <v>146</v>
      </c>
      <c r="H14" t="s">
        <v>150</v>
      </c>
    </row>
    <row r="15" spans="1:8">
      <c r="A15" s="4" t="s">
        <v>715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46071.281863425924</v>
      </c>
      <c r="G15" t="s">
        <v>146</v>
      </c>
      <c r="H15" t="s">
        <v>150</v>
      </c>
    </row>
    <row r="16" spans="1:8">
      <c r="A16" s="3" t="s">
        <v>716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46076.373715277776</v>
      </c>
      <c r="G16" t="s">
        <v>146</v>
      </c>
      <c r="H16" t="s">
        <v>150</v>
      </c>
    </row>
    <row r="17" spans="1:8">
      <c r="A17" s="4" t="s">
        <v>717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46065.431111111109</v>
      </c>
      <c r="G17" t="s">
        <v>146</v>
      </c>
      <c r="H17" t="s">
        <v>150</v>
      </c>
    </row>
    <row r="18" spans="1:8">
      <c r="A18" s="3" t="s">
        <v>718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46072.485763888886</v>
      </c>
      <c r="G18" t="s">
        <v>146</v>
      </c>
      <c r="H18" t="s">
        <v>150</v>
      </c>
    </row>
    <row r="19" spans="1:8">
      <c r="A19" s="4" t="s">
        <v>719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46065.448865740742</v>
      </c>
      <c r="G19" t="s">
        <v>146</v>
      </c>
      <c r="H19" t="s">
        <v>150</v>
      </c>
    </row>
    <row r="20" spans="1:8">
      <c r="A20" s="3" t="s">
        <v>720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46066.437592592592</v>
      </c>
      <c r="G20" t="s">
        <v>146</v>
      </c>
      <c r="H20" t="s">
        <v>150</v>
      </c>
    </row>
    <row r="21" spans="1:8">
      <c r="A21" s="4" t="s">
        <v>721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46071.385150462964</v>
      </c>
      <c r="G21" t="s">
        <v>146</v>
      </c>
      <c r="H21" t="s">
        <v>150</v>
      </c>
    </row>
    <row r="22" spans="1:8">
      <c r="A22" s="3" t="s">
        <v>722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46094.600578703707</v>
      </c>
      <c r="G22" t="s">
        <v>146</v>
      </c>
      <c r="H22" t="s">
        <v>150</v>
      </c>
    </row>
    <row r="23" spans="1:8">
      <c r="A23" s="4" t="s">
        <v>723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46071.552210648151</v>
      </c>
      <c r="G23" t="s">
        <v>146</v>
      </c>
      <c r="H23" t="s">
        <v>150</v>
      </c>
    </row>
    <row r="24" spans="1:8">
      <c r="A24" s="3" t="s">
        <v>724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46071.386446759258</v>
      </c>
      <c r="G24" t="s">
        <v>146</v>
      </c>
      <c r="H24" t="s">
        <v>150</v>
      </c>
    </row>
    <row r="25" spans="1:8">
      <c r="A25" s="4" t="s">
        <v>725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46066.31422453704</v>
      </c>
      <c r="G25" t="s">
        <v>146</v>
      </c>
      <c r="H25" t="s">
        <v>150</v>
      </c>
    </row>
    <row r="26" spans="1:8">
      <c r="A26" s="3" t="s">
        <v>726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46070.474259259259</v>
      </c>
      <c r="G26" t="s">
        <v>146</v>
      </c>
      <c r="H26" t="s">
        <v>150</v>
      </c>
    </row>
    <row r="27" spans="1:8">
      <c r="A27" s="4" t="s">
        <v>727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46077.56931712963</v>
      </c>
      <c r="G27" t="s">
        <v>146</v>
      </c>
      <c r="H27" t="s">
        <v>150</v>
      </c>
    </row>
    <row r="28" spans="1:8">
      <c r="A28" s="3" t="s">
        <v>728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46076.374907407408</v>
      </c>
      <c r="G28" t="s">
        <v>146</v>
      </c>
      <c r="H28" t="s">
        <v>150</v>
      </c>
    </row>
    <row r="29" spans="1:8">
      <c r="A29" s="4" t="s">
        <v>729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46071.280844907407</v>
      </c>
      <c r="G29" t="s">
        <v>146</v>
      </c>
      <c r="H29" t="s">
        <v>150</v>
      </c>
    </row>
    <row r="30" spans="1:8">
      <c r="A30" s="3" t="s">
        <v>730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46070.474143518521</v>
      </c>
      <c r="G30" t="s">
        <v>146</v>
      </c>
      <c r="H30" t="s">
        <v>150</v>
      </c>
    </row>
    <row r="31" spans="1:8">
      <c r="A31" s="4" t="s">
        <v>731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46066.435081018521</v>
      </c>
      <c r="G31" t="s">
        <v>146</v>
      </c>
      <c r="H31" t="s">
        <v>150</v>
      </c>
    </row>
    <row r="32" spans="1:8">
      <c r="A32" s="3" t="s">
        <v>732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46065.431273148148</v>
      </c>
      <c r="G32" t="s">
        <v>146</v>
      </c>
      <c r="H32" t="s">
        <v>150</v>
      </c>
    </row>
    <row r="33" spans="1:8">
      <c r="A33" s="4" t="s">
        <v>733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46073.27275462963</v>
      </c>
      <c r="G33" t="s">
        <v>146</v>
      </c>
      <c r="H33" t="s">
        <v>150</v>
      </c>
    </row>
    <row r="34" spans="1:8">
      <c r="A34" s="3" t="s">
        <v>734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46066.437465277777</v>
      </c>
      <c r="G34" t="s">
        <v>146</v>
      </c>
      <c r="H34" t="s">
        <v>150</v>
      </c>
    </row>
    <row r="35" spans="1:8">
      <c r="A35" s="4" t="s">
        <v>735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46072.393437500003</v>
      </c>
      <c r="G35" t="s">
        <v>146</v>
      </c>
      <c r="H35" t="s">
        <v>150</v>
      </c>
    </row>
    <row r="36" spans="1:8">
      <c r="A36" s="3" t="s">
        <v>736</v>
      </c>
      <c r="B36" s="1" t="s">
        <v>6</v>
      </c>
      <c r="C36" s="1" t="s">
        <v>6</v>
      </c>
      <c r="D36" s="3" t="s">
        <v>7</v>
      </c>
      <c r="E36" s="1" t="s">
        <v>8</v>
      </c>
      <c r="F36" s="5">
        <v>46070.473078703704</v>
      </c>
      <c r="G36" t="s">
        <v>146</v>
      </c>
      <c r="H36" t="s">
        <v>150</v>
      </c>
    </row>
    <row r="37" spans="1:8">
      <c r="A37" s="4" t="s">
        <v>737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46070.473321759258</v>
      </c>
      <c r="G37" t="s">
        <v>146</v>
      </c>
      <c r="H37" t="s">
        <v>150</v>
      </c>
    </row>
    <row r="38" spans="1:8">
      <c r="A38" s="3" t="s">
        <v>738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46072.485949074071</v>
      </c>
      <c r="G38" t="s">
        <v>146</v>
      </c>
      <c r="H38" t="s">
        <v>150</v>
      </c>
    </row>
    <row r="39" spans="1:8">
      <c r="A39" s="4" t="s">
        <v>739</v>
      </c>
      <c r="B39" s="2" t="s">
        <v>6</v>
      </c>
      <c r="C39" s="2" t="s">
        <v>6</v>
      </c>
      <c r="D39" s="4" t="s">
        <v>7</v>
      </c>
      <c r="E39" s="2" t="s">
        <v>8</v>
      </c>
      <c r="F39" s="6">
        <v>46072.488379629627</v>
      </c>
      <c r="G39" t="s">
        <v>146</v>
      </c>
      <c r="H39" t="s">
        <v>150</v>
      </c>
    </row>
    <row r="40" spans="1:8">
      <c r="A40" s="3" t="s">
        <v>740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46092.49490740741</v>
      </c>
      <c r="G40" t="s">
        <v>146</v>
      </c>
      <c r="H40" t="s">
        <v>150</v>
      </c>
    </row>
    <row r="41" spans="1:8">
      <c r="A41" s="4" t="s">
        <v>741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46072.291203703702</v>
      </c>
      <c r="G41" t="s">
        <v>146</v>
      </c>
      <c r="H41" t="s">
        <v>150</v>
      </c>
    </row>
    <row r="42" spans="1:8">
      <c r="A42" s="3" t="s">
        <v>742</v>
      </c>
      <c r="B42" s="1" t="s">
        <v>98</v>
      </c>
      <c r="C42" s="1" t="s">
        <v>99</v>
      </c>
      <c r="D42" s="3" t="s">
        <v>7</v>
      </c>
      <c r="E42" s="1" t="s">
        <v>100</v>
      </c>
      <c r="F42" s="5">
        <v>46112.306134259263</v>
      </c>
      <c r="G42" t="s">
        <v>146</v>
      </c>
      <c r="H42" t="s">
        <v>150</v>
      </c>
    </row>
    <row r="43" spans="1:8">
      <c r="A43" s="4" t="s">
        <v>743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46072.401909722219</v>
      </c>
      <c r="G43" t="s">
        <v>146</v>
      </c>
      <c r="H43" t="s">
        <v>150</v>
      </c>
    </row>
    <row r="44" spans="1:8">
      <c r="A44" s="3" t="s">
        <v>744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46073.370254629626</v>
      </c>
      <c r="G44" t="s">
        <v>146</v>
      </c>
      <c r="H44" t="s">
        <v>150</v>
      </c>
    </row>
    <row r="45" spans="1:8">
      <c r="A45" s="4" t="s">
        <v>745</v>
      </c>
      <c r="B45" s="2" t="s">
        <v>98</v>
      </c>
      <c r="C45" s="2" t="s">
        <v>99</v>
      </c>
      <c r="D45" s="4" t="s">
        <v>7</v>
      </c>
      <c r="E45" s="2" t="s">
        <v>100</v>
      </c>
      <c r="F45" s="6">
        <v>46140.499490740738</v>
      </c>
      <c r="G45" t="s">
        <v>146</v>
      </c>
      <c r="H45" t="s">
        <v>150</v>
      </c>
    </row>
    <row r="46" spans="1:8">
      <c r="A46" s="3" t="s">
        <v>746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46071.281041666669</v>
      </c>
      <c r="G46" t="s">
        <v>146</v>
      </c>
      <c r="H46" t="s">
        <v>150</v>
      </c>
    </row>
    <row r="47" spans="1:8">
      <c r="A47" s="4" t="s">
        <v>747</v>
      </c>
      <c r="B47" s="2" t="s">
        <v>6</v>
      </c>
      <c r="C47" s="2" t="s">
        <v>6</v>
      </c>
      <c r="D47" s="4" t="s">
        <v>7</v>
      </c>
      <c r="E47" s="2" t="s">
        <v>8</v>
      </c>
      <c r="F47" s="6">
        <v>46073.370162037034</v>
      </c>
      <c r="G47" t="s">
        <v>146</v>
      </c>
      <c r="H47" t="s">
        <v>150</v>
      </c>
    </row>
    <row r="48" spans="1:8">
      <c r="A48" s="3" t="s">
        <v>748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46071.281770833331</v>
      </c>
      <c r="G48" t="s">
        <v>146</v>
      </c>
      <c r="H48" t="s">
        <v>150</v>
      </c>
    </row>
    <row r="49" spans="1:8">
      <c r="A49" s="4" t="s">
        <v>749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46076.366342592592</v>
      </c>
      <c r="G49" t="s">
        <v>146</v>
      </c>
      <c r="H49" t="s">
        <v>150</v>
      </c>
    </row>
    <row r="50" spans="1:8">
      <c r="A50" s="3" t="s">
        <v>750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46073.369166666664</v>
      </c>
      <c r="G50" t="s">
        <v>146</v>
      </c>
      <c r="H50" t="s">
        <v>150</v>
      </c>
    </row>
    <row r="51" spans="1:8">
      <c r="A51" s="4" t="s">
        <v>751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46092.495347222219</v>
      </c>
      <c r="G51" t="s">
        <v>146</v>
      </c>
      <c r="H51" t="s">
        <v>150</v>
      </c>
    </row>
    <row r="52" spans="1:8">
      <c r="A52" s="3" t="s">
        <v>752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46071.385347222225</v>
      </c>
      <c r="G52" t="s">
        <v>146</v>
      </c>
      <c r="H52" t="s">
        <v>150</v>
      </c>
    </row>
    <row r="53" spans="1:8">
      <c r="A53" s="4" t="s">
        <v>753</v>
      </c>
      <c r="B53" s="2" t="s">
        <v>98</v>
      </c>
      <c r="C53" s="2" t="s">
        <v>99</v>
      </c>
      <c r="D53" s="4" t="s">
        <v>7</v>
      </c>
      <c r="E53" s="2" t="s">
        <v>100</v>
      </c>
      <c r="F53" s="6">
        <v>46112.313055555554</v>
      </c>
      <c r="G53" t="s">
        <v>146</v>
      </c>
      <c r="H53" t="s">
        <v>150</v>
      </c>
    </row>
    <row r="54" spans="1:8">
      <c r="A54" s="3" t="s">
        <v>754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46066.435231481482</v>
      </c>
      <c r="G54" t="s">
        <v>146</v>
      </c>
      <c r="H54" t="s">
        <v>150</v>
      </c>
    </row>
    <row r="55" spans="1:8">
      <c r="A55" s="4" t="s">
        <v>755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46072.289872685185</v>
      </c>
      <c r="G55" t="s">
        <v>146</v>
      </c>
      <c r="H55" t="s">
        <v>150</v>
      </c>
    </row>
    <row r="56" spans="1:8">
      <c r="A56" s="3" t="s">
        <v>756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46066.314444444448</v>
      </c>
      <c r="G56" t="s">
        <v>146</v>
      </c>
      <c r="H56" t="s">
        <v>150</v>
      </c>
    </row>
    <row r="57" spans="1:8">
      <c r="A57" s="4" t="s">
        <v>757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46073.369293981479</v>
      </c>
      <c r="G57" t="s">
        <v>146</v>
      </c>
      <c r="H57" t="s">
        <v>150</v>
      </c>
    </row>
    <row r="58" spans="1:8">
      <c r="A58" s="3" t="s">
        <v>758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46094.610601851855</v>
      </c>
      <c r="G58" t="s">
        <v>146</v>
      </c>
      <c r="H58" t="s">
        <v>150</v>
      </c>
    </row>
    <row r="59" spans="1:8">
      <c r="A59" s="4" t="s">
        <v>759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46076.367048611108</v>
      </c>
      <c r="G59" t="s">
        <v>146</v>
      </c>
      <c r="H59" t="s">
        <v>150</v>
      </c>
    </row>
    <row r="60" spans="1:8">
      <c r="A60" s="3" t="s">
        <v>760</v>
      </c>
      <c r="B60" s="1" t="s">
        <v>6</v>
      </c>
      <c r="C60" s="1" t="s">
        <v>6</v>
      </c>
      <c r="D60" s="3" t="s">
        <v>7</v>
      </c>
      <c r="E60" s="1" t="s">
        <v>8</v>
      </c>
      <c r="F60" s="5">
        <v>46072.487025462964</v>
      </c>
      <c r="G60" t="s">
        <v>146</v>
      </c>
      <c r="H60" t="s">
        <v>150</v>
      </c>
    </row>
    <row r="61" spans="1:8">
      <c r="A61" s="4" t="s">
        <v>761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46099.566932870373</v>
      </c>
      <c r="G61" t="s">
        <v>146</v>
      </c>
      <c r="H61" t="s">
        <v>150</v>
      </c>
    </row>
    <row r="62" spans="1:8">
      <c r="A62" s="3" t="s">
        <v>762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46073.272893518515</v>
      </c>
      <c r="G62" t="s">
        <v>146</v>
      </c>
      <c r="H62" t="s">
        <v>150</v>
      </c>
    </row>
    <row r="63" spans="1:8">
      <c r="A63" s="4" t="s">
        <v>763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46077.602569444447</v>
      </c>
      <c r="G63" t="s">
        <v>146</v>
      </c>
      <c r="H63" t="s">
        <v>150</v>
      </c>
    </row>
    <row r="64" spans="1:8">
      <c r="A64" s="3" t="s">
        <v>764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46077.604097222225</v>
      </c>
      <c r="G64" t="s">
        <v>146</v>
      </c>
      <c r="H64" t="s">
        <v>150</v>
      </c>
    </row>
    <row r="65" spans="1:8">
      <c r="A65" s="4" t="s">
        <v>765</v>
      </c>
      <c r="B65" s="2" t="s">
        <v>6</v>
      </c>
      <c r="C65" s="2" t="s">
        <v>6</v>
      </c>
      <c r="D65" s="4" t="s">
        <v>7</v>
      </c>
      <c r="E65" s="2" t="s">
        <v>8</v>
      </c>
      <c r="F65" s="6">
        <v>46073.272129629629</v>
      </c>
      <c r="G65" t="s">
        <v>146</v>
      </c>
      <c r="H65" t="s">
        <v>150</v>
      </c>
    </row>
    <row r="66" spans="1:8">
      <c r="A66" s="3" t="s">
        <v>766</v>
      </c>
      <c r="B66" s="1" t="s">
        <v>98</v>
      </c>
      <c r="C66" s="1" t="s">
        <v>99</v>
      </c>
      <c r="D66" s="3" t="s">
        <v>7</v>
      </c>
      <c r="E66" s="1" t="s">
        <v>100</v>
      </c>
      <c r="F66" s="5">
        <v>46112.303993055553</v>
      </c>
      <c r="G66" t="s">
        <v>146</v>
      </c>
      <c r="H66" t="s">
        <v>150</v>
      </c>
    </row>
    <row r="67" spans="1:8">
      <c r="A67" s="4" t="s">
        <v>767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46097.330682870372</v>
      </c>
      <c r="G67" t="s">
        <v>146</v>
      </c>
      <c r="H67" t="s">
        <v>150</v>
      </c>
    </row>
    <row r="68" spans="1:8">
      <c r="A68" s="3" t="s">
        <v>768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46080.434652777774</v>
      </c>
      <c r="G68" t="s">
        <v>146</v>
      </c>
      <c r="H68" t="s">
        <v>150</v>
      </c>
    </row>
    <row r="69" spans="1:8">
      <c r="A69" s="4" t="s">
        <v>769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46065.432314814818</v>
      </c>
      <c r="G69" t="s">
        <v>146</v>
      </c>
      <c r="H69" t="s">
        <v>150</v>
      </c>
    </row>
    <row r="70" spans="1:8">
      <c r="A70" s="3" t="s">
        <v>770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46076.3671412037</v>
      </c>
      <c r="G70" t="s">
        <v>146</v>
      </c>
      <c r="H70" t="s">
        <v>150</v>
      </c>
    </row>
    <row r="71" spans="1:8">
      <c r="A71" s="4" t="s">
        <v>771</v>
      </c>
      <c r="B71" s="2" t="s">
        <v>98</v>
      </c>
      <c r="C71" s="2" t="s">
        <v>99</v>
      </c>
      <c r="D71" s="4" t="s">
        <v>7</v>
      </c>
      <c r="E71" s="2" t="s">
        <v>100</v>
      </c>
      <c r="F71" s="6">
        <v>46112.30023148148</v>
      </c>
      <c r="G71" t="s">
        <v>146</v>
      </c>
      <c r="H71" t="s">
        <v>150</v>
      </c>
    </row>
    <row r="72" spans="1:8">
      <c r="A72" s="3" t="s">
        <v>772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46065.450069444443</v>
      </c>
      <c r="G72" t="s">
        <v>146</v>
      </c>
      <c r="H72" t="s">
        <v>150</v>
      </c>
    </row>
    <row r="73" spans="1:8">
      <c r="A73" s="4" t="s">
        <v>773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46071.386319444442</v>
      </c>
      <c r="G73" t="s">
        <v>146</v>
      </c>
      <c r="H73" t="s">
        <v>150</v>
      </c>
    </row>
    <row r="74" spans="1:8">
      <c r="A74" s="3" t="s">
        <v>774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46072.291030092594</v>
      </c>
      <c r="G74" t="s">
        <v>146</v>
      </c>
      <c r="H74" t="s">
        <v>150</v>
      </c>
    </row>
    <row r="75" spans="1:8">
      <c r="A75" s="4" t="s">
        <v>775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46076.374560185184</v>
      </c>
      <c r="G75" t="s">
        <v>146</v>
      </c>
      <c r="H75" t="s">
        <v>150</v>
      </c>
    </row>
    <row r="76" spans="1:8">
      <c r="A76" s="3" t="s">
        <v>776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46073.264999999999</v>
      </c>
      <c r="G76" t="s">
        <v>146</v>
      </c>
      <c r="H76" t="s">
        <v>150</v>
      </c>
    </row>
    <row r="77" spans="1:8">
      <c r="A77" s="4" t="s">
        <v>777</v>
      </c>
      <c r="B77" s="2" t="s">
        <v>6</v>
      </c>
      <c r="C77" s="2" t="s">
        <v>6</v>
      </c>
      <c r="D77" s="4" t="s">
        <v>7</v>
      </c>
      <c r="E77" s="2" t="s">
        <v>8</v>
      </c>
      <c r="F77" s="6">
        <v>46066.312939814816</v>
      </c>
      <c r="G77" t="s">
        <v>146</v>
      </c>
      <c r="H77" t="s">
        <v>150</v>
      </c>
    </row>
    <row r="78" spans="1:8">
      <c r="A78" s="3" t="s">
        <v>15</v>
      </c>
      <c r="B78" s="1" t="s">
        <v>6</v>
      </c>
      <c r="C78" s="1" t="s">
        <v>6</v>
      </c>
      <c r="D78" s="3" t="s">
        <v>7</v>
      </c>
      <c r="E78" s="1" t="s">
        <v>8</v>
      </c>
      <c r="F78" s="5">
        <v>46073.369826388887</v>
      </c>
      <c r="G78" t="s">
        <v>145</v>
      </c>
      <c r="H78" t="s">
        <v>151</v>
      </c>
    </row>
    <row r="79" spans="1:8">
      <c r="A79" s="4" t="s">
        <v>16</v>
      </c>
      <c r="B79" s="2" t="s">
        <v>6</v>
      </c>
      <c r="C79" s="2" t="s">
        <v>6</v>
      </c>
      <c r="D79" s="4" t="s">
        <v>7</v>
      </c>
      <c r="E79" s="2" t="s">
        <v>8</v>
      </c>
      <c r="F79" s="6">
        <v>46066.313402777778</v>
      </c>
      <c r="G79" t="s">
        <v>145</v>
      </c>
      <c r="H79" t="s">
        <v>151</v>
      </c>
    </row>
    <row r="80" spans="1:8">
      <c r="A80" s="3" t="s">
        <v>17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46072.486342592594</v>
      </c>
      <c r="G80" t="s">
        <v>145</v>
      </c>
      <c r="H80" t="s">
        <v>151</v>
      </c>
    </row>
    <row r="81" spans="1:8">
      <c r="A81" s="4" t="s">
        <v>18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46072.393831018519</v>
      </c>
      <c r="G81" t="s">
        <v>145</v>
      </c>
      <c r="H81" t="s">
        <v>151</v>
      </c>
    </row>
    <row r="82" spans="1:8">
      <c r="A82" s="3" t="s">
        <v>19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46076.374861111108</v>
      </c>
      <c r="G82" t="s">
        <v>145</v>
      </c>
      <c r="H82" t="s">
        <v>151</v>
      </c>
    </row>
    <row r="83" spans="1:8">
      <c r="A83" s="4" t="s">
        <v>20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46111.594108796293</v>
      </c>
      <c r="G83" t="s">
        <v>145</v>
      </c>
      <c r="H83" t="s">
        <v>151</v>
      </c>
    </row>
    <row r="84" spans="1:8">
      <c r="A84" s="3" t="s">
        <v>21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46111.517731481479</v>
      </c>
      <c r="G84" t="s">
        <v>145</v>
      </c>
      <c r="H84" t="s">
        <v>151</v>
      </c>
    </row>
    <row r="85" spans="1:8">
      <c r="A85" s="4" t="s">
        <v>22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46111.600219907406</v>
      </c>
      <c r="G85" t="s">
        <v>145</v>
      </c>
      <c r="H85" t="s">
        <v>151</v>
      </c>
    </row>
    <row r="86" spans="1:8">
      <c r="A86" s="3" t="s">
        <v>23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46072.290555555555</v>
      </c>
      <c r="G86" t="s">
        <v>145</v>
      </c>
      <c r="H86" t="s">
        <v>151</v>
      </c>
    </row>
    <row r="87" spans="1:8">
      <c r="A87" s="4" t="s">
        <v>24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46065.431400462963</v>
      </c>
      <c r="G87" t="s">
        <v>145</v>
      </c>
      <c r="H87" t="s">
        <v>151</v>
      </c>
    </row>
    <row r="88" spans="1:8">
      <c r="A88" s="3" t="s">
        <v>25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46071.2812962963</v>
      </c>
      <c r="G88" t="s">
        <v>145</v>
      </c>
      <c r="H88" t="s">
        <v>151</v>
      </c>
    </row>
    <row r="89" spans="1:8">
      <c r="A89" s="4" t="s">
        <v>26</v>
      </c>
      <c r="B89" s="2" t="s">
        <v>98</v>
      </c>
      <c r="C89" s="2" t="s">
        <v>99</v>
      </c>
      <c r="D89" s="4" t="s">
        <v>7</v>
      </c>
      <c r="E89" s="2" t="s">
        <v>100</v>
      </c>
      <c r="F89" s="6">
        <v>46111.584664351853</v>
      </c>
      <c r="G89" t="s">
        <v>145</v>
      </c>
      <c r="H89" t="s">
        <v>151</v>
      </c>
    </row>
    <row r="90" spans="1:8">
      <c r="A90" s="3" t="s">
        <v>27</v>
      </c>
      <c r="B90" s="1" t="s">
        <v>98</v>
      </c>
      <c r="C90" s="1" t="s">
        <v>99</v>
      </c>
      <c r="D90" s="3" t="s">
        <v>7</v>
      </c>
      <c r="E90" s="1" t="s">
        <v>100</v>
      </c>
      <c r="F90" s="5">
        <v>46111.515844907408</v>
      </c>
      <c r="G90" t="s">
        <v>145</v>
      </c>
      <c r="H90" t="s">
        <v>151</v>
      </c>
    </row>
    <row r="91" spans="1:8">
      <c r="A91" s="4" t="s">
        <v>28</v>
      </c>
      <c r="B91" s="2" t="s">
        <v>98</v>
      </c>
      <c r="C91" s="2" t="s">
        <v>99</v>
      </c>
      <c r="D91" s="4" t="s">
        <v>7</v>
      </c>
      <c r="E91" s="2" t="s">
        <v>100</v>
      </c>
      <c r="F91" s="6">
        <v>46112.292581018519</v>
      </c>
      <c r="G91" t="s">
        <v>145</v>
      </c>
      <c r="H91" t="s">
        <v>151</v>
      </c>
    </row>
    <row r="92" spans="1:8">
      <c r="A92" s="3" t="s">
        <v>29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46092.495717592596</v>
      </c>
      <c r="G92" t="s">
        <v>145</v>
      </c>
      <c r="H92" t="s">
        <v>151</v>
      </c>
    </row>
    <row r="93" spans="1:8">
      <c r="A93" s="4" t="s">
        <v>30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46073.369699074072</v>
      </c>
      <c r="G93" t="s">
        <v>145</v>
      </c>
      <c r="H93" t="s">
        <v>151</v>
      </c>
    </row>
    <row r="94" spans="1:8">
      <c r="A94" s="3" t="s">
        <v>31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46092.49559027778</v>
      </c>
      <c r="G94" t="s">
        <v>145</v>
      </c>
      <c r="H94" t="s">
        <v>151</v>
      </c>
    </row>
    <row r="95" spans="1:8">
      <c r="A95" s="4" t="s">
        <v>32</v>
      </c>
      <c r="B95" s="2" t="s">
        <v>6</v>
      </c>
      <c r="C95" s="2" t="s">
        <v>6</v>
      </c>
      <c r="D95" s="4" t="s">
        <v>7</v>
      </c>
      <c r="E95" s="2" t="s">
        <v>8</v>
      </c>
      <c r="F95" s="6">
        <v>46073.272256944445</v>
      </c>
      <c r="G95" t="s">
        <v>145</v>
      </c>
      <c r="H95" t="s">
        <v>151</v>
      </c>
    </row>
    <row r="96" spans="1:8">
      <c r="A96" s="3" t="s">
        <v>33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46072.48609953704</v>
      </c>
      <c r="G96" t="s">
        <v>145</v>
      </c>
      <c r="H96" t="s">
        <v>151</v>
      </c>
    </row>
    <row r="97" spans="1:8">
      <c r="A97" s="4" t="s">
        <v>34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46070.473541666666</v>
      </c>
      <c r="G97" t="s">
        <v>145</v>
      </c>
      <c r="H97" t="s">
        <v>151</v>
      </c>
    </row>
    <row r="98" spans="1:8">
      <c r="A98" s="3" t="s">
        <v>35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46072.290358796294</v>
      </c>
      <c r="G98" t="s">
        <v>145</v>
      </c>
      <c r="H98" t="s">
        <v>151</v>
      </c>
    </row>
    <row r="99" spans="1:8">
      <c r="A99" s="4" t="s">
        <v>36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46076.366736111115</v>
      </c>
      <c r="G99" t="s">
        <v>145</v>
      </c>
      <c r="H99" t="s">
        <v>151</v>
      </c>
    </row>
    <row r="100" spans="1:8">
      <c r="A100" s="3" t="s">
        <v>37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46071.552627314813</v>
      </c>
      <c r="G100" t="s">
        <v>145</v>
      </c>
      <c r="H100" t="s">
        <v>151</v>
      </c>
    </row>
    <row r="101" spans="1:8">
      <c r="A101" s="4" t="s">
        <v>38</v>
      </c>
      <c r="B101" s="2" t="s">
        <v>98</v>
      </c>
      <c r="C101" s="2" t="s">
        <v>99</v>
      </c>
      <c r="D101" s="4" t="s">
        <v>7</v>
      </c>
      <c r="E101" s="2" t="s">
        <v>100</v>
      </c>
      <c r="F101" s="6">
        <v>46111.516655092593</v>
      </c>
      <c r="G101" t="s">
        <v>145</v>
      </c>
      <c r="H101" t="s">
        <v>151</v>
      </c>
    </row>
    <row r="102" spans="1:8">
      <c r="A102" s="3" t="s">
        <v>39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46072.39371527778</v>
      </c>
      <c r="G102" t="s">
        <v>145</v>
      </c>
      <c r="H102" t="s">
        <v>151</v>
      </c>
    </row>
    <row r="103" spans="1:8">
      <c r="A103" s="4" t="s">
        <v>40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46077.464421296296</v>
      </c>
      <c r="G103" t="s">
        <v>145</v>
      </c>
      <c r="H103" t="s">
        <v>151</v>
      </c>
    </row>
    <row r="104" spans="1:8">
      <c r="A104" s="3" t="s">
        <v>41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46065.449675925927</v>
      </c>
      <c r="G104" t="s">
        <v>145</v>
      </c>
      <c r="H104" t="s">
        <v>151</v>
      </c>
    </row>
    <row r="105" spans="1:8">
      <c r="A105" s="4" t="s">
        <v>42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46065.449201388888</v>
      </c>
      <c r="G105" t="s">
        <v>145</v>
      </c>
      <c r="H105" t="s">
        <v>151</v>
      </c>
    </row>
    <row r="106" spans="1:8">
      <c r="A106" s="3" t="s">
        <v>43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46071.281180555554</v>
      </c>
      <c r="G106" t="s">
        <v>145</v>
      </c>
      <c r="H106" t="s">
        <v>151</v>
      </c>
    </row>
    <row r="107" spans="1:8">
      <c r="A107" s="4" t="s">
        <v>44</v>
      </c>
      <c r="B107" s="2" t="s">
        <v>6</v>
      </c>
      <c r="C107" s="2" t="s">
        <v>6</v>
      </c>
      <c r="D107" s="4" t="s">
        <v>7</v>
      </c>
      <c r="E107" s="2" t="s">
        <v>8</v>
      </c>
      <c r="F107" s="6">
        <v>46071.281446759262</v>
      </c>
      <c r="G107" t="s">
        <v>145</v>
      </c>
      <c r="H107" t="s">
        <v>151</v>
      </c>
    </row>
    <row r="108" spans="1:8">
      <c r="A108" s="3" t="s">
        <v>45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46073.369571759256</v>
      </c>
      <c r="G108" t="s">
        <v>145</v>
      </c>
      <c r="H108" t="s">
        <v>151</v>
      </c>
    </row>
    <row r="109" spans="1:8">
      <c r="A109" s="4" t="s">
        <v>46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46076.374745370369</v>
      </c>
      <c r="G109" t="s">
        <v>145</v>
      </c>
      <c r="H109" t="s">
        <v>151</v>
      </c>
    </row>
    <row r="110" spans="1:8">
      <c r="A110" s="3" t="s">
        <v>47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46076.366932870369</v>
      </c>
      <c r="G110" t="s">
        <v>145</v>
      </c>
      <c r="H110" t="s">
        <v>151</v>
      </c>
    </row>
    <row r="111" spans="1:8">
      <c r="A111" s="4" t="s">
        <v>48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46077.59511574074</v>
      </c>
      <c r="G111" t="s">
        <v>145</v>
      </c>
      <c r="H111" t="s">
        <v>151</v>
      </c>
    </row>
    <row r="112" spans="1:8">
      <c r="A112" s="3" t="s">
        <v>49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46072.486481481479</v>
      </c>
      <c r="G112" t="s">
        <v>145</v>
      </c>
      <c r="H112" t="s">
        <v>151</v>
      </c>
    </row>
    <row r="113" spans="1:8">
      <c r="A113" s="4" t="s">
        <v>50</v>
      </c>
      <c r="B113" s="2" t="s">
        <v>98</v>
      </c>
      <c r="C113" s="2" t="s">
        <v>99</v>
      </c>
      <c r="D113" s="4" t="s">
        <v>7</v>
      </c>
      <c r="E113" s="2" t="s">
        <v>100</v>
      </c>
      <c r="F113" s="6">
        <v>46122.504953703705</v>
      </c>
      <c r="G113" t="s">
        <v>145</v>
      </c>
      <c r="H113" t="s">
        <v>151</v>
      </c>
    </row>
    <row r="114" spans="1:8">
      <c r="A114" s="3" t="s">
        <v>51</v>
      </c>
      <c r="B114" s="1" t="s">
        <v>6</v>
      </c>
      <c r="C114" s="1" t="s">
        <v>6</v>
      </c>
      <c r="D114" s="3" t="s">
        <v>7</v>
      </c>
      <c r="E114" s="1" t="s">
        <v>8</v>
      </c>
      <c r="F114" s="5">
        <v>46080.440347222226</v>
      </c>
      <c r="G114" t="s">
        <v>145</v>
      </c>
      <c r="H114" t="s">
        <v>151</v>
      </c>
    </row>
    <row r="115" spans="1:8">
      <c r="A115" s="4" t="s">
        <v>52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46065.431620370371</v>
      </c>
      <c r="G115" t="s">
        <v>145</v>
      </c>
      <c r="H115" t="s">
        <v>151</v>
      </c>
    </row>
    <row r="116" spans="1:8">
      <c r="A116" s="3" t="s">
        <v>53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46073.272499999999</v>
      </c>
      <c r="G116" t="s">
        <v>145</v>
      </c>
      <c r="H116" t="s">
        <v>151</v>
      </c>
    </row>
    <row r="117" spans="1:8">
      <c r="A117" s="4" t="s">
        <v>54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46077.596944444442</v>
      </c>
      <c r="G117" t="s">
        <v>145</v>
      </c>
      <c r="H117" t="s">
        <v>151</v>
      </c>
    </row>
    <row r="118" spans="1:8">
      <c r="A118" s="3" t="s">
        <v>55</v>
      </c>
      <c r="B118" s="1" t="s">
        <v>6</v>
      </c>
      <c r="C118" s="1" t="s">
        <v>6</v>
      </c>
      <c r="D118" s="3" t="s">
        <v>7</v>
      </c>
      <c r="E118" s="1" t="s">
        <v>8</v>
      </c>
      <c r="F118" s="5">
        <v>46066.437175925923</v>
      </c>
      <c r="G118" t="s">
        <v>145</v>
      </c>
      <c r="H118" t="s">
        <v>151</v>
      </c>
    </row>
    <row r="119" spans="1:8">
      <c r="A119" s="4" t="s">
        <v>56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46071.552534722221</v>
      </c>
      <c r="G119" t="s">
        <v>145</v>
      </c>
      <c r="H119" t="s">
        <v>151</v>
      </c>
    </row>
    <row r="120" spans="1:8">
      <c r="A120" s="3" t="s">
        <v>57</v>
      </c>
      <c r="B120" s="1" t="s">
        <v>98</v>
      </c>
      <c r="C120" s="1" t="s">
        <v>99</v>
      </c>
      <c r="D120" s="3" t="s">
        <v>7</v>
      </c>
      <c r="E120" s="1" t="s">
        <v>100</v>
      </c>
      <c r="F120" s="5">
        <v>46119.511759259258</v>
      </c>
      <c r="G120" t="s">
        <v>145</v>
      </c>
      <c r="H120" t="s">
        <v>151</v>
      </c>
    </row>
    <row r="121" spans="1:8">
      <c r="A121" s="4" t="s">
        <v>58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46077.464594907404</v>
      </c>
      <c r="G121" t="s">
        <v>145</v>
      </c>
      <c r="H121" t="s">
        <v>151</v>
      </c>
    </row>
    <row r="122" spans="1:8">
      <c r="A122" s="3" t="s">
        <v>59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46073.275462962964</v>
      </c>
      <c r="G122" t="s">
        <v>145</v>
      </c>
      <c r="H122" t="s">
        <v>151</v>
      </c>
    </row>
    <row r="123" spans="1:8">
      <c r="A123" s="4" t="s">
        <v>60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46092.495925925927</v>
      </c>
      <c r="G123" t="s">
        <v>145</v>
      </c>
      <c r="H123" t="s">
        <v>151</v>
      </c>
    </row>
    <row r="124" spans="1:8">
      <c r="A124" s="3" t="s">
        <v>61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46112.286597222221</v>
      </c>
      <c r="G124" t="s">
        <v>145</v>
      </c>
      <c r="H124" t="s">
        <v>151</v>
      </c>
    </row>
    <row r="125" spans="1:8">
      <c r="A125" s="4" t="s">
        <v>62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46094.599942129629</v>
      </c>
      <c r="G125" t="s">
        <v>145</v>
      </c>
      <c r="H125" t="s">
        <v>151</v>
      </c>
    </row>
    <row r="126" spans="1:8">
      <c r="A126" s="3" t="s">
        <v>63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46072.393969907411</v>
      </c>
      <c r="G126" t="s">
        <v>145</v>
      </c>
      <c r="H126" t="s">
        <v>151</v>
      </c>
    </row>
    <row r="127" spans="1:8">
      <c r="A127" s="4" t="s">
        <v>64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46076.366631944446</v>
      </c>
      <c r="G127" t="s">
        <v>145</v>
      </c>
      <c r="H127" t="s">
        <v>151</v>
      </c>
    </row>
    <row r="128" spans="1:8">
      <c r="A128" s="3" t="s">
        <v>65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46077.598333333335</v>
      </c>
      <c r="G128" t="s">
        <v>145</v>
      </c>
      <c r="H128" t="s">
        <v>151</v>
      </c>
    </row>
    <row r="129" spans="1:8">
      <c r="A129" s="4" t="s">
        <v>66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46071.386203703703</v>
      </c>
      <c r="G129" t="s">
        <v>145</v>
      </c>
      <c r="H129" t="s">
        <v>151</v>
      </c>
    </row>
    <row r="130" spans="1:8">
      <c r="A130" s="3" t="s">
        <v>67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46111.597812499997</v>
      </c>
      <c r="G130" t="s">
        <v>145</v>
      </c>
      <c r="H130" t="s">
        <v>151</v>
      </c>
    </row>
    <row r="131" spans="1:8">
      <c r="A131" s="4" t="s">
        <v>68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46071.385462962964</v>
      </c>
      <c r="G131" t="s">
        <v>145</v>
      </c>
      <c r="H131" t="s">
        <v>151</v>
      </c>
    </row>
    <row r="132" spans="1:8">
      <c r="A132" s="3" t="s">
        <v>69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46072.394108796296</v>
      </c>
      <c r="G132" t="s">
        <v>145</v>
      </c>
      <c r="H132" t="s">
        <v>151</v>
      </c>
    </row>
    <row r="133" spans="1:8">
      <c r="A133" s="4" t="s">
        <v>70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46065.449548611112</v>
      </c>
      <c r="G133" t="s">
        <v>145</v>
      </c>
      <c r="H133" t="s">
        <v>151</v>
      </c>
    </row>
    <row r="134" spans="1:8">
      <c r="A134" s="3" t="s">
        <v>71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46065.449849537035</v>
      </c>
      <c r="G134" t="s">
        <v>145</v>
      </c>
      <c r="H134" t="s">
        <v>151</v>
      </c>
    </row>
    <row r="135" spans="1:8">
      <c r="A135" s="4" t="s">
        <v>72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46092.495462962965</v>
      </c>
      <c r="G135" t="s">
        <v>145</v>
      </c>
      <c r="H135" t="s">
        <v>151</v>
      </c>
    </row>
    <row r="136" spans="1:8">
      <c r="A136" s="3" t="s">
        <v>73</v>
      </c>
      <c r="B136" s="1" t="s">
        <v>98</v>
      </c>
      <c r="C136" s="1" t="s">
        <v>99</v>
      </c>
      <c r="D136" s="3" t="s">
        <v>7</v>
      </c>
      <c r="E136" s="1" t="s">
        <v>100</v>
      </c>
      <c r="F136" s="5">
        <v>46111.602418981478</v>
      </c>
      <c r="G136" t="s">
        <v>145</v>
      </c>
      <c r="H136" t="s">
        <v>151</v>
      </c>
    </row>
    <row r="137" spans="1:8">
      <c r="A137" s="4" t="s">
        <v>74</v>
      </c>
      <c r="B137" s="2" t="s">
        <v>6</v>
      </c>
      <c r="C137" s="2" t="s">
        <v>6</v>
      </c>
      <c r="D137" s="4" t="s">
        <v>7</v>
      </c>
      <c r="E137" s="2" t="s">
        <v>8</v>
      </c>
      <c r="F137" s="6">
        <v>46065.431793981479</v>
      </c>
      <c r="G137" t="s">
        <v>145</v>
      </c>
      <c r="H137" t="s">
        <v>151</v>
      </c>
    </row>
    <row r="138" spans="1:8">
      <c r="A138" s="3" t="s">
        <v>75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46080.437731481485</v>
      </c>
      <c r="G138" t="s">
        <v>145</v>
      </c>
      <c r="H138" t="s">
        <v>151</v>
      </c>
    </row>
    <row r="139" spans="1:8">
      <c r="A139" s="4" t="s">
        <v>76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46098.519803240742</v>
      </c>
      <c r="G139" t="s">
        <v>145</v>
      </c>
      <c r="H139" t="s">
        <v>151</v>
      </c>
    </row>
    <row r="140" spans="1:8">
      <c r="A140" s="3" t="s">
        <v>77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46066.437314814815</v>
      </c>
      <c r="G140" t="s">
        <v>145</v>
      </c>
      <c r="H140" t="s">
        <v>151</v>
      </c>
    </row>
    <row r="141" spans="1:8">
      <c r="A141" s="4" t="s">
        <v>78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46080.435671296298</v>
      </c>
      <c r="G141" t="s">
        <v>145</v>
      </c>
      <c r="H141" t="s">
        <v>151</v>
      </c>
    </row>
    <row r="142" spans="1:8">
      <c r="A142" s="3" t="s">
        <v>79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46066.43545138889</v>
      </c>
      <c r="G142" t="s">
        <v>145</v>
      </c>
      <c r="H142" t="s">
        <v>151</v>
      </c>
    </row>
    <row r="143" spans="1:8">
      <c r="A143" s="4" t="s">
        <v>80</v>
      </c>
      <c r="B143" s="2" t="s">
        <v>98</v>
      </c>
      <c r="C143" s="2" t="s">
        <v>99</v>
      </c>
      <c r="D143" s="4" t="s">
        <v>7</v>
      </c>
      <c r="E143" s="2" t="s">
        <v>100</v>
      </c>
      <c r="F143" s="6">
        <v>46111.517152777778</v>
      </c>
      <c r="G143" t="s">
        <v>145</v>
      </c>
      <c r="H143" t="s">
        <v>151</v>
      </c>
    </row>
    <row r="144" spans="1:8">
      <c r="A144" s="3" t="s">
        <v>81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46094.600347222222</v>
      </c>
      <c r="G144" t="s">
        <v>145</v>
      </c>
      <c r="H144" t="s">
        <v>151</v>
      </c>
    </row>
    <row r="145" spans="1:8">
      <c r="A145" s="4" t="s">
        <v>82</v>
      </c>
      <c r="B145" s="2" t="s">
        <v>6</v>
      </c>
      <c r="C145" s="2" t="s">
        <v>6</v>
      </c>
      <c r="D145" s="4" t="s">
        <v>7</v>
      </c>
      <c r="E145" s="2" t="s">
        <v>8</v>
      </c>
      <c r="F145" s="6">
        <v>46066.435752314814</v>
      </c>
      <c r="G145" t="s">
        <v>145</v>
      </c>
      <c r="H145" t="s">
        <v>151</v>
      </c>
    </row>
    <row r="146" spans="1:8">
      <c r="A146" s="3" t="s">
        <v>83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46072.486793981479</v>
      </c>
      <c r="G146" t="s">
        <v>145</v>
      </c>
      <c r="H146" t="s">
        <v>151</v>
      </c>
    </row>
    <row r="147" spans="1:8">
      <c r="A147" s="4" t="s">
        <v>84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46077.600416666668</v>
      </c>
      <c r="G147" t="s">
        <v>145</v>
      </c>
      <c r="H147" t="s">
        <v>151</v>
      </c>
    </row>
    <row r="148" spans="1:8">
      <c r="A148" s="3" t="s">
        <v>85</v>
      </c>
      <c r="B148" s="1" t="s">
        <v>6</v>
      </c>
      <c r="C148" s="1" t="s">
        <v>6</v>
      </c>
      <c r="D148" s="3" t="s">
        <v>7</v>
      </c>
      <c r="E148" s="1" t="s">
        <v>8</v>
      </c>
      <c r="F148" s="5">
        <v>46076.366539351853</v>
      </c>
      <c r="G148" t="s">
        <v>145</v>
      </c>
      <c r="H148" t="s">
        <v>151</v>
      </c>
    </row>
    <row r="149" spans="1:8">
      <c r="A149" s="4" t="s">
        <v>86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46097.357476851852</v>
      </c>
      <c r="G149" t="s">
        <v>145</v>
      </c>
      <c r="H149" t="s">
        <v>151</v>
      </c>
    </row>
    <row r="150" spans="1:8">
      <c r="A150" s="3" t="s">
        <v>87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46073.369409722225</v>
      </c>
      <c r="G150" t="s">
        <v>145</v>
      </c>
      <c r="H150" t="s">
        <v>151</v>
      </c>
    </row>
    <row r="151" spans="1:8">
      <c r="A151" s="4" t="s">
        <v>88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46112.289826388886</v>
      </c>
      <c r="G151" t="s">
        <v>145</v>
      </c>
      <c r="H151" t="s">
        <v>151</v>
      </c>
    </row>
    <row r="152" spans="1:8">
      <c r="A152" s="3" t="s">
        <v>89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46083.46197916667</v>
      </c>
      <c r="G152" t="s">
        <v>145</v>
      </c>
      <c r="H152" t="s">
        <v>151</v>
      </c>
    </row>
    <row r="153" spans="1:8">
      <c r="A153" s="4" t="s">
        <v>90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46076.375127314815</v>
      </c>
      <c r="G153" t="s">
        <v>145</v>
      </c>
      <c r="H153" t="s">
        <v>151</v>
      </c>
    </row>
    <row r="154" spans="1:8">
      <c r="A154" s="3" t="s">
        <v>91</v>
      </c>
      <c r="B154" s="1" t="s">
        <v>98</v>
      </c>
      <c r="C154" s="1" t="s">
        <v>99</v>
      </c>
      <c r="D154" s="3" t="s">
        <v>7</v>
      </c>
      <c r="E154" s="1" t="s">
        <v>100</v>
      </c>
      <c r="F154" s="5">
        <v>46111.578657407408</v>
      </c>
      <c r="G154" t="s">
        <v>145</v>
      </c>
      <c r="H154" t="s">
        <v>151</v>
      </c>
    </row>
    <row r="155" spans="1:8">
      <c r="A155" s="4" t="s">
        <v>92</v>
      </c>
      <c r="B155" s="2" t="s">
        <v>6</v>
      </c>
      <c r="C155" s="2" t="s">
        <v>6</v>
      </c>
      <c r="D155" s="4" t="s">
        <v>7</v>
      </c>
      <c r="E155" s="2" t="s">
        <v>8</v>
      </c>
      <c r="F155" s="6">
        <v>46076.37462962963</v>
      </c>
      <c r="G155" t="s">
        <v>145</v>
      </c>
      <c r="H155" t="s">
        <v>151</v>
      </c>
    </row>
    <row r="156" spans="1:8">
      <c r="A156" s="3" t="s">
        <v>93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46080.436423611114</v>
      </c>
      <c r="G156" t="s">
        <v>145</v>
      </c>
      <c r="H156" t="s">
        <v>151</v>
      </c>
    </row>
    <row r="157" spans="1:8">
      <c r="A157" s="4" t="s">
        <v>94</v>
      </c>
      <c r="B157" s="2" t="s">
        <v>98</v>
      </c>
      <c r="C157" s="2" t="s">
        <v>99</v>
      </c>
      <c r="D157" s="4" t="s">
        <v>7</v>
      </c>
      <c r="E157" s="2" t="s">
        <v>100</v>
      </c>
      <c r="F157" s="6">
        <v>46111.588159722225</v>
      </c>
      <c r="G157" t="s">
        <v>145</v>
      </c>
      <c r="H157" t="s">
        <v>151</v>
      </c>
    </row>
    <row r="158" spans="1:8">
      <c r="A158" s="3" t="s">
        <v>158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46147.394490740742</v>
      </c>
      <c r="G158" t="s">
        <v>159</v>
      </c>
      <c r="H158" t="s">
        <v>160</v>
      </c>
    </row>
    <row r="159" spans="1:8">
      <c r="A159" s="4" t="s">
        <v>161</v>
      </c>
      <c r="B159" s="2" t="s">
        <v>6</v>
      </c>
      <c r="C159" s="2" t="s">
        <v>6</v>
      </c>
      <c r="D159" s="4" t="s">
        <v>7</v>
      </c>
      <c r="E159" s="2" t="s">
        <v>8</v>
      </c>
      <c r="F159" s="6">
        <v>46146.276944444442</v>
      </c>
      <c r="G159" t="s">
        <v>159</v>
      </c>
      <c r="H159" t="s">
        <v>160</v>
      </c>
    </row>
    <row r="160" spans="1:8">
      <c r="A160" s="3" t="s">
        <v>162</v>
      </c>
      <c r="B160" s="1" t="s">
        <v>275</v>
      </c>
      <c r="C160" s="1" t="s">
        <v>276</v>
      </c>
      <c r="D160" s="3" t="s">
        <v>7</v>
      </c>
      <c r="E160" s="1" t="s">
        <v>277</v>
      </c>
      <c r="F160" s="5">
        <v>46128.37636574074</v>
      </c>
      <c r="G160" t="s">
        <v>159</v>
      </c>
      <c r="H160" t="s">
        <v>160</v>
      </c>
    </row>
    <row r="161" spans="1:8">
      <c r="A161" s="4" t="s">
        <v>163</v>
      </c>
      <c r="B161" s="2" t="s">
        <v>12</v>
      </c>
      <c r="C161" s="2" t="s">
        <v>13</v>
      </c>
      <c r="D161" s="4" t="s">
        <v>7</v>
      </c>
      <c r="E161" s="2" t="s">
        <v>14</v>
      </c>
      <c r="F161" s="6">
        <v>46122.379895833335</v>
      </c>
      <c r="G161" t="s">
        <v>159</v>
      </c>
      <c r="H161" t="s">
        <v>160</v>
      </c>
    </row>
    <row r="162" spans="1:8">
      <c r="A162" s="3" t="s">
        <v>164</v>
      </c>
      <c r="B162" s="1" t="s">
        <v>6</v>
      </c>
      <c r="C162" s="1" t="s">
        <v>6</v>
      </c>
      <c r="D162" s="3" t="s">
        <v>7</v>
      </c>
      <c r="E162" s="1" t="s">
        <v>8</v>
      </c>
      <c r="F162" s="5">
        <v>46150.391724537039</v>
      </c>
      <c r="G162" t="s">
        <v>159</v>
      </c>
      <c r="H162" t="s">
        <v>160</v>
      </c>
    </row>
    <row r="163" spans="1:8">
      <c r="A163" s="4" t="s">
        <v>165</v>
      </c>
      <c r="B163" s="2" t="s">
        <v>905</v>
      </c>
      <c r="C163" s="2" t="s">
        <v>906</v>
      </c>
      <c r="D163" s="4" t="s">
        <v>7</v>
      </c>
      <c r="E163" s="2" t="s">
        <v>647</v>
      </c>
      <c r="F163" s="6">
        <v>46148.357569444444</v>
      </c>
      <c r="G163" t="s">
        <v>159</v>
      </c>
      <c r="H163" t="s">
        <v>160</v>
      </c>
    </row>
    <row r="164" spans="1:8">
      <c r="A164" s="3" t="s">
        <v>166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46150.392002314817</v>
      </c>
      <c r="G164" t="s">
        <v>159</v>
      </c>
      <c r="H164" t="s">
        <v>160</v>
      </c>
    </row>
    <row r="165" spans="1:8">
      <c r="A165" s="4" t="s">
        <v>167</v>
      </c>
      <c r="B165" s="2" t="s">
        <v>98</v>
      </c>
      <c r="C165" s="2" t="s">
        <v>99</v>
      </c>
      <c r="D165" s="4" t="s">
        <v>7</v>
      </c>
      <c r="E165" s="2" t="s">
        <v>100</v>
      </c>
      <c r="F165" s="6">
        <v>46123.268182870372</v>
      </c>
      <c r="G165" t="s">
        <v>159</v>
      </c>
      <c r="H165" t="s">
        <v>160</v>
      </c>
    </row>
    <row r="166" spans="1:8">
      <c r="A166" s="3" t="s">
        <v>168</v>
      </c>
      <c r="B166" s="1" t="s">
        <v>98</v>
      </c>
      <c r="C166" s="1" t="s">
        <v>99</v>
      </c>
      <c r="D166" s="3" t="s">
        <v>7</v>
      </c>
      <c r="E166" s="1" t="s">
        <v>100</v>
      </c>
      <c r="F166" s="5">
        <v>46123.268182870372</v>
      </c>
      <c r="G166" t="s">
        <v>159</v>
      </c>
      <c r="H166" t="s">
        <v>160</v>
      </c>
    </row>
    <row r="167" spans="1:8">
      <c r="A167" s="4" t="s">
        <v>169</v>
      </c>
      <c r="B167" s="2" t="s">
        <v>653</v>
      </c>
      <c r="C167" s="2" t="s">
        <v>654</v>
      </c>
      <c r="D167" s="4" t="s">
        <v>7</v>
      </c>
      <c r="E167" s="2" t="s">
        <v>647</v>
      </c>
      <c r="F167" s="6">
        <v>46135.341782407406</v>
      </c>
      <c r="G167" t="s">
        <v>159</v>
      </c>
      <c r="H167" t="s">
        <v>160</v>
      </c>
    </row>
    <row r="168" spans="1:8">
      <c r="A168" s="3" t="s">
        <v>170</v>
      </c>
      <c r="B168" s="1" t="s">
        <v>98</v>
      </c>
      <c r="C168" s="1" t="s">
        <v>99</v>
      </c>
      <c r="D168" s="3" t="s">
        <v>7</v>
      </c>
      <c r="E168" s="1" t="s">
        <v>100</v>
      </c>
      <c r="F168" s="5">
        <v>46123.268182870372</v>
      </c>
      <c r="G168" t="s">
        <v>159</v>
      </c>
      <c r="H168" t="s">
        <v>160</v>
      </c>
    </row>
    <row r="169" spans="1:8">
      <c r="A169" s="4" t="s">
        <v>171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46154.372777777775</v>
      </c>
      <c r="G169" t="s">
        <v>159</v>
      </c>
      <c r="H169" t="s">
        <v>160</v>
      </c>
    </row>
    <row r="170" spans="1:8">
      <c r="A170" s="3" t="s">
        <v>172</v>
      </c>
      <c r="B170" s="1" t="s">
        <v>6</v>
      </c>
      <c r="C170" s="1" t="s">
        <v>6</v>
      </c>
      <c r="D170" s="3" t="s">
        <v>7</v>
      </c>
      <c r="E170" s="1" t="s">
        <v>8</v>
      </c>
      <c r="F170" s="5">
        <v>46153.505300925928</v>
      </c>
      <c r="G170" t="s">
        <v>159</v>
      </c>
      <c r="H170" t="s">
        <v>160</v>
      </c>
    </row>
    <row r="171" spans="1:8">
      <c r="A171" s="4" t="s">
        <v>173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46140.310729166667</v>
      </c>
      <c r="G171" t="s">
        <v>159</v>
      </c>
      <c r="H171" t="s">
        <v>160</v>
      </c>
    </row>
    <row r="172" spans="1:8">
      <c r="A172" s="3" t="s">
        <v>174</v>
      </c>
      <c r="B172" s="1" t="s">
        <v>275</v>
      </c>
      <c r="C172" s="1" t="s">
        <v>276</v>
      </c>
      <c r="D172" s="3" t="s">
        <v>7</v>
      </c>
      <c r="E172" s="1" t="s">
        <v>277</v>
      </c>
      <c r="F172" s="5">
        <v>46128.379895833335</v>
      </c>
      <c r="G172" t="s">
        <v>159</v>
      </c>
      <c r="H172" t="s">
        <v>160</v>
      </c>
    </row>
    <row r="173" spans="1:8">
      <c r="A173" s="4" t="s">
        <v>175</v>
      </c>
      <c r="B173" s="2" t="s">
        <v>6</v>
      </c>
      <c r="C173" s="2" t="s">
        <v>6</v>
      </c>
      <c r="D173" s="4" t="s">
        <v>7</v>
      </c>
      <c r="E173" s="2" t="s">
        <v>8</v>
      </c>
      <c r="F173" s="6">
        <v>46146.276782407411</v>
      </c>
      <c r="G173" t="s">
        <v>159</v>
      </c>
      <c r="H173" t="s">
        <v>160</v>
      </c>
    </row>
    <row r="174" spans="1:8">
      <c r="A174" s="3" t="s">
        <v>176</v>
      </c>
      <c r="B174" s="1" t="s">
        <v>9</v>
      </c>
      <c r="C174" s="1" t="s">
        <v>10</v>
      </c>
      <c r="D174" s="3" t="s">
        <v>7</v>
      </c>
      <c r="E174" s="1" t="s">
        <v>11</v>
      </c>
      <c r="F174" s="5">
        <v>46139.587060185186</v>
      </c>
      <c r="G174" t="s">
        <v>159</v>
      </c>
      <c r="H174" t="s">
        <v>160</v>
      </c>
    </row>
    <row r="175" spans="1:8">
      <c r="A175" s="4" t="s">
        <v>177</v>
      </c>
      <c r="B175" s="2" t="s">
        <v>98</v>
      </c>
      <c r="C175" s="2" t="s">
        <v>99</v>
      </c>
      <c r="D175" s="4" t="s">
        <v>7</v>
      </c>
      <c r="E175" s="2" t="s">
        <v>100</v>
      </c>
      <c r="F175" s="6">
        <v>46123.268182870372</v>
      </c>
      <c r="G175" t="s">
        <v>159</v>
      </c>
      <c r="H175" t="s">
        <v>160</v>
      </c>
    </row>
    <row r="176" spans="1:8">
      <c r="A176" s="3" t="s">
        <v>178</v>
      </c>
      <c r="B176" s="1" t="s">
        <v>905</v>
      </c>
      <c r="C176" s="1" t="s">
        <v>906</v>
      </c>
      <c r="D176" s="3" t="s">
        <v>7</v>
      </c>
      <c r="E176" s="1" t="s">
        <v>647</v>
      </c>
      <c r="F176" s="5">
        <v>46148.35633101852</v>
      </c>
      <c r="G176" t="s">
        <v>159</v>
      </c>
      <c r="H176" t="s">
        <v>160</v>
      </c>
    </row>
    <row r="177" spans="1:8">
      <c r="A177" s="4" t="s">
        <v>179</v>
      </c>
      <c r="B177" s="2" t="s">
        <v>6</v>
      </c>
      <c r="C177" s="2" t="s">
        <v>6</v>
      </c>
      <c r="D177" s="4" t="s">
        <v>7</v>
      </c>
      <c r="E177" s="2" t="s">
        <v>8</v>
      </c>
      <c r="F177" s="6">
        <v>46153.434687499997</v>
      </c>
      <c r="G177" t="s">
        <v>159</v>
      </c>
      <c r="H177" t="s">
        <v>160</v>
      </c>
    </row>
    <row r="178" spans="1:8">
      <c r="A178" s="3" t="s">
        <v>180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46122.381331018521</v>
      </c>
      <c r="G178" t="s">
        <v>159</v>
      </c>
      <c r="H178" t="s">
        <v>160</v>
      </c>
    </row>
    <row r="179" spans="1:8">
      <c r="A179" s="4" t="s">
        <v>181</v>
      </c>
      <c r="B179" s="2" t="s">
        <v>98</v>
      </c>
      <c r="C179" s="2" t="s">
        <v>99</v>
      </c>
      <c r="D179" s="4" t="s">
        <v>7</v>
      </c>
      <c r="E179" s="2" t="s">
        <v>100</v>
      </c>
      <c r="F179" s="6">
        <v>46174.475266203706</v>
      </c>
      <c r="G179" t="s">
        <v>159</v>
      </c>
      <c r="H179" t="s">
        <v>160</v>
      </c>
    </row>
    <row r="180" spans="1:8">
      <c r="A180" s="3" t="s">
        <v>182</v>
      </c>
      <c r="B180" s="1" t="s">
        <v>653</v>
      </c>
      <c r="C180" s="1" t="s">
        <v>654</v>
      </c>
      <c r="D180" s="3" t="s">
        <v>7</v>
      </c>
      <c r="E180" s="1" t="s">
        <v>647</v>
      </c>
      <c r="F180" s="5">
        <v>46134.411111111112</v>
      </c>
      <c r="G180" t="s">
        <v>159</v>
      </c>
      <c r="H180" t="s">
        <v>160</v>
      </c>
    </row>
    <row r="181" spans="1:8">
      <c r="A181" s="4" t="s">
        <v>183</v>
      </c>
      <c r="B181" s="2" t="s">
        <v>9</v>
      </c>
      <c r="C181" s="2" t="s">
        <v>10</v>
      </c>
      <c r="D181" s="4" t="s">
        <v>7</v>
      </c>
      <c r="E181" s="2" t="s">
        <v>11</v>
      </c>
      <c r="F181" s="6">
        <v>46128.360659722224</v>
      </c>
      <c r="G181" t="s">
        <v>159</v>
      </c>
      <c r="H181" t="s">
        <v>160</v>
      </c>
    </row>
    <row r="182" spans="1:8">
      <c r="A182" s="3" t="s">
        <v>184</v>
      </c>
      <c r="B182" s="1" t="s">
        <v>9</v>
      </c>
      <c r="C182" s="1" t="s">
        <v>10</v>
      </c>
      <c r="D182" s="3" t="s">
        <v>7</v>
      </c>
      <c r="E182" s="1" t="s">
        <v>11</v>
      </c>
      <c r="F182" s="5">
        <v>46135.443379629629</v>
      </c>
      <c r="G182" t="s">
        <v>159</v>
      </c>
      <c r="H182" t="s">
        <v>160</v>
      </c>
    </row>
    <row r="183" spans="1:8">
      <c r="A183" s="4" t="s">
        <v>185</v>
      </c>
      <c r="B183" s="2" t="s">
        <v>653</v>
      </c>
      <c r="C183" s="2" t="s">
        <v>654</v>
      </c>
      <c r="D183" s="4" t="s">
        <v>7</v>
      </c>
      <c r="E183" s="2" t="s">
        <v>647</v>
      </c>
      <c r="F183" s="6">
        <v>46134.363125000003</v>
      </c>
      <c r="G183" t="s">
        <v>159</v>
      </c>
      <c r="H183" t="s">
        <v>160</v>
      </c>
    </row>
    <row r="184" spans="1:8">
      <c r="A184" s="3" t="s">
        <v>186</v>
      </c>
      <c r="B184" s="1" t="s">
        <v>12</v>
      </c>
      <c r="C184" s="1" t="s">
        <v>13</v>
      </c>
      <c r="D184" s="3" t="s">
        <v>7</v>
      </c>
      <c r="E184" s="1" t="s">
        <v>14</v>
      </c>
      <c r="F184" s="5">
        <v>46122.381562499999</v>
      </c>
      <c r="G184" t="s">
        <v>159</v>
      </c>
      <c r="H184" t="s">
        <v>160</v>
      </c>
    </row>
    <row r="185" spans="1:8">
      <c r="A185" s="4" t="s">
        <v>187</v>
      </c>
      <c r="B185" s="2" t="s">
        <v>9</v>
      </c>
      <c r="C185" s="2" t="s">
        <v>10</v>
      </c>
      <c r="D185" s="4" t="s">
        <v>7</v>
      </c>
      <c r="E185" s="2" t="s">
        <v>11</v>
      </c>
      <c r="F185" s="6">
        <v>46134.596689814818</v>
      </c>
      <c r="G185" t="s">
        <v>159</v>
      </c>
      <c r="H185" t="s">
        <v>160</v>
      </c>
    </row>
    <row r="186" spans="1:8">
      <c r="A186" s="3" t="s">
        <v>188</v>
      </c>
      <c r="B186" s="1" t="s">
        <v>98</v>
      </c>
      <c r="C186" s="1" t="s">
        <v>99</v>
      </c>
      <c r="D186" s="3" t="s">
        <v>7</v>
      </c>
      <c r="E186" s="1" t="s">
        <v>100</v>
      </c>
      <c r="F186" s="5">
        <v>46123.268182870372</v>
      </c>
      <c r="G186" t="s">
        <v>159</v>
      </c>
      <c r="H186" t="s">
        <v>160</v>
      </c>
    </row>
    <row r="187" spans="1:8">
      <c r="A187" s="4" t="s">
        <v>189</v>
      </c>
      <c r="B187" s="2" t="s">
        <v>98</v>
      </c>
      <c r="C187" s="2" t="s">
        <v>99</v>
      </c>
      <c r="D187" s="4" t="s">
        <v>7</v>
      </c>
      <c r="E187" s="2" t="s">
        <v>100</v>
      </c>
      <c r="F187" s="6">
        <v>46123.268182870372</v>
      </c>
      <c r="G187" t="s">
        <v>159</v>
      </c>
      <c r="H187" t="s">
        <v>160</v>
      </c>
    </row>
    <row r="188" spans="1:8">
      <c r="A188" s="3" t="s">
        <v>190</v>
      </c>
      <c r="B188" s="1" t="s">
        <v>98</v>
      </c>
      <c r="C188" s="1" t="s">
        <v>99</v>
      </c>
      <c r="D188" s="3" t="s">
        <v>7</v>
      </c>
      <c r="E188" s="1" t="s">
        <v>100</v>
      </c>
      <c r="F188" s="5">
        <v>46123.268182870372</v>
      </c>
      <c r="G188" t="s">
        <v>159</v>
      </c>
      <c r="H188" t="s">
        <v>160</v>
      </c>
    </row>
    <row r="189" spans="1:8">
      <c r="A189" s="4" t="s">
        <v>191</v>
      </c>
      <c r="B189" s="2" t="s">
        <v>12</v>
      </c>
      <c r="C189" s="2" t="s">
        <v>13</v>
      </c>
      <c r="D189" s="4" t="s">
        <v>7</v>
      </c>
      <c r="E189" s="2" t="s">
        <v>14</v>
      </c>
      <c r="F189" s="6">
        <v>46115.654108796298</v>
      </c>
      <c r="G189" t="s">
        <v>159</v>
      </c>
      <c r="H189" t="s">
        <v>160</v>
      </c>
    </row>
    <row r="190" spans="1:8">
      <c r="A190" s="3" t="s">
        <v>192</v>
      </c>
      <c r="B190" s="1" t="s">
        <v>275</v>
      </c>
      <c r="C190" s="1" t="s">
        <v>276</v>
      </c>
      <c r="D190" s="3" t="s">
        <v>7</v>
      </c>
      <c r="E190" s="1" t="s">
        <v>277</v>
      </c>
      <c r="F190" s="5">
        <v>46128.398796296293</v>
      </c>
      <c r="G190" t="s">
        <v>159</v>
      </c>
      <c r="H190" t="s">
        <v>160</v>
      </c>
    </row>
    <row r="191" spans="1:8">
      <c r="A191" s="4" t="s">
        <v>193</v>
      </c>
      <c r="B191" s="2" t="s">
        <v>98</v>
      </c>
      <c r="C191" s="2" t="s">
        <v>99</v>
      </c>
      <c r="D191" s="4" t="s">
        <v>7</v>
      </c>
      <c r="E191" s="2" t="s">
        <v>100</v>
      </c>
      <c r="F191" s="6">
        <v>46123.268182870372</v>
      </c>
      <c r="G191" t="s">
        <v>159</v>
      </c>
      <c r="H191" t="s">
        <v>160</v>
      </c>
    </row>
    <row r="192" spans="1:8">
      <c r="A192" s="3" t="s">
        <v>194</v>
      </c>
      <c r="B192" s="1" t="s">
        <v>275</v>
      </c>
      <c r="C192" s="1" t="s">
        <v>276</v>
      </c>
      <c r="D192" s="3" t="s">
        <v>7</v>
      </c>
      <c r="E192" s="1" t="s">
        <v>277</v>
      </c>
      <c r="F192" s="5">
        <v>46128.572881944441</v>
      </c>
      <c r="G192" t="s">
        <v>159</v>
      </c>
      <c r="H192" t="s">
        <v>160</v>
      </c>
    </row>
    <row r="193" spans="1:8">
      <c r="A193" s="4" t="s">
        <v>195</v>
      </c>
      <c r="B193" s="2" t="s">
        <v>905</v>
      </c>
      <c r="C193" s="2" t="s">
        <v>906</v>
      </c>
      <c r="D193" s="4" t="s">
        <v>7</v>
      </c>
      <c r="E193" s="2" t="s">
        <v>647</v>
      </c>
      <c r="F193" s="6">
        <v>46148.370289351849</v>
      </c>
      <c r="G193" t="s">
        <v>159</v>
      </c>
      <c r="H193" t="s">
        <v>160</v>
      </c>
    </row>
    <row r="194" spans="1:8">
      <c r="A194" s="3" t="s">
        <v>196</v>
      </c>
      <c r="B194" s="1" t="s">
        <v>12</v>
      </c>
      <c r="C194" s="1" t="s">
        <v>13</v>
      </c>
      <c r="D194" s="3" t="s">
        <v>7</v>
      </c>
      <c r="E194" s="1" t="s">
        <v>14</v>
      </c>
      <c r="F194" s="5">
        <v>46115.604791666665</v>
      </c>
      <c r="G194" t="s">
        <v>159</v>
      </c>
      <c r="H194" t="s">
        <v>160</v>
      </c>
    </row>
    <row r="195" spans="1:8">
      <c r="A195" s="3" t="s">
        <v>197</v>
      </c>
      <c r="B195" s="1" t="s">
        <v>98</v>
      </c>
      <c r="C195" s="1" t="s">
        <v>99</v>
      </c>
      <c r="D195" s="3" t="s">
        <v>7</v>
      </c>
      <c r="E195" s="1" t="s">
        <v>100</v>
      </c>
      <c r="F195" s="5">
        <v>46123.268182870372</v>
      </c>
      <c r="G195" t="s">
        <v>198</v>
      </c>
      <c r="H195" t="s">
        <v>160</v>
      </c>
    </row>
    <row r="196" spans="1:8">
      <c r="A196" s="4" t="s">
        <v>199</v>
      </c>
      <c r="B196" s="2" t="s">
        <v>6</v>
      </c>
      <c r="C196" s="2" t="s">
        <v>6</v>
      </c>
      <c r="D196" s="4" t="s">
        <v>7</v>
      </c>
      <c r="E196" s="2" t="s">
        <v>8</v>
      </c>
      <c r="F196" s="6">
        <v>46140.310555555552</v>
      </c>
      <c r="G196" t="s">
        <v>198</v>
      </c>
      <c r="H196" t="s">
        <v>160</v>
      </c>
    </row>
    <row r="197" spans="1:8">
      <c r="A197" s="3" t="s">
        <v>200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46141.297476851854</v>
      </c>
      <c r="G197" t="s">
        <v>198</v>
      </c>
      <c r="H197" t="s">
        <v>160</v>
      </c>
    </row>
    <row r="198" spans="1:8">
      <c r="A198" s="4" t="s">
        <v>201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46141.305231481485</v>
      </c>
      <c r="G198" t="s">
        <v>198</v>
      </c>
      <c r="H198" t="s">
        <v>160</v>
      </c>
    </row>
    <row r="199" spans="1:8">
      <c r="A199" s="3" t="s">
        <v>202</v>
      </c>
      <c r="B199" s="1" t="s">
        <v>98</v>
      </c>
      <c r="C199" s="1" t="s">
        <v>99</v>
      </c>
      <c r="D199" s="3" t="s">
        <v>7</v>
      </c>
      <c r="E199" s="1" t="s">
        <v>100</v>
      </c>
      <c r="F199" s="5">
        <v>46141.306250000001</v>
      </c>
      <c r="G199" t="s">
        <v>198</v>
      </c>
      <c r="H199" t="s">
        <v>160</v>
      </c>
    </row>
    <row r="200" spans="1:8">
      <c r="A200" s="4" t="s">
        <v>203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46154.2655787037</v>
      </c>
      <c r="G200" t="s">
        <v>198</v>
      </c>
      <c r="H200" t="s">
        <v>160</v>
      </c>
    </row>
    <row r="201" spans="1:8">
      <c r="A201" s="3" t="s">
        <v>204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46154.265972222223</v>
      </c>
      <c r="G201" t="s">
        <v>198</v>
      </c>
      <c r="H201" t="s">
        <v>160</v>
      </c>
    </row>
    <row r="202" spans="1:8">
      <c r="A202" s="4" t="s">
        <v>205</v>
      </c>
      <c r="B202" s="2" t="s">
        <v>12</v>
      </c>
      <c r="C202" s="2" t="s">
        <v>13</v>
      </c>
      <c r="D202" s="4" t="s">
        <v>7</v>
      </c>
      <c r="E202" s="2" t="s">
        <v>14</v>
      </c>
      <c r="F202" s="6">
        <v>46122.383263888885</v>
      </c>
      <c r="G202" t="s">
        <v>198</v>
      </c>
      <c r="H202" t="s">
        <v>160</v>
      </c>
    </row>
    <row r="203" spans="1:8">
      <c r="A203" s="3" t="s">
        <v>206</v>
      </c>
      <c r="B203" s="1" t="s">
        <v>98</v>
      </c>
      <c r="C203" s="1" t="s">
        <v>99</v>
      </c>
      <c r="D203" s="3" t="s">
        <v>7</v>
      </c>
      <c r="E203" s="1" t="s">
        <v>100</v>
      </c>
      <c r="F203" s="5">
        <v>46141.308831018519</v>
      </c>
      <c r="G203" t="s">
        <v>198</v>
      </c>
      <c r="H203" t="s">
        <v>160</v>
      </c>
    </row>
    <row r="204" spans="1:8">
      <c r="A204" s="4" t="s">
        <v>207</v>
      </c>
      <c r="B204" s="2" t="s">
        <v>98</v>
      </c>
      <c r="C204" s="2" t="s">
        <v>99</v>
      </c>
      <c r="D204" s="4" t="s">
        <v>7</v>
      </c>
      <c r="E204" s="2" t="s">
        <v>100</v>
      </c>
      <c r="F204" s="6">
        <v>46123.268182870372</v>
      </c>
      <c r="G204" t="s">
        <v>198</v>
      </c>
      <c r="H204" t="s">
        <v>160</v>
      </c>
    </row>
    <row r="205" spans="1:8">
      <c r="A205" s="3" t="s">
        <v>208</v>
      </c>
      <c r="B205" s="1" t="s">
        <v>6</v>
      </c>
      <c r="C205" s="1" t="s">
        <v>6</v>
      </c>
      <c r="D205" s="3" t="s">
        <v>7</v>
      </c>
      <c r="E205" s="1" t="s">
        <v>8</v>
      </c>
      <c r="F205" s="5">
        <v>46154.404409722221</v>
      </c>
      <c r="G205" t="s">
        <v>198</v>
      </c>
      <c r="H205" t="s">
        <v>160</v>
      </c>
    </row>
    <row r="206" spans="1:8">
      <c r="A206" s="4" t="s">
        <v>209</v>
      </c>
      <c r="B206" s="2" t="s">
        <v>6</v>
      </c>
      <c r="C206" s="2" t="s">
        <v>6</v>
      </c>
      <c r="D206" s="4" t="s">
        <v>7</v>
      </c>
      <c r="E206" s="2" t="s">
        <v>8</v>
      </c>
      <c r="F206" s="6">
        <v>46150.391400462962</v>
      </c>
      <c r="G206" t="s">
        <v>198</v>
      </c>
      <c r="H206" t="s">
        <v>160</v>
      </c>
    </row>
    <row r="207" spans="1:8">
      <c r="A207" s="3" t="s">
        <v>210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46146.276608796295</v>
      </c>
      <c r="G207" t="s">
        <v>198</v>
      </c>
      <c r="H207" t="s">
        <v>160</v>
      </c>
    </row>
    <row r="208" spans="1:8">
      <c r="A208" s="4" t="s">
        <v>211</v>
      </c>
      <c r="B208" s="2" t="s">
        <v>98</v>
      </c>
      <c r="C208" s="2" t="s">
        <v>99</v>
      </c>
      <c r="D208" s="4" t="s">
        <v>7</v>
      </c>
      <c r="E208" s="2" t="s">
        <v>100</v>
      </c>
      <c r="F208" s="6">
        <v>46123.268182870372</v>
      </c>
      <c r="G208" t="s">
        <v>198</v>
      </c>
      <c r="H208" t="s">
        <v>160</v>
      </c>
    </row>
    <row r="209" spans="1:8">
      <c r="A209" s="3" t="s">
        <v>212</v>
      </c>
      <c r="B209" s="1" t="s">
        <v>275</v>
      </c>
      <c r="C209" s="1" t="s">
        <v>276</v>
      </c>
      <c r="D209" s="3" t="s">
        <v>7</v>
      </c>
      <c r="E209" s="1" t="s">
        <v>277</v>
      </c>
      <c r="F209" s="5">
        <v>46128.37059027778</v>
      </c>
      <c r="G209" t="s">
        <v>198</v>
      </c>
      <c r="H209" t="s">
        <v>160</v>
      </c>
    </row>
    <row r="210" spans="1:8">
      <c r="A210" s="4" t="s">
        <v>213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46147.394305555557</v>
      </c>
      <c r="G210" t="s">
        <v>198</v>
      </c>
      <c r="H210" t="s">
        <v>160</v>
      </c>
    </row>
    <row r="211" spans="1:8">
      <c r="A211" s="3" t="s">
        <v>214</v>
      </c>
      <c r="B211" s="1" t="s">
        <v>275</v>
      </c>
      <c r="C211" s="1" t="s">
        <v>276</v>
      </c>
      <c r="D211" s="3" t="s">
        <v>7</v>
      </c>
      <c r="E211" s="1" t="s">
        <v>277</v>
      </c>
      <c r="F211" s="5">
        <v>46157.513703703706</v>
      </c>
      <c r="G211" t="s">
        <v>198</v>
      </c>
      <c r="H211" t="s">
        <v>160</v>
      </c>
    </row>
    <row r="212" spans="1:8">
      <c r="A212" s="4" t="s">
        <v>215</v>
      </c>
      <c r="B212" s="2" t="s">
        <v>275</v>
      </c>
      <c r="C212" s="2" t="s">
        <v>276</v>
      </c>
      <c r="D212" s="4" t="s">
        <v>7</v>
      </c>
      <c r="E212" s="2" t="s">
        <v>277</v>
      </c>
      <c r="F212" s="6">
        <v>46156.504247685189</v>
      </c>
      <c r="G212" t="s">
        <v>198</v>
      </c>
      <c r="H212" t="s">
        <v>160</v>
      </c>
    </row>
    <row r="213" spans="1:8">
      <c r="A213" s="3" t="s">
        <v>216</v>
      </c>
      <c r="B213" s="1" t="s">
        <v>6</v>
      </c>
      <c r="C213" s="1" t="s">
        <v>6</v>
      </c>
      <c r="D213" s="3" t="s">
        <v>7</v>
      </c>
      <c r="E213" s="1" t="s">
        <v>8</v>
      </c>
      <c r="F213" s="5">
        <v>46153.504884259259</v>
      </c>
      <c r="G213" t="s">
        <v>198</v>
      </c>
      <c r="H213" t="s">
        <v>160</v>
      </c>
    </row>
    <row r="214" spans="1:8">
      <c r="A214" s="4" t="s">
        <v>217</v>
      </c>
      <c r="B214" s="2" t="s">
        <v>6</v>
      </c>
      <c r="C214" s="2" t="s">
        <v>6</v>
      </c>
      <c r="D214" s="4" t="s">
        <v>7</v>
      </c>
      <c r="E214" s="2" t="s">
        <v>8</v>
      </c>
      <c r="F214" s="6">
        <v>46150.467037037037</v>
      </c>
      <c r="G214" t="s">
        <v>198</v>
      </c>
      <c r="H214" t="s">
        <v>160</v>
      </c>
    </row>
    <row r="215" spans="1:8">
      <c r="A215" s="3" t="s">
        <v>218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46140.310358796298</v>
      </c>
      <c r="G215" t="s">
        <v>198</v>
      </c>
      <c r="H215" t="s">
        <v>160</v>
      </c>
    </row>
    <row r="216" spans="1:8">
      <c r="A216" s="4" t="s">
        <v>219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46153.504641203705</v>
      </c>
      <c r="G216" t="s">
        <v>198</v>
      </c>
      <c r="H216" t="s">
        <v>160</v>
      </c>
    </row>
    <row r="217" spans="1:8">
      <c r="A217" s="3" t="s">
        <v>220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46154.404699074075</v>
      </c>
      <c r="G217" t="s">
        <v>198</v>
      </c>
      <c r="H217" t="s">
        <v>160</v>
      </c>
    </row>
    <row r="218" spans="1:8">
      <c r="A218" s="4" t="s">
        <v>221</v>
      </c>
      <c r="B218" s="2" t="s">
        <v>6</v>
      </c>
      <c r="C218" s="2" t="s">
        <v>6</v>
      </c>
      <c r="D218" s="4" t="s">
        <v>7</v>
      </c>
      <c r="E218" s="2" t="s">
        <v>8</v>
      </c>
      <c r="F218" s="6">
        <v>46154.265775462962</v>
      </c>
      <c r="G218" t="s">
        <v>198</v>
      </c>
      <c r="H218" t="s">
        <v>160</v>
      </c>
    </row>
    <row r="219" spans="1:8">
      <c r="A219" s="3" t="s">
        <v>222</v>
      </c>
      <c r="B219" s="1" t="s">
        <v>98</v>
      </c>
      <c r="C219" s="1" t="s">
        <v>99</v>
      </c>
      <c r="D219" s="3" t="s">
        <v>7</v>
      </c>
      <c r="E219" s="1" t="s">
        <v>100</v>
      </c>
      <c r="F219" s="5">
        <v>46123.268182870372</v>
      </c>
      <c r="G219" t="s">
        <v>198</v>
      </c>
      <c r="H219" t="s">
        <v>160</v>
      </c>
    </row>
    <row r="220" spans="1:8">
      <c r="A220" s="4" t="s">
        <v>223</v>
      </c>
      <c r="B220" s="2" t="s">
        <v>98</v>
      </c>
      <c r="C220" s="2" t="s">
        <v>99</v>
      </c>
      <c r="D220" s="4" t="s">
        <v>7</v>
      </c>
      <c r="E220" s="2" t="s">
        <v>100</v>
      </c>
      <c r="F220" s="6">
        <v>46123.268182870372</v>
      </c>
      <c r="G220" t="s">
        <v>198</v>
      </c>
      <c r="H220" t="s">
        <v>160</v>
      </c>
    </row>
    <row r="221" spans="1:8">
      <c r="A221" s="3" t="s">
        <v>224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46157.435324074075</v>
      </c>
      <c r="G221" t="s">
        <v>198</v>
      </c>
      <c r="H221" t="s">
        <v>160</v>
      </c>
    </row>
    <row r="222" spans="1:8">
      <c r="A222" s="4" t="s">
        <v>225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46149.559849537036</v>
      </c>
      <c r="G222" t="s">
        <v>198</v>
      </c>
      <c r="H222" t="s">
        <v>160</v>
      </c>
    </row>
    <row r="223" spans="1:8">
      <c r="A223" s="3" t="s">
        <v>226</v>
      </c>
      <c r="B223" s="1" t="s">
        <v>6</v>
      </c>
      <c r="C223" s="1" t="s">
        <v>6</v>
      </c>
      <c r="D223" s="3" t="s">
        <v>7</v>
      </c>
      <c r="E223" s="1" t="s">
        <v>8</v>
      </c>
      <c r="F223" s="5">
        <v>46140.310902777775</v>
      </c>
      <c r="G223" t="s">
        <v>198</v>
      </c>
      <c r="H223" t="s">
        <v>160</v>
      </c>
    </row>
    <row r="224" spans="1:8">
      <c r="A224" s="4" t="s">
        <v>227</v>
      </c>
      <c r="B224" s="2" t="s">
        <v>98</v>
      </c>
      <c r="C224" s="2" t="s">
        <v>99</v>
      </c>
      <c r="D224" s="4" t="s">
        <v>7</v>
      </c>
      <c r="E224" s="2" t="s">
        <v>100</v>
      </c>
      <c r="F224" s="6">
        <v>46174.476064814815</v>
      </c>
      <c r="G224" t="s">
        <v>198</v>
      </c>
      <c r="H224" t="s">
        <v>160</v>
      </c>
    </row>
    <row r="225" spans="1:8">
      <c r="A225" s="3" t="s">
        <v>228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46150.391550925924</v>
      </c>
      <c r="G225" t="s">
        <v>198</v>
      </c>
      <c r="H225" t="s">
        <v>160</v>
      </c>
    </row>
    <row r="226" spans="1:8">
      <c r="A226" s="4" t="s">
        <v>229</v>
      </c>
      <c r="B226" s="2" t="s">
        <v>12</v>
      </c>
      <c r="C226" s="2" t="s">
        <v>13</v>
      </c>
      <c r="D226" s="4" t="s">
        <v>7</v>
      </c>
      <c r="E226" s="2" t="s">
        <v>14</v>
      </c>
      <c r="F226" s="6">
        <v>46122.371122685188</v>
      </c>
      <c r="G226" t="s">
        <v>198</v>
      </c>
      <c r="H226" t="s">
        <v>160</v>
      </c>
    </row>
    <row r="227" spans="1:8">
      <c r="A227" s="3" t="s">
        <v>230</v>
      </c>
      <c r="B227" s="1" t="s">
        <v>6</v>
      </c>
      <c r="C227" s="1" t="s">
        <v>6</v>
      </c>
      <c r="D227" s="3" t="s">
        <v>7</v>
      </c>
      <c r="E227" s="1" t="s">
        <v>8</v>
      </c>
      <c r="F227" s="5">
        <v>46154.265347222223</v>
      </c>
      <c r="G227" t="s">
        <v>198</v>
      </c>
      <c r="H227" t="s">
        <v>160</v>
      </c>
    </row>
    <row r="228" spans="1:8">
      <c r="A228" s="4" t="s">
        <v>231</v>
      </c>
      <c r="B228" s="2" t="s">
        <v>6</v>
      </c>
      <c r="C228" s="2" t="s">
        <v>6</v>
      </c>
      <c r="D228" s="4" t="s">
        <v>7</v>
      </c>
      <c r="E228" s="2" t="s">
        <v>8</v>
      </c>
      <c r="F228" s="6">
        <v>46153.505104166667</v>
      </c>
      <c r="G228" t="s">
        <v>198</v>
      </c>
      <c r="H228" t="s">
        <v>160</v>
      </c>
    </row>
    <row r="229" spans="1:8">
      <c r="A229" s="3" t="s">
        <v>232</v>
      </c>
      <c r="B229" s="1" t="s">
        <v>275</v>
      </c>
      <c r="C229" s="1" t="s">
        <v>276</v>
      </c>
      <c r="D229" s="3" t="s">
        <v>7</v>
      </c>
      <c r="E229" s="1" t="s">
        <v>277</v>
      </c>
      <c r="F229" s="5">
        <v>46128.368217592593</v>
      </c>
      <c r="G229" t="s">
        <v>198</v>
      </c>
      <c r="H229" t="s">
        <v>160</v>
      </c>
    </row>
    <row r="230" spans="1:8">
      <c r="A230" s="4" t="s">
        <v>233</v>
      </c>
      <c r="B230" s="2" t="s">
        <v>12</v>
      </c>
      <c r="C230" s="2" t="s">
        <v>13</v>
      </c>
      <c r="D230" s="4" t="s">
        <v>7</v>
      </c>
      <c r="E230" s="2" t="s">
        <v>14</v>
      </c>
      <c r="F230" s="6">
        <v>46122.371122685188</v>
      </c>
      <c r="G230" t="s">
        <v>198</v>
      </c>
      <c r="H230" t="s">
        <v>160</v>
      </c>
    </row>
    <row r="231" spans="1:8">
      <c r="A231" s="3" t="s">
        <v>234</v>
      </c>
      <c r="B231" s="1" t="s">
        <v>6</v>
      </c>
      <c r="C231" s="1" t="s">
        <v>6</v>
      </c>
      <c r="D231" s="3" t="s">
        <v>7</v>
      </c>
      <c r="E231" s="1" t="s">
        <v>8</v>
      </c>
      <c r="F231" s="5">
        <v>46146.276412037034</v>
      </c>
      <c r="G231" t="s">
        <v>198</v>
      </c>
      <c r="H231" t="s">
        <v>160</v>
      </c>
    </row>
    <row r="232" spans="1:8">
      <c r="A232" s="3" t="s">
        <v>235</v>
      </c>
      <c r="B232" s="1" t="s">
        <v>6</v>
      </c>
      <c r="C232" s="1" t="s">
        <v>6</v>
      </c>
      <c r="D232" s="3" t="s">
        <v>7</v>
      </c>
      <c r="E232" s="1" t="s">
        <v>8</v>
      </c>
      <c r="F232" s="5">
        <v>46150.322581018518</v>
      </c>
      <c r="G232" t="s">
        <v>236</v>
      </c>
      <c r="H232" t="s">
        <v>237</v>
      </c>
    </row>
    <row r="233" spans="1:8">
      <c r="A233" s="4" t="s">
        <v>238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46154.302476851852</v>
      </c>
      <c r="G233" t="s">
        <v>236</v>
      </c>
      <c r="H233" t="s">
        <v>237</v>
      </c>
    </row>
    <row r="234" spans="1:8">
      <c r="A234" s="3" t="s">
        <v>239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46150.329606481479</v>
      </c>
      <c r="G234" t="s">
        <v>236</v>
      </c>
      <c r="H234" t="s">
        <v>237</v>
      </c>
    </row>
    <row r="235" spans="1:8">
      <c r="A235" s="4" t="s">
        <v>240</v>
      </c>
      <c r="B235" s="2" t="s">
        <v>6</v>
      </c>
      <c r="C235" s="2" t="s">
        <v>6</v>
      </c>
      <c r="D235" s="4" t="s">
        <v>7</v>
      </c>
      <c r="E235" s="2" t="s">
        <v>8</v>
      </c>
      <c r="F235" s="6">
        <v>46146.276018518518</v>
      </c>
      <c r="G235" t="s">
        <v>236</v>
      </c>
      <c r="H235" t="s">
        <v>237</v>
      </c>
    </row>
    <row r="236" spans="1:8">
      <c r="A236" s="3" t="s">
        <v>241</v>
      </c>
      <c r="B236" s="1" t="s">
        <v>9</v>
      </c>
      <c r="C236" s="1" t="s">
        <v>10</v>
      </c>
      <c r="D236" s="3" t="s">
        <v>7</v>
      </c>
      <c r="E236" s="1" t="s">
        <v>11</v>
      </c>
      <c r="F236" s="5">
        <v>46125.597812499997</v>
      </c>
      <c r="G236" t="s">
        <v>236</v>
      </c>
      <c r="H236" t="s">
        <v>237</v>
      </c>
    </row>
    <row r="237" spans="1:8">
      <c r="A237" s="4" t="s">
        <v>242</v>
      </c>
      <c r="B237" s="2" t="s">
        <v>9</v>
      </c>
      <c r="C237" s="2" t="s">
        <v>10</v>
      </c>
      <c r="D237" s="4" t="s">
        <v>7</v>
      </c>
      <c r="E237" s="2" t="s">
        <v>11</v>
      </c>
      <c r="F237" s="6">
        <v>46127.338819444441</v>
      </c>
      <c r="G237" t="s">
        <v>236</v>
      </c>
      <c r="H237" t="s">
        <v>237</v>
      </c>
    </row>
    <row r="238" spans="1:8">
      <c r="A238" s="3" t="s">
        <v>243</v>
      </c>
      <c r="B238" s="1" t="s">
        <v>9</v>
      </c>
      <c r="C238" s="1" t="s">
        <v>10</v>
      </c>
      <c r="D238" s="3" t="s">
        <v>7</v>
      </c>
      <c r="E238" s="1" t="s">
        <v>11</v>
      </c>
      <c r="F238" s="5">
        <v>46125.602662037039</v>
      </c>
      <c r="G238" t="s">
        <v>236</v>
      </c>
      <c r="H238" t="s">
        <v>237</v>
      </c>
    </row>
    <row r="239" spans="1:8">
      <c r="A239" s="4" t="s">
        <v>244</v>
      </c>
      <c r="B239" s="2" t="s">
        <v>9</v>
      </c>
      <c r="C239" s="2" t="s">
        <v>10</v>
      </c>
      <c r="D239" s="4" t="s">
        <v>7</v>
      </c>
      <c r="E239" s="2" t="s">
        <v>11</v>
      </c>
      <c r="F239" s="6">
        <v>46127.366747685184</v>
      </c>
      <c r="G239" t="s">
        <v>236</v>
      </c>
      <c r="H239" t="s">
        <v>237</v>
      </c>
    </row>
    <row r="240" spans="1:8">
      <c r="A240" s="3" t="s">
        <v>245</v>
      </c>
      <c r="B240" s="1" t="s">
        <v>6</v>
      </c>
      <c r="C240" s="1" t="s">
        <v>6</v>
      </c>
      <c r="D240" s="3" t="s">
        <v>7</v>
      </c>
      <c r="E240" s="1" t="s">
        <v>8</v>
      </c>
      <c r="F240" s="5">
        <v>46153.297743055555</v>
      </c>
      <c r="G240" t="s">
        <v>236</v>
      </c>
      <c r="H240" t="s">
        <v>237</v>
      </c>
    </row>
    <row r="241" spans="1:8">
      <c r="A241" s="4" t="s">
        <v>246</v>
      </c>
      <c r="B241" s="2" t="s">
        <v>12</v>
      </c>
      <c r="C241" s="2" t="s">
        <v>13</v>
      </c>
      <c r="D241" s="4" t="s">
        <v>7</v>
      </c>
      <c r="E241" s="2" t="s">
        <v>14</v>
      </c>
      <c r="F241" s="6">
        <v>46122.382372685184</v>
      </c>
      <c r="G241" t="s">
        <v>236</v>
      </c>
      <c r="H241" t="s">
        <v>237</v>
      </c>
    </row>
    <row r="242" spans="1:8">
      <c r="A242" s="3" t="s">
        <v>247</v>
      </c>
      <c r="B242" s="1" t="s">
        <v>12</v>
      </c>
      <c r="C242" s="1" t="s">
        <v>13</v>
      </c>
      <c r="D242" s="3" t="s">
        <v>7</v>
      </c>
      <c r="E242" s="1" t="s">
        <v>14</v>
      </c>
      <c r="F242" s="5">
        <v>46122.382731481484</v>
      </c>
      <c r="G242" t="s">
        <v>236</v>
      </c>
      <c r="H242" t="s">
        <v>237</v>
      </c>
    </row>
    <row r="243" spans="1:8">
      <c r="A243" s="4" t="s">
        <v>248</v>
      </c>
      <c r="B243" s="2" t="s">
        <v>6</v>
      </c>
      <c r="C243" s="2" t="s">
        <v>6</v>
      </c>
      <c r="D243" s="4" t="s">
        <v>7</v>
      </c>
      <c r="E243" s="2" t="s">
        <v>8</v>
      </c>
      <c r="F243" s="6">
        <v>46149.3669212963</v>
      </c>
      <c r="G243" t="s">
        <v>236</v>
      </c>
      <c r="H243" t="s">
        <v>237</v>
      </c>
    </row>
    <row r="244" spans="1:8">
      <c r="A244" s="3" t="s">
        <v>249</v>
      </c>
      <c r="B244" s="1" t="s">
        <v>98</v>
      </c>
      <c r="C244" s="1" t="s">
        <v>99</v>
      </c>
      <c r="D244" s="3" t="s">
        <v>7</v>
      </c>
      <c r="E244" s="1" t="s">
        <v>100</v>
      </c>
      <c r="F244" s="5">
        <v>46123.268182870372</v>
      </c>
      <c r="G244" t="s">
        <v>236</v>
      </c>
      <c r="H244" t="s">
        <v>237</v>
      </c>
    </row>
    <row r="245" spans="1:8">
      <c r="A245" s="4" t="s">
        <v>250</v>
      </c>
      <c r="B245" s="2" t="s">
        <v>6</v>
      </c>
      <c r="C245" s="2" t="s">
        <v>6</v>
      </c>
      <c r="D245" s="4" t="s">
        <v>7</v>
      </c>
      <c r="E245" s="2" t="s">
        <v>8</v>
      </c>
      <c r="F245" s="6">
        <v>46154.405405092592</v>
      </c>
      <c r="G245" t="s">
        <v>236</v>
      </c>
      <c r="H245" t="s">
        <v>237</v>
      </c>
    </row>
    <row r="246" spans="1:8">
      <c r="A246" s="3" t="s">
        <v>251</v>
      </c>
      <c r="B246" s="1" t="s">
        <v>98</v>
      </c>
      <c r="C246" s="1" t="s">
        <v>99</v>
      </c>
      <c r="D246" s="3" t="s">
        <v>7</v>
      </c>
      <c r="E246" s="1" t="s">
        <v>100</v>
      </c>
      <c r="F246" s="5">
        <v>46123.268182870372</v>
      </c>
      <c r="G246" t="s">
        <v>236</v>
      </c>
      <c r="H246" t="s">
        <v>237</v>
      </c>
    </row>
    <row r="247" spans="1:8">
      <c r="A247" s="4" t="s">
        <v>252</v>
      </c>
      <c r="B247" s="2" t="s">
        <v>98</v>
      </c>
      <c r="C247" s="2" t="s">
        <v>99</v>
      </c>
      <c r="D247" s="4" t="s">
        <v>7</v>
      </c>
      <c r="E247" s="2" t="s">
        <v>100</v>
      </c>
      <c r="F247" s="6">
        <v>46123.268182870372</v>
      </c>
      <c r="G247" t="s">
        <v>236</v>
      </c>
      <c r="H247" t="s">
        <v>237</v>
      </c>
    </row>
    <row r="248" spans="1:8">
      <c r="A248" s="3" t="s">
        <v>253</v>
      </c>
      <c r="B248" s="1" t="s">
        <v>98</v>
      </c>
      <c r="C248" s="1" t="s">
        <v>99</v>
      </c>
      <c r="D248" s="3" t="s">
        <v>7</v>
      </c>
      <c r="E248" s="1" t="s">
        <v>100</v>
      </c>
      <c r="F248" s="5">
        <v>46169.569872685184</v>
      </c>
      <c r="G248" t="s">
        <v>236</v>
      </c>
      <c r="H248" t="s">
        <v>237</v>
      </c>
    </row>
    <row r="249" spans="1:8">
      <c r="A249" s="4" t="s">
        <v>254</v>
      </c>
      <c r="B249" s="2" t="s">
        <v>9</v>
      </c>
      <c r="C249" s="2" t="s">
        <v>10</v>
      </c>
      <c r="D249" s="4" t="s">
        <v>7</v>
      </c>
      <c r="E249" s="2" t="s">
        <v>11</v>
      </c>
      <c r="F249" s="6">
        <v>46146.476898148147</v>
      </c>
      <c r="G249" t="s">
        <v>236</v>
      </c>
      <c r="H249" t="s">
        <v>237</v>
      </c>
    </row>
    <row r="250" spans="1:8">
      <c r="A250" s="3" t="s">
        <v>255</v>
      </c>
      <c r="B250" s="1" t="s">
        <v>6</v>
      </c>
      <c r="C250" s="1" t="s">
        <v>6</v>
      </c>
      <c r="D250" s="3" t="s">
        <v>7</v>
      </c>
      <c r="E250" s="1" t="s">
        <v>8</v>
      </c>
      <c r="F250" s="5">
        <v>46149.559166666666</v>
      </c>
      <c r="G250" t="s">
        <v>236</v>
      </c>
      <c r="H250" t="s">
        <v>237</v>
      </c>
    </row>
    <row r="251" spans="1:8">
      <c r="A251" s="4" t="s">
        <v>256</v>
      </c>
      <c r="B251" s="2" t="s">
        <v>9</v>
      </c>
      <c r="C251" s="2" t="s">
        <v>10</v>
      </c>
      <c r="D251" s="4" t="s">
        <v>7</v>
      </c>
      <c r="E251" s="2" t="s">
        <v>11</v>
      </c>
      <c r="F251" s="6">
        <v>46123.515868055554</v>
      </c>
      <c r="G251" t="s">
        <v>236</v>
      </c>
      <c r="H251" t="s">
        <v>237</v>
      </c>
    </row>
    <row r="252" spans="1:8">
      <c r="A252" s="3" t="s">
        <v>257</v>
      </c>
      <c r="B252" s="1" t="s">
        <v>9</v>
      </c>
      <c r="C252" s="1" t="s">
        <v>10</v>
      </c>
      <c r="D252" s="3" t="s">
        <v>7</v>
      </c>
      <c r="E252" s="1" t="s">
        <v>11</v>
      </c>
      <c r="F252" s="5">
        <v>46123.463067129633</v>
      </c>
      <c r="G252" t="s">
        <v>236</v>
      </c>
      <c r="H252" t="s">
        <v>237</v>
      </c>
    </row>
    <row r="253" spans="1:8">
      <c r="A253" s="4" t="s">
        <v>258</v>
      </c>
      <c r="B253" s="2" t="s">
        <v>6</v>
      </c>
      <c r="C253" s="2" t="s">
        <v>6</v>
      </c>
      <c r="D253" s="4" t="s">
        <v>7</v>
      </c>
      <c r="E253" s="2" t="s">
        <v>8</v>
      </c>
      <c r="F253" s="6">
        <v>46150.46670138889</v>
      </c>
      <c r="G253" t="s">
        <v>236</v>
      </c>
      <c r="H253" t="s">
        <v>237</v>
      </c>
    </row>
    <row r="254" spans="1:8">
      <c r="A254" s="3" t="s">
        <v>259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46123.45894675926</v>
      </c>
      <c r="G254" t="s">
        <v>236</v>
      </c>
      <c r="H254" t="s">
        <v>237</v>
      </c>
    </row>
    <row r="255" spans="1:8">
      <c r="A255" s="4" t="s">
        <v>260</v>
      </c>
      <c r="B255" s="2" t="s">
        <v>6</v>
      </c>
      <c r="C255" s="2" t="s">
        <v>6</v>
      </c>
      <c r="D255" s="4" t="s">
        <v>7</v>
      </c>
      <c r="E255" s="2" t="s">
        <v>8</v>
      </c>
      <c r="F255" s="6">
        <v>46147.39371527778</v>
      </c>
      <c r="G255" t="s">
        <v>236</v>
      </c>
      <c r="H255" t="s">
        <v>237</v>
      </c>
    </row>
    <row r="256" spans="1:8">
      <c r="A256" s="3" t="s">
        <v>261</v>
      </c>
      <c r="B256" s="1" t="s">
        <v>98</v>
      </c>
      <c r="C256" s="1" t="s">
        <v>99</v>
      </c>
      <c r="D256" s="3" t="s">
        <v>7</v>
      </c>
      <c r="E256" s="1" t="s">
        <v>100</v>
      </c>
      <c r="F256" s="5">
        <v>46123.268182870372</v>
      </c>
      <c r="G256" t="s">
        <v>236</v>
      </c>
      <c r="H256" t="s">
        <v>237</v>
      </c>
    </row>
    <row r="257" spans="1:8">
      <c r="A257" s="4" t="s">
        <v>262</v>
      </c>
      <c r="B257" s="2" t="s">
        <v>98</v>
      </c>
      <c r="C257" s="2" t="s">
        <v>99</v>
      </c>
      <c r="D257" s="4" t="s">
        <v>7</v>
      </c>
      <c r="E257" s="2" t="s">
        <v>100</v>
      </c>
      <c r="F257" s="6">
        <v>46123.268182870372</v>
      </c>
      <c r="G257" t="s">
        <v>236</v>
      </c>
      <c r="H257" t="s">
        <v>237</v>
      </c>
    </row>
    <row r="258" spans="1:8">
      <c r="A258" s="3" t="s">
        <v>263</v>
      </c>
      <c r="B258" s="1" t="s">
        <v>653</v>
      </c>
      <c r="C258" s="1" t="s">
        <v>654</v>
      </c>
      <c r="D258" s="3" t="s">
        <v>7</v>
      </c>
      <c r="E258" s="1" t="s">
        <v>647</v>
      </c>
      <c r="F258" s="5">
        <v>46134.437685185185</v>
      </c>
      <c r="G258" t="s">
        <v>236</v>
      </c>
      <c r="H258" t="s">
        <v>237</v>
      </c>
    </row>
    <row r="259" spans="1:8">
      <c r="A259" s="4" t="s">
        <v>264</v>
      </c>
      <c r="B259" s="2" t="s">
        <v>9</v>
      </c>
      <c r="C259" s="2" t="s">
        <v>10</v>
      </c>
      <c r="D259" s="4" t="s">
        <v>7</v>
      </c>
      <c r="E259" s="2" t="s">
        <v>11</v>
      </c>
      <c r="F259" s="6">
        <v>46127.33803240741</v>
      </c>
      <c r="G259" t="s">
        <v>236</v>
      </c>
      <c r="H259" t="s">
        <v>237</v>
      </c>
    </row>
    <row r="260" spans="1:8">
      <c r="A260" s="3" t="s">
        <v>265</v>
      </c>
      <c r="B260" s="1" t="s">
        <v>9</v>
      </c>
      <c r="C260" s="1" t="s">
        <v>10</v>
      </c>
      <c r="D260" s="3" t="s">
        <v>7</v>
      </c>
      <c r="E260" s="1" t="s">
        <v>11</v>
      </c>
      <c r="F260" s="5">
        <v>46123.463680555556</v>
      </c>
      <c r="G260" t="s">
        <v>236</v>
      </c>
      <c r="H260" t="s">
        <v>237</v>
      </c>
    </row>
    <row r="261" spans="1:8">
      <c r="A261" s="4" t="s">
        <v>266</v>
      </c>
      <c r="B261" s="2" t="s">
        <v>98</v>
      </c>
      <c r="C261" s="2" t="s">
        <v>99</v>
      </c>
      <c r="D261" s="4" t="s">
        <v>7</v>
      </c>
      <c r="E261" s="2" t="s">
        <v>100</v>
      </c>
      <c r="F261" s="6">
        <v>46169.468113425923</v>
      </c>
      <c r="G261" t="s">
        <v>236</v>
      </c>
      <c r="H261" t="s">
        <v>237</v>
      </c>
    </row>
    <row r="262" spans="1:8">
      <c r="A262" s="3" t="s">
        <v>267</v>
      </c>
      <c r="B262" s="1" t="s">
        <v>6</v>
      </c>
      <c r="C262" s="1" t="s">
        <v>6</v>
      </c>
      <c r="D262" s="3" t="s">
        <v>7</v>
      </c>
      <c r="E262" s="1" t="s">
        <v>8</v>
      </c>
      <c r="F262" s="5">
        <v>46150.324062500003</v>
      </c>
      <c r="G262" t="s">
        <v>236</v>
      </c>
      <c r="H262" t="s">
        <v>237</v>
      </c>
    </row>
    <row r="263" spans="1:8">
      <c r="A263" s="4" t="s">
        <v>268</v>
      </c>
      <c r="B263" s="2" t="s">
        <v>9</v>
      </c>
      <c r="C263" s="2" t="s">
        <v>10</v>
      </c>
      <c r="D263" s="4" t="s">
        <v>7</v>
      </c>
      <c r="E263" s="2" t="s">
        <v>11</v>
      </c>
      <c r="F263" s="6">
        <v>46123.462280092594</v>
      </c>
      <c r="G263" t="s">
        <v>236</v>
      </c>
      <c r="H263" t="s">
        <v>237</v>
      </c>
    </row>
    <row r="264" spans="1:8">
      <c r="A264" s="3" t="s">
        <v>269</v>
      </c>
      <c r="B264" s="1" t="s">
        <v>643</v>
      </c>
      <c r="C264" s="1" t="s">
        <v>644</v>
      </c>
      <c r="D264" s="3" t="s">
        <v>7</v>
      </c>
      <c r="E264" s="1" t="s">
        <v>14</v>
      </c>
      <c r="F264" s="5">
        <v>46156.474733796298</v>
      </c>
      <c r="G264" t="s">
        <v>236</v>
      </c>
      <c r="H264" t="s">
        <v>237</v>
      </c>
    </row>
    <row r="265" spans="1:8">
      <c r="A265" s="4" t="s">
        <v>270</v>
      </c>
      <c r="B265" s="2" t="s">
        <v>6</v>
      </c>
      <c r="C265" s="2" t="s">
        <v>6</v>
      </c>
      <c r="D265" s="4" t="s">
        <v>7</v>
      </c>
      <c r="E265" s="2" t="s">
        <v>8</v>
      </c>
      <c r="F265" s="6">
        <v>46146.277233796296</v>
      </c>
      <c r="G265" t="s">
        <v>236</v>
      </c>
      <c r="H265" t="s">
        <v>237</v>
      </c>
    </row>
    <row r="266" spans="1:8">
      <c r="A266" s="3" t="s">
        <v>271</v>
      </c>
      <c r="B266" s="1" t="s">
        <v>653</v>
      </c>
      <c r="C266" s="1" t="s">
        <v>654</v>
      </c>
      <c r="D266" s="3" t="s">
        <v>7</v>
      </c>
      <c r="E266" s="1" t="s">
        <v>647</v>
      </c>
      <c r="F266" s="5">
        <v>46134.436851851853</v>
      </c>
      <c r="G266" t="s">
        <v>236</v>
      </c>
      <c r="H266" t="s">
        <v>237</v>
      </c>
    </row>
    <row r="267" spans="1:8">
      <c r="A267" s="4" t="s">
        <v>272</v>
      </c>
      <c r="B267" s="2" t="s">
        <v>6</v>
      </c>
      <c r="C267" s="2" t="s">
        <v>6</v>
      </c>
      <c r="D267" s="4" t="s">
        <v>7</v>
      </c>
      <c r="E267" s="2" t="s">
        <v>8</v>
      </c>
      <c r="F267" s="6">
        <v>46147.3749537037</v>
      </c>
      <c r="G267" t="s">
        <v>236</v>
      </c>
      <c r="H267" t="s">
        <v>237</v>
      </c>
    </row>
    <row r="268" spans="1:8" ht="14.25" customHeight="1">
      <c r="A268" s="3" t="s">
        <v>273</v>
      </c>
      <c r="B268" s="1" t="s">
        <v>98</v>
      </c>
      <c r="C268" s="1" t="s">
        <v>99</v>
      </c>
      <c r="D268" s="3" t="s">
        <v>7</v>
      </c>
      <c r="E268" s="1" t="s">
        <v>100</v>
      </c>
      <c r="F268" s="5">
        <v>46169.416886574072</v>
      </c>
      <c r="G268" t="s">
        <v>236</v>
      </c>
      <c r="H268" t="s">
        <v>237</v>
      </c>
    </row>
    <row r="269" spans="1:8">
      <c r="A269" s="3" t="s">
        <v>278</v>
      </c>
      <c r="B269" s="1" t="s">
        <v>9</v>
      </c>
      <c r="C269" s="1" t="s">
        <v>10</v>
      </c>
      <c r="D269" s="3" t="s">
        <v>7</v>
      </c>
      <c r="E269" s="1" t="s">
        <v>11</v>
      </c>
      <c r="F269" s="5">
        <v>46123.464224537034</v>
      </c>
      <c r="G269" t="s">
        <v>274</v>
      </c>
      <c r="H269" t="s">
        <v>237</v>
      </c>
    </row>
    <row r="270" spans="1:8">
      <c r="A270" s="4" t="s">
        <v>279</v>
      </c>
      <c r="B270" s="2" t="s">
        <v>275</v>
      </c>
      <c r="C270" s="2" t="s">
        <v>276</v>
      </c>
      <c r="D270" s="4" t="s">
        <v>7</v>
      </c>
      <c r="E270" s="2" t="s">
        <v>277</v>
      </c>
      <c r="F270" s="6">
        <v>46128.327187499999</v>
      </c>
      <c r="G270" t="s">
        <v>274</v>
      </c>
      <c r="H270" t="s">
        <v>237</v>
      </c>
    </row>
    <row r="271" spans="1:8">
      <c r="A271" s="3" t="s">
        <v>280</v>
      </c>
      <c r="B271" s="1" t="s">
        <v>98</v>
      </c>
      <c r="C271" s="1" t="s">
        <v>99</v>
      </c>
      <c r="D271" s="3" t="s">
        <v>7</v>
      </c>
      <c r="E271" s="1" t="s">
        <v>100</v>
      </c>
      <c r="F271" s="5">
        <v>46154.371666666666</v>
      </c>
      <c r="G271" t="s">
        <v>274</v>
      </c>
      <c r="H271" t="s">
        <v>237</v>
      </c>
    </row>
    <row r="272" spans="1:8">
      <c r="A272" s="4" t="s">
        <v>281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46154.264861111114</v>
      </c>
      <c r="G272" t="s">
        <v>274</v>
      </c>
      <c r="H272" t="s">
        <v>237</v>
      </c>
    </row>
    <row r="273" spans="1:8">
      <c r="A273" s="3" t="s">
        <v>282</v>
      </c>
      <c r="B273" s="1" t="s">
        <v>6</v>
      </c>
      <c r="C273" s="1" t="s">
        <v>6</v>
      </c>
      <c r="D273" s="3" t="s">
        <v>7</v>
      </c>
      <c r="E273" s="1" t="s">
        <v>8</v>
      </c>
      <c r="F273" s="5">
        <v>46153.504421296297</v>
      </c>
      <c r="G273" t="s">
        <v>274</v>
      </c>
      <c r="H273" t="s">
        <v>237</v>
      </c>
    </row>
    <row r="274" spans="1:8">
      <c r="A274" s="4" t="s">
        <v>283</v>
      </c>
      <c r="B274" s="2" t="s">
        <v>6</v>
      </c>
      <c r="C274" s="2" t="s">
        <v>6</v>
      </c>
      <c r="D274" s="4" t="s">
        <v>7</v>
      </c>
      <c r="E274" s="2" t="s">
        <v>8</v>
      </c>
      <c r="F274" s="6">
        <v>46153.435624999998</v>
      </c>
      <c r="G274" t="s">
        <v>274</v>
      </c>
      <c r="H274" t="s">
        <v>237</v>
      </c>
    </row>
    <row r="275" spans="1:8">
      <c r="A275" s="3" t="s">
        <v>284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46153.505752314813</v>
      </c>
      <c r="G275" t="s">
        <v>274</v>
      </c>
      <c r="H275" t="s">
        <v>237</v>
      </c>
    </row>
    <row r="276" spans="1:8">
      <c r="A276" s="4" t="s">
        <v>285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46127.363796296297</v>
      </c>
      <c r="G276" t="s">
        <v>274</v>
      </c>
      <c r="H276" t="s">
        <v>237</v>
      </c>
    </row>
    <row r="277" spans="1:8">
      <c r="A277" s="3" t="s">
        <v>286</v>
      </c>
      <c r="B277" s="1" t="s">
        <v>6</v>
      </c>
      <c r="C277" s="1" t="s">
        <v>6</v>
      </c>
      <c r="D277" s="3" t="s">
        <v>7</v>
      </c>
      <c r="E277" s="1" t="s">
        <v>8</v>
      </c>
      <c r="F277" s="5">
        <v>46146.277719907404</v>
      </c>
      <c r="G277" t="s">
        <v>274</v>
      </c>
      <c r="H277" t="s">
        <v>237</v>
      </c>
    </row>
    <row r="278" spans="1:8">
      <c r="A278" s="4" t="s">
        <v>287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46147.394861111112</v>
      </c>
      <c r="G278" t="s">
        <v>274</v>
      </c>
      <c r="H278" t="s">
        <v>237</v>
      </c>
    </row>
    <row r="279" spans="1:8">
      <c r="A279" s="3" t="s">
        <v>288</v>
      </c>
      <c r="B279" s="1" t="s">
        <v>9</v>
      </c>
      <c r="C279" s="1" t="s">
        <v>10</v>
      </c>
      <c r="D279" s="3" t="s">
        <v>7</v>
      </c>
      <c r="E279" s="1" t="s">
        <v>11</v>
      </c>
      <c r="F279" s="5">
        <v>46123.463969907411</v>
      </c>
      <c r="G279" t="s">
        <v>274</v>
      </c>
      <c r="H279" t="s">
        <v>237</v>
      </c>
    </row>
    <row r="280" spans="1:8">
      <c r="A280" s="4" t="s">
        <v>289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46126.594664351855</v>
      </c>
      <c r="G280" t="s">
        <v>274</v>
      </c>
      <c r="H280" t="s">
        <v>237</v>
      </c>
    </row>
    <row r="281" spans="1:8">
      <c r="A281" s="3" t="s">
        <v>290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46148.444421296299</v>
      </c>
      <c r="G281" t="s">
        <v>274</v>
      </c>
      <c r="H281" t="s">
        <v>237</v>
      </c>
    </row>
    <row r="282" spans="1:8">
      <c r="A282" s="4" t="s">
        <v>291</v>
      </c>
      <c r="B282" s="2" t="s">
        <v>9</v>
      </c>
      <c r="C282" s="2" t="s">
        <v>10</v>
      </c>
      <c r="D282" s="4" t="s">
        <v>7</v>
      </c>
      <c r="E282" s="2" t="s">
        <v>11</v>
      </c>
      <c r="F282" s="6">
        <v>46127.364699074074</v>
      </c>
      <c r="G282" t="s">
        <v>274</v>
      </c>
      <c r="H282" t="s">
        <v>237</v>
      </c>
    </row>
    <row r="283" spans="1:8">
      <c r="A283" s="3" t="s">
        <v>292</v>
      </c>
      <c r="B283" s="1" t="s">
        <v>9</v>
      </c>
      <c r="C283" s="1" t="s">
        <v>10</v>
      </c>
      <c r="D283" s="3" t="s">
        <v>7</v>
      </c>
      <c r="E283" s="1" t="s">
        <v>11</v>
      </c>
      <c r="F283" s="5">
        <v>46127.356030092589</v>
      </c>
      <c r="G283" t="s">
        <v>274</v>
      </c>
      <c r="H283" t="s">
        <v>237</v>
      </c>
    </row>
    <row r="284" spans="1:8">
      <c r="A284" s="4" t="s">
        <v>293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46153.505497685182</v>
      </c>
      <c r="G284" t="s">
        <v>274</v>
      </c>
      <c r="H284" t="s">
        <v>237</v>
      </c>
    </row>
    <row r="285" spans="1:8">
      <c r="A285" s="3" t="s">
        <v>294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46123.268182870372</v>
      </c>
      <c r="G285" t="s">
        <v>274</v>
      </c>
      <c r="H285" t="s">
        <v>237</v>
      </c>
    </row>
    <row r="286" spans="1:8">
      <c r="A286" s="4" t="s">
        <v>295</v>
      </c>
      <c r="B286" s="2" t="s">
        <v>9</v>
      </c>
      <c r="C286" s="2" t="s">
        <v>10</v>
      </c>
      <c r="D286" s="4" t="s">
        <v>7</v>
      </c>
      <c r="E286" s="2" t="s">
        <v>11</v>
      </c>
      <c r="F286" s="6">
        <v>46127.336851851855</v>
      </c>
      <c r="G286" t="s">
        <v>274</v>
      </c>
      <c r="H286" t="s">
        <v>237</v>
      </c>
    </row>
    <row r="287" spans="1:8">
      <c r="A287" s="3" t="s">
        <v>296</v>
      </c>
      <c r="B287" s="1" t="s">
        <v>6</v>
      </c>
      <c r="C287" s="1" t="s">
        <v>6</v>
      </c>
      <c r="D287" s="3" t="s">
        <v>7</v>
      </c>
      <c r="E287" s="1" t="s">
        <v>8</v>
      </c>
      <c r="F287" s="5">
        <v>46148.444826388892</v>
      </c>
      <c r="G287" t="s">
        <v>274</v>
      </c>
      <c r="H287" t="s">
        <v>237</v>
      </c>
    </row>
    <row r="288" spans="1:8">
      <c r="A288" s="4" t="s">
        <v>297</v>
      </c>
      <c r="B288" s="2" t="s">
        <v>6</v>
      </c>
      <c r="C288" s="2" t="s">
        <v>6</v>
      </c>
      <c r="D288" s="4" t="s">
        <v>7</v>
      </c>
      <c r="E288" s="2" t="s">
        <v>8</v>
      </c>
      <c r="F288" s="6">
        <v>46140.311249999999</v>
      </c>
      <c r="G288" t="s">
        <v>274</v>
      </c>
      <c r="H288" t="s">
        <v>237</v>
      </c>
    </row>
    <row r="289" spans="1:8">
      <c r="A289" s="3" t="s">
        <v>298</v>
      </c>
      <c r="B289" s="1" t="s">
        <v>98</v>
      </c>
      <c r="C289" s="1" t="s">
        <v>99</v>
      </c>
      <c r="D289" s="3" t="s">
        <v>7</v>
      </c>
      <c r="E289" s="1" t="s">
        <v>100</v>
      </c>
      <c r="F289" s="5">
        <v>46123.268182870372</v>
      </c>
      <c r="G289" t="s">
        <v>274</v>
      </c>
      <c r="H289" t="s">
        <v>237</v>
      </c>
    </row>
    <row r="290" spans="1:8">
      <c r="A290" s="4" t="s">
        <v>299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46146.276203703703</v>
      </c>
      <c r="G290" t="s">
        <v>274</v>
      </c>
      <c r="H290" t="s">
        <v>237</v>
      </c>
    </row>
    <row r="291" spans="1:8">
      <c r="A291" s="3" t="s">
        <v>300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46169.46979166667</v>
      </c>
      <c r="G291" t="s">
        <v>274</v>
      </c>
      <c r="H291" t="s">
        <v>237</v>
      </c>
    </row>
    <row r="292" spans="1:8">
      <c r="A292" s="4" t="s">
        <v>301</v>
      </c>
      <c r="B292" s="2" t="s">
        <v>905</v>
      </c>
      <c r="C292" s="2" t="s">
        <v>906</v>
      </c>
      <c r="D292" s="4" t="s">
        <v>7</v>
      </c>
      <c r="E292" s="2" t="s">
        <v>647</v>
      </c>
      <c r="F292" s="6">
        <v>46148.376631944448</v>
      </c>
      <c r="G292" t="s">
        <v>274</v>
      </c>
      <c r="H292" t="s">
        <v>237</v>
      </c>
    </row>
    <row r="293" spans="1:8">
      <c r="A293" s="3" t="s">
        <v>302</v>
      </c>
      <c r="B293" s="1" t="s">
        <v>9</v>
      </c>
      <c r="C293" s="1" t="s">
        <v>10</v>
      </c>
      <c r="D293" s="3" t="s">
        <v>7</v>
      </c>
      <c r="E293" s="1" t="s">
        <v>11</v>
      </c>
      <c r="F293" s="5">
        <v>46127.365717592591</v>
      </c>
      <c r="G293" t="s">
        <v>274</v>
      </c>
      <c r="H293" t="s">
        <v>237</v>
      </c>
    </row>
    <row r="294" spans="1:8">
      <c r="A294" s="4" t="s">
        <v>303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46126.489988425928</v>
      </c>
      <c r="G294" t="s">
        <v>274</v>
      </c>
      <c r="H294" t="s">
        <v>237</v>
      </c>
    </row>
    <row r="295" spans="1:8">
      <c r="A295" s="3" t="s">
        <v>304</v>
      </c>
      <c r="B295" s="1" t="s">
        <v>9</v>
      </c>
      <c r="C295" s="1" t="s">
        <v>10</v>
      </c>
      <c r="D295" s="3" t="s">
        <v>7</v>
      </c>
      <c r="E295" s="1" t="s">
        <v>11</v>
      </c>
      <c r="F295" s="5">
        <v>46127.359965277778</v>
      </c>
      <c r="G295" t="s">
        <v>274</v>
      </c>
      <c r="H295" t="s">
        <v>237</v>
      </c>
    </row>
    <row r="296" spans="1:8">
      <c r="A296" s="4" t="s">
        <v>305</v>
      </c>
      <c r="B296" s="2" t="s">
        <v>6</v>
      </c>
      <c r="C296" s="2" t="s">
        <v>6</v>
      </c>
      <c r="D296" s="4" t="s">
        <v>7</v>
      </c>
      <c r="E296" s="2" t="s">
        <v>8</v>
      </c>
      <c r="F296" s="6">
        <v>46150.468101851853</v>
      </c>
      <c r="G296" t="s">
        <v>274</v>
      </c>
      <c r="H296" t="s">
        <v>237</v>
      </c>
    </row>
    <row r="297" spans="1:8">
      <c r="A297" s="3" t="s">
        <v>306</v>
      </c>
      <c r="B297" s="1" t="s">
        <v>98</v>
      </c>
      <c r="C297" s="1" t="s">
        <v>99</v>
      </c>
      <c r="D297" s="3" t="s">
        <v>7</v>
      </c>
      <c r="E297" s="1" t="s">
        <v>100</v>
      </c>
      <c r="F297" s="5">
        <v>46169.470636574071</v>
      </c>
      <c r="G297" t="s">
        <v>274</v>
      </c>
      <c r="H297" t="s">
        <v>237</v>
      </c>
    </row>
    <row r="298" spans="1:8">
      <c r="A298" s="4" t="s">
        <v>307</v>
      </c>
      <c r="B298" s="2" t="s">
        <v>12</v>
      </c>
      <c r="C298" s="2" t="s">
        <v>13</v>
      </c>
      <c r="D298" s="4" t="s">
        <v>7</v>
      </c>
      <c r="E298" s="2" t="s">
        <v>14</v>
      </c>
      <c r="F298" s="6">
        <v>46122.384062500001</v>
      </c>
      <c r="G298" t="s">
        <v>274</v>
      </c>
      <c r="H298" t="s">
        <v>237</v>
      </c>
    </row>
    <row r="299" spans="1:8">
      <c r="A299" s="3" t="s">
        <v>308</v>
      </c>
      <c r="B299" s="1" t="s">
        <v>98</v>
      </c>
      <c r="C299" s="1" t="s">
        <v>99</v>
      </c>
      <c r="D299" s="3" t="s">
        <v>7</v>
      </c>
      <c r="E299" s="1" t="s">
        <v>100</v>
      </c>
      <c r="F299" s="5">
        <v>46123.268182870372</v>
      </c>
      <c r="G299" t="s">
        <v>274</v>
      </c>
      <c r="H299" t="s">
        <v>237</v>
      </c>
    </row>
    <row r="300" spans="1:8">
      <c r="A300" s="4" t="s">
        <v>309</v>
      </c>
      <c r="B300" s="2" t="s">
        <v>9</v>
      </c>
      <c r="C300" s="2" t="s">
        <v>10</v>
      </c>
      <c r="D300" s="4" t="s">
        <v>7</v>
      </c>
      <c r="E300" s="2" t="s">
        <v>11</v>
      </c>
      <c r="F300" s="6">
        <v>46123.515439814815</v>
      </c>
      <c r="G300" t="s">
        <v>274</v>
      </c>
      <c r="H300" t="s">
        <v>237</v>
      </c>
    </row>
    <row r="301" spans="1:8">
      <c r="A301" s="3" t="s">
        <v>310</v>
      </c>
      <c r="B301" s="1" t="s">
        <v>98</v>
      </c>
      <c r="C301" s="1" t="s">
        <v>99</v>
      </c>
      <c r="D301" s="3" t="s">
        <v>7</v>
      </c>
      <c r="E301" s="1" t="s">
        <v>100</v>
      </c>
      <c r="F301" s="5">
        <v>46154.372291666667</v>
      </c>
      <c r="G301" t="s">
        <v>274</v>
      </c>
      <c r="H301" t="s">
        <v>237</v>
      </c>
    </row>
    <row r="302" spans="1:8">
      <c r="A302" s="4" t="s">
        <v>311</v>
      </c>
      <c r="B302" s="2" t="s">
        <v>98</v>
      </c>
      <c r="C302" s="2" t="s">
        <v>99</v>
      </c>
      <c r="D302" s="4" t="s">
        <v>7</v>
      </c>
      <c r="E302" s="2" t="s">
        <v>100</v>
      </c>
      <c r="F302" s="6">
        <v>46123.268182870372</v>
      </c>
      <c r="G302" t="s">
        <v>274</v>
      </c>
      <c r="H302" t="s">
        <v>237</v>
      </c>
    </row>
    <row r="303" spans="1:8">
      <c r="A303" s="3" t="s">
        <v>312</v>
      </c>
      <c r="B303" s="1" t="s">
        <v>653</v>
      </c>
      <c r="C303" s="1" t="s">
        <v>654</v>
      </c>
      <c r="D303" s="3" t="s">
        <v>7</v>
      </c>
      <c r="E303" s="1" t="s">
        <v>647</v>
      </c>
      <c r="F303" s="5">
        <v>46134.407361111109</v>
      </c>
      <c r="G303" t="s">
        <v>274</v>
      </c>
      <c r="H303" t="s">
        <v>237</v>
      </c>
    </row>
    <row r="304" spans="1:8">
      <c r="A304" s="4" t="s">
        <v>313</v>
      </c>
      <c r="B304" s="2" t="s">
        <v>905</v>
      </c>
      <c r="C304" s="2" t="s">
        <v>906</v>
      </c>
      <c r="D304" s="4" t="s">
        <v>7</v>
      </c>
      <c r="E304" s="2" t="s">
        <v>647</v>
      </c>
      <c r="F304" s="6">
        <v>46148.378587962965</v>
      </c>
      <c r="G304" t="s">
        <v>274</v>
      </c>
      <c r="H304" t="s">
        <v>237</v>
      </c>
    </row>
    <row r="305" spans="1:8">
      <c r="A305" s="3" t="s">
        <v>314</v>
      </c>
      <c r="B305" s="1" t="s">
        <v>9</v>
      </c>
      <c r="C305" s="1" t="s">
        <v>10</v>
      </c>
      <c r="D305" s="3" t="s">
        <v>7</v>
      </c>
      <c r="E305" s="1" t="s">
        <v>11</v>
      </c>
      <c r="F305" s="5">
        <v>46139.588240740741</v>
      </c>
      <c r="G305" t="s">
        <v>274</v>
      </c>
      <c r="H305" t="s">
        <v>237</v>
      </c>
    </row>
    <row r="306" spans="1:8">
      <c r="A306" s="3" t="s">
        <v>511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46137.440104166664</v>
      </c>
      <c r="G306" t="s">
        <v>367</v>
      </c>
      <c r="H306" t="s">
        <v>2009</v>
      </c>
    </row>
    <row r="307" spans="1:8">
      <c r="A307" s="4" t="s">
        <v>512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46150.46770833333</v>
      </c>
      <c r="G307" t="s">
        <v>367</v>
      </c>
      <c r="H307" t="s">
        <v>2009</v>
      </c>
    </row>
    <row r="308" spans="1:8">
      <c r="A308" s="3" t="s">
        <v>513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46149.56045138889</v>
      </c>
      <c r="G308" t="s">
        <v>367</v>
      </c>
      <c r="H308" t="s">
        <v>2009</v>
      </c>
    </row>
    <row r="309" spans="1:8">
      <c r="A309" s="4" t="s">
        <v>514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46150.467245370368</v>
      </c>
      <c r="G309" t="s">
        <v>367</v>
      </c>
      <c r="H309" t="s">
        <v>2009</v>
      </c>
    </row>
    <row r="310" spans="1:8">
      <c r="A310" s="3" t="s">
        <v>515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46150.467442129629</v>
      </c>
      <c r="G310" t="s">
        <v>367</v>
      </c>
      <c r="H310" t="s">
        <v>2009</v>
      </c>
    </row>
    <row r="311" spans="1:8">
      <c r="A311" s="4" t="s">
        <v>516</v>
      </c>
      <c r="B311" s="2" t="s">
        <v>12</v>
      </c>
      <c r="C311" s="2" t="s">
        <v>13</v>
      </c>
      <c r="D311" s="4" t="s">
        <v>7</v>
      </c>
      <c r="E311" s="2" t="s">
        <v>14</v>
      </c>
      <c r="F311" s="6">
        <v>46137.440208333333</v>
      </c>
      <c r="G311" t="s">
        <v>367</v>
      </c>
      <c r="H311" t="s">
        <v>2009</v>
      </c>
    </row>
    <row r="312" spans="1:8">
      <c r="A312" s="3" t="s">
        <v>517</v>
      </c>
      <c r="B312" s="1" t="s">
        <v>12</v>
      </c>
      <c r="C312" s="1" t="s">
        <v>13</v>
      </c>
      <c r="D312" s="3" t="s">
        <v>7</v>
      </c>
      <c r="E312" s="1" t="s">
        <v>14</v>
      </c>
      <c r="F312" s="5">
        <v>46137.441874999997</v>
      </c>
      <c r="G312" t="s">
        <v>367</v>
      </c>
      <c r="H312" t="s">
        <v>2009</v>
      </c>
    </row>
    <row r="313" spans="1:8">
      <c r="A313" s="4" t="s">
        <v>518</v>
      </c>
      <c r="B313" s="2" t="s">
        <v>6</v>
      </c>
      <c r="C313" s="2" t="s">
        <v>6</v>
      </c>
      <c r="D313" s="4" t="s">
        <v>7</v>
      </c>
      <c r="E313" s="2" t="s">
        <v>8</v>
      </c>
      <c r="F313" s="6">
        <v>46149.560011574074</v>
      </c>
      <c r="G313" t="s">
        <v>367</v>
      </c>
      <c r="H313" t="s">
        <v>2009</v>
      </c>
    </row>
    <row r="314" spans="1:8">
      <c r="A314" s="3" t="s">
        <v>519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46147.373888888891</v>
      </c>
      <c r="G314" t="s">
        <v>367</v>
      </c>
      <c r="H314" t="s">
        <v>2009</v>
      </c>
    </row>
    <row r="315" spans="1:8">
      <c r="A315" s="4" t="s">
        <v>520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46148.444710648146</v>
      </c>
      <c r="G315" t="s">
        <v>367</v>
      </c>
      <c r="H315" t="s">
        <v>2009</v>
      </c>
    </row>
    <row r="316" spans="1:8">
      <c r="A316" s="3" t="s">
        <v>521</v>
      </c>
      <c r="B316" s="1" t="s">
        <v>6</v>
      </c>
      <c r="C316" s="1" t="s">
        <v>6</v>
      </c>
      <c r="D316" s="3" t="s">
        <v>7</v>
      </c>
      <c r="E316" s="1" t="s">
        <v>8</v>
      </c>
      <c r="F316" s="5">
        <v>46148.444652777776</v>
      </c>
      <c r="G316" t="s">
        <v>367</v>
      </c>
      <c r="H316" t="s">
        <v>2009</v>
      </c>
    </row>
    <row r="317" spans="1:8">
      <c r="A317" s="4" t="s">
        <v>522</v>
      </c>
      <c r="B317" s="2" t="s">
        <v>650</v>
      </c>
      <c r="C317" s="2" t="s">
        <v>651</v>
      </c>
      <c r="D317" s="4" t="s">
        <v>7</v>
      </c>
      <c r="E317" s="2" t="s">
        <v>647</v>
      </c>
      <c r="F317" s="6">
        <v>46141.59747685185</v>
      </c>
      <c r="G317" t="s">
        <v>367</v>
      </c>
      <c r="H317" t="s">
        <v>2009</v>
      </c>
    </row>
    <row r="318" spans="1:8">
      <c r="A318" s="3" t="s">
        <v>523</v>
      </c>
      <c r="B318" s="1" t="s">
        <v>9</v>
      </c>
      <c r="C318" s="1" t="s">
        <v>10</v>
      </c>
      <c r="D318" s="3" t="s">
        <v>7</v>
      </c>
      <c r="E318" s="1" t="s">
        <v>11</v>
      </c>
      <c r="F318" s="5">
        <v>46146.478101851855</v>
      </c>
      <c r="G318" t="s">
        <v>367</v>
      </c>
      <c r="H318" t="s">
        <v>2009</v>
      </c>
    </row>
    <row r="319" spans="1:8">
      <c r="A319" s="4" t="s">
        <v>524</v>
      </c>
      <c r="B319" s="2" t="s">
        <v>9</v>
      </c>
      <c r="C319" s="2" t="s">
        <v>10</v>
      </c>
      <c r="D319" s="4" t="s">
        <v>7</v>
      </c>
      <c r="E319" s="2" t="s">
        <v>11</v>
      </c>
      <c r="F319" s="6">
        <v>46146.477569444447</v>
      </c>
      <c r="G319" t="s">
        <v>367</v>
      </c>
      <c r="H319" t="s">
        <v>2009</v>
      </c>
    </row>
    <row r="320" spans="1:8">
      <c r="A320" s="3" t="s">
        <v>525</v>
      </c>
      <c r="B320" s="1" t="s">
        <v>6</v>
      </c>
      <c r="C320" s="1" t="s">
        <v>6</v>
      </c>
      <c r="D320" s="3" t="s">
        <v>7</v>
      </c>
      <c r="E320" s="1" t="s">
        <v>8</v>
      </c>
      <c r="F320" s="5">
        <v>46148.46980324074</v>
      </c>
      <c r="G320" t="s">
        <v>367</v>
      </c>
      <c r="H320" t="s">
        <v>2009</v>
      </c>
    </row>
    <row r="321" spans="1:8">
      <c r="A321" s="4" t="s">
        <v>526</v>
      </c>
      <c r="B321" s="2" t="s">
        <v>6</v>
      </c>
      <c r="C321" s="2" t="s">
        <v>6</v>
      </c>
      <c r="D321" s="4" t="s">
        <v>7</v>
      </c>
      <c r="E321" s="2" t="s">
        <v>8</v>
      </c>
      <c r="F321" s="6">
        <v>46153.296875</v>
      </c>
      <c r="G321" t="s">
        <v>367</v>
      </c>
      <c r="H321" t="s">
        <v>2009</v>
      </c>
    </row>
    <row r="322" spans="1:8">
      <c r="A322" s="3" t="s">
        <v>527</v>
      </c>
      <c r="B322" s="1" t="s">
        <v>12</v>
      </c>
      <c r="C322" s="1" t="s">
        <v>13</v>
      </c>
      <c r="D322" s="3" t="s">
        <v>7</v>
      </c>
      <c r="E322" s="1" t="s">
        <v>14</v>
      </c>
      <c r="F322" s="5">
        <v>46136.428935185184</v>
      </c>
      <c r="G322" t="s">
        <v>367</v>
      </c>
      <c r="H322" t="s">
        <v>2009</v>
      </c>
    </row>
    <row r="323" spans="1:8">
      <c r="A323" s="4" t="s">
        <v>528</v>
      </c>
      <c r="B323" s="2" t="s">
        <v>6</v>
      </c>
      <c r="C323" s="2" t="s">
        <v>6</v>
      </c>
      <c r="D323" s="4" t="s">
        <v>7</v>
      </c>
      <c r="E323" s="2" t="s">
        <v>8</v>
      </c>
      <c r="F323" s="6">
        <v>46147.374108796299</v>
      </c>
      <c r="G323" t="s">
        <v>367</v>
      </c>
      <c r="H323" t="s">
        <v>2009</v>
      </c>
    </row>
    <row r="324" spans="1:8">
      <c r="A324" s="3" t="s">
        <v>529</v>
      </c>
      <c r="B324" s="1" t="s">
        <v>12</v>
      </c>
      <c r="C324" s="1" t="s">
        <v>13</v>
      </c>
      <c r="D324" s="3" t="s">
        <v>7</v>
      </c>
      <c r="E324" s="1" t="s">
        <v>14</v>
      </c>
      <c r="F324" s="5">
        <v>46136.420763888891</v>
      </c>
      <c r="G324" t="s">
        <v>367</v>
      </c>
      <c r="H324" t="s">
        <v>2009</v>
      </c>
    </row>
    <row r="325" spans="1:8">
      <c r="A325" s="4" t="s">
        <v>530</v>
      </c>
      <c r="B325" s="2" t="s">
        <v>12</v>
      </c>
      <c r="C325" s="2" t="s">
        <v>13</v>
      </c>
      <c r="D325" s="4" t="s">
        <v>7</v>
      </c>
      <c r="E325" s="2" t="s">
        <v>14</v>
      </c>
      <c r="F325" s="6">
        <v>46136.405902777777</v>
      </c>
      <c r="G325" t="s">
        <v>367</v>
      </c>
      <c r="H325" t="s">
        <v>2009</v>
      </c>
    </row>
    <row r="326" spans="1:8">
      <c r="A326" s="3" t="s">
        <v>531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46137.441979166666</v>
      </c>
      <c r="G326" t="s">
        <v>367</v>
      </c>
      <c r="H326" t="s">
        <v>2009</v>
      </c>
    </row>
    <row r="327" spans="1:8">
      <c r="A327" s="4" t="s">
        <v>532</v>
      </c>
      <c r="B327" s="2" t="s">
        <v>98</v>
      </c>
      <c r="C327" s="2" t="s">
        <v>99</v>
      </c>
      <c r="D327" s="4" t="s">
        <v>7</v>
      </c>
      <c r="E327" s="2" t="s">
        <v>100</v>
      </c>
      <c r="F327" s="6">
        <v>46154.369733796295</v>
      </c>
      <c r="G327" t="s">
        <v>367</v>
      </c>
      <c r="H327" t="s">
        <v>2009</v>
      </c>
    </row>
    <row r="328" spans="1:8">
      <c r="A328" s="3" t="s">
        <v>533</v>
      </c>
      <c r="B328" s="1" t="s">
        <v>9</v>
      </c>
      <c r="C328" s="1" t="s">
        <v>10</v>
      </c>
      <c r="D328" s="3" t="s">
        <v>7</v>
      </c>
      <c r="E328" s="1" t="s">
        <v>11</v>
      </c>
      <c r="F328" s="5">
        <v>46154.389548611114</v>
      </c>
      <c r="G328" t="s">
        <v>367</v>
      </c>
      <c r="H328" t="s">
        <v>2009</v>
      </c>
    </row>
    <row r="329" spans="1:8">
      <c r="A329" s="4" t="s">
        <v>534</v>
      </c>
      <c r="B329" s="2" t="s">
        <v>12</v>
      </c>
      <c r="C329" s="2" t="s">
        <v>13</v>
      </c>
      <c r="D329" s="4" t="s">
        <v>7</v>
      </c>
      <c r="E329" s="2" t="s">
        <v>14</v>
      </c>
      <c r="F329" s="6">
        <v>46136.404386574075</v>
      </c>
      <c r="G329" t="s">
        <v>367</v>
      </c>
      <c r="H329" t="s">
        <v>2009</v>
      </c>
    </row>
    <row r="330" spans="1:8">
      <c r="A330" s="3" t="s">
        <v>535</v>
      </c>
      <c r="B330" s="1" t="s">
        <v>650</v>
      </c>
      <c r="C330" s="1" t="s">
        <v>651</v>
      </c>
      <c r="D330" s="3" t="s">
        <v>7</v>
      </c>
      <c r="E330" s="1" t="s">
        <v>647</v>
      </c>
      <c r="F330" s="5">
        <v>46136.304189814815</v>
      </c>
      <c r="G330" t="s">
        <v>367</v>
      </c>
      <c r="H330" t="s">
        <v>2009</v>
      </c>
    </row>
    <row r="331" spans="1:8">
      <c r="A331" s="4" t="s">
        <v>536</v>
      </c>
      <c r="B331" s="2" t="s">
        <v>650</v>
      </c>
      <c r="C331" s="2" t="s">
        <v>651</v>
      </c>
      <c r="D331" s="4" t="s">
        <v>7</v>
      </c>
      <c r="E331" s="2" t="s">
        <v>647</v>
      </c>
      <c r="F331" s="6">
        <v>46136.304502314815</v>
      </c>
      <c r="G331" t="s">
        <v>367</v>
      </c>
      <c r="H331" t="s">
        <v>2009</v>
      </c>
    </row>
    <row r="332" spans="1:8">
      <c r="A332" s="3" t="s">
        <v>537</v>
      </c>
      <c r="B332" s="1" t="s">
        <v>12</v>
      </c>
      <c r="C332" s="1" t="s">
        <v>13</v>
      </c>
      <c r="D332" s="3" t="s">
        <v>7</v>
      </c>
      <c r="E332" s="1" t="s">
        <v>14</v>
      </c>
      <c r="F332" s="5">
        <v>46136.401678240742</v>
      </c>
      <c r="G332" t="s">
        <v>367</v>
      </c>
      <c r="H332" t="s">
        <v>2009</v>
      </c>
    </row>
    <row r="333" spans="1:8">
      <c r="A333" s="4" t="s">
        <v>538</v>
      </c>
      <c r="B333" s="2" t="s">
        <v>6</v>
      </c>
      <c r="C333" s="2" t="s">
        <v>6</v>
      </c>
      <c r="D333" s="4" t="s">
        <v>7</v>
      </c>
      <c r="E333" s="2" t="s">
        <v>8</v>
      </c>
      <c r="F333" s="6">
        <v>46153.43445601852</v>
      </c>
      <c r="G333" t="s">
        <v>367</v>
      </c>
      <c r="H333" t="s">
        <v>2009</v>
      </c>
    </row>
    <row r="334" spans="1:8">
      <c r="A334" s="3" t="s">
        <v>539</v>
      </c>
      <c r="B334" s="1" t="s">
        <v>946</v>
      </c>
      <c r="C334" s="1" t="s">
        <v>947</v>
      </c>
      <c r="D334" s="3" t="s">
        <v>7</v>
      </c>
      <c r="E334" s="1" t="s">
        <v>157</v>
      </c>
      <c r="F334" s="5">
        <v>46157.434849537036</v>
      </c>
      <c r="G334" t="s">
        <v>367</v>
      </c>
      <c r="H334" t="s">
        <v>2009</v>
      </c>
    </row>
    <row r="335" spans="1:8">
      <c r="A335" s="4" t="s">
        <v>540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46139.486377314817</v>
      </c>
      <c r="G335" t="s">
        <v>367</v>
      </c>
      <c r="H335" t="s">
        <v>2009</v>
      </c>
    </row>
    <row r="336" spans="1:8">
      <c r="A336" s="3" t="s">
        <v>541</v>
      </c>
      <c r="B336" s="1" t="s">
        <v>12</v>
      </c>
      <c r="C336" s="1" t="s">
        <v>13</v>
      </c>
      <c r="D336" s="3" t="s">
        <v>7</v>
      </c>
      <c r="E336" s="1" t="s">
        <v>14</v>
      </c>
      <c r="F336" s="5">
        <v>46136.41846064815</v>
      </c>
      <c r="G336" t="s">
        <v>367</v>
      </c>
      <c r="H336" t="s">
        <v>2009</v>
      </c>
    </row>
    <row r="337" spans="1:8">
      <c r="A337" s="4" t="s">
        <v>542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46136.42015046296</v>
      </c>
      <c r="G337" t="s">
        <v>367</v>
      </c>
      <c r="H337" t="s">
        <v>2009</v>
      </c>
    </row>
    <row r="338" spans="1:8">
      <c r="A338" s="3" t="s">
        <v>543</v>
      </c>
      <c r="B338" s="1" t="s">
        <v>650</v>
      </c>
      <c r="C338" s="1" t="s">
        <v>651</v>
      </c>
      <c r="D338" s="3" t="s">
        <v>7</v>
      </c>
      <c r="E338" s="1" t="s">
        <v>647</v>
      </c>
      <c r="F338" s="5">
        <v>46137.570173611108</v>
      </c>
      <c r="G338" t="s">
        <v>367</v>
      </c>
      <c r="H338" t="s">
        <v>2009</v>
      </c>
    </row>
    <row r="339" spans="1:8">
      <c r="A339" s="4" t="s">
        <v>544</v>
      </c>
      <c r="B339" s="2" t="s">
        <v>650</v>
      </c>
      <c r="C339" s="2" t="s">
        <v>651</v>
      </c>
      <c r="D339" s="4" t="s">
        <v>7</v>
      </c>
      <c r="E339" s="2" t="s">
        <v>647</v>
      </c>
      <c r="F339" s="6">
        <v>46137.57372685185</v>
      </c>
      <c r="G339" t="s">
        <v>367</v>
      </c>
      <c r="H339" t="s">
        <v>2009</v>
      </c>
    </row>
    <row r="340" spans="1:8">
      <c r="A340" s="3" t="s">
        <v>545</v>
      </c>
      <c r="B340" s="1" t="s">
        <v>650</v>
      </c>
      <c r="C340" s="1" t="s">
        <v>651</v>
      </c>
      <c r="D340" s="3" t="s">
        <v>7</v>
      </c>
      <c r="E340" s="1" t="s">
        <v>647</v>
      </c>
      <c r="F340" s="5">
        <v>46137.572025462963</v>
      </c>
      <c r="G340" t="s">
        <v>367</v>
      </c>
      <c r="H340" t="s">
        <v>2009</v>
      </c>
    </row>
    <row r="341" spans="1:8">
      <c r="A341" s="4" t="s">
        <v>546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46137.572847222225</v>
      </c>
      <c r="G341" t="s">
        <v>367</v>
      </c>
      <c r="H341" t="s">
        <v>2009</v>
      </c>
    </row>
    <row r="342" spans="1:8">
      <c r="A342" s="3" t="s">
        <v>547</v>
      </c>
      <c r="B342" s="1" t="s">
        <v>650</v>
      </c>
      <c r="C342" s="1" t="s">
        <v>651</v>
      </c>
      <c r="D342" s="3" t="s">
        <v>7</v>
      </c>
      <c r="E342" s="1" t="s">
        <v>647</v>
      </c>
      <c r="F342" s="5">
        <v>46139.616793981484</v>
      </c>
      <c r="G342" t="s">
        <v>367</v>
      </c>
      <c r="H342" t="s">
        <v>2009</v>
      </c>
    </row>
    <row r="343" spans="1:8">
      <c r="A343" s="4" t="s">
        <v>548</v>
      </c>
      <c r="B343" s="2" t="s">
        <v>6</v>
      </c>
      <c r="C343" s="2" t="s">
        <v>6</v>
      </c>
      <c r="D343" s="4" t="s">
        <v>7</v>
      </c>
      <c r="E343" s="2" t="s">
        <v>8</v>
      </c>
      <c r="F343" s="6">
        <v>46157.51390046296</v>
      </c>
      <c r="G343" t="s">
        <v>367</v>
      </c>
      <c r="H343" t="s">
        <v>2009</v>
      </c>
    </row>
    <row r="344" spans="1:8">
      <c r="A344" s="3" t="s">
        <v>549</v>
      </c>
      <c r="B344" s="1" t="s">
        <v>6</v>
      </c>
      <c r="C344" s="1" t="s">
        <v>6</v>
      </c>
      <c r="D344" s="3" t="s">
        <v>7</v>
      </c>
      <c r="E344" s="1" t="s">
        <v>8</v>
      </c>
      <c r="F344" s="5">
        <v>46150.323159722226</v>
      </c>
      <c r="G344" t="s">
        <v>367</v>
      </c>
      <c r="H344" t="s">
        <v>2009</v>
      </c>
    </row>
    <row r="345" spans="1:8">
      <c r="A345" s="4" t="s">
        <v>550</v>
      </c>
      <c r="B345" s="2" t="s">
        <v>6</v>
      </c>
      <c r="C345" s="2" t="s">
        <v>6</v>
      </c>
      <c r="D345" s="4" t="s">
        <v>7</v>
      </c>
      <c r="E345" s="2" t="s">
        <v>8</v>
      </c>
      <c r="F345" s="6">
        <v>46147.394074074073</v>
      </c>
      <c r="G345" t="s">
        <v>367</v>
      </c>
      <c r="H345" t="s">
        <v>2009</v>
      </c>
    </row>
    <row r="346" spans="1:8">
      <c r="A346" s="3" t="s">
        <v>551</v>
      </c>
      <c r="B346" s="1" t="s">
        <v>9</v>
      </c>
      <c r="C346" s="1" t="s">
        <v>10</v>
      </c>
      <c r="D346" s="3" t="s">
        <v>7</v>
      </c>
      <c r="E346" s="1" t="s">
        <v>11</v>
      </c>
      <c r="F346" s="5">
        <v>46154.327453703707</v>
      </c>
      <c r="G346" t="s">
        <v>367</v>
      </c>
      <c r="H346" t="s">
        <v>2009</v>
      </c>
    </row>
    <row r="347" spans="1:8">
      <c r="A347" s="4" t="s">
        <v>552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46136.439386574071</v>
      </c>
      <c r="G347" t="s">
        <v>367</v>
      </c>
      <c r="H347" t="s">
        <v>2009</v>
      </c>
    </row>
    <row r="348" spans="1:8">
      <c r="A348" s="3" t="s">
        <v>553</v>
      </c>
      <c r="B348" s="1" t="s">
        <v>12</v>
      </c>
      <c r="C348" s="1" t="s">
        <v>13</v>
      </c>
      <c r="D348" s="3" t="s">
        <v>7</v>
      </c>
      <c r="E348" s="1" t="s">
        <v>14</v>
      </c>
      <c r="F348" s="5">
        <v>46141.307129629633</v>
      </c>
      <c r="G348" t="s">
        <v>367</v>
      </c>
      <c r="H348" t="s">
        <v>2009</v>
      </c>
    </row>
    <row r="349" spans="1:8">
      <c r="A349" s="4" t="s">
        <v>554</v>
      </c>
      <c r="B349" s="2" t="s">
        <v>650</v>
      </c>
      <c r="C349" s="2" t="s">
        <v>651</v>
      </c>
      <c r="D349" s="4" t="s">
        <v>7</v>
      </c>
      <c r="E349" s="2" t="s">
        <v>647</v>
      </c>
      <c r="F349" s="6">
        <v>46139.616423611114</v>
      </c>
      <c r="G349" t="s">
        <v>367</v>
      </c>
      <c r="H349" t="s">
        <v>2009</v>
      </c>
    </row>
    <row r="350" spans="1:8">
      <c r="A350" s="3" t="s">
        <v>555</v>
      </c>
      <c r="B350" s="1" t="s">
        <v>12</v>
      </c>
      <c r="C350" s="1" t="s">
        <v>13</v>
      </c>
      <c r="D350" s="3" t="s">
        <v>7</v>
      </c>
      <c r="E350" s="1" t="s">
        <v>14</v>
      </c>
      <c r="F350" s="5">
        <v>46141.306712962964</v>
      </c>
      <c r="G350" t="s">
        <v>367</v>
      </c>
      <c r="H350" t="s">
        <v>2009</v>
      </c>
    </row>
    <row r="351" spans="1:8">
      <c r="A351" s="4" t="s">
        <v>556</v>
      </c>
      <c r="B351" s="2" t="s">
        <v>650</v>
      </c>
      <c r="C351" s="2" t="s">
        <v>651</v>
      </c>
      <c r="D351" s="4" t="s">
        <v>7</v>
      </c>
      <c r="E351" s="2" t="s">
        <v>647</v>
      </c>
      <c r="F351" s="6">
        <v>46137.568032407406</v>
      </c>
      <c r="G351" t="s">
        <v>367</v>
      </c>
      <c r="H351" t="s">
        <v>2009</v>
      </c>
    </row>
    <row r="352" spans="1:8">
      <c r="A352" s="3" t="s">
        <v>557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46141.306504629632</v>
      </c>
      <c r="G352" t="s">
        <v>367</v>
      </c>
      <c r="H352" t="s">
        <v>2009</v>
      </c>
    </row>
    <row r="353" spans="1:8">
      <c r="A353" s="4" t="s">
        <v>558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46139.637916666667</v>
      </c>
      <c r="G353" t="s">
        <v>367</v>
      </c>
      <c r="H353" t="s">
        <v>2009</v>
      </c>
    </row>
    <row r="354" spans="1:8">
      <c r="A354" s="3" t="s">
        <v>559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46139.63821759259</v>
      </c>
      <c r="G354" t="s">
        <v>367</v>
      </c>
      <c r="H354" t="s">
        <v>2009</v>
      </c>
    </row>
    <row r="355" spans="1:8">
      <c r="A355" s="4" t="s">
        <v>560</v>
      </c>
      <c r="B355" s="2" t="s">
        <v>9</v>
      </c>
      <c r="C355" s="2" t="s">
        <v>10</v>
      </c>
      <c r="D355" s="4" t="s">
        <v>7</v>
      </c>
      <c r="E355" s="2" t="s">
        <v>11</v>
      </c>
      <c r="F355" s="6">
        <v>46154.377893518518</v>
      </c>
      <c r="G355" t="s">
        <v>367</v>
      </c>
      <c r="H355" t="s">
        <v>2009</v>
      </c>
    </row>
    <row r="356" spans="1:8">
      <c r="A356" s="3" t="s">
        <v>561</v>
      </c>
      <c r="B356" s="1" t="s">
        <v>650</v>
      </c>
      <c r="C356" s="1" t="s">
        <v>651</v>
      </c>
      <c r="D356" s="3" t="s">
        <v>7</v>
      </c>
      <c r="E356" s="1" t="s">
        <v>647</v>
      </c>
      <c r="F356" s="5">
        <v>46137.569178240738</v>
      </c>
      <c r="G356" t="s">
        <v>367</v>
      </c>
      <c r="H356" t="s">
        <v>2009</v>
      </c>
    </row>
    <row r="357" spans="1:8">
      <c r="A357" s="4" t="s">
        <v>562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46149.36855324074</v>
      </c>
      <c r="G357" t="s">
        <v>367</v>
      </c>
      <c r="H357" t="s">
        <v>2009</v>
      </c>
    </row>
    <row r="358" spans="1:8">
      <c r="A358" s="3" t="s">
        <v>563</v>
      </c>
      <c r="B358" s="1" t="s">
        <v>12</v>
      </c>
      <c r="C358" s="1" t="s">
        <v>13</v>
      </c>
      <c r="D358" s="3" t="s">
        <v>7</v>
      </c>
      <c r="E358" s="1" t="s">
        <v>14</v>
      </c>
      <c r="F358" s="5">
        <v>46137.456921296296</v>
      </c>
      <c r="G358" t="s">
        <v>367</v>
      </c>
      <c r="H358" t="s">
        <v>2009</v>
      </c>
    </row>
    <row r="359" spans="1:8">
      <c r="A359" s="4" t="s">
        <v>564</v>
      </c>
      <c r="B359" s="2" t="s">
        <v>650</v>
      </c>
      <c r="C359" s="2" t="s">
        <v>651</v>
      </c>
      <c r="D359" s="4" t="s">
        <v>7</v>
      </c>
      <c r="E359" s="2" t="s">
        <v>647</v>
      </c>
      <c r="F359" s="6">
        <v>46139.485405092593</v>
      </c>
      <c r="G359" t="s">
        <v>367</v>
      </c>
      <c r="H359" t="s">
        <v>2009</v>
      </c>
    </row>
    <row r="360" spans="1:8">
      <c r="A360" s="3" t="s">
        <v>565</v>
      </c>
      <c r="B360" s="1" t="s">
        <v>650</v>
      </c>
      <c r="C360" s="1" t="s">
        <v>651</v>
      </c>
      <c r="D360" s="3" t="s">
        <v>7</v>
      </c>
      <c r="E360" s="1" t="s">
        <v>647</v>
      </c>
      <c r="F360" s="5">
        <v>46136.439618055556</v>
      </c>
      <c r="G360" t="s">
        <v>367</v>
      </c>
      <c r="H360" t="s">
        <v>2009</v>
      </c>
    </row>
    <row r="361" spans="1:8">
      <c r="A361" s="4" t="s">
        <v>566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46149.560243055559</v>
      </c>
      <c r="G361" t="s">
        <v>367</v>
      </c>
      <c r="H361" t="s">
        <v>2009</v>
      </c>
    </row>
    <row r="362" spans="1:8">
      <c r="A362" s="3" t="s">
        <v>567</v>
      </c>
      <c r="B362" s="1" t="s">
        <v>275</v>
      </c>
      <c r="C362" s="1" t="s">
        <v>276</v>
      </c>
      <c r="D362" s="3" t="s">
        <v>7</v>
      </c>
      <c r="E362" s="1" t="s">
        <v>277</v>
      </c>
      <c r="F362" s="5">
        <v>46149.460347222222</v>
      </c>
      <c r="G362" t="s">
        <v>367</v>
      </c>
      <c r="H362" t="s">
        <v>2009</v>
      </c>
    </row>
    <row r="363" spans="1:8">
      <c r="A363" s="4" t="s">
        <v>568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46147.374409722222</v>
      </c>
      <c r="G363" t="s">
        <v>367</v>
      </c>
      <c r="H363" t="s">
        <v>2009</v>
      </c>
    </row>
    <row r="364" spans="1:8">
      <c r="A364" s="3" t="s">
        <v>569</v>
      </c>
      <c r="B364" s="1" t="s">
        <v>650</v>
      </c>
      <c r="C364" s="1" t="s">
        <v>651</v>
      </c>
      <c r="D364" s="3" t="s">
        <v>7</v>
      </c>
      <c r="E364" s="1" t="s">
        <v>647</v>
      </c>
      <c r="F364" s="5">
        <v>46141.306701388887</v>
      </c>
      <c r="G364" t="s">
        <v>367</v>
      </c>
      <c r="H364" t="s">
        <v>2009</v>
      </c>
    </row>
    <row r="365" spans="1:8">
      <c r="A365" s="4" t="s">
        <v>570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46136.374178240738</v>
      </c>
      <c r="G365" t="s">
        <v>367</v>
      </c>
      <c r="H365" t="s">
        <v>2009</v>
      </c>
    </row>
    <row r="366" spans="1:8">
      <c r="A366" s="3" t="s">
        <v>571</v>
      </c>
      <c r="B366" s="1" t="s">
        <v>9</v>
      </c>
      <c r="C366" s="1" t="s">
        <v>10</v>
      </c>
      <c r="D366" s="3" t="s">
        <v>7</v>
      </c>
      <c r="E366" s="1" t="s">
        <v>11</v>
      </c>
      <c r="F366" s="5">
        <v>46154.366770833331</v>
      </c>
      <c r="G366" t="s">
        <v>367</v>
      </c>
      <c r="H366" t="s">
        <v>2009</v>
      </c>
    </row>
    <row r="367" spans="1:8">
      <c r="A367" s="4" t="s">
        <v>572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46150.323368055557</v>
      </c>
      <c r="G367" t="s">
        <v>367</v>
      </c>
      <c r="H367" t="s">
        <v>2009</v>
      </c>
    </row>
    <row r="368" spans="1:8">
      <c r="A368" s="3" t="s">
        <v>573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46136.353171296294</v>
      </c>
      <c r="G368" t="s">
        <v>367</v>
      </c>
      <c r="H368" t="s">
        <v>2009</v>
      </c>
    </row>
    <row r="369" spans="1:8">
      <c r="A369" s="4" t="s">
        <v>574</v>
      </c>
      <c r="B369" s="2" t="s">
        <v>6</v>
      </c>
      <c r="C369" s="2" t="s">
        <v>6</v>
      </c>
      <c r="D369" s="4" t="s">
        <v>7</v>
      </c>
      <c r="E369" s="2" t="s">
        <v>8</v>
      </c>
      <c r="F369" s="6">
        <v>46153.297326388885</v>
      </c>
      <c r="G369" t="s">
        <v>367</v>
      </c>
      <c r="H369" t="s">
        <v>2009</v>
      </c>
    </row>
    <row r="370" spans="1:8">
      <c r="A370" s="3" t="s">
        <v>575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46136.37158564815</v>
      </c>
      <c r="G370" t="s">
        <v>367</v>
      </c>
      <c r="H370" t="s">
        <v>2009</v>
      </c>
    </row>
    <row r="371" spans="1:8">
      <c r="A371" s="4" t="s">
        <v>576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46137.43855324074</v>
      </c>
      <c r="G371" t="s">
        <v>367</v>
      </c>
      <c r="H371" t="s">
        <v>2009</v>
      </c>
    </row>
    <row r="372" spans="1:8">
      <c r="A372" s="3" t="s">
        <v>577</v>
      </c>
      <c r="B372" s="1" t="s">
        <v>6</v>
      </c>
      <c r="C372" s="1" t="s">
        <v>6</v>
      </c>
      <c r="D372" s="3" t="s">
        <v>7</v>
      </c>
      <c r="E372" s="1" t="s">
        <v>8</v>
      </c>
      <c r="F372" s="5">
        <v>46149.367974537039</v>
      </c>
      <c r="G372" t="s">
        <v>367</v>
      </c>
      <c r="H372" t="s">
        <v>2009</v>
      </c>
    </row>
    <row r="373" spans="1:8">
      <c r="A373" s="4" t="s">
        <v>578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46153.435150462959</v>
      </c>
      <c r="G373" t="s">
        <v>367</v>
      </c>
      <c r="H373" t="s">
        <v>2009</v>
      </c>
    </row>
    <row r="374" spans="1:8">
      <c r="A374" s="3" t="s">
        <v>579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46141.301342592589</v>
      </c>
      <c r="G374" t="s">
        <v>367</v>
      </c>
      <c r="H374" t="s">
        <v>2009</v>
      </c>
    </row>
    <row r="375" spans="1:8">
      <c r="A375" s="4" t="s">
        <v>580</v>
      </c>
      <c r="B375" s="2" t="s">
        <v>275</v>
      </c>
      <c r="C375" s="2" t="s">
        <v>276</v>
      </c>
      <c r="D375" s="4" t="s">
        <v>7</v>
      </c>
      <c r="E375" s="2" t="s">
        <v>277</v>
      </c>
      <c r="F375" s="6">
        <v>46149.491620370369</v>
      </c>
      <c r="G375" t="s">
        <v>367</v>
      </c>
      <c r="H375" t="s">
        <v>2009</v>
      </c>
    </row>
    <row r="376" spans="1:8">
      <c r="A376" s="3" t="s">
        <v>581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46141.307476851849</v>
      </c>
      <c r="G376" t="s">
        <v>367</v>
      </c>
      <c r="H376" t="s">
        <v>2009</v>
      </c>
    </row>
    <row r="377" spans="1:8">
      <c r="A377" s="4" t="s">
        <v>582</v>
      </c>
      <c r="B377" s="2" t="s">
        <v>12</v>
      </c>
      <c r="C377" s="2" t="s">
        <v>13</v>
      </c>
      <c r="D377" s="4" t="s">
        <v>7</v>
      </c>
      <c r="E377" s="2" t="s">
        <v>14</v>
      </c>
      <c r="F377" s="6">
        <v>46148.675671296296</v>
      </c>
      <c r="G377" t="s">
        <v>367</v>
      </c>
      <c r="H377" t="s">
        <v>2009</v>
      </c>
    </row>
    <row r="378" spans="1:8">
      <c r="A378" s="3" t="s">
        <v>583</v>
      </c>
      <c r="B378" s="1" t="s">
        <v>12</v>
      </c>
      <c r="C378" s="1" t="s">
        <v>13</v>
      </c>
      <c r="D378" s="3" t="s">
        <v>7</v>
      </c>
      <c r="E378" s="1" t="s">
        <v>14</v>
      </c>
      <c r="F378" s="5">
        <v>46136.376817129632</v>
      </c>
      <c r="G378" t="s">
        <v>367</v>
      </c>
      <c r="H378" t="s">
        <v>2009</v>
      </c>
    </row>
    <row r="379" spans="1:8">
      <c r="A379" s="4" t="s">
        <v>584</v>
      </c>
      <c r="B379" s="2" t="s">
        <v>6</v>
      </c>
      <c r="C379" s="2" t="s">
        <v>6</v>
      </c>
      <c r="D379" s="4" t="s">
        <v>7</v>
      </c>
      <c r="E379" s="2" t="s">
        <v>8</v>
      </c>
      <c r="F379" s="6">
        <v>46153.397604166668</v>
      </c>
      <c r="G379" t="s">
        <v>367</v>
      </c>
      <c r="H379" t="s">
        <v>2009</v>
      </c>
    </row>
    <row r="380" spans="1:8">
      <c r="A380" s="3" t="s">
        <v>585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46136.350775462961</v>
      </c>
      <c r="G380" t="s">
        <v>367</v>
      </c>
      <c r="H380" t="s">
        <v>2009</v>
      </c>
    </row>
    <row r="381" spans="1:8">
      <c r="A381" s="4" t="s">
        <v>586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46141.30574074074</v>
      </c>
      <c r="G381" t="s">
        <v>367</v>
      </c>
      <c r="H381" t="s">
        <v>2009</v>
      </c>
    </row>
    <row r="382" spans="1:8">
      <c r="A382" s="3" t="s">
        <v>587</v>
      </c>
      <c r="B382" s="1" t="s">
        <v>12</v>
      </c>
      <c r="C382" s="1" t="s">
        <v>13</v>
      </c>
      <c r="D382" s="3" t="s">
        <v>7</v>
      </c>
      <c r="E382" s="1" t="s">
        <v>14</v>
      </c>
      <c r="F382" s="5">
        <v>46136.370289351849</v>
      </c>
      <c r="G382" t="s">
        <v>367</v>
      </c>
      <c r="H382" t="s">
        <v>2009</v>
      </c>
    </row>
    <row r="383" spans="1:8">
      <c r="A383" s="4" t="s">
        <v>588</v>
      </c>
      <c r="B383" s="2" t="s">
        <v>9</v>
      </c>
      <c r="C383" s="2" t="s">
        <v>10</v>
      </c>
      <c r="D383" s="4" t="s">
        <v>7</v>
      </c>
      <c r="E383" s="2" t="s">
        <v>11</v>
      </c>
      <c r="F383" s="6">
        <v>46146.477361111109</v>
      </c>
      <c r="G383" t="s">
        <v>367</v>
      </c>
      <c r="H383" t="s">
        <v>2009</v>
      </c>
    </row>
    <row r="384" spans="1:8">
      <c r="A384" s="3" t="s">
        <v>589</v>
      </c>
      <c r="B384" s="1" t="s">
        <v>650</v>
      </c>
      <c r="C384" s="1" t="s">
        <v>651</v>
      </c>
      <c r="D384" s="3" t="s">
        <v>7</v>
      </c>
      <c r="E384" s="1" t="s">
        <v>647</v>
      </c>
      <c r="F384" s="5">
        <v>46140.279780092591</v>
      </c>
      <c r="G384" t="s">
        <v>367</v>
      </c>
      <c r="H384" t="s">
        <v>2009</v>
      </c>
    </row>
    <row r="385" spans="1:8">
      <c r="A385" s="4" t="s">
        <v>590</v>
      </c>
      <c r="B385" s="2" t="s">
        <v>650</v>
      </c>
      <c r="C385" s="2" t="s">
        <v>651</v>
      </c>
      <c r="D385" s="4" t="s">
        <v>7</v>
      </c>
      <c r="E385" s="2" t="s">
        <v>647</v>
      </c>
      <c r="F385" s="6">
        <v>46137.57099537037</v>
      </c>
      <c r="G385" t="s">
        <v>367</v>
      </c>
      <c r="H385" t="s">
        <v>2009</v>
      </c>
    </row>
    <row r="386" spans="1:8">
      <c r="A386" s="3" t="s">
        <v>591</v>
      </c>
      <c r="B386" s="1" t="s">
        <v>9</v>
      </c>
      <c r="C386" s="1" t="s">
        <v>10</v>
      </c>
      <c r="D386" s="3" t="s">
        <v>7</v>
      </c>
      <c r="E386" s="1" t="s">
        <v>11</v>
      </c>
      <c r="F386" s="5">
        <v>46154.374201388891</v>
      </c>
      <c r="G386" t="s">
        <v>367</v>
      </c>
      <c r="H386" t="s">
        <v>2009</v>
      </c>
    </row>
    <row r="387" spans="1:8">
      <c r="A387" s="4" t="s">
        <v>592</v>
      </c>
      <c r="B387" s="2" t="s">
        <v>12</v>
      </c>
      <c r="C387" s="2" t="s">
        <v>13</v>
      </c>
      <c r="D387" s="4" t="s">
        <v>7</v>
      </c>
      <c r="E387" s="2" t="s">
        <v>14</v>
      </c>
      <c r="F387" s="6">
        <v>46141.306111111109</v>
      </c>
      <c r="G387" t="s">
        <v>367</v>
      </c>
      <c r="H387" t="s">
        <v>2009</v>
      </c>
    </row>
    <row r="388" spans="1:8">
      <c r="A388" s="3" t="s">
        <v>593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46146.477800925924</v>
      </c>
      <c r="G388" t="s">
        <v>367</v>
      </c>
      <c r="H388" t="s">
        <v>2009</v>
      </c>
    </row>
    <row r="389" spans="1:8">
      <c r="A389" s="4" t="s">
        <v>594</v>
      </c>
      <c r="B389" s="2" t="s">
        <v>275</v>
      </c>
      <c r="C389" s="2" t="s">
        <v>276</v>
      </c>
      <c r="D389" s="4" t="s">
        <v>7</v>
      </c>
      <c r="E389" s="2" t="s">
        <v>277</v>
      </c>
      <c r="F389" s="6">
        <v>46154.521192129629</v>
      </c>
      <c r="G389" t="s">
        <v>367</v>
      </c>
      <c r="H389" t="s">
        <v>2009</v>
      </c>
    </row>
    <row r="390" spans="1:8">
      <c r="A390" s="3" t="s">
        <v>595</v>
      </c>
      <c r="B390" s="1" t="s">
        <v>6</v>
      </c>
      <c r="C390" s="1" t="s">
        <v>6</v>
      </c>
      <c r="D390" s="3" t="s">
        <v>7</v>
      </c>
      <c r="E390" s="1" t="s">
        <v>8</v>
      </c>
      <c r="F390" s="5">
        <v>46153.297094907408</v>
      </c>
      <c r="G390" t="s">
        <v>367</v>
      </c>
      <c r="H390" t="s">
        <v>2009</v>
      </c>
    </row>
    <row r="391" spans="1:8">
      <c r="A391" s="4" t="s">
        <v>596</v>
      </c>
      <c r="B391" s="2" t="s">
        <v>9</v>
      </c>
      <c r="C391" s="2" t="s">
        <v>10</v>
      </c>
      <c r="D391" s="4" t="s">
        <v>7</v>
      </c>
      <c r="E391" s="2" t="s">
        <v>11</v>
      </c>
      <c r="F391" s="6">
        <v>46154.323287037034</v>
      </c>
      <c r="G391" t="s">
        <v>367</v>
      </c>
      <c r="H391" t="s">
        <v>2009</v>
      </c>
    </row>
    <row r="392" spans="1:8">
      <c r="A392" s="3" t="s">
        <v>597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46136.330775462964</v>
      </c>
      <c r="G392" t="s">
        <v>367</v>
      </c>
      <c r="H392" t="s">
        <v>2009</v>
      </c>
    </row>
    <row r="393" spans="1:8">
      <c r="A393" s="4" t="s">
        <v>598</v>
      </c>
      <c r="B393" s="2" t="s">
        <v>6</v>
      </c>
      <c r="C393" s="2" t="s">
        <v>6</v>
      </c>
      <c r="D393" s="4" t="s">
        <v>7</v>
      </c>
      <c r="E393" s="2" t="s">
        <v>8</v>
      </c>
      <c r="F393" s="6">
        <v>46150.323645833334</v>
      </c>
      <c r="G393" t="s">
        <v>367</v>
      </c>
      <c r="H393" t="s">
        <v>2009</v>
      </c>
    </row>
    <row r="394" spans="1:8">
      <c r="A394" s="3" t="s">
        <v>599</v>
      </c>
      <c r="B394" s="1" t="s">
        <v>9</v>
      </c>
      <c r="C394" s="1" t="s">
        <v>10</v>
      </c>
      <c r="D394" s="3" t="s">
        <v>7</v>
      </c>
      <c r="E394" s="1" t="s">
        <v>11</v>
      </c>
      <c r="F394" s="5">
        <v>46154.397488425922</v>
      </c>
      <c r="G394" t="s">
        <v>367</v>
      </c>
      <c r="H394" t="s">
        <v>2009</v>
      </c>
    </row>
    <row r="395" spans="1:8">
      <c r="A395" s="4" t="s">
        <v>600</v>
      </c>
      <c r="B395" s="2" t="s">
        <v>12</v>
      </c>
      <c r="C395" s="2" t="s">
        <v>13</v>
      </c>
      <c r="D395" s="4" t="s">
        <v>7</v>
      </c>
      <c r="E395" s="2" t="s">
        <v>14</v>
      </c>
      <c r="F395" s="6">
        <v>46136.357916666668</v>
      </c>
      <c r="G395" t="s">
        <v>367</v>
      </c>
      <c r="H395" t="s">
        <v>2009</v>
      </c>
    </row>
    <row r="396" spans="1:8">
      <c r="A396" s="3" t="s">
        <v>601</v>
      </c>
      <c r="B396" s="1" t="s">
        <v>12</v>
      </c>
      <c r="C396" s="1" t="s">
        <v>13</v>
      </c>
      <c r="D396" s="3" t="s">
        <v>7</v>
      </c>
      <c r="E396" s="1" t="s">
        <v>14</v>
      </c>
      <c r="F396" s="5">
        <v>46137.438668981478</v>
      </c>
      <c r="G396" t="s">
        <v>367</v>
      </c>
      <c r="H396" t="s">
        <v>2009</v>
      </c>
    </row>
    <row r="397" spans="1:8">
      <c r="A397" s="4" t="s">
        <v>602</v>
      </c>
      <c r="B397" s="2" t="s">
        <v>12</v>
      </c>
      <c r="C397" s="2" t="s">
        <v>13</v>
      </c>
      <c r="D397" s="4" t="s">
        <v>7</v>
      </c>
      <c r="E397" s="2" t="s">
        <v>14</v>
      </c>
      <c r="F397" s="6">
        <v>46141.306284722225</v>
      </c>
      <c r="G397" t="s">
        <v>367</v>
      </c>
      <c r="H397" t="s">
        <v>2009</v>
      </c>
    </row>
    <row r="398" spans="1:8">
      <c r="A398" s="3" t="s">
        <v>603</v>
      </c>
      <c r="B398" s="1" t="s">
        <v>12</v>
      </c>
      <c r="C398" s="1" t="s">
        <v>13</v>
      </c>
      <c r="D398" s="3" t="s">
        <v>7</v>
      </c>
      <c r="E398" s="1" t="s">
        <v>14</v>
      </c>
      <c r="F398" s="5">
        <v>46137.436979166669</v>
      </c>
      <c r="G398" t="s">
        <v>367</v>
      </c>
      <c r="H398" t="s">
        <v>2009</v>
      </c>
    </row>
    <row r="399" spans="1:8">
      <c r="A399" s="4" t="s">
        <v>604</v>
      </c>
      <c r="B399" s="2" t="s">
        <v>12</v>
      </c>
      <c r="C399" s="2" t="s">
        <v>13</v>
      </c>
      <c r="D399" s="4" t="s">
        <v>7</v>
      </c>
      <c r="E399" s="2" t="s">
        <v>14</v>
      </c>
      <c r="F399" s="6">
        <v>46141.305937500001</v>
      </c>
      <c r="G399" t="s">
        <v>367</v>
      </c>
      <c r="H399" t="s">
        <v>2009</v>
      </c>
    </row>
    <row r="400" spans="1:8">
      <c r="A400" s="3" t="s">
        <v>605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46141.308159722219</v>
      </c>
      <c r="G400" t="s">
        <v>367</v>
      </c>
      <c r="H400" t="s">
        <v>2009</v>
      </c>
    </row>
    <row r="401" spans="1:8">
      <c r="A401" s="4" t="s">
        <v>606</v>
      </c>
      <c r="B401" s="2" t="s">
        <v>6</v>
      </c>
      <c r="C401" s="2" t="s">
        <v>6</v>
      </c>
      <c r="D401" s="4" t="s">
        <v>7</v>
      </c>
      <c r="E401" s="2" t="s">
        <v>8</v>
      </c>
      <c r="F401" s="6">
        <v>46147.374710648146</v>
      </c>
      <c r="G401" t="s">
        <v>367</v>
      </c>
      <c r="H401" t="s">
        <v>2009</v>
      </c>
    </row>
    <row r="402" spans="1:8">
      <c r="A402" s="3" t="s">
        <v>607</v>
      </c>
      <c r="B402" s="1" t="s">
        <v>650</v>
      </c>
      <c r="C402" s="1" t="s">
        <v>651</v>
      </c>
      <c r="D402" s="3" t="s">
        <v>7</v>
      </c>
      <c r="E402" s="1" t="s">
        <v>647</v>
      </c>
      <c r="F402" s="5">
        <v>46140.416620370372</v>
      </c>
      <c r="G402" t="s">
        <v>367</v>
      </c>
      <c r="H402" t="s">
        <v>2009</v>
      </c>
    </row>
    <row r="403" spans="1:8">
      <c r="A403" s="4" t="s">
        <v>608</v>
      </c>
      <c r="B403" s="2" t="s">
        <v>275</v>
      </c>
      <c r="C403" s="2" t="s">
        <v>276</v>
      </c>
      <c r="D403" s="4" t="s">
        <v>7</v>
      </c>
      <c r="E403" s="2" t="s">
        <v>277</v>
      </c>
      <c r="F403" s="6">
        <v>46148.297013888892</v>
      </c>
      <c r="G403" t="s">
        <v>367</v>
      </c>
      <c r="H403" t="s">
        <v>2009</v>
      </c>
    </row>
    <row r="404" spans="1:8">
      <c r="A404" s="3" t="s">
        <v>609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46140.598749999997</v>
      </c>
      <c r="G404" t="s">
        <v>367</v>
      </c>
      <c r="H404" t="s">
        <v>2009</v>
      </c>
    </row>
    <row r="405" spans="1:8">
      <c r="A405" s="4" t="s">
        <v>610</v>
      </c>
      <c r="B405" s="2" t="s">
        <v>6</v>
      </c>
      <c r="C405" s="2" t="s">
        <v>6</v>
      </c>
      <c r="D405" s="4" t="s">
        <v>7</v>
      </c>
      <c r="E405" s="2" t="s">
        <v>8</v>
      </c>
      <c r="F405" s="6">
        <v>46148.444606481484</v>
      </c>
      <c r="G405" t="s">
        <v>367</v>
      </c>
      <c r="H405" t="s">
        <v>2009</v>
      </c>
    </row>
    <row r="406" spans="1:8">
      <c r="A406" s="3" t="s">
        <v>611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46141.305509259262</v>
      </c>
      <c r="G406" t="s">
        <v>367</v>
      </c>
      <c r="H406" t="s">
        <v>2009</v>
      </c>
    </row>
    <row r="407" spans="1:8">
      <c r="A407" s="4" t="s">
        <v>612</v>
      </c>
      <c r="B407" s="2" t="s">
        <v>12</v>
      </c>
      <c r="C407" s="2" t="s">
        <v>13</v>
      </c>
      <c r="D407" s="4" t="s">
        <v>7</v>
      </c>
      <c r="E407" s="2" t="s">
        <v>14</v>
      </c>
      <c r="F407" s="6">
        <v>46141.307835648149</v>
      </c>
      <c r="G407" t="s">
        <v>367</v>
      </c>
      <c r="H407" t="s">
        <v>2009</v>
      </c>
    </row>
    <row r="408" spans="1:8">
      <c r="A408" s="3" t="s">
        <v>613</v>
      </c>
      <c r="B408" s="1" t="s">
        <v>12</v>
      </c>
      <c r="C408" s="1" t="s">
        <v>13</v>
      </c>
      <c r="D408" s="3" t="s">
        <v>7</v>
      </c>
      <c r="E408" s="1" t="s">
        <v>14</v>
      </c>
      <c r="F408" s="5">
        <v>46137.457337962966</v>
      </c>
      <c r="G408" t="s">
        <v>367</v>
      </c>
      <c r="H408" t="s">
        <v>2009</v>
      </c>
    </row>
    <row r="409" spans="1:8">
      <c r="A409" s="4" t="s">
        <v>614</v>
      </c>
      <c r="B409" s="2" t="s">
        <v>9</v>
      </c>
      <c r="C409" s="2" t="s">
        <v>10</v>
      </c>
      <c r="D409" s="4" t="s">
        <v>7</v>
      </c>
      <c r="E409" s="2" t="s">
        <v>11</v>
      </c>
      <c r="F409" s="6">
        <v>46154.349791666667</v>
      </c>
      <c r="G409" t="s">
        <v>367</v>
      </c>
      <c r="H409" t="s">
        <v>2009</v>
      </c>
    </row>
    <row r="410" spans="1:8">
      <c r="A410" s="3" t="s">
        <v>615</v>
      </c>
      <c r="B410" s="1" t="s">
        <v>650</v>
      </c>
      <c r="C410" s="1" t="s">
        <v>651</v>
      </c>
      <c r="D410" s="3" t="s">
        <v>7</v>
      </c>
      <c r="E410" s="1" t="s">
        <v>647</v>
      </c>
      <c r="F410" s="5">
        <v>46136.439120370371</v>
      </c>
      <c r="G410" t="s">
        <v>367</v>
      </c>
      <c r="H410" t="s">
        <v>2009</v>
      </c>
    </row>
    <row r="411" spans="1:8">
      <c r="A411" s="4" t="s">
        <v>616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46136.346574074072</v>
      </c>
      <c r="G411" t="s">
        <v>367</v>
      </c>
      <c r="H411" t="s">
        <v>2009</v>
      </c>
    </row>
    <row r="412" spans="1:8">
      <c r="A412" s="3" t="s">
        <v>617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46136.355844907404</v>
      </c>
      <c r="G412" t="s">
        <v>367</v>
      </c>
      <c r="H412" t="s">
        <v>2009</v>
      </c>
    </row>
    <row r="413" spans="1:8">
      <c r="A413" s="4" t="s">
        <v>618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46154.319108796299</v>
      </c>
      <c r="G413" t="s">
        <v>367</v>
      </c>
      <c r="H413" t="s">
        <v>2009</v>
      </c>
    </row>
    <row r="414" spans="1:8">
      <c r="A414" s="3" t="s">
        <v>619</v>
      </c>
      <c r="B414" s="1" t="s">
        <v>6</v>
      </c>
      <c r="C414" s="1" t="s">
        <v>6</v>
      </c>
      <c r="D414" s="3" t="s">
        <v>7</v>
      </c>
      <c r="E414" s="1" t="s">
        <v>8</v>
      </c>
      <c r="F414" s="5">
        <v>46149.36755787037</v>
      </c>
      <c r="G414" t="s">
        <v>367</v>
      </c>
      <c r="H414" t="s">
        <v>2009</v>
      </c>
    </row>
    <row r="415" spans="1:8">
      <c r="A415" s="4" t="s">
        <v>620</v>
      </c>
      <c r="B415" s="2" t="s">
        <v>650</v>
      </c>
      <c r="C415" s="2" t="s">
        <v>651</v>
      </c>
      <c r="D415" s="4" t="s">
        <v>7</v>
      </c>
      <c r="E415" s="2" t="s">
        <v>647</v>
      </c>
      <c r="F415" s="6">
        <v>46140.280092592591</v>
      </c>
      <c r="G415" t="s">
        <v>367</v>
      </c>
      <c r="H415" t="s">
        <v>2009</v>
      </c>
    </row>
    <row r="416" spans="1:8">
      <c r="A416" s="3" t="s">
        <v>621</v>
      </c>
      <c r="B416" s="1" t="s">
        <v>6</v>
      </c>
      <c r="C416" s="1" t="s">
        <v>6</v>
      </c>
      <c r="D416" s="3" t="s">
        <v>7</v>
      </c>
      <c r="E416" s="1" t="s">
        <v>8</v>
      </c>
      <c r="F416" s="5">
        <v>46149.368321759262</v>
      </c>
      <c r="G416" t="s">
        <v>367</v>
      </c>
      <c r="H416" t="s">
        <v>2009</v>
      </c>
    </row>
    <row r="417" spans="1:8">
      <c r="A417" s="4" t="s">
        <v>622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46137.456296296295</v>
      </c>
      <c r="G417" t="s">
        <v>367</v>
      </c>
      <c r="H417" t="s">
        <v>2009</v>
      </c>
    </row>
    <row r="418" spans="1:8">
      <c r="A418" s="3" t="s">
        <v>623</v>
      </c>
      <c r="B418" s="1" t="s">
        <v>12</v>
      </c>
      <c r="C418" s="1" t="s">
        <v>13</v>
      </c>
      <c r="D418" s="3" t="s">
        <v>7</v>
      </c>
      <c r="E418" s="1" t="s">
        <v>14</v>
      </c>
      <c r="F418" s="5">
        <v>46141.307997685188</v>
      </c>
      <c r="G418" t="s">
        <v>367</v>
      </c>
      <c r="H418" t="s">
        <v>2009</v>
      </c>
    </row>
    <row r="419" spans="1:8">
      <c r="A419" s="4" t="s">
        <v>624</v>
      </c>
      <c r="B419" s="2" t="s">
        <v>9</v>
      </c>
      <c r="C419" s="2" t="s">
        <v>10</v>
      </c>
      <c r="D419" s="4" t="s">
        <v>7</v>
      </c>
      <c r="E419" s="2" t="s">
        <v>11</v>
      </c>
      <c r="F419" s="6">
        <v>46154.362800925926</v>
      </c>
      <c r="G419" t="s">
        <v>367</v>
      </c>
      <c r="H419" t="s">
        <v>2009</v>
      </c>
    </row>
    <row r="420" spans="1:8">
      <c r="A420" s="3" t="s">
        <v>625</v>
      </c>
      <c r="B420" s="1" t="s">
        <v>12</v>
      </c>
      <c r="C420" s="1" t="s">
        <v>13</v>
      </c>
      <c r="D420" s="3" t="s">
        <v>7</v>
      </c>
      <c r="E420" s="1" t="s">
        <v>14</v>
      </c>
      <c r="F420" s="5">
        <v>46136.427291666667</v>
      </c>
      <c r="G420" t="s">
        <v>367</v>
      </c>
      <c r="H420" t="s">
        <v>2009</v>
      </c>
    </row>
    <row r="421" spans="1:8">
      <c r="A421" s="4" t="s">
        <v>626</v>
      </c>
      <c r="B421" s="2" t="s">
        <v>6</v>
      </c>
      <c r="C421" s="2" t="s">
        <v>6</v>
      </c>
      <c r="D421" s="4" t="s">
        <v>7</v>
      </c>
      <c r="E421" s="2" t="s">
        <v>8</v>
      </c>
      <c r="F421" s="6">
        <v>46147.393900462965</v>
      </c>
      <c r="G421" t="s">
        <v>367</v>
      </c>
      <c r="H421" t="s">
        <v>2009</v>
      </c>
    </row>
    <row r="422" spans="1:8">
      <c r="A422" s="3" t="s">
        <v>627</v>
      </c>
      <c r="B422" s="1" t="s">
        <v>650</v>
      </c>
      <c r="C422" s="1" t="s">
        <v>651</v>
      </c>
      <c r="D422" s="3" t="s">
        <v>7</v>
      </c>
      <c r="E422" s="1" t="s">
        <v>647</v>
      </c>
      <c r="F422" s="5">
        <v>46140.313530092593</v>
      </c>
      <c r="G422" t="s">
        <v>367</v>
      </c>
      <c r="H422" t="s">
        <v>2009</v>
      </c>
    </row>
    <row r="423" spans="1:8">
      <c r="A423" s="4" t="s">
        <v>628</v>
      </c>
      <c r="B423" s="2" t="s">
        <v>12</v>
      </c>
      <c r="C423" s="2" t="s">
        <v>13</v>
      </c>
      <c r="D423" s="4" t="s">
        <v>7</v>
      </c>
      <c r="E423" s="2" t="s">
        <v>14</v>
      </c>
      <c r="F423" s="6">
        <v>46141.306909722225</v>
      </c>
      <c r="G423" t="s">
        <v>367</v>
      </c>
      <c r="H423" t="s">
        <v>2009</v>
      </c>
    </row>
    <row r="424" spans="1:8">
      <c r="A424" s="3" t="s">
        <v>629</v>
      </c>
      <c r="B424" s="1" t="s">
        <v>650</v>
      </c>
      <c r="C424" s="1" t="s">
        <v>651</v>
      </c>
      <c r="D424" s="3" t="s">
        <v>7</v>
      </c>
      <c r="E424" s="1" t="s">
        <v>647</v>
      </c>
      <c r="F424" s="5">
        <v>46140.313819444447</v>
      </c>
      <c r="G424" t="s">
        <v>367</v>
      </c>
      <c r="H424" t="s">
        <v>2009</v>
      </c>
    </row>
    <row r="425" spans="1:8">
      <c r="A425" s="4" t="s">
        <v>630</v>
      </c>
      <c r="B425" s="2" t="s">
        <v>650</v>
      </c>
      <c r="C425" s="2" t="s">
        <v>651</v>
      </c>
      <c r="D425" s="4" t="s">
        <v>7</v>
      </c>
      <c r="E425" s="2" t="s">
        <v>647</v>
      </c>
      <c r="F425" s="6">
        <v>46141.307071759256</v>
      </c>
      <c r="G425" t="s">
        <v>367</v>
      </c>
      <c r="H425" t="s">
        <v>2009</v>
      </c>
    </row>
    <row r="426" spans="1:8">
      <c r="A426" s="3" t="s">
        <v>631</v>
      </c>
      <c r="B426" s="1" t="s">
        <v>650</v>
      </c>
      <c r="C426" s="1" t="s">
        <v>651</v>
      </c>
      <c r="D426" s="3" t="s">
        <v>7</v>
      </c>
      <c r="E426" s="1" t="s">
        <v>647</v>
      </c>
      <c r="F426" s="5">
        <v>46141.507847222223</v>
      </c>
      <c r="G426" t="s">
        <v>367</v>
      </c>
      <c r="H426" t="s">
        <v>2009</v>
      </c>
    </row>
    <row r="427" spans="1:8">
      <c r="A427" s="4" t="s">
        <v>632</v>
      </c>
      <c r="B427" s="2" t="s">
        <v>650</v>
      </c>
      <c r="C427" s="2" t="s">
        <v>651</v>
      </c>
      <c r="D427" s="4" t="s">
        <v>7</v>
      </c>
      <c r="E427" s="2" t="s">
        <v>647</v>
      </c>
      <c r="F427" s="6">
        <v>46135.631909722222</v>
      </c>
      <c r="G427" t="s">
        <v>367</v>
      </c>
      <c r="H427" t="s">
        <v>2009</v>
      </c>
    </row>
    <row r="428" spans="1:8">
      <c r="A428" s="3" t="s">
        <v>633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46155.352986111109</v>
      </c>
      <c r="G428" t="s">
        <v>367</v>
      </c>
      <c r="H428" t="s">
        <v>2009</v>
      </c>
    </row>
    <row r="429" spans="1:8">
      <c r="A429" s="4" t="s">
        <v>634</v>
      </c>
      <c r="B429" s="2" t="s">
        <v>650</v>
      </c>
      <c r="C429" s="2" t="s">
        <v>651</v>
      </c>
      <c r="D429" s="4" t="s">
        <v>7</v>
      </c>
      <c r="E429" s="2" t="s">
        <v>647</v>
      </c>
      <c r="F429" s="6">
        <v>46135.632222222222</v>
      </c>
      <c r="G429" t="s">
        <v>367</v>
      </c>
      <c r="H429" t="s">
        <v>2009</v>
      </c>
    </row>
    <row r="430" spans="1:8">
      <c r="A430" s="3" t="s">
        <v>635</v>
      </c>
      <c r="B430" s="1" t="s">
        <v>6</v>
      </c>
      <c r="C430" s="1" t="s">
        <v>6</v>
      </c>
      <c r="D430" s="3" t="s">
        <v>7</v>
      </c>
      <c r="E430" s="1" t="s">
        <v>8</v>
      </c>
      <c r="F430" s="5">
        <v>46153.297546296293</v>
      </c>
      <c r="G430" t="s">
        <v>367</v>
      </c>
      <c r="H430" t="s">
        <v>2009</v>
      </c>
    </row>
    <row r="431" spans="1:8">
      <c r="A431" s="4" t="s">
        <v>636</v>
      </c>
      <c r="B431" s="2" t="s">
        <v>12</v>
      </c>
      <c r="C431" s="2" t="s">
        <v>13</v>
      </c>
      <c r="D431" s="4" t="s">
        <v>7</v>
      </c>
      <c r="E431" s="2" t="s">
        <v>14</v>
      </c>
      <c r="F431" s="6">
        <v>46136.361307870371</v>
      </c>
      <c r="G431" t="s">
        <v>367</v>
      </c>
      <c r="H431" t="s">
        <v>2009</v>
      </c>
    </row>
    <row r="432" spans="1:8">
      <c r="A432" s="3" t="s">
        <v>637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46136.36010416667</v>
      </c>
      <c r="G432" t="s">
        <v>367</v>
      </c>
      <c r="H432" t="s">
        <v>2009</v>
      </c>
    </row>
    <row r="433" spans="1:8">
      <c r="A433" s="4" t="s">
        <v>638</v>
      </c>
      <c r="B433" s="2" t="s">
        <v>6</v>
      </c>
      <c r="C433" s="2" t="s">
        <v>6</v>
      </c>
      <c r="D433" s="4" t="s">
        <v>7</v>
      </c>
      <c r="E433" s="2" t="s">
        <v>8</v>
      </c>
      <c r="F433" s="6">
        <v>46154.521747685183</v>
      </c>
      <c r="G433" t="s">
        <v>367</v>
      </c>
      <c r="H433" t="s">
        <v>2009</v>
      </c>
    </row>
    <row r="434" spans="1:8">
      <c r="A434" s="3" t="s">
        <v>639</v>
      </c>
      <c r="B434" s="1" t="s">
        <v>9</v>
      </c>
      <c r="C434" s="1" t="s">
        <v>10</v>
      </c>
      <c r="D434" s="3" t="s">
        <v>7</v>
      </c>
      <c r="E434" s="1" t="s">
        <v>11</v>
      </c>
      <c r="F434" s="5">
        <v>46154.354687500003</v>
      </c>
      <c r="G434" t="s">
        <v>367</v>
      </c>
      <c r="H434" t="s">
        <v>2009</v>
      </c>
    </row>
    <row r="435" spans="1:8">
      <c r="A435" s="4" t="s">
        <v>640</v>
      </c>
      <c r="B435" s="2" t="s">
        <v>12</v>
      </c>
      <c r="C435" s="2" t="s">
        <v>13</v>
      </c>
      <c r="D435" s="4" t="s">
        <v>7</v>
      </c>
      <c r="E435" s="2" t="s">
        <v>14</v>
      </c>
      <c r="F435" s="6">
        <v>46141.307627314818</v>
      </c>
      <c r="G435" t="s">
        <v>367</v>
      </c>
      <c r="H435" t="s">
        <v>2009</v>
      </c>
    </row>
    <row r="436" spans="1:8">
      <c r="A436" s="3" t="s">
        <v>641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46141.307314814818</v>
      </c>
      <c r="G436" t="s">
        <v>367</v>
      </c>
      <c r="H436" t="s">
        <v>2009</v>
      </c>
    </row>
    <row r="437" spans="1:8">
      <c r="A437" s="4" t="s">
        <v>642</v>
      </c>
      <c r="B437" s="2" t="s">
        <v>650</v>
      </c>
      <c r="C437" s="2" t="s">
        <v>651</v>
      </c>
      <c r="D437" s="4" t="s">
        <v>7</v>
      </c>
      <c r="E437" s="2" t="s">
        <v>647</v>
      </c>
      <c r="F437" s="6">
        <v>46140.599004629628</v>
      </c>
      <c r="G437" t="s">
        <v>367</v>
      </c>
      <c r="H437" t="s">
        <v>2009</v>
      </c>
    </row>
    <row r="438" spans="1:8">
      <c r="A438" s="3" t="s">
        <v>377</v>
      </c>
      <c r="B438" s="1" t="s">
        <v>12</v>
      </c>
      <c r="C438" s="1" t="s">
        <v>13</v>
      </c>
      <c r="D438" s="3" t="s">
        <v>7</v>
      </c>
      <c r="E438" s="1" t="s">
        <v>14</v>
      </c>
      <c r="F438" s="5">
        <v>46120.58222222222</v>
      </c>
      <c r="G438" t="s">
        <v>368</v>
      </c>
      <c r="H438" t="s">
        <v>237</v>
      </c>
    </row>
    <row r="439" spans="1:8">
      <c r="A439" s="4" t="s">
        <v>378</v>
      </c>
      <c r="B439" s="2" t="s">
        <v>98</v>
      </c>
      <c r="C439" s="2" t="s">
        <v>99</v>
      </c>
      <c r="D439" s="4" t="s">
        <v>7</v>
      </c>
      <c r="E439" s="2" t="s">
        <v>100</v>
      </c>
      <c r="F439" s="6">
        <v>46120.312557870369</v>
      </c>
      <c r="G439" t="s">
        <v>368</v>
      </c>
      <c r="H439" t="s">
        <v>237</v>
      </c>
    </row>
    <row r="440" spans="1:8">
      <c r="A440" s="3" t="s">
        <v>379</v>
      </c>
      <c r="B440" s="1" t="s">
        <v>12</v>
      </c>
      <c r="C440" s="1" t="s">
        <v>13</v>
      </c>
      <c r="D440" s="3" t="s">
        <v>7</v>
      </c>
      <c r="E440" s="1" t="s">
        <v>14</v>
      </c>
      <c r="F440" s="5">
        <v>46123.236793981479</v>
      </c>
      <c r="G440" t="s">
        <v>368</v>
      </c>
      <c r="H440" t="s">
        <v>237</v>
      </c>
    </row>
    <row r="441" spans="1:8">
      <c r="A441" s="4" t="s">
        <v>380</v>
      </c>
      <c r="B441" s="2" t="s">
        <v>9</v>
      </c>
      <c r="C441" s="2" t="s">
        <v>10</v>
      </c>
      <c r="D441" s="4" t="s">
        <v>7</v>
      </c>
      <c r="E441" s="2" t="s">
        <v>11</v>
      </c>
      <c r="F441" s="6">
        <v>46146.475694444445</v>
      </c>
      <c r="G441" t="s">
        <v>368</v>
      </c>
      <c r="H441" t="s">
        <v>237</v>
      </c>
    </row>
    <row r="442" spans="1:8">
      <c r="A442" s="3" t="s">
        <v>381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46154.553483796299</v>
      </c>
      <c r="G442" t="s">
        <v>368</v>
      </c>
      <c r="H442" t="s">
        <v>237</v>
      </c>
    </row>
    <row r="443" spans="1:8">
      <c r="A443" s="4" t="s">
        <v>382</v>
      </c>
      <c r="B443" s="2" t="s">
        <v>275</v>
      </c>
      <c r="C443" s="2" t="s">
        <v>276</v>
      </c>
      <c r="D443" s="4" t="s">
        <v>7</v>
      </c>
      <c r="E443" s="2" t="s">
        <v>277</v>
      </c>
      <c r="F443" s="6">
        <v>46128.59302083333</v>
      </c>
      <c r="G443" t="s">
        <v>368</v>
      </c>
      <c r="H443" t="s">
        <v>237</v>
      </c>
    </row>
    <row r="444" spans="1:8">
      <c r="A444" s="3" t="s">
        <v>383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46121.292071759257</v>
      </c>
      <c r="G444" t="s">
        <v>368</v>
      </c>
      <c r="H444" t="s">
        <v>237</v>
      </c>
    </row>
    <row r="445" spans="1:8">
      <c r="A445" s="4" t="s">
        <v>384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46129.361400462964</v>
      </c>
      <c r="G445" t="s">
        <v>368</v>
      </c>
      <c r="H445" t="s">
        <v>237</v>
      </c>
    </row>
    <row r="446" spans="1:8">
      <c r="A446" s="3" t="s">
        <v>385</v>
      </c>
      <c r="B446" s="1" t="s">
        <v>98</v>
      </c>
      <c r="C446" s="1" t="s">
        <v>99</v>
      </c>
      <c r="D446" s="3" t="s">
        <v>7</v>
      </c>
      <c r="E446" s="1" t="s">
        <v>100</v>
      </c>
      <c r="F446" s="5">
        <v>46119.518043981479</v>
      </c>
      <c r="G446" t="s">
        <v>368</v>
      </c>
      <c r="H446" t="s">
        <v>237</v>
      </c>
    </row>
    <row r="447" spans="1:8">
      <c r="A447" s="4" t="s">
        <v>386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46148.444490740738</v>
      </c>
      <c r="G447" t="s">
        <v>368</v>
      </c>
      <c r="H447" t="s">
        <v>237</v>
      </c>
    </row>
    <row r="448" spans="1:8">
      <c r="A448" s="3" t="s">
        <v>387</v>
      </c>
      <c r="B448" s="1" t="s">
        <v>6</v>
      </c>
      <c r="C448" s="1" t="s">
        <v>6</v>
      </c>
      <c r="D448" s="3" t="s">
        <v>7</v>
      </c>
      <c r="E448" s="1" t="s">
        <v>8</v>
      </c>
      <c r="F448" s="5">
        <v>46154.264594907407</v>
      </c>
      <c r="G448" t="s">
        <v>368</v>
      </c>
      <c r="H448" t="s">
        <v>237</v>
      </c>
    </row>
    <row r="449" spans="1:8">
      <c r="A449" s="4" t="s">
        <v>388</v>
      </c>
      <c r="B449" s="2" t="s">
        <v>98</v>
      </c>
      <c r="C449" s="2" t="s">
        <v>99</v>
      </c>
      <c r="D449" s="4" t="s">
        <v>7</v>
      </c>
      <c r="E449" s="2" t="s">
        <v>100</v>
      </c>
      <c r="F449" s="6">
        <v>46119.518622685187</v>
      </c>
      <c r="G449" t="s">
        <v>368</v>
      </c>
      <c r="H449" t="s">
        <v>237</v>
      </c>
    </row>
    <row r="450" spans="1:8">
      <c r="A450" s="3" t="s">
        <v>389</v>
      </c>
      <c r="B450" s="1" t="s">
        <v>9</v>
      </c>
      <c r="C450" s="1" t="s">
        <v>10</v>
      </c>
      <c r="D450" s="3" t="s">
        <v>7</v>
      </c>
      <c r="E450" s="1" t="s">
        <v>11</v>
      </c>
      <c r="F450" s="5">
        <v>46129.45616898148</v>
      </c>
      <c r="G450" t="s">
        <v>368</v>
      </c>
      <c r="H450" t="s">
        <v>237</v>
      </c>
    </row>
    <row r="451" spans="1:8">
      <c r="A451" s="4" t="s">
        <v>390</v>
      </c>
      <c r="B451" s="2" t="s">
        <v>9</v>
      </c>
      <c r="C451" s="2" t="s">
        <v>10</v>
      </c>
      <c r="D451" s="4" t="s">
        <v>7</v>
      </c>
      <c r="E451" s="2" t="s">
        <v>11</v>
      </c>
      <c r="F451" s="6">
        <v>46189.250706018516</v>
      </c>
      <c r="G451" t="s">
        <v>368</v>
      </c>
      <c r="H451" t="s">
        <v>237</v>
      </c>
    </row>
    <row r="452" spans="1:8">
      <c r="A452" s="3" t="s">
        <v>391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46129.373692129629</v>
      </c>
      <c r="G452" t="s">
        <v>368</v>
      </c>
      <c r="H452" t="s">
        <v>237</v>
      </c>
    </row>
    <row r="453" spans="1:8">
      <c r="A453" s="4" t="s">
        <v>392</v>
      </c>
      <c r="B453" s="2" t="s">
        <v>6</v>
      </c>
      <c r="C453" s="2" t="s">
        <v>6</v>
      </c>
      <c r="D453" s="4" t="s">
        <v>7</v>
      </c>
      <c r="E453" s="2" t="s">
        <v>8</v>
      </c>
      <c r="F453" s="6">
        <v>46150.322905092595</v>
      </c>
      <c r="G453" t="s">
        <v>368</v>
      </c>
      <c r="H453" t="s">
        <v>237</v>
      </c>
    </row>
    <row r="454" spans="1:8">
      <c r="A454" s="3" t="s">
        <v>393</v>
      </c>
      <c r="B454" s="1" t="s">
        <v>12</v>
      </c>
      <c r="C454" s="1" t="s">
        <v>13</v>
      </c>
      <c r="D454" s="3" t="s">
        <v>7</v>
      </c>
      <c r="E454" s="1" t="s">
        <v>14</v>
      </c>
      <c r="F454" s="5">
        <v>46135.419918981483</v>
      </c>
      <c r="G454" t="s">
        <v>368</v>
      </c>
      <c r="H454" t="s">
        <v>237</v>
      </c>
    </row>
    <row r="455" spans="1:8">
      <c r="A455" s="4" t="s">
        <v>394</v>
      </c>
      <c r="B455" s="2" t="s">
        <v>9</v>
      </c>
      <c r="C455" s="2" t="s">
        <v>10</v>
      </c>
      <c r="D455" s="4" t="s">
        <v>7</v>
      </c>
      <c r="E455" s="2" t="s">
        <v>11</v>
      </c>
      <c r="F455" s="6">
        <v>46121.279189814813</v>
      </c>
      <c r="G455" t="s">
        <v>368</v>
      </c>
      <c r="H455" t="s">
        <v>237</v>
      </c>
    </row>
    <row r="456" spans="1:8">
      <c r="A456" s="3" t="s">
        <v>395</v>
      </c>
      <c r="B456" s="1" t="s">
        <v>12</v>
      </c>
      <c r="C456" s="1" t="s">
        <v>13</v>
      </c>
      <c r="D456" s="3" t="s">
        <v>7</v>
      </c>
      <c r="E456" s="1" t="s">
        <v>14</v>
      </c>
      <c r="F456" s="5">
        <v>46123.244375000002</v>
      </c>
      <c r="G456" t="s">
        <v>368</v>
      </c>
      <c r="H456" t="s">
        <v>237</v>
      </c>
    </row>
    <row r="457" spans="1:8">
      <c r="A457" s="4" t="s">
        <v>396</v>
      </c>
      <c r="B457" s="2" t="s">
        <v>12</v>
      </c>
      <c r="C457" s="2" t="s">
        <v>13</v>
      </c>
      <c r="D457" s="4" t="s">
        <v>7</v>
      </c>
      <c r="E457" s="2" t="s">
        <v>14</v>
      </c>
      <c r="F457" s="6">
        <v>46129.362349537034</v>
      </c>
      <c r="G457" t="s">
        <v>368</v>
      </c>
      <c r="H457" t="s">
        <v>237</v>
      </c>
    </row>
    <row r="458" spans="1:8">
      <c r="A458" s="3" t="s">
        <v>397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46134.270590277774</v>
      </c>
      <c r="G458" t="s">
        <v>368</v>
      </c>
      <c r="H458" t="s">
        <v>237</v>
      </c>
    </row>
    <row r="459" spans="1:8">
      <c r="A459" s="4" t="s">
        <v>398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46119.517685185187</v>
      </c>
      <c r="G459" t="s">
        <v>368</v>
      </c>
      <c r="H459" t="s">
        <v>237</v>
      </c>
    </row>
    <row r="460" spans="1:8">
      <c r="A460" s="3" t="s">
        <v>399</v>
      </c>
      <c r="B460" s="1" t="s">
        <v>9</v>
      </c>
      <c r="C460" s="1" t="s">
        <v>10</v>
      </c>
      <c r="D460" s="3" t="s">
        <v>7</v>
      </c>
      <c r="E460" s="1" t="s">
        <v>11</v>
      </c>
      <c r="F460" s="5">
        <v>46119.3593287037</v>
      </c>
      <c r="G460" t="s">
        <v>368</v>
      </c>
      <c r="H460" t="s">
        <v>237</v>
      </c>
    </row>
    <row r="461" spans="1:8">
      <c r="A461" s="4" t="s">
        <v>400</v>
      </c>
      <c r="B461" s="2" t="s">
        <v>6</v>
      </c>
      <c r="C461" s="2" t="s">
        <v>6</v>
      </c>
      <c r="D461" s="4" t="s">
        <v>7</v>
      </c>
      <c r="E461" s="2" t="s">
        <v>8</v>
      </c>
      <c r="F461" s="6">
        <v>46147.373414351852</v>
      </c>
      <c r="G461" t="s">
        <v>368</v>
      </c>
      <c r="H461" t="s">
        <v>237</v>
      </c>
    </row>
    <row r="462" spans="1:8">
      <c r="A462" s="3" t="s">
        <v>401</v>
      </c>
      <c r="B462" s="1" t="s">
        <v>9</v>
      </c>
      <c r="C462" s="1" t="s">
        <v>10</v>
      </c>
      <c r="D462" s="3" t="s">
        <v>7</v>
      </c>
      <c r="E462" s="1" t="s">
        <v>11</v>
      </c>
      <c r="F462" s="5">
        <v>46119.367696759262</v>
      </c>
      <c r="G462" t="s">
        <v>368</v>
      </c>
      <c r="H462" t="s">
        <v>237</v>
      </c>
    </row>
    <row r="463" spans="1:8">
      <c r="A463" s="4" t="s">
        <v>402</v>
      </c>
      <c r="B463" s="2" t="s">
        <v>9</v>
      </c>
      <c r="C463" s="2" t="s">
        <v>10</v>
      </c>
      <c r="D463" s="4" t="s">
        <v>7</v>
      </c>
      <c r="E463" s="2" t="s">
        <v>11</v>
      </c>
      <c r="F463" s="6">
        <v>46119.357951388891</v>
      </c>
      <c r="G463" t="s">
        <v>368</v>
      </c>
      <c r="H463" t="s">
        <v>237</v>
      </c>
    </row>
    <row r="464" spans="1:8">
      <c r="A464" s="3" t="s">
        <v>403</v>
      </c>
      <c r="B464" s="1" t="s">
        <v>12</v>
      </c>
      <c r="C464" s="1" t="s">
        <v>13</v>
      </c>
      <c r="D464" s="3" t="s">
        <v>7</v>
      </c>
      <c r="E464" s="1" t="s">
        <v>14</v>
      </c>
      <c r="F464" s="5">
        <v>46129.578819444447</v>
      </c>
      <c r="G464" t="s">
        <v>368</v>
      </c>
      <c r="H464" t="s">
        <v>237</v>
      </c>
    </row>
    <row r="465" spans="1:8">
      <c r="A465" s="4" t="s">
        <v>404</v>
      </c>
      <c r="B465" s="2" t="s">
        <v>98</v>
      </c>
      <c r="C465" s="2" t="s">
        <v>99</v>
      </c>
      <c r="D465" s="4" t="s">
        <v>7</v>
      </c>
      <c r="E465" s="2" t="s">
        <v>100</v>
      </c>
      <c r="F465" s="6">
        <v>46119.519409722219</v>
      </c>
      <c r="G465" t="s">
        <v>368</v>
      </c>
      <c r="H465" t="s">
        <v>237</v>
      </c>
    </row>
    <row r="466" spans="1:8">
      <c r="A466" s="3" t="s">
        <v>405</v>
      </c>
      <c r="B466" s="1" t="s">
        <v>6</v>
      </c>
      <c r="C466" s="1" t="s">
        <v>6</v>
      </c>
      <c r="D466" s="3" t="s">
        <v>7</v>
      </c>
      <c r="E466" s="1" t="s">
        <v>8</v>
      </c>
      <c r="F466" s="5">
        <v>46147.375138888892</v>
      </c>
      <c r="G466" t="s">
        <v>368</v>
      </c>
      <c r="H466" t="s">
        <v>237</v>
      </c>
    </row>
    <row r="467" spans="1:8">
      <c r="A467" s="4" t="s">
        <v>406</v>
      </c>
      <c r="B467" s="2" t="s">
        <v>9</v>
      </c>
      <c r="C467" s="2" t="s">
        <v>10</v>
      </c>
      <c r="D467" s="4" t="s">
        <v>7</v>
      </c>
      <c r="E467" s="2" t="s">
        <v>11</v>
      </c>
      <c r="F467" s="6">
        <v>46122.291631944441</v>
      </c>
      <c r="G467" t="s">
        <v>368</v>
      </c>
      <c r="H467" t="s">
        <v>237</v>
      </c>
    </row>
    <row r="468" spans="1:8">
      <c r="A468" s="3" t="s">
        <v>407</v>
      </c>
      <c r="B468" s="1" t="s">
        <v>12</v>
      </c>
      <c r="C468" s="1" t="s">
        <v>13</v>
      </c>
      <c r="D468" s="3" t="s">
        <v>7</v>
      </c>
      <c r="E468" s="1" t="s">
        <v>14</v>
      </c>
      <c r="F468" s="5">
        <v>46123.244212962964</v>
      </c>
      <c r="G468" t="s">
        <v>368</v>
      </c>
      <c r="H468" t="s">
        <v>237</v>
      </c>
    </row>
    <row r="469" spans="1:8">
      <c r="A469" s="4" t="s">
        <v>408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46147.373622685183</v>
      </c>
      <c r="G469" t="s">
        <v>368</v>
      </c>
      <c r="H469" t="s">
        <v>237</v>
      </c>
    </row>
    <row r="470" spans="1:8">
      <c r="A470" s="3" t="s">
        <v>409</v>
      </c>
      <c r="B470" s="1" t="s">
        <v>98</v>
      </c>
      <c r="C470" s="1" t="s">
        <v>99</v>
      </c>
      <c r="D470" s="3" t="s">
        <v>7</v>
      </c>
      <c r="E470" s="1" t="s">
        <v>100</v>
      </c>
      <c r="F470" s="5">
        <v>46169.47148148148</v>
      </c>
      <c r="G470" t="s">
        <v>368</v>
      </c>
      <c r="H470" t="s">
        <v>237</v>
      </c>
    </row>
    <row r="471" spans="1:8">
      <c r="A471" s="4" t="s">
        <v>410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46122.297326388885</v>
      </c>
      <c r="G471" t="s">
        <v>368</v>
      </c>
      <c r="H471" t="s">
        <v>237</v>
      </c>
    </row>
    <row r="472" spans="1:8">
      <c r="A472" s="3" t="s">
        <v>411</v>
      </c>
      <c r="B472" s="1" t="s">
        <v>905</v>
      </c>
      <c r="C472" s="1" t="s">
        <v>906</v>
      </c>
      <c r="D472" s="3" t="s">
        <v>7</v>
      </c>
      <c r="E472" s="1" t="s">
        <v>647</v>
      </c>
      <c r="F472" s="5">
        <v>46148.378576388888</v>
      </c>
      <c r="G472" t="s">
        <v>368</v>
      </c>
      <c r="H472" t="s">
        <v>237</v>
      </c>
    </row>
    <row r="473" spans="1:8">
      <c r="A473" s="4" t="s">
        <v>412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46154.401736111111</v>
      </c>
      <c r="G473" t="s">
        <v>368</v>
      </c>
      <c r="H473" t="s">
        <v>237</v>
      </c>
    </row>
    <row r="474" spans="1:8">
      <c r="A474" s="3" t="s">
        <v>413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46153.296620370369</v>
      </c>
      <c r="G474" t="s">
        <v>368</v>
      </c>
      <c r="H474" t="s">
        <v>237</v>
      </c>
    </row>
    <row r="475" spans="1:8">
      <c r="A475" s="4" t="s">
        <v>414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46154.266388888886</v>
      </c>
      <c r="G475" t="s">
        <v>368</v>
      </c>
      <c r="H475" t="s">
        <v>237</v>
      </c>
    </row>
    <row r="476" spans="1:8">
      <c r="A476" s="3" t="s">
        <v>415</v>
      </c>
      <c r="B476" s="1" t="s">
        <v>9</v>
      </c>
      <c r="C476" s="1" t="s">
        <v>10</v>
      </c>
      <c r="D476" s="3" t="s">
        <v>7</v>
      </c>
      <c r="E476" s="1" t="s">
        <v>11</v>
      </c>
      <c r="F476" s="5">
        <v>46154.273981481485</v>
      </c>
      <c r="G476" t="s">
        <v>368</v>
      </c>
      <c r="H476" t="s">
        <v>237</v>
      </c>
    </row>
    <row r="477" spans="1:8">
      <c r="A477" s="4" t="s">
        <v>416</v>
      </c>
      <c r="B477" s="2" t="s">
        <v>9</v>
      </c>
      <c r="C477" s="2" t="s">
        <v>10</v>
      </c>
      <c r="D477" s="4" t="s">
        <v>7</v>
      </c>
      <c r="E477" s="2" t="s">
        <v>11</v>
      </c>
      <c r="F477" s="6">
        <v>46120.577210648145</v>
      </c>
      <c r="G477" t="s">
        <v>368</v>
      </c>
      <c r="H477" t="s">
        <v>237</v>
      </c>
    </row>
    <row r="478" spans="1:8">
      <c r="A478" s="3" t="s">
        <v>417</v>
      </c>
      <c r="B478" s="1" t="s">
        <v>9</v>
      </c>
      <c r="C478" s="1" t="s">
        <v>10</v>
      </c>
      <c r="D478" s="3" t="s">
        <v>7</v>
      </c>
      <c r="E478" s="1" t="s">
        <v>11</v>
      </c>
      <c r="F478" s="5">
        <v>46127.334768518522</v>
      </c>
      <c r="G478" t="s">
        <v>368</v>
      </c>
      <c r="H478" t="s">
        <v>237</v>
      </c>
    </row>
    <row r="479" spans="1:8">
      <c r="A479" s="4" t="s">
        <v>418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46154.266192129631</v>
      </c>
      <c r="G479" t="s">
        <v>368</v>
      </c>
      <c r="H479" t="s">
        <v>237</v>
      </c>
    </row>
    <row r="480" spans="1:8">
      <c r="A480" s="3" t="s">
        <v>419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46149.367280092592</v>
      </c>
      <c r="G480" t="s">
        <v>368</v>
      </c>
      <c r="H480" t="s">
        <v>237</v>
      </c>
    </row>
    <row r="481" spans="1:8">
      <c r="A481" s="4" t="s">
        <v>420</v>
      </c>
      <c r="B481" s="2" t="s">
        <v>6</v>
      </c>
      <c r="C481" s="2" t="s">
        <v>6</v>
      </c>
      <c r="D481" s="4" t="s">
        <v>7</v>
      </c>
      <c r="E481" s="2" t="s">
        <v>8</v>
      </c>
      <c r="F481" s="6">
        <v>46148.444768518515</v>
      </c>
      <c r="G481" t="s">
        <v>368</v>
      </c>
      <c r="H481" t="s">
        <v>237</v>
      </c>
    </row>
    <row r="482" spans="1:8">
      <c r="A482" s="3" t="s">
        <v>421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46135.472060185188</v>
      </c>
      <c r="G482" t="s">
        <v>368</v>
      </c>
      <c r="H482" t="s">
        <v>237</v>
      </c>
    </row>
    <row r="483" spans="1:8">
      <c r="A483" s="4" t="s">
        <v>422</v>
      </c>
      <c r="B483" s="2" t="s">
        <v>275</v>
      </c>
      <c r="C483" s="2" t="s">
        <v>276</v>
      </c>
      <c r="D483" s="4" t="s">
        <v>7</v>
      </c>
      <c r="E483" s="2" t="s">
        <v>277</v>
      </c>
      <c r="F483" s="6">
        <v>46128.578194444446</v>
      </c>
      <c r="G483" t="s">
        <v>368</v>
      </c>
      <c r="H483" t="s">
        <v>237</v>
      </c>
    </row>
    <row r="484" spans="1:8">
      <c r="A484" s="3" t="s">
        <v>423</v>
      </c>
      <c r="B484" s="1" t="s">
        <v>12</v>
      </c>
      <c r="C484" s="1" t="s">
        <v>13</v>
      </c>
      <c r="D484" s="3" t="s">
        <v>7</v>
      </c>
      <c r="E484" s="1" t="s">
        <v>14</v>
      </c>
      <c r="F484" s="5">
        <v>46134.441111111111</v>
      </c>
      <c r="G484" t="s">
        <v>368</v>
      </c>
      <c r="H484" t="s">
        <v>237</v>
      </c>
    </row>
    <row r="485" spans="1:8">
      <c r="A485" s="4" t="s">
        <v>424</v>
      </c>
      <c r="B485" s="2" t="s">
        <v>6</v>
      </c>
      <c r="C485" s="2" t="s">
        <v>6</v>
      </c>
      <c r="D485" s="4" t="s">
        <v>7</v>
      </c>
      <c r="E485" s="2" t="s">
        <v>8</v>
      </c>
      <c r="F485" s="6">
        <v>46149.368784722225</v>
      </c>
      <c r="G485" t="s">
        <v>368</v>
      </c>
      <c r="H485" t="s">
        <v>237</v>
      </c>
    </row>
    <row r="486" spans="1:8">
      <c r="A486" s="3" t="s">
        <v>425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46150.324259259258</v>
      </c>
      <c r="G486" t="s">
        <v>368</v>
      </c>
      <c r="H486" t="s">
        <v>237</v>
      </c>
    </row>
    <row r="487" spans="1:8">
      <c r="A487" s="4" t="s">
        <v>426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46123.24659722222</v>
      </c>
      <c r="G487" t="s">
        <v>368</v>
      </c>
      <c r="H487" t="s">
        <v>237</v>
      </c>
    </row>
    <row r="488" spans="1:8">
      <c r="A488" s="3" t="s">
        <v>427</v>
      </c>
      <c r="B488" s="1" t="s">
        <v>12</v>
      </c>
      <c r="C488" s="1" t="s">
        <v>13</v>
      </c>
      <c r="D488" s="3" t="s">
        <v>7</v>
      </c>
      <c r="E488" s="1" t="s">
        <v>14</v>
      </c>
      <c r="F488" s="5">
        <v>46121.637488425928</v>
      </c>
      <c r="G488" t="s">
        <v>368</v>
      </c>
      <c r="H488" t="s">
        <v>237</v>
      </c>
    </row>
    <row r="489" spans="1:8">
      <c r="A489" s="4" t="s">
        <v>428</v>
      </c>
      <c r="B489" s="2" t="s">
        <v>9</v>
      </c>
      <c r="C489" s="2" t="s">
        <v>10</v>
      </c>
      <c r="D489" s="4" t="s">
        <v>7</v>
      </c>
      <c r="E489" s="2" t="s">
        <v>11</v>
      </c>
      <c r="F489" s="6">
        <v>46146.477118055554</v>
      </c>
      <c r="G489" t="s">
        <v>368</v>
      </c>
      <c r="H489" t="s">
        <v>237</v>
      </c>
    </row>
    <row r="490" spans="1:8">
      <c r="A490" s="3" t="s">
        <v>429</v>
      </c>
      <c r="B490" s="1" t="s">
        <v>6</v>
      </c>
      <c r="C490" s="1" t="s">
        <v>6</v>
      </c>
      <c r="D490" s="3" t="s">
        <v>7</v>
      </c>
      <c r="E490" s="1" t="s">
        <v>8</v>
      </c>
      <c r="F490" s="5">
        <v>46153.433819444443</v>
      </c>
      <c r="G490" t="s">
        <v>368</v>
      </c>
      <c r="H490" t="s">
        <v>237</v>
      </c>
    </row>
    <row r="491" spans="1:8">
      <c r="A491" s="4" t="s">
        <v>430</v>
      </c>
      <c r="B491" s="2" t="s">
        <v>12</v>
      </c>
      <c r="C491" s="2" t="s">
        <v>13</v>
      </c>
      <c r="D491" s="4" t="s">
        <v>7</v>
      </c>
      <c r="E491" s="2" t="s">
        <v>14</v>
      </c>
      <c r="F491" s="6">
        <v>46123.246701388889</v>
      </c>
      <c r="G491" t="s">
        <v>368</v>
      </c>
      <c r="H491" t="s">
        <v>237</v>
      </c>
    </row>
    <row r="492" spans="1:8">
      <c r="A492" s="3" t="s">
        <v>431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46147.39466435185</v>
      </c>
      <c r="G492" t="s">
        <v>368</v>
      </c>
      <c r="H492" t="s">
        <v>237</v>
      </c>
    </row>
    <row r="493" spans="1:8">
      <c r="A493" s="4" t="s">
        <v>432</v>
      </c>
      <c r="B493" s="2" t="s">
        <v>12</v>
      </c>
      <c r="C493" s="2" t="s">
        <v>13</v>
      </c>
      <c r="D493" s="4" t="s">
        <v>7</v>
      </c>
      <c r="E493" s="2" t="s">
        <v>14</v>
      </c>
      <c r="F493" s="6">
        <v>46123.241828703707</v>
      </c>
      <c r="G493" t="s">
        <v>368</v>
      </c>
      <c r="H493" t="s">
        <v>237</v>
      </c>
    </row>
    <row r="494" spans="1:8">
      <c r="A494" s="3" t="s">
        <v>433</v>
      </c>
      <c r="B494" s="1" t="s">
        <v>9</v>
      </c>
      <c r="C494" s="1" t="s">
        <v>10</v>
      </c>
      <c r="D494" s="3" t="s">
        <v>7</v>
      </c>
      <c r="E494" s="1" t="s">
        <v>11</v>
      </c>
      <c r="F494" s="5">
        <v>46122.27920138889</v>
      </c>
      <c r="G494" t="s">
        <v>368</v>
      </c>
      <c r="H494" t="s">
        <v>237</v>
      </c>
    </row>
    <row r="495" spans="1:8">
      <c r="A495" s="4" t="s">
        <v>434</v>
      </c>
      <c r="B495" s="2" t="s">
        <v>6</v>
      </c>
      <c r="C495" s="2" t="s">
        <v>6</v>
      </c>
      <c r="D495" s="4" t="s">
        <v>7</v>
      </c>
      <c r="E495" s="2" t="s">
        <v>8</v>
      </c>
      <c r="F495" s="6">
        <v>46149.369432870371</v>
      </c>
      <c r="G495" t="s">
        <v>368</v>
      </c>
      <c r="H495" t="s">
        <v>237</v>
      </c>
    </row>
    <row r="496" spans="1:8">
      <c r="A496" s="3" t="s">
        <v>435</v>
      </c>
      <c r="B496" s="1" t="s">
        <v>12</v>
      </c>
      <c r="C496" s="1" t="s">
        <v>13</v>
      </c>
      <c r="D496" s="3" t="s">
        <v>7</v>
      </c>
      <c r="E496" s="1" t="s">
        <v>14</v>
      </c>
      <c r="F496" s="5">
        <v>46123.241932870369</v>
      </c>
      <c r="G496" t="s">
        <v>368</v>
      </c>
      <c r="H496" t="s">
        <v>237</v>
      </c>
    </row>
    <row r="497" spans="1:8">
      <c r="A497" s="4" t="s">
        <v>436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46154.404131944444</v>
      </c>
      <c r="G497" t="s">
        <v>368</v>
      </c>
      <c r="H497" t="s">
        <v>237</v>
      </c>
    </row>
    <row r="498" spans="1:8">
      <c r="A498" s="3" t="s">
        <v>437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46153.504201388889</v>
      </c>
      <c r="G498" t="s">
        <v>368</v>
      </c>
      <c r="H498" t="s">
        <v>237</v>
      </c>
    </row>
    <row r="499" spans="1:8">
      <c r="A499" s="4" t="s">
        <v>438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46150.390104166669</v>
      </c>
      <c r="G499" t="s">
        <v>368</v>
      </c>
      <c r="H499" t="s">
        <v>237</v>
      </c>
    </row>
    <row r="500" spans="1:8">
      <c r="A500" s="3" t="s">
        <v>439</v>
      </c>
      <c r="B500" s="1" t="s">
        <v>12</v>
      </c>
      <c r="C500" s="1" t="s">
        <v>13</v>
      </c>
      <c r="D500" s="3" t="s">
        <v>7</v>
      </c>
      <c r="E500" s="1" t="s">
        <v>14</v>
      </c>
      <c r="F500" s="5">
        <v>46135.48846064815</v>
      </c>
      <c r="G500" t="s">
        <v>368</v>
      </c>
      <c r="H500" t="s">
        <v>237</v>
      </c>
    </row>
    <row r="501" spans="1:8">
      <c r="A501" s="4" t="s">
        <v>440</v>
      </c>
      <c r="B501" s="2" t="s">
        <v>9</v>
      </c>
      <c r="C501" s="2" t="s">
        <v>10</v>
      </c>
      <c r="D501" s="4" t="s">
        <v>7</v>
      </c>
      <c r="E501" s="2" t="s">
        <v>11</v>
      </c>
      <c r="F501" s="6">
        <v>46146.476550925923</v>
      </c>
      <c r="G501" t="s">
        <v>368</v>
      </c>
      <c r="H501" t="s">
        <v>237</v>
      </c>
    </row>
    <row r="502" spans="1:8">
      <c r="A502" s="3" t="s">
        <v>441</v>
      </c>
      <c r="B502" s="1" t="s">
        <v>9</v>
      </c>
      <c r="C502" s="1" t="s">
        <v>10</v>
      </c>
      <c r="D502" s="3" t="s">
        <v>7</v>
      </c>
      <c r="E502" s="1" t="s">
        <v>11</v>
      </c>
      <c r="F502" s="5">
        <v>46122.284016203703</v>
      </c>
      <c r="G502" t="s">
        <v>368</v>
      </c>
      <c r="H502" t="s">
        <v>237</v>
      </c>
    </row>
    <row r="503" spans="1:8">
      <c r="A503" s="4" t="s">
        <v>442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46157.459050925929</v>
      </c>
      <c r="G503" t="s">
        <v>368</v>
      </c>
      <c r="H503" t="s">
        <v>237</v>
      </c>
    </row>
    <row r="504" spans="1:8">
      <c r="A504" s="3" t="s">
        <v>443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46156.474421296298</v>
      </c>
      <c r="G504" t="s">
        <v>368</v>
      </c>
      <c r="H504" t="s">
        <v>237</v>
      </c>
    </row>
    <row r="505" spans="1:8">
      <c r="A505" s="4" t="s">
        <v>444</v>
      </c>
      <c r="B505" s="2" t="s">
        <v>6</v>
      </c>
      <c r="C505" s="2" t="s">
        <v>6</v>
      </c>
      <c r="D505" s="4" t="s">
        <v>7</v>
      </c>
      <c r="E505" s="2" t="s">
        <v>8</v>
      </c>
      <c r="F505" s="6">
        <v>46149.560914351852</v>
      </c>
      <c r="G505" t="s">
        <v>368</v>
      </c>
      <c r="H505" t="s">
        <v>237</v>
      </c>
    </row>
    <row r="506" spans="1:8">
      <c r="A506" s="3" t="s">
        <v>445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46149.559675925928</v>
      </c>
      <c r="G506" t="s">
        <v>368</v>
      </c>
      <c r="H506" t="s">
        <v>237</v>
      </c>
    </row>
    <row r="507" spans="1:8">
      <c r="A507" s="4" t="s">
        <v>446</v>
      </c>
      <c r="B507" s="2" t="s">
        <v>6</v>
      </c>
      <c r="C507" s="2" t="s">
        <v>6</v>
      </c>
      <c r="D507" s="4" t="s">
        <v>7</v>
      </c>
      <c r="E507" s="2" t="s">
        <v>8</v>
      </c>
      <c r="F507" s="6">
        <v>46150.391250000001</v>
      </c>
      <c r="G507" t="s">
        <v>368</v>
      </c>
      <c r="H507" t="s">
        <v>237</v>
      </c>
    </row>
    <row r="508" spans="1:8">
      <c r="A508" s="3" t="s">
        <v>447</v>
      </c>
      <c r="B508" s="1" t="s">
        <v>6</v>
      </c>
      <c r="C508" s="1" t="s">
        <v>6</v>
      </c>
      <c r="D508" s="3" t="s">
        <v>7</v>
      </c>
      <c r="E508" s="1" t="s">
        <v>8</v>
      </c>
      <c r="F508" s="5">
        <v>46140.311099537037</v>
      </c>
      <c r="G508" t="s">
        <v>368</v>
      </c>
      <c r="H508" t="s">
        <v>237</v>
      </c>
    </row>
    <row r="509" spans="1:8">
      <c r="A509" s="4" t="s">
        <v>448</v>
      </c>
      <c r="B509" s="2" t="s">
        <v>6</v>
      </c>
      <c r="C509" s="2" t="s">
        <v>6</v>
      </c>
      <c r="D509" s="4" t="s">
        <v>7</v>
      </c>
      <c r="E509" s="2" t="s">
        <v>8</v>
      </c>
      <c r="F509" s="6">
        <v>46153.435381944444</v>
      </c>
      <c r="G509" t="s">
        <v>368</v>
      </c>
      <c r="H509" t="s">
        <v>237</v>
      </c>
    </row>
    <row r="510" spans="1:8">
      <c r="A510" s="3" t="s">
        <v>449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46156.505520833336</v>
      </c>
      <c r="G510" t="s">
        <v>368</v>
      </c>
      <c r="H510" t="s">
        <v>237</v>
      </c>
    </row>
    <row r="511" spans="1:8">
      <c r="A511" s="4" t="s">
        <v>450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46128.623622685183</v>
      </c>
      <c r="G511" t="s">
        <v>368</v>
      </c>
      <c r="H511" t="s">
        <v>237</v>
      </c>
    </row>
    <row r="512" spans="1:8">
      <c r="A512" s="3" t="s">
        <v>451</v>
      </c>
      <c r="B512" s="1" t="s">
        <v>6</v>
      </c>
      <c r="C512" s="1" t="s">
        <v>6</v>
      </c>
      <c r="D512" s="3" t="s">
        <v>7</v>
      </c>
      <c r="E512" s="1" t="s">
        <v>8</v>
      </c>
      <c r="F512" s="5">
        <v>46140.309259259258</v>
      </c>
      <c r="G512" t="s">
        <v>368</v>
      </c>
      <c r="H512" t="s">
        <v>237</v>
      </c>
    </row>
    <row r="513" spans="1:8">
      <c r="A513" s="4" t="s">
        <v>452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46136.306377314817</v>
      </c>
      <c r="G513" t="s">
        <v>368</v>
      </c>
      <c r="H513" t="s">
        <v>237</v>
      </c>
    </row>
    <row r="514" spans="1:8">
      <c r="A514" s="3" t="s">
        <v>453</v>
      </c>
      <c r="B514" s="1" t="s">
        <v>9</v>
      </c>
      <c r="C514" s="1" t="s">
        <v>10</v>
      </c>
      <c r="D514" s="3" t="s">
        <v>7</v>
      </c>
      <c r="E514" s="1" t="s">
        <v>11</v>
      </c>
      <c r="F514" s="5">
        <v>46126.590138888889</v>
      </c>
      <c r="G514" t="s">
        <v>368</v>
      </c>
      <c r="H514" t="s">
        <v>237</v>
      </c>
    </row>
    <row r="515" spans="1:8">
      <c r="A515" s="4" t="s">
        <v>454</v>
      </c>
      <c r="B515" s="2" t="s">
        <v>12</v>
      </c>
      <c r="C515" s="2" t="s">
        <v>13</v>
      </c>
      <c r="D515" s="4" t="s">
        <v>7</v>
      </c>
      <c r="E515" s="2" t="s">
        <v>14</v>
      </c>
      <c r="F515" s="6">
        <v>46134.410995370374</v>
      </c>
      <c r="G515" t="s">
        <v>368</v>
      </c>
      <c r="H515" t="s">
        <v>237</v>
      </c>
    </row>
    <row r="516" spans="1:8">
      <c r="A516" s="3" t="s">
        <v>455</v>
      </c>
      <c r="B516" s="1" t="s">
        <v>6</v>
      </c>
      <c r="C516" s="1" t="s">
        <v>6</v>
      </c>
      <c r="D516" s="3" t="s">
        <v>7</v>
      </c>
      <c r="E516" s="1" t="s">
        <v>8</v>
      </c>
      <c r="F516" s="5">
        <v>46154.576967592591</v>
      </c>
      <c r="G516" t="s">
        <v>368</v>
      </c>
      <c r="H516" t="s">
        <v>237</v>
      </c>
    </row>
    <row r="517" spans="1:8">
      <c r="A517" s="4" t="s">
        <v>456</v>
      </c>
      <c r="B517" s="2" t="s">
        <v>12</v>
      </c>
      <c r="C517" s="2" t="s">
        <v>13</v>
      </c>
      <c r="D517" s="4" t="s">
        <v>7</v>
      </c>
      <c r="E517" s="2" t="s">
        <v>14</v>
      </c>
      <c r="F517" s="6">
        <v>46135.302071759259</v>
      </c>
      <c r="G517" t="s">
        <v>368</v>
      </c>
      <c r="H517" t="s">
        <v>237</v>
      </c>
    </row>
    <row r="518" spans="1:8">
      <c r="A518" s="3" t="s">
        <v>457</v>
      </c>
      <c r="B518" s="1" t="s">
        <v>12</v>
      </c>
      <c r="C518" s="1" t="s">
        <v>13</v>
      </c>
      <c r="D518" s="3" t="s">
        <v>7</v>
      </c>
      <c r="E518" s="1" t="s">
        <v>14</v>
      </c>
      <c r="F518" s="5">
        <v>46134.442199074074</v>
      </c>
      <c r="G518" t="s">
        <v>368</v>
      </c>
      <c r="H518" t="s">
        <v>237</v>
      </c>
    </row>
    <row r="519" spans="1:8">
      <c r="A519" s="4" t="s">
        <v>458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46135.440960648149</v>
      </c>
      <c r="G519" t="s">
        <v>368</v>
      </c>
      <c r="H519" t="s">
        <v>237</v>
      </c>
    </row>
    <row r="520" spans="1:8">
      <c r="A520" s="3" t="s">
        <v>459</v>
      </c>
      <c r="B520" s="1" t="s">
        <v>6</v>
      </c>
      <c r="C520" s="1" t="s">
        <v>6</v>
      </c>
      <c r="D520" s="3" t="s">
        <v>7</v>
      </c>
      <c r="E520" s="1" t="s">
        <v>8</v>
      </c>
      <c r="F520" s="5">
        <v>46154.577280092592</v>
      </c>
      <c r="G520" t="s">
        <v>368</v>
      </c>
      <c r="H520" t="s">
        <v>237</v>
      </c>
    </row>
    <row r="521" spans="1:8">
      <c r="A521" s="4" t="s">
        <v>460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46140.308935185189</v>
      </c>
      <c r="G521" t="s">
        <v>368</v>
      </c>
      <c r="H521" t="s">
        <v>237</v>
      </c>
    </row>
    <row r="522" spans="1:8">
      <c r="A522" s="3" t="s">
        <v>461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46134.44835648148</v>
      </c>
      <c r="G522" t="s">
        <v>368</v>
      </c>
      <c r="H522" t="s">
        <v>237</v>
      </c>
    </row>
    <row r="523" spans="1:8">
      <c r="A523" s="4" t="s">
        <v>462</v>
      </c>
      <c r="B523" s="2" t="s">
        <v>6</v>
      </c>
      <c r="C523" s="2" t="s">
        <v>6</v>
      </c>
      <c r="D523" s="4" t="s">
        <v>7</v>
      </c>
      <c r="E523" s="2" t="s">
        <v>8</v>
      </c>
      <c r="F523" s="6">
        <v>46149.560717592591</v>
      </c>
      <c r="G523" t="s">
        <v>368</v>
      </c>
      <c r="H523" t="s">
        <v>237</v>
      </c>
    </row>
    <row r="524" spans="1:8">
      <c r="A524" s="3" t="s">
        <v>463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46127.37090277778</v>
      </c>
      <c r="G524" t="s">
        <v>368</v>
      </c>
      <c r="H524" t="s">
        <v>237</v>
      </c>
    </row>
    <row r="525" spans="1:8">
      <c r="A525" s="4" t="s">
        <v>464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46134.44568287037</v>
      </c>
      <c r="G525" t="s">
        <v>368</v>
      </c>
      <c r="H525" t="s">
        <v>237</v>
      </c>
    </row>
    <row r="526" spans="1:8">
      <c r="A526" s="3" t="s">
        <v>465</v>
      </c>
      <c r="B526" s="1" t="s">
        <v>12</v>
      </c>
      <c r="C526" s="1" t="s">
        <v>13</v>
      </c>
      <c r="D526" s="3" t="s">
        <v>7</v>
      </c>
      <c r="E526" s="1" t="s">
        <v>14</v>
      </c>
      <c r="F526" s="5">
        <v>46135.484930555554</v>
      </c>
      <c r="G526" t="s">
        <v>368</v>
      </c>
      <c r="H526" t="s">
        <v>237</v>
      </c>
    </row>
    <row r="527" spans="1:8">
      <c r="A527" s="4" t="s">
        <v>466</v>
      </c>
      <c r="B527" s="2" t="s">
        <v>6</v>
      </c>
      <c r="C527" s="2" t="s">
        <v>6</v>
      </c>
      <c r="D527" s="4" t="s">
        <v>7</v>
      </c>
      <c r="E527" s="2" t="s">
        <v>8</v>
      </c>
      <c r="F527" s="6">
        <v>46153.43414351852</v>
      </c>
      <c r="G527" t="s">
        <v>368</v>
      </c>
      <c r="H527" t="s">
        <v>237</v>
      </c>
    </row>
    <row r="528" spans="1:8">
      <c r="A528" s="3" t="s">
        <v>467</v>
      </c>
      <c r="B528" s="1" t="s">
        <v>12</v>
      </c>
      <c r="C528" s="1" t="s">
        <v>13</v>
      </c>
      <c r="D528" s="3" t="s">
        <v>7</v>
      </c>
      <c r="E528" s="1" t="s">
        <v>14</v>
      </c>
      <c r="F528" s="5">
        <v>46134.476956018516</v>
      </c>
      <c r="G528" t="s">
        <v>368</v>
      </c>
      <c r="H528" t="s">
        <v>237</v>
      </c>
    </row>
    <row r="529" spans="1:8">
      <c r="A529" s="4" t="s">
        <v>468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46134.454351851855</v>
      </c>
      <c r="G529" t="s">
        <v>368</v>
      </c>
      <c r="H529" t="s">
        <v>237</v>
      </c>
    </row>
    <row r="530" spans="1:8">
      <c r="A530" s="3" t="s">
        <v>469</v>
      </c>
      <c r="B530" s="1" t="s">
        <v>6</v>
      </c>
      <c r="C530" s="1" t="s">
        <v>6</v>
      </c>
      <c r="D530" s="3" t="s">
        <v>7</v>
      </c>
      <c r="E530" s="1" t="s">
        <v>8</v>
      </c>
      <c r="F530" s="5">
        <v>46153.298020833332</v>
      </c>
      <c r="G530" t="s">
        <v>368</v>
      </c>
      <c r="H530" t="s">
        <v>237</v>
      </c>
    </row>
    <row r="531" spans="1:8">
      <c r="A531" s="4" t="s">
        <v>470</v>
      </c>
      <c r="B531" s="2" t="s">
        <v>12</v>
      </c>
      <c r="C531" s="2" t="s">
        <v>13</v>
      </c>
      <c r="D531" s="4" t="s">
        <v>7</v>
      </c>
      <c r="E531" s="2" t="s">
        <v>14</v>
      </c>
      <c r="F531" s="6">
        <v>46134.480810185189</v>
      </c>
      <c r="G531" t="s">
        <v>368</v>
      </c>
      <c r="H531" t="s">
        <v>237</v>
      </c>
    </row>
    <row r="532" spans="1:8">
      <c r="A532" s="3" t="s">
        <v>471</v>
      </c>
      <c r="B532" s="1" t="s">
        <v>9</v>
      </c>
      <c r="C532" s="1" t="s">
        <v>10</v>
      </c>
      <c r="D532" s="3" t="s">
        <v>7</v>
      </c>
      <c r="E532" s="1" t="s">
        <v>11</v>
      </c>
      <c r="F532" s="5">
        <v>46127.354062500002</v>
      </c>
      <c r="G532" t="s">
        <v>368</v>
      </c>
      <c r="H532" t="s">
        <v>237</v>
      </c>
    </row>
    <row r="533" spans="1:8">
      <c r="A533" s="4" t="s">
        <v>472</v>
      </c>
      <c r="B533" s="2" t="s">
        <v>9</v>
      </c>
      <c r="C533" s="2" t="s">
        <v>10</v>
      </c>
      <c r="D533" s="4" t="s">
        <v>7</v>
      </c>
      <c r="E533" s="2" t="s">
        <v>11</v>
      </c>
      <c r="F533" s="6">
        <v>46127.370393518519</v>
      </c>
      <c r="G533" t="s">
        <v>368</v>
      </c>
      <c r="H533" t="s">
        <v>237</v>
      </c>
    </row>
    <row r="534" spans="1:8">
      <c r="A534" s="3" t="s">
        <v>473</v>
      </c>
      <c r="B534" s="1" t="s">
        <v>98</v>
      </c>
      <c r="C534" s="1" t="s">
        <v>99</v>
      </c>
      <c r="D534" s="3" t="s">
        <v>7</v>
      </c>
      <c r="E534" s="1" t="s">
        <v>100</v>
      </c>
      <c r="F534" s="5">
        <v>46169.472638888888</v>
      </c>
      <c r="G534" t="s">
        <v>368</v>
      </c>
      <c r="H534" t="s">
        <v>237</v>
      </c>
    </row>
    <row r="535" spans="1:8">
      <c r="A535" s="4" t="s">
        <v>474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46134.478750000002</v>
      </c>
      <c r="G535" t="s">
        <v>368</v>
      </c>
      <c r="H535" t="s">
        <v>237</v>
      </c>
    </row>
    <row r="536" spans="1:8">
      <c r="A536" s="3" t="s">
        <v>475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46135.449097222219</v>
      </c>
      <c r="G536" t="s">
        <v>368</v>
      </c>
      <c r="H536" t="s">
        <v>237</v>
      </c>
    </row>
    <row r="537" spans="1:8">
      <c r="A537" s="4" t="s">
        <v>476</v>
      </c>
      <c r="B537" s="2" t="s">
        <v>9</v>
      </c>
      <c r="C537" s="2" t="s">
        <v>10</v>
      </c>
      <c r="D537" s="4" t="s">
        <v>7</v>
      </c>
      <c r="E537" s="2" t="s">
        <v>11</v>
      </c>
      <c r="F537" s="6">
        <v>46129.445798611108</v>
      </c>
      <c r="G537" t="s">
        <v>368</v>
      </c>
      <c r="H537" t="s">
        <v>237</v>
      </c>
    </row>
    <row r="538" spans="1:8">
      <c r="A538" s="3" t="s">
        <v>477</v>
      </c>
      <c r="B538" s="1" t="s">
        <v>98</v>
      </c>
      <c r="C538" s="1" t="s">
        <v>99</v>
      </c>
      <c r="D538" s="3" t="s">
        <v>7</v>
      </c>
      <c r="E538" s="1" t="s">
        <v>100</v>
      </c>
      <c r="F538" s="5">
        <v>46169.474189814813</v>
      </c>
      <c r="G538" t="s">
        <v>368</v>
      </c>
      <c r="H538" t="s">
        <v>237</v>
      </c>
    </row>
    <row r="539" spans="1:8">
      <c r="A539" s="4" t="s">
        <v>478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46134.488923611112</v>
      </c>
      <c r="G539" t="s">
        <v>368</v>
      </c>
      <c r="H539" t="s">
        <v>237</v>
      </c>
    </row>
    <row r="540" spans="1:8">
      <c r="A540" s="3" t="s">
        <v>479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46134.482627314814</v>
      </c>
      <c r="G540" t="s">
        <v>368</v>
      </c>
      <c r="H540" t="s">
        <v>237</v>
      </c>
    </row>
    <row r="541" spans="1:8">
      <c r="A541" s="4" t="s">
        <v>480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46129.37222222222</v>
      </c>
      <c r="G541" t="s">
        <v>368</v>
      </c>
      <c r="H541" t="s">
        <v>237</v>
      </c>
    </row>
    <row r="542" spans="1:8">
      <c r="A542" s="3" t="s">
        <v>481</v>
      </c>
      <c r="B542" s="1" t="s">
        <v>275</v>
      </c>
      <c r="C542" s="1" t="s">
        <v>276</v>
      </c>
      <c r="D542" s="3" t="s">
        <v>7</v>
      </c>
      <c r="E542" s="1" t="s">
        <v>277</v>
      </c>
      <c r="F542" s="5">
        <v>46157.458240740743</v>
      </c>
      <c r="G542" t="s">
        <v>368</v>
      </c>
      <c r="H542" t="s">
        <v>237</v>
      </c>
    </row>
    <row r="543" spans="1:8">
      <c r="A543" s="4" t="s">
        <v>482</v>
      </c>
      <c r="B543" s="2" t="s">
        <v>6</v>
      </c>
      <c r="C543" s="2" t="s">
        <v>6</v>
      </c>
      <c r="D543" s="4" t="s">
        <v>7</v>
      </c>
      <c r="E543" s="2" t="s">
        <v>8</v>
      </c>
      <c r="F543" s="6">
        <v>46153.296365740738</v>
      </c>
      <c r="G543" t="s">
        <v>368</v>
      </c>
      <c r="H543" t="s">
        <v>237</v>
      </c>
    </row>
    <row r="544" spans="1:8">
      <c r="A544" s="3" t="s">
        <v>483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46134.492951388886</v>
      </c>
      <c r="G544" t="s">
        <v>368</v>
      </c>
      <c r="H544" t="s">
        <v>237</v>
      </c>
    </row>
    <row r="545" spans="1:8">
      <c r="A545" s="4" t="s">
        <v>484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46134.275335648148</v>
      </c>
      <c r="G545" t="s">
        <v>368</v>
      </c>
      <c r="H545" t="s">
        <v>237</v>
      </c>
    </row>
    <row r="546" spans="1:8">
      <c r="A546" s="3" t="s">
        <v>485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46135.439629629633</v>
      </c>
      <c r="G546" t="s">
        <v>368</v>
      </c>
      <c r="H546" t="s">
        <v>237</v>
      </c>
    </row>
    <row r="547" spans="1:8">
      <c r="A547" s="4" t="s">
        <v>486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46128.6247337963</v>
      </c>
      <c r="G547" t="s">
        <v>368</v>
      </c>
      <c r="H547" t="s">
        <v>237</v>
      </c>
    </row>
    <row r="548" spans="1:8">
      <c r="A548" s="3" t="s">
        <v>487</v>
      </c>
      <c r="B548" s="1" t="s">
        <v>12</v>
      </c>
      <c r="C548" s="1" t="s">
        <v>13</v>
      </c>
      <c r="D548" s="3" t="s">
        <v>7</v>
      </c>
      <c r="E548" s="1" t="s">
        <v>14</v>
      </c>
      <c r="F548" s="5">
        <v>46129.490185185183</v>
      </c>
      <c r="G548" t="s">
        <v>368</v>
      </c>
      <c r="H548" t="s">
        <v>237</v>
      </c>
    </row>
    <row r="549" spans="1:8">
      <c r="A549" s="4" t="s">
        <v>488</v>
      </c>
      <c r="B549" s="2" t="s">
        <v>275</v>
      </c>
      <c r="C549" s="2" t="s">
        <v>276</v>
      </c>
      <c r="D549" s="4" t="s">
        <v>7</v>
      </c>
      <c r="E549" s="2" t="s">
        <v>277</v>
      </c>
      <c r="F549" s="6">
        <v>46128.320104166669</v>
      </c>
      <c r="G549" t="s">
        <v>368</v>
      </c>
      <c r="H549" t="s">
        <v>237</v>
      </c>
    </row>
    <row r="550" spans="1:8">
      <c r="A550" s="3" t="s">
        <v>489</v>
      </c>
      <c r="B550" s="1" t="s">
        <v>9</v>
      </c>
      <c r="C550" s="1" t="s">
        <v>10</v>
      </c>
      <c r="D550" s="3" t="s">
        <v>7</v>
      </c>
      <c r="E550" s="1" t="s">
        <v>11</v>
      </c>
      <c r="F550" s="5">
        <v>46154.305335648147</v>
      </c>
      <c r="G550" t="s">
        <v>368</v>
      </c>
      <c r="H550" t="s">
        <v>237</v>
      </c>
    </row>
    <row r="551" spans="1:8">
      <c r="A551" s="4" t="s">
        <v>490</v>
      </c>
      <c r="B551" s="2" t="s">
        <v>9</v>
      </c>
      <c r="C551" s="2" t="s">
        <v>10</v>
      </c>
      <c r="D551" s="4" t="s">
        <v>7</v>
      </c>
      <c r="E551" s="2" t="s">
        <v>11</v>
      </c>
      <c r="F551" s="6">
        <v>46154.407893518517</v>
      </c>
      <c r="G551" t="s">
        <v>368</v>
      </c>
      <c r="H551" t="s">
        <v>237</v>
      </c>
    </row>
    <row r="552" spans="1:8">
      <c r="A552" s="3" t="s">
        <v>491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46154.282743055555</v>
      </c>
      <c r="G552" t="s">
        <v>368</v>
      </c>
      <c r="H552" t="s">
        <v>237</v>
      </c>
    </row>
    <row r="553" spans="1:8">
      <c r="A553" s="4" t="s">
        <v>492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46134.273368055554</v>
      </c>
      <c r="G553" t="s">
        <v>368</v>
      </c>
      <c r="H553" t="s">
        <v>237</v>
      </c>
    </row>
    <row r="554" spans="1:8">
      <c r="A554" s="3" t="s">
        <v>493</v>
      </c>
      <c r="B554" s="1" t="s">
        <v>275</v>
      </c>
      <c r="C554" s="1" t="s">
        <v>276</v>
      </c>
      <c r="D554" s="3" t="s">
        <v>7</v>
      </c>
      <c r="E554" s="1" t="s">
        <v>277</v>
      </c>
      <c r="F554" s="5">
        <v>46154.576238425929</v>
      </c>
      <c r="G554" t="s">
        <v>368</v>
      </c>
      <c r="H554" t="s">
        <v>237</v>
      </c>
    </row>
    <row r="555" spans="1:8">
      <c r="A555" s="4" t="s">
        <v>494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46154.307939814818</v>
      </c>
      <c r="G555" t="s">
        <v>368</v>
      </c>
      <c r="H555" t="s">
        <v>237</v>
      </c>
    </row>
    <row r="556" spans="1:8">
      <c r="A556" s="3" t="s">
        <v>495</v>
      </c>
      <c r="B556" s="1" t="s">
        <v>275</v>
      </c>
      <c r="C556" s="1" t="s">
        <v>276</v>
      </c>
      <c r="D556" s="3" t="s">
        <v>7</v>
      </c>
      <c r="E556" s="1" t="s">
        <v>277</v>
      </c>
      <c r="F556" s="5">
        <v>46129.450543981482</v>
      </c>
      <c r="G556" t="s">
        <v>368</v>
      </c>
      <c r="H556" t="s">
        <v>237</v>
      </c>
    </row>
    <row r="557" spans="1:8">
      <c r="A557" s="4" t="s">
        <v>496</v>
      </c>
      <c r="B557" s="2" t="s">
        <v>275</v>
      </c>
      <c r="C557" s="2" t="s">
        <v>276</v>
      </c>
      <c r="D557" s="4" t="s">
        <v>7</v>
      </c>
      <c r="E557" s="2" t="s">
        <v>277</v>
      </c>
      <c r="F557" s="6">
        <v>46128.586041666669</v>
      </c>
      <c r="G557" t="s">
        <v>368</v>
      </c>
      <c r="H557" t="s">
        <v>237</v>
      </c>
    </row>
    <row r="558" spans="1:8">
      <c r="A558" s="3" t="s">
        <v>497</v>
      </c>
      <c r="B558" s="1" t="s">
        <v>98</v>
      </c>
      <c r="C558" s="1" t="s">
        <v>99</v>
      </c>
      <c r="D558" s="3" t="s">
        <v>7</v>
      </c>
      <c r="E558" s="1" t="s">
        <v>100</v>
      </c>
      <c r="F558" s="5">
        <v>46169.474895833337</v>
      </c>
      <c r="G558" t="s">
        <v>368</v>
      </c>
      <c r="H558" t="s">
        <v>237</v>
      </c>
    </row>
    <row r="559" spans="1:8">
      <c r="A559" s="4" t="s">
        <v>498</v>
      </c>
      <c r="B559" s="2" t="s">
        <v>12</v>
      </c>
      <c r="C559" s="2" t="s">
        <v>13</v>
      </c>
      <c r="D559" s="4" t="s">
        <v>7</v>
      </c>
      <c r="E559" s="2" t="s">
        <v>14</v>
      </c>
      <c r="F559" s="6">
        <v>46129.479444444441</v>
      </c>
      <c r="G559" t="s">
        <v>368</v>
      </c>
      <c r="H559" t="s">
        <v>237</v>
      </c>
    </row>
    <row r="560" spans="1:8">
      <c r="A560" s="3" t="s">
        <v>499</v>
      </c>
      <c r="B560" s="1" t="s">
        <v>12</v>
      </c>
      <c r="C560" s="1" t="s">
        <v>13</v>
      </c>
      <c r="D560" s="3" t="s">
        <v>7</v>
      </c>
      <c r="E560" s="1" t="s">
        <v>14</v>
      </c>
      <c r="F560" s="5">
        <v>46135.47314814815</v>
      </c>
      <c r="G560" t="s">
        <v>368</v>
      </c>
      <c r="H560" t="s">
        <v>237</v>
      </c>
    </row>
    <row r="561" spans="1:8">
      <c r="A561" s="4" t="s">
        <v>500</v>
      </c>
      <c r="B561" s="2" t="s">
        <v>9</v>
      </c>
      <c r="C561" s="2" t="s">
        <v>10</v>
      </c>
      <c r="D561" s="4" t="s">
        <v>7</v>
      </c>
      <c r="E561" s="2" t="s">
        <v>11</v>
      </c>
      <c r="F561" s="6">
        <v>46154.410277777781</v>
      </c>
      <c r="G561" t="s">
        <v>368</v>
      </c>
      <c r="H561" t="s">
        <v>237</v>
      </c>
    </row>
    <row r="562" spans="1:8">
      <c r="A562" s="3" t="s">
        <v>501</v>
      </c>
      <c r="B562" s="1" t="s">
        <v>9</v>
      </c>
      <c r="C562" s="1" t="s">
        <v>10</v>
      </c>
      <c r="D562" s="3" t="s">
        <v>7</v>
      </c>
      <c r="E562" s="1" t="s">
        <v>11</v>
      </c>
      <c r="F562" s="5">
        <v>46154.413090277776</v>
      </c>
      <c r="G562" t="s">
        <v>368</v>
      </c>
      <c r="H562" t="s">
        <v>237</v>
      </c>
    </row>
    <row r="563" spans="1:8">
      <c r="A563" s="4" t="s">
        <v>502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46129.488993055558</v>
      </c>
      <c r="G563" t="s">
        <v>368</v>
      </c>
      <c r="H563" t="s">
        <v>237</v>
      </c>
    </row>
    <row r="564" spans="1:8">
      <c r="A564" s="3" t="s">
        <v>503</v>
      </c>
      <c r="B564" s="1" t="s">
        <v>648</v>
      </c>
      <c r="C564" s="1" t="s">
        <v>649</v>
      </c>
      <c r="D564" s="3" t="s">
        <v>7</v>
      </c>
      <c r="E564" s="1" t="s">
        <v>14</v>
      </c>
      <c r="F564" s="5">
        <v>46128.527881944443</v>
      </c>
      <c r="G564" t="s">
        <v>368</v>
      </c>
      <c r="H564" t="s">
        <v>237</v>
      </c>
    </row>
    <row r="565" spans="1:8">
      <c r="A565" s="4" t="s">
        <v>504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46127.372511574074</v>
      </c>
      <c r="G565" t="s">
        <v>368</v>
      </c>
      <c r="H565" t="s">
        <v>237</v>
      </c>
    </row>
    <row r="566" spans="1:8">
      <c r="A566" s="3" t="s">
        <v>505</v>
      </c>
      <c r="B566" s="1" t="s">
        <v>653</v>
      </c>
      <c r="C566" s="1" t="s">
        <v>654</v>
      </c>
      <c r="D566" s="3" t="s">
        <v>7</v>
      </c>
      <c r="E566" s="1" t="s">
        <v>647</v>
      </c>
      <c r="F566" s="5">
        <v>46135.336469907408</v>
      </c>
      <c r="G566" t="s">
        <v>368</v>
      </c>
      <c r="H566" t="s">
        <v>237</v>
      </c>
    </row>
    <row r="567" spans="1:8">
      <c r="A567" s="4" t="s">
        <v>506</v>
      </c>
      <c r="B567" s="2" t="s">
        <v>659</v>
      </c>
      <c r="C567" s="2" t="s">
        <v>660</v>
      </c>
      <c r="D567" s="4" t="s">
        <v>7</v>
      </c>
      <c r="E567" s="2" t="s">
        <v>277</v>
      </c>
      <c r="F567" s="6">
        <v>46135.508564814816</v>
      </c>
      <c r="G567" t="s">
        <v>368</v>
      </c>
      <c r="H567" t="s">
        <v>237</v>
      </c>
    </row>
    <row r="568" spans="1:8">
      <c r="A568" s="3" t="s">
        <v>507</v>
      </c>
      <c r="B568" s="1" t="s">
        <v>12</v>
      </c>
      <c r="C568" s="1" t="s">
        <v>13</v>
      </c>
      <c r="D568" s="3" t="s">
        <v>7</v>
      </c>
      <c r="E568" s="1" t="s">
        <v>14</v>
      </c>
      <c r="F568" s="5">
        <v>46134.450370370374</v>
      </c>
      <c r="G568" t="s">
        <v>368</v>
      </c>
      <c r="H568" t="s">
        <v>237</v>
      </c>
    </row>
    <row r="569" spans="1:8">
      <c r="A569" s="4" t="s">
        <v>508</v>
      </c>
      <c r="B569" s="2" t="s">
        <v>12</v>
      </c>
      <c r="C569" s="2" t="s">
        <v>13</v>
      </c>
      <c r="D569" s="4" t="s">
        <v>7</v>
      </c>
      <c r="E569" s="2" t="s">
        <v>14</v>
      </c>
      <c r="F569" s="6">
        <v>46129.57476851852</v>
      </c>
      <c r="G569" t="s">
        <v>368</v>
      </c>
      <c r="H569" t="s">
        <v>237</v>
      </c>
    </row>
    <row r="570" spans="1:8">
      <c r="A570" s="3" t="s">
        <v>1281</v>
      </c>
      <c r="B570" s="1" t="s">
        <v>1657</v>
      </c>
      <c r="C570" s="1" t="s">
        <v>1658</v>
      </c>
      <c r="D570" s="3" t="s">
        <v>7</v>
      </c>
      <c r="E570" s="1" t="s">
        <v>14</v>
      </c>
      <c r="F570" s="5">
        <v>46185.592997685184</v>
      </c>
      <c r="G570" t="s">
        <v>945</v>
      </c>
      <c r="H570" t="s">
        <v>657</v>
      </c>
    </row>
    <row r="571" spans="1:8">
      <c r="A571" s="4" t="s">
        <v>1282</v>
      </c>
      <c r="B571" s="2" t="s">
        <v>1657</v>
      </c>
      <c r="C571" s="2" t="s">
        <v>1658</v>
      </c>
      <c r="D571" s="4" t="s">
        <v>7</v>
      </c>
      <c r="E571" s="2" t="s">
        <v>14</v>
      </c>
      <c r="F571" s="6">
        <v>46185.597094907411</v>
      </c>
      <c r="G571" t="s">
        <v>945</v>
      </c>
      <c r="H571" t="s">
        <v>657</v>
      </c>
    </row>
    <row r="572" spans="1:8">
      <c r="A572" s="3" t="s">
        <v>1283</v>
      </c>
      <c r="B572" s="1" t="s">
        <v>1657</v>
      </c>
      <c r="C572" s="1" t="s">
        <v>1658</v>
      </c>
      <c r="D572" s="3" t="s">
        <v>7</v>
      </c>
      <c r="E572" s="1" t="s">
        <v>14</v>
      </c>
      <c r="F572" s="5">
        <v>46189.416759259257</v>
      </c>
      <c r="G572" t="s">
        <v>945</v>
      </c>
      <c r="H572" t="s">
        <v>657</v>
      </c>
    </row>
    <row r="573" spans="1:8">
      <c r="A573" s="4" t="s">
        <v>1284</v>
      </c>
      <c r="B573" s="2" t="s">
        <v>1657</v>
      </c>
      <c r="C573" s="2" t="s">
        <v>1658</v>
      </c>
      <c r="D573" s="4" t="s">
        <v>7</v>
      </c>
      <c r="E573" s="2" t="s">
        <v>14</v>
      </c>
      <c r="F573" s="6">
        <v>46189.446655092594</v>
      </c>
      <c r="G573" t="s">
        <v>945</v>
      </c>
      <c r="H573" t="s">
        <v>657</v>
      </c>
    </row>
    <row r="574" spans="1:8">
      <c r="A574" s="3" t="s">
        <v>1285</v>
      </c>
      <c r="B574" s="1" t="s">
        <v>1657</v>
      </c>
      <c r="C574" s="1" t="s">
        <v>1658</v>
      </c>
      <c r="D574" s="3" t="s">
        <v>7</v>
      </c>
      <c r="E574" s="1" t="s">
        <v>14</v>
      </c>
      <c r="F574" s="5">
        <v>46189.430694444447</v>
      </c>
      <c r="G574" t="s">
        <v>945</v>
      </c>
      <c r="H574" t="s">
        <v>657</v>
      </c>
    </row>
    <row r="575" spans="1:8">
      <c r="A575" s="4" t="s">
        <v>1286</v>
      </c>
      <c r="B575" s="2" t="s">
        <v>1657</v>
      </c>
      <c r="C575" s="2" t="s">
        <v>1658</v>
      </c>
      <c r="D575" s="4" t="s">
        <v>7</v>
      </c>
      <c r="E575" s="2" t="s">
        <v>14</v>
      </c>
      <c r="F575" s="6">
        <v>46185.492685185185</v>
      </c>
      <c r="G575" t="s">
        <v>945</v>
      </c>
      <c r="H575" t="s">
        <v>657</v>
      </c>
    </row>
    <row r="576" spans="1:8">
      <c r="A576" s="3" t="s">
        <v>1287</v>
      </c>
      <c r="B576" s="1" t="s">
        <v>1657</v>
      </c>
      <c r="C576" s="1" t="s">
        <v>1658</v>
      </c>
      <c r="D576" s="3" t="s">
        <v>7</v>
      </c>
      <c r="E576" s="1" t="s">
        <v>14</v>
      </c>
      <c r="F576" s="5">
        <v>46185.497442129628</v>
      </c>
      <c r="G576" t="s">
        <v>945</v>
      </c>
      <c r="H576" t="s">
        <v>657</v>
      </c>
    </row>
    <row r="577" spans="1:8">
      <c r="A577" s="4" t="s">
        <v>1288</v>
      </c>
      <c r="B577" s="2" t="s">
        <v>1657</v>
      </c>
      <c r="C577" s="2" t="s">
        <v>1658</v>
      </c>
      <c r="D577" s="4" t="s">
        <v>7</v>
      </c>
      <c r="E577" s="2" t="s">
        <v>14</v>
      </c>
      <c r="F577" s="6">
        <v>46189.432962962965</v>
      </c>
      <c r="G577" t="s">
        <v>945</v>
      </c>
      <c r="H577" t="s">
        <v>657</v>
      </c>
    </row>
    <row r="578" spans="1:8">
      <c r="A578" s="3" t="s">
        <v>1289</v>
      </c>
      <c r="B578" s="1" t="s">
        <v>1657</v>
      </c>
      <c r="C578" s="1" t="s">
        <v>1658</v>
      </c>
      <c r="D578" s="3" t="s">
        <v>7</v>
      </c>
      <c r="E578" s="1" t="s">
        <v>14</v>
      </c>
      <c r="F578" s="5">
        <v>46189.436377314814</v>
      </c>
      <c r="G578" t="s">
        <v>945</v>
      </c>
      <c r="H578" t="s">
        <v>657</v>
      </c>
    </row>
    <row r="579" spans="1:8">
      <c r="A579" s="4" t="s">
        <v>1290</v>
      </c>
      <c r="B579" s="2" t="s">
        <v>1657</v>
      </c>
      <c r="C579" s="2" t="s">
        <v>1658</v>
      </c>
      <c r="D579" s="4" t="s">
        <v>7</v>
      </c>
      <c r="E579" s="2" t="s">
        <v>14</v>
      </c>
      <c r="F579" s="6">
        <v>46189.438240740739</v>
      </c>
      <c r="G579" t="s">
        <v>945</v>
      </c>
      <c r="H579" t="s">
        <v>657</v>
      </c>
    </row>
    <row r="580" spans="1:8">
      <c r="A580" s="3" t="s">
        <v>1291</v>
      </c>
      <c r="B580" s="1" t="s">
        <v>1657</v>
      </c>
      <c r="C580" s="1" t="s">
        <v>1658</v>
      </c>
      <c r="D580" s="3" t="s">
        <v>7</v>
      </c>
      <c r="E580" s="1" t="s">
        <v>14</v>
      </c>
      <c r="F580" s="5">
        <v>46189.4137962963</v>
      </c>
      <c r="G580" t="s">
        <v>945</v>
      </c>
      <c r="H580" t="s">
        <v>657</v>
      </c>
    </row>
    <row r="581" spans="1:8">
      <c r="A581" s="4" t="s">
        <v>1292</v>
      </c>
      <c r="B581" s="2" t="s">
        <v>1657</v>
      </c>
      <c r="C581" s="2" t="s">
        <v>1658</v>
      </c>
      <c r="D581" s="4" t="s">
        <v>7</v>
      </c>
      <c r="E581" s="2" t="s">
        <v>14</v>
      </c>
      <c r="F581" s="6">
        <v>46185.517500000002</v>
      </c>
      <c r="G581" t="s">
        <v>945</v>
      </c>
      <c r="H581" t="s">
        <v>657</v>
      </c>
    </row>
    <row r="582" spans="1:8">
      <c r="A582" s="3" t="s">
        <v>1293</v>
      </c>
      <c r="B582" s="1" t="s">
        <v>1657</v>
      </c>
      <c r="C582" s="1" t="s">
        <v>1658</v>
      </c>
      <c r="D582" s="3" t="s">
        <v>7</v>
      </c>
      <c r="E582" s="1" t="s">
        <v>14</v>
      </c>
      <c r="F582" s="5">
        <v>46189.39576388889</v>
      </c>
      <c r="G582" t="s">
        <v>945</v>
      </c>
      <c r="H582" t="s">
        <v>657</v>
      </c>
    </row>
    <row r="583" spans="1:8">
      <c r="A583" s="4" t="s">
        <v>1294</v>
      </c>
      <c r="B583" s="2" t="s">
        <v>1657</v>
      </c>
      <c r="C583" s="2" t="s">
        <v>1658</v>
      </c>
      <c r="D583" s="4" t="s">
        <v>7</v>
      </c>
      <c r="E583" s="2" t="s">
        <v>14</v>
      </c>
      <c r="F583" s="6">
        <v>46189.403692129628</v>
      </c>
      <c r="G583" t="s">
        <v>945</v>
      </c>
      <c r="H583" t="s">
        <v>657</v>
      </c>
    </row>
    <row r="584" spans="1:8">
      <c r="A584" s="3" t="s">
        <v>1295</v>
      </c>
      <c r="B584" s="1" t="s">
        <v>1657</v>
      </c>
      <c r="C584" s="1" t="s">
        <v>1658</v>
      </c>
      <c r="D584" s="3" t="s">
        <v>7</v>
      </c>
      <c r="E584" s="1" t="s">
        <v>14</v>
      </c>
      <c r="F584" s="5">
        <v>46186.304375</v>
      </c>
      <c r="G584" t="s">
        <v>945</v>
      </c>
      <c r="H584" t="s">
        <v>657</v>
      </c>
    </row>
    <row r="585" spans="1:8">
      <c r="A585" s="4" t="s">
        <v>1296</v>
      </c>
      <c r="B585" s="2" t="s">
        <v>1657</v>
      </c>
      <c r="C585" s="2" t="s">
        <v>1658</v>
      </c>
      <c r="D585" s="4" t="s">
        <v>7</v>
      </c>
      <c r="E585" s="2" t="s">
        <v>14</v>
      </c>
      <c r="F585" s="6">
        <v>46189.397546296299</v>
      </c>
      <c r="G585" t="s">
        <v>945</v>
      </c>
      <c r="H585" t="s">
        <v>657</v>
      </c>
    </row>
    <row r="586" spans="1:8">
      <c r="A586" s="3" t="s">
        <v>1297</v>
      </c>
      <c r="B586" s="1" t="s">
        <v>1657</v>
      </c>
      <c r="C586" s="1" t="s">
        <v>1658</v>
      </c>
      <c r="D586" s="3" t="s">
        <v>7</v>
      </c>
      <c r="E586" s="1" t="s">
        <v>14</v>
      </c>
      <c r="F586" s="5">
        <v>46186.287789351853</v>
      </c>
      <c r="G586" t="s">
        <v>945</v>
      </c>
      <c r="H586" t="s">
        <v>657</v>
      </c>
    </row>
    <row r="587" spans="1:8">
      <c r="A587" s="4" t="s">
        <v>1298</v>
      </c>
      <c r="B587" s="2" t="s">
        <v>1657</v>
      </c>
      <c r="C587" s="2" t="s">
        <v>1658</v>
      </c>
      <c r="D587" s="4" t="s">
        <v>7</v>
      </c>
      <c r="E587" s="2" t="s">
        <v>14</v>
      </c>
      <c r="F587" s="6">
        <v>46189.391759259262</v>
      </c>
      <c r="G587" t="s">
        <v>945</v>
      </c>
      <c r="H587" t="s">
        <v>657</v>
      </c>
    </row>
    <row r="588" spans="1:8">
      <c r="A588" s="3" t="s">
        <v>1299</v>
      </c>
      <c r="B588" s="1" t="s">
        <v>1657</v>
      </c>
      <c r="C588" s="1" t="s">
        <v>1658</v>
      </c>
      <c r="D588" s="3" t="s">
        <v>7</v>
      </c>
      <c r="E588" s="1" t="s">
        <v>14</v>
      </c>
      <c r="F588" s="5">
        <v>46189.457430555558</v>
      </c>
      <c r="G588" t="s">
        <v>945</v>
      </c>
      <c r="H588" t="s">
        <v>657</v>
      </c>
    </row>
    <row r="589" spans="1:8">
      <c r="A589" s="4" t="s">
        <v>1300</v>
      </c>
      <c r="B589" s="2" t="s">
        <v>1657</v>
      </c>
      <c r="C589" s="2" t="s">
        <v>1658</v>
      </c>
      <c r="D589" s="4" t="s">
        <v>7</v>
      </c>
      <c r="E589" s="2" t="s">
        <v>14</v>
      </c>
      <c r="F589" s="6">
        <v>46189.383379629631</v>
      </c>
      <c r="G589" t="s">
        <v>945</v>
      </c>
      <c r="H589" t="s">
        <v>657</v>
      </c>
    </row>
    <row r="590" spans="1:8">
      <c r="A590" s="3" t="s">
        <v>1301</v>
      </c>
      <c r="B590" s="1" t="s">
        <v>1657</v>
      </c>
      <c r="C590" s="1" t="s">
        <v>1658</v>
      </c>
      <c r="D590" s="3" t="s">
        <v>7</v>
      </c>
      <c r="E590" s="1" t="s">
        <v>14</v>
      </c>
      <c r="F590" s="5">
        <v>46189.402233796296</v>
      </c>
      <c r="G590" t="s">
        <v>945</v>
      </c>
      <c r="H590" t="s">
        <v>657</v>
      </c>
    </row>
    <row r="591" spans="1:8">
      <c r="A591" s="4" t="s">
        <v>1302</v>
      </c>
      <c r="B591" s="2" t="s">
        <v>1657</v>
      </c>
      <c r="C591" s="2" t="s">
        <v>1658</v>
      </c>
      <c r="D591" s="4" t="s">
        <v>7</v>
      </c>
      <c r="E591" s="2" t="s">
        <v>14</v>
      </c>
      <c r="F591" s="6">
        <v>46189.379641203705</v>
      </c>
      <c r="G591" t="s">
        <v>945</v>
      </c>
      <c r="H591" t="s">
        <v>657</v>
      </c>
    </row>
    <row r="592" spans="1:8">
      <c r="A592" s="3" t="s">
        <v>1303</v>
      </c>
      <c r="B592" s="1" t="s">
        <v>1657</v>
      </c>
      <c r="C592" s="1" t="s">
        <v>1658</v>
      </c>
      <c r="D592" s="3" t="s">
        <v>7</v>
      </c>
      <c r="E592" s="1" t="s">
        <v>14</v>
      </c>
      <c r="F592" s="5">
        <v>46186.276145833333</v>
      </c>
      <c r="G592" t="s">
        <v>945</v>
      </c>
      <c r="H592" t="s">
        <v>657</v>
      </c>
    </row>
    <row r="593" spans="1:8">
      <c r="A593" s="4" t="s">
        <v>1304</v>
      </c>
      <c r="B593" s="2" t="s">
        <v>1657</v>
      </c>
      <c r="C593" s="2" t="s">
        <v>1658</v>
      </c>
      <c r="D593" s="4" t="s">
        <v>7</v>
      </c>
      <c r="E593" s="2" t="s">
        <v>14</v>
      </c>
      <c r="F593" s="6">
        <v>46186.27851851852</v>
      </c>
      <c r="G593" t="s">
        <v>945</v>
      </c>
      <c r="H593" t="s">
        <v>657</v>
      </c>
    </row>
    <row r="594" spans="1:8">
      <c r="A594" s="3" t="s">
        <v>1305</v>
      </c>
      <c r="B594" s="1" t="s">
        <v>1657</v>
      </c>
      <c r="C594" s="1" t="s">
        <v>1658</v>
      </c>
      <c r="D594" s="3" t="s">
        <v>7</v>
      </c>
      <c r="E594" s="1" t="s">
        <v>14</v>
      </c>
      <c r="F594" s="5">
        <v>46189.400821759256</v>
      </c>
      <c r="G594" t="s">
        <v>945</v>
      </c>
      <c r="H594" t="s">
        <v>657</v>
      </c>
    </row>
    <row r="595" spans="1:8">
      <c r="A595" s="4" t="s">
        <v>1306</v>
      </c>
      <c r="B595" s="2" t="s">
        <v>1657</v>
      </c>
      <c r="C595" s="2" t="s">
        <v>1658</v>
      </c>
      <c r="D595" s="4" t="s">
        <v>7</v>
      </c>
      <c r="E595" s="2" t="s">
        <v>14</v>
      </c>
      <c r="F595" s="6">
        <v>46189.390115740738</v>
      </c>
      <c r="G595" t="s">
        <v>945</v>
      </c>
      <c r="H595" t="s">
        <v>657</v>
      </c>
    </row>
    <row r="596" spans="1:8">
      <c r="A596" s="3" t="s">
        <v>1307</v>
      </c>
      <c r="B596" s="1" t="s">
        <v>1657</v>
      </c>
      <c r="C596" s="1" t="s">
        <v>1658</v>
      </c>
      <c r="D596" s="3" t="s">
        <v>7</v>
      </c>
      <c r="E596" s="1" t="s">
        <v>14</v>
      </c>
      <c r="F596" s="5">
        <v>46189.460729166669</v>
      </c>
      <c r="G596" t="s">
        <v>945</v>
      </c>
      <c r="H596" t="s">
        <v>657</v>
      </c>
    </row>
    <row r="597" spans="1:8">
      <c r="A597" s="4" t="s">
        <v>1308</v>
      </c>
      <c r="B597" s="2" t="s">
        <v>1657</v>
      </c>
      <c r="C597" s="2" t="s">
        <v>1658</v>
      </c>
      <c r="D597" s="4" t="s">
        <v>7</v>
      </c>
      <c r="E597" s="2" t="s">
        <v>14</v>
      </c>
      <c r="F597" s="6">
        <v>46189.459062499998</v>
      </c>
      <c r="G597" t="s">
        <v>945</v>
      </c>
      <c r="H597" t="s">
        <v>657</v>
      </c>
    </row>
    <row r="598" spans="1:8">
      <c r="A598" s="3" t="s">
        <v>1309</v>
      </c>
      <c r="B598" s="1" t="s">
        <v>1657</v>
      </c>
      <c r="C598" s="1" t="s">
        <v>1658</v>
      </c>
      <c r="D598" s="3" t="s">
        <v>7</v>
      </c>
      <c r="E598" s="1" t="s">
        <v>14</v>
      </c>
      <c r="F598" s="5">
        <v>46185.640960648147</v>
      </c>
      <c r="G598" t="s">
        <v>945</v>
      </c>
      <c r="H598" t="s">
        <v>657</v>
      </c>
    </row>
    <row r="599" spans="1:8">
      <c r="A599" s="4" t="s">
        <v>1310</v>
      </c>
      <c r="B599" s="2" t="s">
        <v>1657</v>
      </c>
      <c r="C599" s="2" t="s">
        <v>1658</v>
      </c>
      <c r="D599" s="4" t="s">
        <v>7</v>
      </c>
      <c r="E599" s="2" t="s">
        <v>14</v>
      </c>
      <c r="F599" s="6">
        <v>46185.644386574073</v>
      </c>
      <c r="G599" t="s">
        <v>945</v>
      </c>
      <c r="H599" t="s">
        <v>657</v>
      </c>
    </row>
    <row r="600" spans="1:8">
      <c r="A600" s="3" t="s">
        <v>1311</v>
      </c>
      <c r="B600" s="1" t="s">
        <v>1659</v>
      </c>
      <c r="C600" s="1" t="s">
        <v>1660</v>
      </c>
      <c r="D600" s="3" t="s">
        <v>7</v>
      </c>
      <c r="E600" s="1" t="s">
        <v>14</v>
      </c>
      <c r="F600" s="5">
        <v>46189.46261574074</v>
      </c>
      <c r="G600" t="s">
        <v>945</v>
      </c>
      <c r="H600" t="s">
        <v>657</v>
      </c>
    </row>
    <row r="601" spans="1:8">
      <c r="A601" s="4" t="s">
        <v>1312</v>
      </c>
      <c r="B601" s="2" t="s">
        <v>1657</v>
      </c>
      <c r="C601" s="2" t="s">
        <v>1658</v>
      </c>
      <c r="D601" s="4" t="s">
        <v>7</v>
      </c>
      <c r="E601" s="2" t="s">
        <v>14</v>
      </c>
      <c r="F601" s="6">
        <v>46188.354432870372</v>
      </c>
      <c r="G601" t="s">
        <v>945</v>
      </c>
      <c r="H601" t="s">
        <v>657</v>
      </c>
    </row>
    <row r="602" spans="1:8">
      <c r="A602" s="3" t="s">
        <v>1313</v>
      </c>
      <c r="B602" s="1" t="s">
        <v>1657</v>
      </c>
      <c r="C602" s="1" t="s">
        <v>1658</v>
      </c>
      <c r="D602" s="3" t="s">
        <v>7</v>
      </c>
      <c r="E602" s="1" t="s">
        <v>14</v>
      </c>
      <c r="F602" s="5">
        <v>46186.339502314811</v>
      </c>
      <c r="G602" t="s">
        <v>945</v>
      </c>
      <c r="H602" t="s">
        <v>657</v>
      </c>
    </row>
    <row r="603" spans="1:8">
      <c r="A603" s="4" t="s">
        <v>1314</v>
      </c>
      <c r="B603" s="2" t="s">
        <v>1657</v>
      </c>
      <c r="C603" s="2" t="s">
        <v>1658</v>
      </c>
      <c r="D603" s="4" t="s">
        <v>7</v>
      </c>
      <c r="E603" s="2" t="s">
        <v>14</v>
      </c>
      <c r="F603" s="6">
        <v>46189.488877314812</v>
      </c>
      <c r="G603" t="s">
        <v>945</v>
      </c>
      <c r="H603" t="s">
        <v>657</v>
      </c>
    </row>
    <row r="604" spans="1:8">
      <c r="A604" s="3" t="s">
        <v>1315</v>
      </c>
      <c r="B604" s="1" t="s">
        <v>1657</v>
      </c>
      <c r="C604" s="1" t="s">
        <v>1658</v>
      </c>
      <c r="D604" s="3" t="s">
        <v>7</v>
      </c>
      <c r="E604" s="1" t="s">
        <v>14</v>
      </c>
      <c r="F604" s="5">
        <v>46189.39335648148</v>
      </c>
      <c r="G604" t="s">
        <v>945</v>
      </c>
      <c r="H604" t="s">
        <v>657</v>
      </c>
    </row>
    <row r="605" spans="1:8">
      <c r="A605" s="4" t="s">
        <v>1316</v>
      </c>
      <c r="B605" s="2" t="s">
        <v>1657</v>
      </c>
      <c r="C605" s="2" t="s">
        <v>1658</v>
      </c>
      <c r="D605" s="4" t="s">
        <v>7</v>
      </c>
      <c r="E605" s="2" t="s">
        <v>14</v>
      </c>
      <c r="F605" s="6">
        <v>46188.3828587963</v>
      </c>
      <c r="G605" t="s">
        <v>945</v>
      </c>
      <c r="H605" t="s">
        <v>657</v>
      </c>
    </row>
    <row r="606" spans="1:8">
      <c r="A606" s="3" t="s">
        <v>1317</v>
      </c>
      <c r="B606" s="1" t="s">
        <v>1657</v>
      </c>
      <c r="C606" s="1" t="s">
        <v>1658</v>
      </c>
      <c r="D606" s="3" t="s">
        <v>7</v>
      </c>
      <c r="E606" s="1" t="s">
        <v>14</v>
      </c>
      <c r="F606" s="5">
        <v>46189.358715277776</v>
      </c>
      <c r="G606" t="s">
        <v>945</v>
      </c>
      <c r="H606" t="s">
        <v>657</v>
      </c>
    </row>
    <row r="607" spans="1:8">
      <c r="A607" s="4" t="s">
        <v>1318</v>
      </c>
      <c r="B607" s="2" t="s">
        <v>1657</v>
      </c>
      <c r="C607" s="2" t="s">
        <v>1658</v>
      </c>
      <c r="D607" s="4" t="s">
        <v>7</v>
      </c>
      <c r="E607" s="2" t="s">
        <v>14</v>
      </c>
      <c r="F607" s="6">
        <v>46186.325833333336</v>
      </c>
      <c r="G607" t="s">
        <v>945</v>
      </c>
      <c r="H607" t="s">
        <v>657</v>
      </c>
    </row>
    <row r="608" spans="1:8">
      <c r="A608" s="3" t="s">
        <v>1319</v>
      </c>
      <c r="B608" s="1" t="s">
        <v>1657</v>
      </c>
      <c r="C608" s="1" t="s">
        <v>1658</v>
      </c>
      <c r="D608" s="3" t="s">
        <v>7</v>
      </c>
      <c r="E608" s="1" t="s">
        <v>14</v>
      </c>
      <c r="F608" s="5">
        <v>46189.405833333331</v>
      </c>
      <c r="G608" t="s">
        <v>945</v>
      </c>
      <c r="H608" t="s">
        <v>657</v>
      </c>
    </row>
    <row r="609" spans="1:8">
      <c r="A609" s="4" t="s">
        <v>1320</v>
      </c>
      <c r="B609" s="2" t="s">
        <v>1657</v>
      </c>
      <c r="C609" s="2" t="s">
        <v>1658</v>
      </c>
      <c r="D609" s="4" t="s">
        <v>7</v>
      </c>
      <c r="E609" s="2" t="s">
        <v>14</v>
      </c>
      <c r="F609" s="6">
        <v>46189.377627314818</v>
      </c>
      <c r="G609" t="s">
        <v>945</v>
      </c>
      <c r="H609" t="s">
        <v>657</v>
      </c>
    </row>
    <row r="610" spans="1:8">
      <c r="A610" s="3" t="s">
        <v>1321</v>
      </c>
      <c r="B610" s="1" t="s">
        <v>1657</v>
      </c>
      <c r="C610" s="1" t="s">
        <v>1658</v>
      </c>
      <c r="D610" s="3" t="s">
        <v>7</v>
      </c>
      <c r="E610" s="1" t="s">
        <v>14</v>
      </c>
      <c r="F610" s="5">
        <v>46186.318298611113</v>
      </c>
      <c r="G610" t="s">
        <v>945</v>
      </c>
      <c r="H610" t="s">
        <v>657</v>
      </c>
    </row>
    <row r="611" spans="1:8">
      <c r="A611" s="4" t="s">
        <v>1322</v>
      </c>
      <c r="B611" s="2" t="s">
        <v>1657</v>
      </c>
      <c r="C611" s="2" t="s">
        <v>1658</v>
      </c>
      <c r="D611" s="4" t="s">
        <v>7</v>
      </c>
      <c r="E611" s="2" t="s">
        <v>14</v>
      </c>
      <c r="F611" s="6">
        <v>46189.39912037037</v>
      </c>
      <c r="G611" t="s">
        <v>945</v>
      </c>
      <c r="H611" t="s">
        <v>657</v>
      </c>
    </row>
    <row r="612" spans="1:8">
      <c r="A612" s="3" t="s">
        <v>1323</v>
      </c>
      <c r="B612" s="1" t="s">
        <v>1657</v>
      </c>
      <c r="C612" s="1" t="s">
        <v>1658</v>
      </c>
      <c r="D612" s="3" t="s">
        <v>7</v>
      </c>
      <c r="E612" s="1" t="s">
        <v>14</v>
      </c>
      <c r="F612" s="5">
        <v>46189.381793981483</v>
      </c>
      <c r="G612" t="s">
        <v>945</v>
      </c>
      <c r="H612" t="s">
        <v>657</v>
      </c>
    </row>
    <row r="613" spans="1:8">
      <c r="A613" s="4" t="s">
        <v>1324</v>
      </c>
      <c r="B613" s="2" t="s">
        <v>1657</v>
      </c>
      <c r="C613" s="2" t="s">
        <v>1658</v>
      </c>
      <c r="D613" s="4" t="s">
        <v>7</v>
      </c>
      <c r="E613" s="2" t="s">
        <v>14</v>
      </c>
      <c r="F613" s="6">
        <v>46188.326504629629</v>
      </c>
      <c r="G613" t="s">
        <v>945</v>
      </c>
      <c r="H613" t="s">
        <v>657</v>
      </c>
    </row>
    <row r="614" spans="1:8">
      <c r="A614" s="3" t="s">
        <v>1325</v>
      </c>
      <c r="B614" s="1" t="s">
        <v>1657</v>
      </c>
      <c r="C614" s="1" t="s">
        <v>1658</v>
      </c>
      <c r="D614" s="3" t="s">
        <v>7</v>
      </c>
      <c r="E614" s="1" t="s">
        <v>14</v>
      </c>
      <c r="F614" s="5">
        <v>46189.451516203706</v>
      </c>
      <c r="G614" t="s">
        <v>945</v>
      </c>
      <c r="H614" t="s">
        <v>657</v>
      </c>
    </row>
    <row r="615" spans="1:8">
      <c r="A615" s="4" t="s">
        <v>1326</v>
      </c>
      <c r="B615" s="2" t="s">
        <v>1657</v>
      </c>
      <c r="C615" s="2" t="s">
        <v>1658</v>
      </c>
      <c r="D615" s="4" t="s">
        <v>7</v>
      </c>
      <c r="E615" s="2" t="s">
        <v>14</v>
      </c>
      <c r="F615" s="6">
        <v>46185.628298611111</v>
      </c>
      <c r="G615" t="s">
        <v>945</v>
      </c>
      <c r="H615" t="s">
        <v>657</v>
      </c>
    </row>
    <row r="616" spans="1:8">
      <c r="A616" s="3" t="s">
        <v>1327</v>
      </c>
      <c r="B616" s="1" t="s">
        <v>1657</v>
      </c>
      <c r="C616" s="1" t="s">
        <v>1658</v>
      </c>
      <c r="D616" s="3" t="s">
        <v>7</v>
      </c>
      <c r="E616" s="1" t="s">
        <v>14</v>
      </c>
      <c r="F616" s="5">
        <v>46189.466273148151</v>
      </c>
      <c r="G616" t="s">
        <v>945</v>
      </c>
      <c r="H616" t="s">
        <v>657</v>
      </c>
    </row>
    <row r="617" spans="1:8">
      <c r="A617" s="4" t="s">
        <v>1328</v>
      </c>
      <c r="B617" s="2" t="s">
        <v>1659</v>
      </c>
      <c r="C617" s="2" t="s">
        <v>1660</v>
      </c>
      <c r="D617" s="4" t="s">
        <v>7</v>
      </c>
      <c r="E617" s="2" t="s">
        <v>14</v>
      </c>
      <c r="F617" s="6">
        <v>46189.464085648149</v>
      </c>
      <c r="G617" t="s">
        <v>945</v>
      </c>
      <c r="H617" t="s">
        <v>657</v>
      </c>
    </row>
    <row r="618" spans="1:8">
      <c r="A618" s="3" t="s">
        <v>1329</v>
      </c>
      <c r="B618" s="1" t="s">
        <v>1657</v>
      </c>
      <c r="C618" s="1" t="s">
        <v>1658</v>
      </c>
      <c r="D618" s="3" t="s">
        <v>7</v>
      </c>
      <c r="E618" s="1" t="s">
        <v>14</v>
      </c>
      <c r="F618" s="5">
        <v>46189.469872685186</v>
      </c>
      <c r="G618" t="s">
        <v>945</v>
      </c>
      <c r="H618" t="s">
        <v>657</v>
      </c>
    </row>
    <row r="619" spans="1:8">
      <c r="A619" s="4" t="s">
        <v>1330</v>
      </c>
      <c r="B619" s="2" t="s">
        <v>1657</v>
      </c>
      <c r="C619" s="2" t="s">
        <v>1658</v>
      </c>
      <c r="D619" s="4" t="s">
        <v>7</v>
      </c>
      <c r="E619" s="2" t="s">
        <v>14</v>
      </c>
      <c r="F619" s="6">
        <v>46189.467569444445</v>
      </c>
      <c r="G619" t="s">
        <v>945</v>
      </c>
      <c r="H619" t="s">
        <v>657</v>
      </c>
    </row>
    <row r="620" spans="1:8">
      <c r="A620" s="3" t="s">
        <v>1331</v>
      </c>
      <c r="B620" s="1" t="s">
        <v>1657</v>
      </c>
      <c r="C620" s="1" t="s">
        <v>1658</v>
      </c>
      <c r="D620" s="3" t="s">
        <v>7</v>
      </c>
      <c r="E620" s="1" t="s">
        <v>14</v>
      </c>
      <c r="F620" s="5">
        <v>46189.372129629628</v>
      </c>
      <c r="G620" t="s">
        <v>945</v>
      </c>
      <c r="H620" t="s">
        <v>657</v>
      </c>
    </row>
    <row r="621" spans="1:8">
      <c r="A621" s="4" t="s">
        <v>1332</v>
      </c>
      <c r="B621" s="2" t="s">
        <v>1657</v>
      </c>
      <c r="C621" s="2" t="s">
        <v>1658</v>
      </c>
      <c r="D621" s="4" t="s">
        <v>7</v>
      </c>
      <c r="E621" s="2" t="s">
        <v>14</v>
      </c>
      <c r="F621" s="6">
        <v>46189.370462962965</v>
      </c>
      <c r="G621" t="s">
        <v>945</v>
      </c>
      <c r="H621" t="s">
        <v>657</v>
      </c>
    </row>
    <row r="622" spans="1:8">
      <c r="A622" s="3" t="s">
        <v>1333</v>
      </c>
      <c r="B622" s="1" t="s">
        <v>1657</v>
      </c>
      <c r="C622" s="1" t="s">
        <v>1658</v>
      </c>
      <c r="D622" s="3" t="s">
        <v>7</v>
      </c>
      <c r="E622" s="1" t="s">
        <v>14</v>
      </c>
      <c r="F622" s="5">
        <v>46188.385960648149</v>
      </c>
      <c r="G622" t="s">
        <v>945</v>
      </c>
      <c r="H622" t="s">
        <v>657</v>
      </c>
    </row>
    <row r="623" spans="1:8">
      <c r="A623" s="4" t="s">
        <v>1334</v>
      </c>
      <c r="B623" s="2" t="s">
        <v>1657</v>
      </c>
      <c r="C623" s="2" t="s">
        <v>1658</v>
      </c>
      <c r="D623" s="4" t="s">
        <v>7</v>
      </c>
      <c r="E623" s="2" t="s">
        <v>14</v>
      </c>
      <c r="F623" s="6">
        <v>46189.454942129632</v>
      </c>
      <c r="G623" t="s">
        <v>945</v>
      </c>
      <c r="H623" t="s">
        <v>657</v>
      </c>
    </row>
    <row r="624" spans="1:8">
      <c r="A624" s="3" t="s">
        <v>1335</v>
      </c>
      <c r="B624" s="1" t="s">
        <v>1657</v>
      </c>
      <c r="C624" s="1" t="s">
        <v>1658</v>
      </c>
      <c r="D624" s="3" t="s">
        <v>7</v>
      </c>
      <c r="E624" s="1" t="s">
        <v>14</v>
      </c>
      <c r="F624" s="5">
        <v>46189.439930555556</v>
      </c>
      <c r="G624" t="s">
        <v>945</v>
      </c>
      <c r="H624" t="s">
        <v>657</v>
      </c>
    </row>
    <row r="625" spans="1:8">
      <c r="A625" s="4" t="s">
        <v>1336</v>
      </c>
      <c r="B625" s="2" t="s">
        <v>1657</v>
      </c>
      <c r="C625" s="2" t="s">
        <v>1658</v>
      </c>
      <c r="D625" s="4" t="s">
        <v>7</v>
      </c>
      <c r="E625" s="2" t="s">
        <v>14</v>
      </c>
      <c r="F625" s="6">
        <v>46189.453298611108</v>
      </c>
      <c r="G625" t="s">
        <v>945</v>
      </c>
      <c r="H625" t="s">
        <v>657</v>
      </c>
    </row>
    <row r="626" spans="1:8">
      <c r="A626" s="3" t="s">
        <v>1337</v>
      </c>
      <c r="B626" s="1" t="s">
        <v>1657</v>
      </c>
      <c r="C626" s="1" t="s">
        <v>1658</v>
      </c>
      <c r="D626" s="3" t="s">
        <v>7</v>
      </c>
      <c r="E626" s="1" t="s">
        <v>14</v>
      </c>
      <c r="F626" s="5">
        <v>46189.441331018519</v>
      </c>
      <c r="G626" t="s">
        <v>945</v>
      </c>
      <c r="H626" t="s">
        <v>657</v>
      </c>
    </row>
    <row r="627" spans="1:8">
      <c r="A627" s="4" t="s">
        <v>1338</v>
      </c>
      <c r="B627" s="2" t="s">
        <v>1657</v>
      </c>
      <c r="C627" s="2" t="s">
        <v>1658</v>
      </c>
      <c r="D627" s="4" t="s">
        <v>7</v>
      </c>
      <c r="E627" s="2" t="s">
        <v>14</v>
      </c>
      <c r="F627" s="6">
        <v>46189.44809027778</v>
      </c>
      <c r="G627" t="s">
        <v>945</v>
      </c>
      <c r="H627" t="s">
        <v>657</v>
      </c>
    </row>
    <row r="628" spans="1:8">
      <c r="A628" s="3" t="s">
        <v>1339</v>
      </c>
      <c r="B628" s="1" t="s">
        <v>1657</v>
      </c>
      <c r="C628" s="1" t="s">
        <v>1658</v>
      </c>
      <c r="D628" s="3" t="s">
        <v>7</v>
      </c>
      <c r="E628" s="1" t="s">
        <v>14</v>
      </c>
      <c r="F628" s="5">
        <v>46185.512800925928</v>
      </c>
      <c r="G628" t="s">
        <v>945</v>
      </c>
      <c r="H628" t="s">
        <v>657</v>
      </c>
    </row>
    <row r="629" spans="1:8">
      <c r="A629" s="4" t="s">
        <v>1340</v>
      </c>
      <c r="B629" s="2" t="s">
        <v>1657</v>
      </c>
      <c r="C629" s="2" t="s">
        <v>1658</v>
      </c>
      <c r="D629" s="4" t="s">
        <v>7</v>
      </c>
      <c r="E629" s="2" t="s">
        <v>14</v>
      </c>
      <c r="F629" s="6">
        <v>46188.328356481485</v>
      </c>
      <c r="G629" t="s">
        <v>945</v>
      </c>
      <c r="H629" t="s">
        <v>657</v>
      </c>
    </row>
    <row r="630" spans="1:8">
      <c r="A630" s="3" t="s">
        <v>1341</v>
      </c>
      <c r="B630" s="1" t="s">
        <v>1657</v>
      </c>
      <c r="C630" s="1" t="s">
        <v>1658</v>
      </c>
      <c r="D630" s="3" t="s">
        <v>7</v>
      </c>
      <c r="E630" s="1" t="s">
        <v>14</v>
      </c>
      <c r="F630" s="5">
        <v>46189.365162037036</v>
      </c>
      <c r="G630" t="s">
        <v>945</v>
      </c>
      <c r="H630" t="s">
        <v>657</v>
      </c>
    </row>
    <row r="631" spans="1:8">
      <c r="A631" s="4" t="s">
        <v>1342</v>
      </c>
      <c r="B631" s="2" t="s">
        <v>1657</v>
      </c>
      <c r="C631" s="2" t="s">
        <v>1658</v>
      </c>
      <c r="D631" s="4" t="s">
        <v>7</v>
      </c>
      <c r="E631" s="2" t="s">
        <v>14</v>
      </c>
      <c r="F631" s="6">
        <v>46189.485833333332</v>
      </c>
      <c r="G631" t="s">
        <v>945</v>
      </c>
      <c r="H631" t="s">
        <v>657</v>
      </c>
    </row>
    <row r="632" spans="1:8">
      <c r="A632" s="3" t="s">
        <v>1343</v>
      </c>
      <c r="B632" s="1" t="s">
        <v>1657</v>
      </c>
      <c r="C632" s="1" t="s">
        <v>1658</v>
      </c>
      <c r="D632" s="3" t="s">
        <v>7</v>
      </c>
      <c r="E632" s="1" t="s">
        <v>14</v>
      </c>
      <c r="F632" s="5">
        <v>46186.378912037035</v>
      </c>
      <c r="G632" t="s">
        <v>945</v>
      </c>
      <c r="H632" t="s">
        <v>657</v>
      </c>
    </row>
    <row r="633" spans="1:8">
      <c r="A633" s="4" t="s">
        <v>1344</v>
      </c>
      <c r="B633" s="2" t="s">
        <v>1657</v>
      </c>
      <c r="C633" s="2" t="s">
        <v>1658</v>
      </c>
      <c r="D633" s="4" t="s">
        <v>7</v>
      </c>
      <c r="E633" s="2" t="s">
        <v>14</v>
      </c>
      <c r="F633" s="6">
        <v>46189.373912037037</v>
      </c>
      <c r="G633" t="s">
        <v>945</v>
      </c>
      <c r="H633" t="s">
        <v>657</v>
      </c>
    </row>
    <row r="634" spans="1:8">
      <c r="A634" s="3" t="s">
        <v>1345</v>
      </c>
      <c r="B634" s="1" t="s">
        <v>1657</v>
      </c>
      <c r="C634" s="1" t="s">
        <v>1658</v>
      </c>
      <c r="D634" s="3" t="s">
        <v>7</v>
      </c>
      <c r="E634" s="1" t="s">
        <v>14</v>
      </c>
      <c r="F634" s="5">
        <v>46189.367037037038</v>
      </c>
      <c r="G634" t="s">
        <v>945</v>
      </c>
      <c r="H634" t="s">
        <v>657</v>
      </c>
    </row>
    <row r="635" spans="1:8">
      <c r="A635" s="4" t="s">
        <v>1346</v>
      </c>
      <c r="B635" s="2" t="s">
        <v>1657</v>
      </c>
      <c r="C635" s="2" t="s">
        <v>1658</v>
      </c>
      <c r="D635" s="4" t="s">
        <v>7</v>
      </c>
      <c r="E635" s="2" t="s">
        <v>14</v>
      </c>
      <c r="F635" s="6">
        <v>46189.368796296294</v>
      </c>
      <c r="G635" t="s">
        <v>945</v>
      </c>
      <c r="H635" t="s">
        <v>657</v>
      </c>
    </row>
    <row r="636" spans="1:8">
      <c r="A636" s="3" t="s">
        <v>1347</v>
      </c>
      <c r="B636" s="1" t="s">
        <v>1657</v>
      </c>
      <c r="C636" s="1" t="s">
        <v>1658</v>
      </c>
      <c r="D636" s="3" t="s">
        <v>7</v>
      </c>
      <c r="E636" s="1" t="s">
        <v>14</v>
      </c>
      <c r="F636" s="5">
        <v>46189.362719907411</v>
      </c>
      <c r="G636" t="s">
        <v>945</v>
      </c>
      <c r="H636" t="s">
        <v>657</v>
      </c>
    </row>
    <row r="637" spans="1:8">
      <c r="A637" s="4" t="s">
        <v>1348</v>
      </c>
      <c r="B637" s="2" t="s">
        <v>1657</v>
      </c>
      <c r="C637" s="2" t="s">
        <v>1658</v>
      </c>
      <c r="D637" s="4" t="s">
        <v>7</v>
      </c>
      <c r="E637" s="2" t="s">
        <v>14</v>
      </c>
      <c r="F637" s="6">
        <v>46189.357106481482</v>
      </c>
      <c r="G637" t="s">
        <v>945</v>
      </c>
      <c r="H637" t="s">
        <v>657</v>
      </c>
    </row>
    <row r="638" spans="1:8">
      <c r="A638" s="3" t="s">
        <v>1349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945</v>
      </c>
      <c r="H638" t="s">
        <v>657</v>
      </c>
    </row>
    <row r="639" spans="1:8">
      <c r="A639" s="4" t="s">
        <v>1350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945</v>
      </c>
      <c r="H639" t="s">
        <v>657</v>
      </c>
    </row>
    <row r="640" spans="1:8">
      <c r="A640" s="3" t="s">
        <v>1351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945</v>
      </c>
      <c r="H640" t="s">
        <v>657</v>
      </c>
    </row>
    <row r="641" spans="1:8">
      <c r="A641" s="4" t="s">
        <v>1352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945</v>
      </c>
      <c r="H641" t="s">
        <v>657</v>
      </c>
    </row>
    <row r="642" spans="1:8">
      <c r="A642" s="3" t="s">
        <v>1353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945</v>
      </c>
      <c r="H642" t="s">
        <v>657</v>
      </c>
    </row>
    <row r="643" spans="1:8">
      <c r="A643" s="4" t="s">
        <v>1354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945</v>
      </c>
      <c r="H643" t="s">
        <v>657</v>
      </c>
    </row>
    <row r="644" spans="1:8">
      <c r="A644" s="3" t="s">
        <v>1355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945</v>
      </c>
      <c r="H644" t="s">
        <v>657</v>
      </c>
    </row>
    <row r="645" spans="1:8">
      <c r="A645" s="4" t="s">
        <v>1356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945</v>
      </c>
      <c r="H645" t="s">
        <v>657</v>
      </c>
    </row>
    <row r="646" spans="1:8">
      <c r="A646" s="3" t="s">
        <v>1357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945</v>
      </c>
      <c r="H646" t="s">
        <v>657</v>
      </c>
    </row>
    <row r="647" spans="1:8">
      <c r="A647" s="4" t="s">
        <v>1358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945</v>
      </c>
      <c r="H647" t="s">
        <v>657</v>
      </c>
    </row>
    <row r="648" spans="1:8">
      <c r="A648" s="3" t="s">
        <v>1359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945</v>
      </c>
      <c r="H648" t="s">
        <v>657</v>
      </c>
    </row>
    <row r="649" spans="1:8">
      <c r="A649" s="4" t="s">
        <v>1360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945</v>
      </c>
      <c r="H649" t="s">
        <v>657</v>
      </c>
    </row>
    <row r="650" spans="1:8">
      <c r="A650" s="3" t="s">
        <v>1361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945</v>
      </c>
      <c r="H650" t="s">
        <v>657</v>
      </c>
    </row>
    <row r="651" spans="1:8">
      <c r="A651" s="4" t="s">
        <v>1362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945</v>
      </c>
      <c r="H651" t="s">
        <v>657</v>
      </c>
    </row>
    <row r="652" spans="1:8">
      <c r="A652" s="3" t="s">
        <v>1363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945</v>
      </c>
      <c r="H652" t="s">
        <v>657</v>
      </c>
    </row>
    <row r="653" spans="1:8">
      <c r="A653" s="4" t="s">
        <v>1364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945</v>
      </c>
      <c r="H653" t="s">
        <v>657</v>
      </c>
    </row>
    <row r="654" spans="1:8">
      <c r="A654" s="3" t="s">
        <v>1365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945</v>
      </c>
      <c r="H654" t="s">
        <v>657</v>
      </c>
    </row>
    <row r="655" spans="1:8">
      <c r="A655" s="4" t="s">
        <v>1366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945</v>
      </c>
      <c r="H655" t="s">
        <v>657</v>
      </c>
    </row>
    <row r="656" spans="1:8">
      <c r="A656" s="3" t="s">
        <v>1367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945</v>
      </c>
      <c r="H656" t="s">
        <v>657</v>
      </c>
    </row>
    <row r="657" spans="1:8">
      <c r="A657" s="4" t="s">
        <v>1368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945</v>
      </c>
      <c r="H657" t="s">
        <v>657</v>
      </c>
    </row>
    <row r="658" spans="1:8">
      <c r="A658" s="3" t="s">
        <v>1369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945</v>
      </c>
      <c r="H658" t="s">
        <v>657</v>
      </c>
    </row>
    <row r="659" spans="1:8">
      <c r="A659" s="4" t="s">
        <v>1370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945</v>
      </c>
      <c r="H659" t="s">
        <v>657</v>
      </c>
    </row>
    <row r="660" spans="1:8">
      <c r="A660" s="3" t="s">
        <v>1371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945</v>
      </c>
      <c r="H660" t="s">
        <v>657</v>
      </c>
    </row>
    <row r="661" spans="1:8">
      <c r="A661" s="4" t="s">
        <v>1372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945</v>
      </c>
      <c r="H661" t="s">
        <v>657</v>
      </c>
    </row>
    <row r="662" spans="1:8">
      <c r="A662" s="3" t="s">
        <v>1373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945</v>
      </c>
      <c r="H662" t="s">
        <v>657</v>
      </c>
    </row>
    <row r="663" spans="1:8">
      <c r="A663" s="4" t="s">
        <v>1374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945</v>
      </c>
      <c r="H663" t="s">
        <v>657</v>
      </c>
    </row>
    <row r="664" spans="1:8">
      <c r="A664" s="3" t="s">
        <v>1375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945</v>
      </c>
      <c r="H664" t="s">
        <v>657</v>
      </c>
    </row>
    <row r="665" spans="1:8">
      <c r="A665" s="4" t="s">
        <v>1376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945</v>
      </c>
      <c r="H665" t="s">
        <v>657</v>
      </c>
    </row>
    <row r="666" spans="1:8">
      <c r="A666" s="3" t="s">
        <v>1377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945</v>
      </c>
      <c r="H666" t="s">
        <v>657</v>
      </c>
    </row>
    <row r="667" spans="1:8">
      <c r="A667" s="4" t="s">
        <v>1378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945</v>
      </c>
      <c r="H667" t="s">
        <v>657</v>
      </c>
    </row>
    <row r="668" spans="1:8">
      <c r="A668" s="3" t="s">
        <v>1379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945</v>
      </c>
      <c r="H668" t="s">
        <v>657</v>
      </c>
    </row>
    <row r="669" spans="1:8">
      <c r="A669" s="4" t="s">
        <v>1380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945</v>
      </c>
      <c r="H669" t="s">
        <v>657</v>
      </c>
    </row>
    <row r="670" spans="1:8">
      <c r="A670" s="3" t="s">
        <v>1381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945</v>
      </c>
      <c r="H670" t="s">
        <v>657</v>
      </c>
    </row>
    <row r="671" spans="1:8">
      <c r="A671" s="4" t="s">
        <v>1382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945</v>
      </c>
      <c r="H671" t="s">
        <v>657</v>
      </c>
    </row>
    <row r="672" spans="1:8">
      <c r="A672" s="3" t="s">
        <v>1383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945</v>
      </c>
      <c r="H672" t="s">
        <v>657</v>
      </c>
    </row>
    <row r="673" spans="1:8">
      <c r="A673" s="4" t="s">
        <v>1384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945</v>
      </c>
      <c r="H673" t="s">
        <v>657</v>
      </c>
    </row>
    <row r="674" spans="1:8">
      <c r="A674" s="3" t="s">
        <v>1385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945</v>
      </c>
      <c r="H674" t="s">
        <v>657</v>
      </c>
    </row>
    <row r="675" spans="1:8">
      <c r="A675" s="4" t="s">
        <v>1386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945</v>
      </c>
      <c r="H675" t="s">
        <v>657</v>
      </c>
    </row>
    <row r="676" spans="1:8">
      <c r="A676" s="3" t="s">
        <v>1387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945</v>
      </c>
      <c r="H676" t="s">
        <v>657</v>
      </c>
    </row>
    <row r="677" spans="1:8">
      <c r="A677" s="4" t="s">
        <v>1388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945</v>
      </c>
      <c r="H677" t="s">
        <v>657</v>
      </c>
    </row>
    <row r="678" spans="1:8">
      <c r="A678" s="3" t="s">
        <v>1389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945</v>
      </c>
      <c r="H678" t="s">
        <v>657</v>
      </c>
    </row>
    <row r="679" spans="1:8">
      <c r="A679" s="4" t="s">
        <v>1390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945</v>
      </c>
      <c r="H679" t="s">
        <v>657</v>
      </c>
    </row>
    <row r="680" spans="1:8">
      <c r="A680" s="3" t="s">
        <v>1391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945</v>
      </c>
      <c r="H680" t="s">
        <v>657</v>
      </c>
    </row>
    <row r="681" spans="1:8">
      <c r="A681" s="4" t="s">
        <v>1392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945</v>
      </c>
      <c r="H681" t="s">
        <v>657</v>
      </c>
    </row>
    <row r="682" spans="1:8">
      <c r="A682" s="3" t="s">
        <v>1393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945</v>
      </c>
      <c r="H682" t="s">
        <v>657</v>
      </c>
    </row>
    <row r="683" spans="1:8">
      <c r="A683" s="4" t="s">
        <v>1394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945</v>
      </c>
      <c r="H683" t="s">
        <v>657</v>
      </c>
    </row>
    <row r="684" spans="1:8">
      <c r="A684" s="3" t="s">
        <v>1395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945</v>
      </c>
      <c r="H684" t="s">
        <v>657</v>
      </c>
    </row>
    <row r="685" spans="1:8">
      <c r="A685" s="4" t="s">
        <v>1396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945</v>
      </c>
      <c r="H685" t="s">
        <v>657</v>
      </c>
    </row>
    <row r="686" spans="1:8">
      <c r="A686" s="3" t="s">
        <v>1397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945</v>
      </c>
      <c r="H686" t="s">
        <v>657</v>
      </c>
    </row>
    <row r="687" spans="1:8">
      <c r="A687" s="4" t="s">
        <v>1398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945</v>
      </c>
      <c r="H687" t="s">
        <v>657</v>
      </c>
    </row>
    <row r="688" spans="1:8">
      <c r="A688" s="3" t="s">
        <v>1399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945</v>
      </c>
      <c r="H688" t="s">
        <v>657</v>
      </c>
    </row>
    <row r="689" spans="1:8">
      <c r="A689" s="4" t="s">
        <v>1400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945</v>
      </c>
      <c r="H689" t="s">
        <v>657</v>
      </c>
    </row>
    <row r="690" spans="1:8">
      <c r="A690" s="3" t="s">
        <v>1401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945</v>
      </c>
      <c r="H690" t="s">
        <v>657</v>
      </c>
    </row>
    <row r="691" spans="1:8">
      <c r="A691" s="4" t="s">
        <v>1402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945</v>
      </c>
      <c r="H691" t="s">
        <v>657</v>
      </c>
    </row>
    <row r="692" spans="1:8">
      <c r="A692" s="3" t="s">
        <v>1403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945</v>
      </c>
      <c r="H692" t="s">
        <v>657</v>
      </c>
    </row>
    <row r="693" spans="1:8">
      <c r="A693" s="4" t="s">
        <v>1404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945</v>
      </c>
      <c r="H693" t="s">
        <v>657</v>
      </c>
    </row>
    <row r="694" spans="1:8">
      <c r="A694" s="3" t="s">
        <v>1405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945</v>
      </c>
      <c r="H694" t="s">
        <v>657</v>
      </c>
    </row>
    <row r="695" spans="1:8">
      <c r="A695" s="4" t="s">
        <v>1406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945</v>
      </c>
      <c r="H695" t="s">
        <v>657</v>
      </c>
    </row>
    <row r="696" spans="1:8">
      <c r="A696" s="3" t="s">
        <v>1407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945</v>
      </c>
      <c r="H696" t="s">
        <v>657</v>
      </c>
    </row>
    <row r="697" spans="1:8">
      <c r="A697" s="4" t="s">
        <v>1408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945</v>
      </c>
      <c r="H697" t="s">
        <v>657</v>
      </c>
    </row>
    <row r="698" spans="1:8">
      <c r="A698" s="3" t="s">
        <v>1409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945</v>
      </c>
      <c r="H698" t="s">
        <v>657</v>
      </c>
    </row>
    <row r="699" spans="1:8">
      <c r="A699" s="4" t="s">
        <v>1410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945</v>
      </c>
      <c r="H699" t="s">
        <v>657</v>
      </c>
    </row>
    <row r="700" spans="1:8">
      <c r="A700" s="3" t="s">
        <v>1411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945</v>
      </c>
      <c r="H700" t="s">
        <v>657</v>
      </c>
    </row>
    <row r="701" spans="1:8">
      <c r="A701" s="4" t="s">
        <v>1412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945</v>
      </c>
      <c r="H701" t="s">
        <v>657</v>
      </c>
    </row>
    <row r="702" spans="1:8">
      <c r="A702" s="3" t="s">
        <v>1413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945</v>
      </c>
      <c r="H702" t="s">
        <v>657</v>
      </c>
    </row>
    <row r="703" spans="1:8">
      <c r="A703" s="4" t="s">
        <v>1414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945</v>
      </c>
      <c r="H703" t="s">
        <v>657</v>
      </c>
    </row>
    <row r="704" spans="1:8">
      <c r="A704" s="3" t="s">
        <v>1415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945</v>
      </c>
      <c r="H704" t="s">
        <v>657</v>
      </c>
    </row>
    <row r="705" spans="1:8">
      <c r="A705" s="4" t="s">
        <v>1416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945</v>
      </c>
      <c r="H705" t="s">
        <v>657</v>
      </c>
    </row>
    <row r="706" spans="1:8">
      <c r="A706" s="3" t="s">
        <v>1417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945</v>
      </c>
      <c r="H706" t="s">
        <v>657</v>
      </c>
    </row>
    <row r="707" spans="1:8">
      <c r="A707" s="4" t="s">
        <v>1418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945</v>
      </c>
      <c r="H707" t="s">
        <v>657</v>
      </c>
    </row>
    <row r="708" spans="1:8">
      <c r="A708" s="3" t="s">
        <v>1419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945</v>
      </c>
      <c r="H708" t="s">
        <v>657</v>
      </c>
    </row>
    <row r="709" spans="1:8">
      <c r="A709" s="4" t="s">
        <v>1420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945</v>
      </c>
      <c r="H709" t="s">
        <v>657</v>
      </c>
    </row>
    <row r="710" spans="1:8">
      <c r="A710" s="3" t="s">
        <v>1421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945</v>
      </c>
      <c r="H710" t="s">
        <v>657</v>
      </c>
    </row>
    <row r="711" spans="1:8">
      <c r="A711" s="4" t="s">
        <v>1422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945</v>
      </c>
      <c r="H711" t="s">
        <v>657</v>
      </c>
    </row>
    <row r="712" spans="1:8">
      <c r="A712" s="3" t="s">
        <v>1423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945</v>
      </c>
      <c r="H712" t="s">
        <v>657</v>
      </c>
    </row>
    <row r="713" spans="1:8">
      <c r="A713" s="4" t="s">
        <v>1424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945</v>
      </c>
      <c r="H713" t="s">
        <v>657</v>
      </c>
    </row>
    <row r="714" spans="1:8">
      <c r="A714" s="3" t="s">
        <v>1425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945</v>
      </c>
      <c r="H714" t="s">
        <v>657</v>
      </c>
    </row>
    <row r="715" spans="1:8">
      <c r="A715" s="4" t="s">
        <v>1426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945</v>
      </c>
      <c r="H715" t="s">
        <v>657</v>
      </c>
    </row>
    <row r="716" spans="1:8">
      <c r="A716" s="3" t="s">
        <v>1427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945</v>
      </c>
      <c r="H716" t="s">
        <v>657</v>
      </c>
    </row>
    <row r="717" spans="1:8">
      <c r="A717" s="4" t="s">
        <v>1428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945</v>
      </c>
      <c r="H717" t="s">
        <v>657</v>
      </c>
    </row>
    <row r="718" spans="1:8">
      <c r="A718" s="3" t="s">
        <v>1429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945</v>
      </c>
      <c r="H718" t="s">
        <v>657</v>
      </c>
    </row>
    <row r="719" spans="1:8">
      <c r="A719" s="4" t="s">
        <v>1430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945</v>
      </c>
      <c r="H719" t="s">
        <v>657</v>
      </c>
    </row>
    <row r="720" spans="1:8">
      <c r="A720" s="3" t="s">
        <v>1431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945</v>
      </c>
      <c r="H720" t="s">
        <v>657</v>
      </c>
    </row>
    <row r="721" spans="1:8">
      <c r="A721" s="4" t="s">
        <v>1432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945</v>
      </c>
      <c r="H721" t="s">
        <v>657</v>
      </c>
    </row>
    <row r="722" spans="1:8">
      <c r="A722" s="3" t="s">
        <v>1433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945</v>
      </c>
      <c r="H722" t="s">
        <v>657</v>
      </c>
    </row>
    <row r="723" spans="1:8">
      <c r="A723" s="4" t="s">
        <v>1434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945</v>
      </c>
      <c r="H723" t="s">
        <v>657</v>
      </c>
    </row>
    <row r="724" spans="1:8">
      <c r="A724" s="3" t="s">
        <v>1435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945</v>
      </c>
      <c r="H724" t="s">
        <v>657</v>
      </c>
    </row>
    <row r="725" spans="1:8">
      <c r="A725" s="4" t="s">
        <v>1436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945</v>
      </c>
      <c r="H725" t="s">
        <v>657</v>
      </c>
    </row>
    <row r="726" spans="1:8">
      <c r="A726" s="3" t="s">
        <v>1437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945</v>
      </c>
      <c r="H726" t="s">
        <v>657</v>
      </c>
    </row>
    <row r="727" spans="1:8">
      <c r="A727" s="4" t="s">
        <v>1438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945</v>
      </c>
      <c r="H727" t="s">
        <v>657</v>
      </c>
    </row>
    <row r="728" spans="1:8">
      <c r="A728" s="3" t="s">
        <v>1439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945</v>
      </c>
      <c r="H728" t="s">
        <v>657</v>
      </c>
    </row>
    <row r="729" spans="1:8">
      <c r="A729" s="4" t="s">
        <v>1440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945</v>
      </c>
      <c r="H729" t="s">
        <v>657</v>
      </c>
    </row>
    <row r="730" spans="1:8">
      <c r="A730" s="3" t="s">
        <v>1441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945</v>
      </c>
      <c r="H730" t="s">
        <v>657</v>
      </c>
    </row>
    <row r="731" spans="1:8">
      <c r="A731" s="4" t="s">
        <v>1442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945</v>
      </c>
      <c r="H731" t="s">
        <v>657</v>
      </c>
    </row>
    <row r="732" spans="1:8">
      <c r="A732" s="3" t="s">
        <v>1443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945</v>
      </c>
      <c r="H732" t="s">
        <v>657</v>
      </c>
    </row>
    <row r="733" spans="1:8">
      <c r="A733" s="4" t="s">
        <v>1444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945</v>
      </c>
      <c r="H733" t="s">
        <v>657</v>
      </c>
    </row>
    <row r="734" spans="1:8">
      <c r="A734" s="3" t="s">
        <v>1445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945</v>
      </c>
      <c r="H734" t="s">
        <v>657</v>
      </c>
    </row>
    <row r="735" spans="1:8">
      <c r="A735" s="4" t="s">
        <v>1446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945</v>
      </c>
      <c r="H735" t="s">
        <v>657</v>
      </c>
    </row>
    <row r="736" spans="1:8">
      <c r="A736" s="3" t="s">
        <v>1447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945</v>
      </c>
      <c r="H736" t="s">
        <v>657</v>
      </c>
    </row>
    <row r="737" spans="1:8">
      <c r="A737" s="4" t="s">
        <v>1448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945</v>
      </c>
      <c r="H737" t="s">
        <v>657</v>
      </c>
    </row>
    <row r="738" spans="1:8">
      <c r="A738" s="3" t="s">
        <v>1449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945</v>
      </c>
      <c r="H738" t="s">
        <v>657</v>
      </c>
    </row>
    <row r="739" spans="1:8">
      <c r="A739" s="4" t="s">
        <v>1450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945</v>
      </c>
      <c r="H739" t="s">
        <v>657</v>
      </c>
    </row>
    <row r="740" spans="1:8">
      <c r="A740" s="3" t="s">
        <v>1451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945</v>
      </c>
      <c r="H740" t="s">
        <v>657</v>
      </c>
    </row>
    <row r="741" spans="1:8">
      <c r="A741" s="4" t="s">
        <v>1452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945</v>
      </c>
      <c r="H741" t="s">
        <v>657</v>
      </c>
    </row>
    <row r="742" spans="1:8">
      <c r="A742" s="3" t="s">
        <v>1453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945</v>
      </c>
      <c r="H742" t="s">
        <v>657</v>
      </c>
    </row>
    <row r="743" spans="1:8">
      <c r="A743" s="4" t="s">
        <v>1454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945</v>
      </c>
      <c r="H743" t="s">
        <v>657</v>
      </c>
    </row>
    <row r="744" spans="1:8">
      <c r="A744" s="3" t="s">
        <v>1455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945</v>
      </c>
      <c r="H744" t="s">
        <v>657</v>
      </c>
    </row>
    <row r="745" spans="1:8">
      <c r="A745" s="4" t="s">
        <v>1456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945</v>
      </c>
      <c r="H745" t="s">
        <v>657</v>
      </c>
    </row>
    <row r="746" spans="1:8">
      <c r="A746" s="3" t="s">
        <v>1457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945</v>
      </c>
      <c r="H746" t="s">
        <v>657</v>
      </c>
    </row>
    <row r="747" spans="1:8">
      <c r="A747" s="4" t="s">
        <v>1458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945</v>
      </c>
      <c r="H747" t="s">
        <v>657</v>
      </c>
    </row>
    <row r="748" spans="1:8">
      <c r="A748" s="3" t="s">
        <v>1459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945</v>
      </c>
      <c r="H748" t="s">
        <v>657</v>
      </c>
    </row>
    <row r="749" spans="1:8">
      <c r="A749" s="4" t="s">
        <v>1460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945</v>
      </c>
      <c r="H749" t="s">
        <v>657</v>
      </c>
    </row>
    <row r="750" spans="1:8">
      <c r="A750" s="3" t="s">
        <v>1461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945</v>
      </c>
      <c r="H750" t="s">
        <v>657</v>
      </c>
    </row>
    <row r="751" spans="1:8">
      <c r="A751" s="4" t="s">
        <v>1462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945</v>
      </c>
      <c r="H751" t="s">
        <v>657</v>
      </c>
    </row>
    <row r="752" spans="1:8">
      <c r="A752" s="3" t="s">
        <v>1463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46174.467280092591</v>
      </c>
      <c r="G752" t="s">
        <v>945</v>
      </c>
      <c r="H752" t="s">
        <v>657</v>
      </c>
    </row>
    <row r="753" spans="1:8">
      <c r="A753" s="4" t="s">
        <v>1464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46174.467280092591</v>
      </c>
      <c r="G753" t="s">
        <v>945</v>
      </c>
      <c r="H753" t="s">
        <v>657</v>
      </c>
    </row>
    <row r="754" spans="1:8">
      <c r="A754" s="3" t="s">
        <v>1465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46174.467280092591</v>
      </c>
      <c r="G754" t="s">
        <v>945</v>
      </c>
      <c r="H754" t="s">
        <v>657</v>
      </c>
    </row>
    <row r="755" spans="1:8">
      <c r="A755" s="4" t="s">
        <v>1466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46174.467280092591</v>
      </c>
      <c r="G755" t="s">
        <v>945</v>
      </c>
      <c r="H755" t="s">
        <v>657</v>
      </c>
    </row>
    <row r="756" spans="1:8">
      <c r="A756" s="3" t="s">
        <v>1467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46174.467280092591</v>
      </c>
      <c r="G756" t="s">
        <v>945</v>
      </c>
      <c r="H756" t="s">
        <v>657</v>
      </c>
    </row>
    <row r="757" spans="1:8">
      <c r="A757" s="4" t="s">
        <v>1468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46174.467280092591</v>
      </c>
      <c r="G757" t="s">
        <v>945</v>
      </c>
      <c r="H757" t="s">
        <v>657</v>
      </c>
    </row>
    <row r="758" spans="1:8">
      <c r="A758" s="3" t="s">
        <v>1469</v>
      </c>
      <c r="B758" s="1" t="s">
        <v>1657</v>
      </c>
      <c r="C758" s="1" t="s">
        <v>1658</v>
      </c>
      <c r="D758" s="3" t="s">
        <v>7</v>
      </c>
      <c r="E758" s="1" t="s">
        <v>14</v>
      </c>
      <c r="F758" s="5">
        <v>46191.287939814814</v>
      </c>
      <c r="G758" t="s">
        <v>944</v>
      </c>
      <c r="H758" t="s">
        <v>658</v>
      </c>
    </row>
    <row r="759" spans="1:8">
      <c r="A759" s="4" t="s">
        <v>1470</v>
      </c>
      <c r="B759" s="2" t="s">
        <v>1657</v>
      </c>
      <c r="C759" s="2" t="s">
        <v>1658</v>
      </c>
      <c r="D759" s="4" t="s">
        <v>7</v>
      </c>
      <c r="E759" s="2" t="s">
        <v>14</v>
      </c>
      <c r="F759" s="6">
        <v>46186.556319444448</v>
      </c>
      <c r="G759" t="s">
        <v>944</v>
      </c>
      <c r="H759" t="s">
        <v>658</v>
      </c>
    </row>
    <row r="760" spans="1:8">
      <c r="A760" s="3" t="s">
        <v>1471</v>
      </c>
      <c r="B760" s="1" t="s">
        <v>1657</v>
      </c>
      <c r="C760" s="1" t="s">
        <v>1658</v>
      </c>
      <c r="D760" s="3" t="s">
        <v>7</v>
      </c>
      <c r="E760" s="1" t="s">
        <v>14</v>
      </c>
      <c r="F760" s="5">
        <v>46186.55673611111</v>
      </c>
      <c r="G760" t="s">
        <v>944</v>
      </c>
      <c r="H760" t="s">
        <v>658</v>
      </c>
    </row>
    <row r="761" spans="1:8">
      <c r="A761" s="4" t="s">
        <v>1472</v>
      </c>
      <c r="B761" s="2" t="s">
        <v>648</v>
      </c>
      <c r="C761" s="2" t="s">
        <v>649</v>
      </c>
      <c r="D761" s="4" t="s">
        <v>7</v>
      </c>
      <c r="E761" s="2" t="s">
        <v>14</v>
      </c>
      <c r="F761" s="6">
        <v>46188.3981712963</v>
      </c>
      <c r="G761" t="s">
        <v>944</v>
      </c>
      <c r="H761" t="s">
        <v>658</v>
      </c>
    </row>
    <row r="762" spans="1:8">
      <c r="A762" s="3" t="s">
        <v>1473</v>
      </c>
      <c r="B762" s="1" t="s">
        <v>1657</v>
      </c>
      <c r="C762" s="1" t="s">
        <v>1658</v>
      </c>
      <c r="D762" s="3" t="s">
        <v>7</v>
      </c>
      <c r="E762" s="1" t="s">
        <v>14</v>
      </c>
      <c r="F762" s="5">
        <v>46188.321331018517</v>
      </c>
      <c r="G762" t="s">
        <v>944</v>
      </c>
      <c r="H762" t="s">
        <v>658</v>
      </c>
    </row>
    <row r="763" spans="1:8">
      <c r="A763" s="4" t="s">
        <v>1474</v>
      </c>
      <c r="B763" s="2" t="s">
        <v>1657</v>
      </c>
      <c r="C763" s="2" t="s">
        <v>1658</v>
      </c>
      <c r="D763" s="4" t="s">
        <v>7</v>
      </c>
      <c r="E763" s="2" t="s">
        <v>14</v>
      </c>
      <c r="F763" s="6">
        <v>46189.288182870368</v>
      </c>
      <c r="G763" t="s">
        <v>944</v>
      </c>
      <c r="H763" t="s">
        <v>658</v>
      </c>
    </row>
    <row r="764" spans="1:8">
      <c r="A764" s="3" t="s">
        <v>1475</v>
      </c>
      <c r="B764" s="1" t="s">
        <v>1657</v>
      </c>
      <c r="C764" s="1" t="s">
        <v>1658</v>
      </c>
      <c r="D764" s="3" t="s">
        <v>7</v>
      </c>
      <c r="E764" s="1" t="s">
        <v>14</v>
      </c>
      <c r="F764" s="5">
        <v>46188.336759259262</v>
      </c>
      <c r="G764" t="s">
        <v>944</v>
      </c>
      <c r="H764" t="s">
        <v>658</v>
      </c>
    </row>
    <row r="765" spans="1:8">
      <c r="A765" s="4" t="s">
        <v>1476</v>
      </c>
      <c r="B765" s="2" t="s">
        <v>1657</v>
      </c>
      <c r="C765" s="2" t="s">
        <v>1658</v>
      </c>
      <c r="D765" s="4" t="s">
        <v>7</v>
      </c>
      <c r="E765" s="2" t="s">
        <v>14</v>
      </c>
      <c r="F765" s="6">
        <v>46188.338368055556</v>
      </c>
      <c r="G765" t="s">
        <v>944</v>
      </c>
      <c r="H765" t="s">
        <v>658</v>
      </c>
    </row>
    <row r="766" spans="1:8">
      <c r="A766" s="3" t="s">
        <v>1477</v>
      </c>
      <c r="B766" s="1" t="s">
        <v>1657</v>
      </c>
      <c r="C766" s="1" t="s">
        <v>1658</v>
      </c>
      <c r="D766" s="3" t="s">
        <v>7</v>
      </c>
      <c r="E766" s="1" t="s">
        <v>14</v>
      </c>
      <c r="F766" s="5">
        <v>46188.340462962966</v>
      </c>
      <c r="G766" t="s">
        <v>944</v>
      </c>
      <c r="H766" t="s">
        <v>658</v>
      </c>
    </row>
    <row r="767" spans="1:8">
      <c r="A767" s="4" t="s">
        <v>1478</v>
      </c>
      <c r="B767" s="2" t="s">
        <v>1657</v>
      </c>
      <c r="C767" s="2" t="s">
        <v>1658</v>
      </c>
      <c r="D767" s="4" t="s">
        <v>7</v>
      </c>
      <c r="E767" s="2" t="s">
        <v>14</v>
      </c>
      <c r="F767" s="6">
        <v>46191.285752314812</v>
      </c>
      <c r="G767" t="s">
        <v>944</v>
      </c>
      <c r="H767" t="s">
        <v>658</v>
      </c>
    </row>
    <row r="768" spans="1:8">
      <c r="A768" s="3" t="s">
        <v>1479</v>
      </c>
      <c r="B768" s="1" t="s">
        <v>1657</v>
      </c>
      <c r="C768" s="1" t="s">
        <v>1658</v>
      </c>
      <c r="D768" s="3" t="s">
        <v>7</v>
      </c>
      <c r="E768" s="1" t="s">
        <v>14</v>
      </c>
      <c r="F768" s="5">
        <v>46188.826435185183</v>
      </c>
      <c r="G768" t="s">
        <v>944</v>
      </c>
      <c r="H768" t="s">
        <v>658</v>
      </c>
    </row>
    <row r="769" spans="1:8">
      <c r="A769" s="4" t="s">
        <v>1480</v>
      </c>
      <c r="B769" s="2" t="s">
        <v>1657</v>
      </c>
      <c r="C769" s="2" t="s">
        <v>1658</v>
      </c>
      <c r="D769" s="4" t="s">
        <v>7</v>
      </c>
      <c r="E769" s="2" t="s">
        <v>14</v>
      </c>
      <c r="F769" s="6">
        <v>46188.830046296294</v>
      </c>
      <c r="G769" t="s">
        <v>944</v>
      </c>
      <c r="H769" t="s">
        <v>658</v>
      </c>
    </row>
    <row r="770" spans="1:8">
      <c r="A770" s="3" t="s">
        <v>1481</v>
      </c>
      <c r="B770" s="1" t="s">
        <v>1657</v>
      </c>
      <c r="C770" s="1" t="s">
        <v>1658</v>
      </c>
      <c r="D770" s="3" t="s">
        <v>7</v>
      </c>
      <c r="E770" s="1" t="s">
        <v>14</v>
      </c>
      <c r="F770" s="5">
        <v>46188.828356481485</v>
      </c>
      <c r="G770" t="s">
        <v>944</v>
      </c>
      <c r="H770" t="s">
        <v>658</v>
      </c>
    </row>
    <row r="771" spans="1:8">
      <c r="A771" s="4" t="s">
        <v>1482</v>
      </c>
      <c r="B771" s="2" t="s">
        <v>1657</v>
      </c>
      <c r="C771" s="2" t="s">
        <v>1658</v>
      </c>
      <c r="D771" s="4" t="s">
        <v>7</v>
      </c>
      <c r="E771" s="2" t="s">
        <v>14</v>
      </c>
      <c r="F771" s="6">
        <v>46188.831793981481</v>
      </c>
      <c r="G771" t="s">
        <v>944</v>
      </c>
      <c r="H771" t="s">
        <v>658</v>
      </c>
    </row>
    <row r="772" spans="1:8">
      <c r="A772" s="3" t="s">
        <v>1483</v>
      </c>
      <c r="B772" s="1" t="s">
        <v>1657</v>
      </c>
      <c r="C772" s="1" t="s">
        <v>1658</v>
      </c>
      <c r="D772" s="3" t="s">
        <v>7</v>
      </c>
      <c r="E772" s="1" t="s">
        <v>14</v>
      </c>
      <c r="F772" s="5">
        <v>46188.862314814818</v>
      </c>
      <c r="G772" t="s">
        <v>944</v>
      </c>
      <c r="H772" t="s">
        <v>658</v>
      </c>
    </row>
    <row r="773" spans="1:8">
      <c r="A773" s="4" t="s">
        <v>1484</v>
      </c>
      <c r="B773" s="2" t="s">
        <v>1657</v>
      </c>
      <c r="C773" s="2" t="s">
        <v>1658</v>
      </c>
      <c r="D773" s="4" t="s">
        <v>7</v>
      </c>
      <c r="E773" s="2" t="s">
        <v>14</v>
      </c>
      <c r="F773" s="6">
        <v>46188.824374999997</v>
      </c>
      <c r="G773" t="s">
        <v>944</v>
      </c>
      <c r="H773" t="s">
        <v>658</v>
      </c>
    </row>
    <row r="774" spans="1:8">
      <c r="A774" s="3" t="s">
        <v>1485</v>
      </c>
      <c r="B774" s="1" t="s">
        <v>1657</v>
      </c>
      <c r="C774" s="1" t="s">
        <v>1658</v>
      </c>
      <c r="D774" s="3" t="s">
        <v>7</v>
      </c>
      <c r="E774" s="1" t="s">
        <v>14</v>
      </c>
      <c r="F774" s="5">
        <v>46188.86414351852</v>
      </c>
      <c r="G774" t="s">
        <v>944</v>
      </c>
      <c r="H774" t="s">
        <v>658</v>
      </c>
    </row>
    <row r="775" spans="1:8">
      <c r="A775" s="4" t="s">
        <v>1486</v>
      </c>
      <c r="B775" s="2" t="s">
        <v>1657</v>
      </c>
      <c r="C775" s="2" t="s">
        <v>1658</v>
      </c>
      <c r="D775" s="4" t="s">
        <v>7</v>
      </c>
      <c r="E775" s="2" t="s">
        <v>14</v>
      </c>
      <c r="F775" s="6">
        <v>46188.868530092594</v>
      </c>
      <c r="G775" t="s">
        <v>944</v>
      </c>
      <c r="H775" t="s">
        <v>658</v>
      </c>
    </row>
    <row r="776" spans="1:8">
      <c r="A776" s="3" t="s">
        <v>1487</v>
      </c>
      <c r="B776" s="1" t="s">
        <v>1657</v>
      </c>
      <c r="C776" s="1" t="s">
        <v>1658</v>
      </c>
      <c r="D776" s="3" t="s">
        <v>7</v>
      </c>
      <c r="E776" s="1" t="s">
        <v>14</v>
      </c>
      <c r="F776" s="5">
        <v>46188.871504629627</v>
      </c>
      <c r="G776" t="s">
        <v>944</v>
      </c>
      <c r="H776" t="s">
        <v>658</v>
      </c>
    </row>
    <row r="777" spans="1:8">
      <c r="A777" s="4" t="s">
        <v>1488</v>
      </c>
      <c r="B777" s="2" t="s">
        <v>1657</v>
      </c>
      <c r="C777" s="2" t="s">
        <v>1658</v>
      </c>
      <c r="D777" s="4" t="s">
        <v>7</v>
      </c>
      <c r="E777" s="2" t="s">
        <v>14</v>
      </c>
      <c r="F777" s="6">
        <v>46190.493379629632</v>
      </c>
      <c r="G777" t="s">
        <v>944</v>
      </c>
      <c r="H777" t="s">
        <v>658</v>
      </c>
    </row>
    <row r="778" spans="1:8">
      <c r="A778" s="3" t="s">
        <v>1489</v>
      </c>
      <c r="B778" s="1" t="s">
        <v>1657</v>
      </c>
      <c r="C778" s="1" t="s">
        <v>1658</v>
      </c>
      <c r="D778" s="3" t="s">
        <v>7</v>
      </c>
      <c r="E778" s="1" t="s">
        <v>14</v>
      </c>
      <c r="F778" s="5">
        <v>46189.332928240743</v>
      </c>
      <c r="G778" t="s">
        <v>944</v>
      </c>
      <c r="H778" t="s">
        <v>658</v>
      </c>
    </row>
    <row r="779" spans="1:8">
      <c r="A779" s="4" t="s">
        <v>1490</v>
      </c>
      <c r="B779" s="2" t="s">
        <v>1657</v>
      </c>
      <c r="C779" s="2" t="s">
        <v>1658</v>
      </c>
      <c r="D779" s="4" t="s">
        <v>7</v>
      </c>
      <c r="E779" s="2" t="s">
        <v>14</v>
      </c>
      <c r="F779" s="6">
        <v>46188.940983796296</v>
      </c>
      <c r="G779" t="s">
        <v>944</v>
      </c>
      <c r="H779" t="s">
        <v>658</v>
      </c>
    </row>
    <row r="780" spans="1:8">
      <c r="A780" s="3" t="s">
        <v>1491</v>
      </c>
      <c r="B780" s="1" t="s">
        <v>1657</v>
      </c>
      <c r="C780" s="1" t="s">
        <v>1658</v>
      </c>
      <c r="D780" s="3" t="s">
        <v>7</v>
      </c>
      <c r="E780" s="1" t="s">
        <v>14</v>
      </c>
      <c r="F780" s="5">
        <v>46188.943136574075</v>
      </c>
      <c r="G780" t="s">
        <v>944</v>
      </c>
      <c r="H780" t="s">
        <v>658</v>
      </c>
    </row>
    <row r="781" spans="1:8">
      <c r="A781" s="4" t="s">
        <v>1492</v>
      </c>
      <c r="B781" s="2" t="s">
        <v>1657</v>
      </c>
      <c r="C781" s="2" t="s">
        <v>1658</v>
      </c>
      <c r="D781" s="4" t="s">
        <v>7</v>
      </c>
      <c r="E781" s="2" t="s">
        <v>14</v>
      </c>
      <c r="F781" s="6">
        <v>46188.944722222222</v>
      </c>
      <c r="G781" t="s">
        <v>944</v>
      </c>
      <c r="H781" t="s">
        <v>658</v>
      </c>
    </row>
    <row r="782" spans="1:8">
      <c r="A782" s="3" t="s">
        <v>1493</v>
      </c>
      <c r="B782" s="1" t="s">
        <v>1657</v>
      </c>
      <c r="C782" s="1" t="s">
        <v>1658</v>
      </c>
      <c r="D782" s="3" t="s">
        <v>7</v>
      </c>
      <c r="E782" s="1" t="s">
        <v>14</v>
      </c>
      <c r="F782" s="5">
        <v>46188.93105324074</v>
      </c>
      <c r="G782" t="s">
        <v>944</v>
      </c>
      <c r="H782" t="s">
        <v>658</v>
      </c>
    </row>
    <row r="783" spans="1:8">
      <c r="A783" s="4" t="s">
        <v>1494</v>
      </c>
      <c r="B783" s="2" t="s">
        <v>1657</v>
      </c>
      <c r="C783" s="2" t="s">
        <v>1658</v>
      </c>
      <c r="D783" s="4" t="s">
        <v>7</v>
      </c>
      <c r="E783" s="2" t="s">
        <v>14</v>
      </c>
      <c r="F783" s="6">
        <v>46188.935497685183</v>
      </c>
      <c r="G783" t="s">
        <v>944</v>
      </c>
      <c r="H783" t="s">
        <v>658</v>
      </c>
    </row>
    <row r="784" spans="1:8">
      <c r="A784" s="3" t="s">
        <v>1495</v>
      </c>
      <c r="B784" s="1" t="s">
        <v>1657</v>
      </c>
      <c r="C784" s="1" t="s">
        <v>1658</v>
      </c>
      <c r="D784" s="3" t="s">
        <v>7</v>
      </c>
      <c r="E784" s="1" t="s">
        <v>14</v>
      </c>
      <c r="F784" s="5">
        <v>46188.939560185187</v>
      </c>
      <c r="G784" t="s">
        <v>944</v>
      </c>
      <c r="H784" t="s">
        <v>658</v>
      </c>
    </row>
    <row r="785" spans="1:8">
      <c r="A785" s="4" t="s">
        <v>1496</v>
      </c>
      <c r="B785" s="2" t="s">
        <v>1657</v>
      </c>
      <c r="C785" s="2" t="s">
        <v>1658</v>
      </c>
      <c r="D785" s="4" t="s">
        <v>7</v>
      </c>
      <c r="E785" s="2" t="s">
        <v>14</v>
      </c>
      <c r="F785" s="6">
        <v>46188.925891203704</v>
      </c>
      <c r="G785" t="s">
        <v>944</v>
      </c>
      <c r="H785" t="s">
        <v>658</v>
      </c>
    </row>
    <row r="786" spans="1:8">
      <c r="A786" s="3" t="s">
        <v>1497</v>
      </c>
      <c r="B786" s="1" t="s">
        <v>1657</v>
      </c>
      <c r="C786" s="1" t="s">
        <v>1658</v>
      </c>
      <c r="D786" s="3" t="s">
        <v>7</v>
      </c>
      <c r="E786" s="1" t="s">
        <v>14</v>
      </c>
      <c r="F786" s="5">
        <v>46188.927499999998</v>
      </c>
      <c r="G786" t="s">
        <v>944</v>
      </c>
      <c r="H786" t="s">
        <v>658</v>
      </c>
    </row>
    <row r="787" spans="1:8">
      <c r="A787" s="4" t="s">
        <v>1498</v>
      </c>
      <c r="B787" s="2" t="s">
        <v>1657</v>
      </c>
      <c r="C787" s="2" t="s">
        <v>1658</v>
      </c>
      <c r="D787" s="4" t="s">
        <v>7</v>
      </c>
      <c r="E787" s="2" t="s">
        <v>14</v>
      </c>
      <c r="F787" s="6">
        <v>46188.899189814816</v>
      </c>
      <c r="G787" t="s">
        <v>944</v>
      </c>
      <c r="H787" t="s">
        <v>658</v>
      </c>
    </row>
    <row r="788" spans="1:8">
      <c r="A788" s="3" t="s">
        <v>1499</v>
      </c>
      <c r="B788" s="1" t="s">
        <v>1657</v>
      </c>
      <c r="C788" s="1" t="s">
        <v>1658</v>
      </c>
      <c r="D788" s="3" t="s">
        <v>7</v>
      </c>
      <c r="E788" s="1" t="s">
        <v>14</v>
      </c>
      <c r="F788" s="5">
        <v>46191.238159722219</v>
      </c>
      <c r="G788" t="s">
        <v>944</v>
      </c>
      <c r="H788" t="s">
        <v>658</v>
      </c>
    </row>
    <row r="789" spans="1:8">
      <c r="A789" s="4" t="s">
        <v>1500</v>
      </c>
      <c r="B789" s="2" t="s">
        <v>1657</v>
      </c>
      <c r="C789" s="2" t="s">
        <v>1658</v>
      </c>
      <c r="D789" s="4" t="s">
        <v>7</v>
      </c>
      <c r="E789" s="2" t="s">
        <v>14</v>
      </c>
      <c r="F789" s="6">
        <v>46188.349351851852</v>
      </c>
      <c r="G789" t="s">
        <v>944</v>
      </c>
      <c r="H789" t="s">
        <v>658</v>
      </c>
    </row>
    <row r="790" spans="1:8">
      <c r="A790" s="3" t="s">
        <v>1501</v>
      </c>
      <c r="B790" s="1" t="s">
        <v>1657</v>
      </c>
      <c r="C790" s="1" t="s">
        <v>1658</v>
      </c>
      <c r="D790" s="3" t="s">
        <v>7</v>
      </c>
      <c r="E790" s="1" t="s">
        <v>14</v>
      </c>
      <c r="F790" s="5">
        <v>46188.374386574076</v>
      </c>
      <c r="G790" t="s">
        <v>944</v>
      </c>
      <c r="H790" t="s">
        <v>658</v>
      </c>
    </row>
    <row r="791" spans="1:8">
      <c r="A791" s="4" t="s">
        <v>1502</v>
      </c>
      <c r="B791" s="2" t="s">
        <v>1657</v>
      </c>
      <c r="C791" s="2" t="s">
        <v>1658</v>
      </c>
      <c r="D791" s="4" t="s">
        <v>7</v>
      </c>
      <c r="E791" s="2" t="s">
        <v>14</v>
      </c>
      <c r="F791" s="6">
        <v>46191.312083333331</v>
      </c>
      <c r="G791" t="s">
        <v>944</v>
      </c>
      <c r="H791" t="s">
        <v>658</v>
      </c>
    </row>
    <row r="792" spans="1:8">
      <c r="A792" s="3" t="s">
        <v>1503</v>
      </c>
      <c r="B792" s="1" t="s">
        <v>1657</v>
      </c>
      <c r="C792" s="1" t="s">
        <v>1658</v>
      </c>
      <c r="D792" s="3" t="s">
        <v>7</v>
      </c>
      <c r="E792" s="1" t="s">
        <v>14</v>
      </c>
      <c r="F792" s="5">
        <v>46188.388749999998</v>
      </c>
      <c r="G792" t="s">
        <v>944</v>
      </c>
      <c r="H792" t="s">
        <v>658</v>
      </c>
    </row>
    <row r="793" spans="1:8">
      <c r="A793" s="4" t="s">
        <v>1504</v>
      </c>
      <c r="B793" s="2" t="s">
        <v>1657</v>
      </c>
      <c r="C793" s="2" t="s">
        <v>1658</v>
      </c>
      <c r="D793" s="4" t="s">
        <v>7</v>
      </c>
      <c r="E793" s="2" t="s">
        <v>14</v>
      </c>
      <c r="F793" s="6">
        <v>46188.392488425925</v>
      </c>
      <c r="G793" t="s">
        <v>944</v>
      </c>
      <c r="H793" t="s">
        <v>658</v>
      </c>
    </row>
    <row r="794" spans="1:8">
      <c r="A794" s="3" t="s">
        <v>1505</v>
      </c>
      <c r="B794" s="1" t="s">
        <v>1657</v>
      </c>
      <c r="C794" s="1" t="s">
        <v>1658</v>
      </c>
      <c r="D794" s="3" t="s">
        <v>7</v>
      </c>
      <c r="E794" s="1" t="s">
        <v>14</v>
      </c>
      <c r="F794" s="5">
        <v>46188.39570601852</v>
      </c>
      <c r="G794" t="s">
        <v>944</v>
      </c>
      <c r="H794" t="s">
        <v>658</v>
      </c>
    </row>
    <row r="795" spans="1:8">
      <c r="A795" s="4" t="s">
        <v>1506</v>
      </c>
      <c r="B795" s="2" t="s">
        <v>1657</v>
      </c>
      <c r="C795" s="2" t="s">
        <v>1658</v>
      </c>
      <c r="D795" s="4" t="s">
        <v>7</v>
      </c>
      <c r="E795" s="2" t="s">
        <v>14</v>
      </c>
      <c r="F795" s="6">
        <v>46188.394074074073</v>
      </c>
      <c r="G795" t="s">
        <v>944</v>
      </c>
      <c r="H795" t="s">
        <v>658</v>
      </c>
    </row>
    <row r="796" spans="1:8">
      <c r="A796" s="3" t="s">
        <v>1507</v>
      </c>
      <c r="B796" s="1" t="s">
        <v>1657</v>
      </c>
      <c r="C796" s="1" t="s">
        <v>1658</v>
      </c>
      <c r="D796" s="3" t="s">
        <v>7</v>
      </c>
      <c r="E796" s="1" t="s">
        <v>14</v>
      </c>
      <c r="F796" s="5">
        <v>46188.401990740742</v>
      </c>
      <c r="G796" t="s">
        <v>944</v>
      </c>
      <c r="H796" t="s">
        <v>658</v>
      </c>
    </row>
    <row r="797" spans="1:8">
      <c r="A797" s="4" t="s">
        <v>1508</v>
      </c>
      <c r="B797" s="2" t="s">
        <v>1657</v>
      </c>
      <c r="C797" s="2" t="s">
        <v>1658</v>
      </c>
      <c r="D797" s="4" t="s">
        <v>7</v>
      </c>
      <c r="E797" s="2" t="s">
        <v>14</v>
      </c>
      <c r="F797" s="6">
        <v>46188.406284722223</v>
      </c>
      <c r="G797" t="s">
        <v>944</v>
      </c>
      <c r="H797" t="s">
        <v>658</v>
      </c>
    </row>
    <row r="798" spans="1:8">
      <c r="A798" s="3" t="s">
        <v>1509</v>
      </c>
      <c r="B798" s="1" t="s">
        <v>1657</v>
      </c>
      <c r="C798" s="1" t="s">
        <v>1658</v>
      </c>
      <c r="D798" s="3" t="s">
        <v>7</v>
      </c>
      <c r="E798" s="1" t="s">
        <v>14</v>
      </c>
      <c r="F798" s="5">
        <v>46188.409328703703</v>
      </c>
      <c r="G798" t="s">
        <v>944</v>
      </c>
      <c r="H798" t="s">
        <v>658</v>
      </c>
    </row>
    <row r="799" spans="1:8">
      <c r="A799" s="4" t="s">
        <v>1510</v>
      </c>
      <c r="B799" s="2" t="s">
        <v>1657</v>
      </c>
      <c r="C799" s="2" t="s">
        <v>1658</v>
      </c>
      <c r="D799" s="4" t="s">
        <v>7</v>
      </c>
      <c r="E799" s="2" t="s">
        <v>14</v>
      </c>
      <c r="F799" s="6">
        <v>46188.552662037036</v>
      </c>
      <c r="G799" t="s">
        <v>944</v>
      </c>
      <c r="H799" t="s">
        <v>658</v>
      </c>
    </row>
    <row r="800" spans="1:8">
      <c r="A800" s="3" t="s">
        <v>1511</v>
      </c>
      <c r="B800" s="1" t="s">
        <v>1657</v>
      </c>
      <c r="C800" s="1" t="s">
        <v>1658</v>
      </c>
      <c r="D800" s="3" t="s">
        <v>7</v>
      </c>
      <c r="E800" s="1" t="s">
        <v>14</v>
      </c>
      <c r="F800" s="5">
        <v>46188.557152777779</v>
      </c>
      <c r="G800" t="s">
        <v>944</v>
      </c>
      <c r="H800" t="s">
        <v>658</v>
      </c>
    </row>
    <row r="801" spans="1:8">
      <c r="A801" s="4" t="s">
        <v>1512</v>
      </c>
      <c r="B801" s="2" t="s">
        <v>1657</v>
      </c>
      <c r="C801" s="2" t="s">
        <v>1658</v>
      </c>
      <c r="D801" s="4" t="s">
        <v>7</v>
      </c>
      <c r="E801" s="2" t="s">
        <v>14</v>
      </c>
      <c r="F801" s="6">
        <v>46188.563240740739</v>
      </c>
      <c r="G801" t="s">
        <v>944</v>
      </c>
      <c r="H801" t="s">
        <v>658</v>
      </c>
    </row>
    <row r="802" spans="1:8">
      <c r="A802" s="3" t="s">
        <v>1513</v>
      </c>
      <c r="B802" s="1" t="s">
        <v>1657</v>
      </c>
      <c r="C802" s="1" t="s">
        <v>1658</v>
      </c>
      <c r="D802" s="3" t="s">
        <v>7</v>
      </c>
      <c r="E802" s="1" t="s">
        <v>14</v>
      </c>
      <c r="F802" s="5">
        <v>46188.566018518519</v>
      </c>
      <c r="G802" t="s">
        <v>944</v>
      </c>
      <c r="H802" t="s">
        <v>658</v>
      </c>
    </row>
    <row r="803" spans="1:8">
      <c r="A803" s="4" t="s">
        <v>1514</v>
      </c>
      <c r="B803" s="2" t="s">
        <v>1657</v>
      </c>
      <c r="C803" s="2" t="s">
        <v>1658</v>
      </c>
      <c r="D803" s="4" t="s">
        <v>7</v>
      </c>
      <c r="E803" s="2" t="s">
        <v>14</v>
      </c>
      <c r="F803" s="6">
        <v>46188.568159722221</v>
      </c>
      <c r="G803" t="s">
        <v>944</v>
      </c>
      <c r="H803" t="s">
        <v>658</v>
      </c>
    </row>
    <row r="804" spans="1:8">
      <c r="A804" s="3" t="s">
        <v>1515</v>
      </c>
      <c r="B804" s="1" t="s">
        <v>1657</v>
      </c>
      <c r="C804" s="1" t="s">
        <v>1658</v>
      </c>
      <c r="D804" s="3" t="s">
        <v>7</v>
      </c>
      <c r="E804" s="1" t="s">
        <v>14</v>
      </c>
      <c r="F804" s="5">
        <v>46188.575069444443</v>
      </c>
      <c r="G804" t="s">
        <v>944</v>
      </c>
      <c r="H804" t="s">
        <v>658</v>
      </c>
    </row>
    <row r="805" spans="1:8">
      <c r="A805" s="4" t="s">
        <v>1516</v>
      </c>
      <c r="B805" s="2" t="s">
        <v>1657</v>
      </c>
      <c r="C805" s="2" t="s">
        <v>1658</v>
      </c>
      <c r="D805" s="4" t="s">
        <v>7</v>
      </c>
      <c r="E805" s="2" t="s">
        <v>14</v>
      </c>
      <c r="F805" s="6">
        <v>46188.589780092596</v>
      </c>
      <c r="G805" t="s">
        <v>944</v>
      </c>
      <c r="H805" t="s">
        <v>658</v>
      </c>
    </row>
    <row r="806" spans="1:8">
      <c r="A806" s="3" t="s">
        <v>1517</v>
      </c>
      <c r="B806" s="1" t="s">
        <v>1657</v>
      </c>
      <c r="C806" s="1" t="s">
        <v>1658</v>
      </c>
      <c r="D806" s="3" t="s">
        <v>7</v>
      </c>
      <c r="E806" s="1" t="s">
        <v>14</v>
      </c>
      <c r="F806" s="5">
        <v>46188.589837962965</v>
      </c>
      <c r="G806" t="s">
        <v>944</v>
      </c>
      <c r="H806" t="s">
        <v>658</v>
      </c>
    </row>
    <row r="807" spans="1:8">
      <c r="A807" s="4" t="s">
        <v>1518</v>
      </c>
      <c r="B807" s="2" t="s">
        <v>1657</v>
      </c>
      <c r="C807" s="2" t="s">
        <v>1658</v>
      </c>
      <c r="D807" s="4" t="s">
        <v>7</v>
      </c>
      <c r="E807" s="2" t="s">
        <v>14</v>
      </c>
      <c r="F807" s="6">
        <v>46188.59</v>
      </c>
      <c r="G807" t="s">
        <v>944</v>
      </c>
      <c r="H807" t="s">
        <v>658</v>
      </c>
    </row>
    <row r="808" spans="1:8">
      <c r="A808" s="3" t="s">
        <v>1519</v>
      </c>
      <c r="B808" s="1" t="s">
        <v>1657</v>
      </c>
      <c r="C808" s="1" t="s">
        <v>1658</v>
      </c>
      <c r="D808" s="3" t="s">
        <v>7</v>
      </c>
      <c r="E808" s="1" t="s">
        <v>14</v>
      </c>
      <c r="F808" s="5">
        <v>46188.59034722222</v>
      </c>
      <c r="G808" t="s">
        <v>944</v>
      </c>
      <c r="H808" t="s">
        <v>658</v>
      </c>
    </row>
    <row r="809" spans="1:8">
      <c r="A809" s="4" t="s">
        <v>1520</v>
      </c>
      <c r="B809" s="2" t="s">
        <v>1657</v>
      </c>
      <c r="C809" s="2" t="s">
        <v>1658</v>
      </c>
      <c r="D809" s="4" t="s">
        <v>7</v>
      </c>
      <c r="E809" s="2" t="s">
        <v>14</v>
      </c>
      <c r="F809" s="6">
        <v>46188.487141203703</v>
      </c>
      <c r="G809" t="s">
        <v>944</v>
      </c>
      <c r="H809" t="s">
        <v>658</v>
      </c>
    </row>
    <row r="810" spans="1:8">
      <c r="A810" s="3" t="s">
        <v>1521</v>
      </c>
      <c r="B810" s="1" t="s">
        <v>1657</v>
      </c>
      <c r="C810" s="1" t="s">
        <v>1658</v>
      </c>
      <c r="D810" s="3" t="s">
        <v>7</v>
      </c>
      <c r="E810" s="1" t="s">
        <v>14</v>
      </c>
      <c r="F810" s="5">
        <v>46188.489131944443</v>
      </c>
      <c r="G810" t="s">
        <v>944</v>
      </c>
      <c r="H810" t="s">
        <v>658</v>
      </c>
    </row>
    <row r="811" spans="1:8">
      <c r="A811" s="4" t="s">
        <v>1522</v>
      </c>
      <c r="B811" s="2" t="s">
        <v>1657</v>
      </c>
      <c r="C811" s="2" t="s">
        <v>1658</v>
      </c>
      <c r="D811" s="4" t="s">
        <v>7</v>
      </c>
      <c r="E811" s="2" t="s">
        <v>14</v>
      </c>
      <c r="F811" s="6">
        <v>46188.491585648146</v>
      </c>
      <c r="G811" t="s">
        <v>944</v>
      </c>
      <c r="H811" t="s">
        <v>658</v>
      </c>
    </row>
    <row r="812" spans="1:8">
      <c r="A812" s="3" t="s">
        <v>1523</v>
      </c>
      <c r="B812" s="1" t="s">
        <v>1657</v>
      </c>
      <c r="C812" s="1" t="s">
        <v>1658</v>
      </c>
      <c r="D812" s="3" t="s">
        <v>7</v>
      </c>
      <c r="E812" s="1" t="s">
        <v>14</v>
      </c>
      <c r="F812" s="5">
        <v>46188.501956018517</v>
      </c>
      <c r="G812" t="s">
        <v>944</v>
      </c>
      <c r="H812" t="s">
        <v>658</v>
      </c>
    </row>
    <row r="813" spans="1:8">
      <c r="A813" s="4" t="s">
        <v>1524</v>
      </c>
      <c r="B813" s="2" t="s">
        <v>1657</v>
      </c>
      <c r="C813" s="2" t="s">
        <v>1658</v>
      </c>
      <c r="D813" s="4" t="s">
        <v>7</v>
      </c>
      <c r="E813" s="2" t="s">
        <v>14</v>
      </c>
      <c r="F813" s="6">
        <v>46191.243356481478</v>
      </c>
      <c r="G813" t="s">
        <v>944</v>
      </c>
      <c r="H813" t="s">
        <v>658</v>
      </c>
    </row>
    <row r="814" spans="1:8">
      <c r="A814" s="3" t="s">
        <v>1525</v>
      </c>
      <c r="B814" s="1" t="s">
        <v>1657</v>
      </c>
      <c r="C814" s="1" t="s">
        <v>1658</v>
      </c>
      <c r="D814" s="3" t="s">
        <v>7</v>
      </c>
      <c r="E814" s="1" t="s">
        <v>14</v>
      </c>
      <c r="F814" s="5">
        <v>46188.521689814814</v>
      </c>
      <c r="G814" t="s">
        <v>944</v>
      </c>
      <c r="H814" t="s">
        <v>658</v>
      </c>
    </row>
    <row r="815" spans="1:8">
      <c r="A815" s="4" t="s">
        <v>1526</v>
      </c>
      <c r="B815" s="2" t="s">
        <v>1657</v>
      </c>
      <c r="C815" s="2" t="s">
        <v>1658</v>
      </c>
      <c r="D815" s="4" t="s">
        <v>7</v>
      </c>
      <c r="E815" s="2" t="s">
        <v>14</v>
      </c>
      <c r="F815" s="6">
        <v>46188.493495370371</v>
      </c>
      <c r="G815" t="s">
        <v>944</v>
      </c>
      <c r="H815" t="s">
        <v>658</v>
      </c>
    </row>
    <row r="816" spans="1:8">
      <c r="A816" s="3" t="s">
        <v>1527</v>
      </c>
      <c r="B816" s="1" t="s">
        <v>1657</v>
      </c>
      <c r="C816" s="1" t="s">
        <v>1658</v>
      </c>
      <c r="D816" s="3" t="s">
        <v>7</v>
      </c>
      <c r="E816" s="1" t="s">
        <v>14</v>
      </c>
      <c r="F816" s="5">
        <v>46191.313379629632</v>
      </c>
      <c r="G816" t="s">
        <v>944</v>
      </c>
      <c r="H816" t="s">
        <v>658</v>
      </c>
    </row>
    <row r="817" spans="1:8">
      <c r="A817" s="4" t="s">
        <v>1528</v>
      </c>
      <c r="B817" s="2" t="s">
        <v>1657</v>
      </c>
      <c r="C817" s="2" t="s">
        <v>1658</v>
      </c>
      <c r="D817" s="4" t="s">
        <v>7</v>
      </c>
      <c r="E817" s="2" t="s">
        <v>14</v>
      </c>
      <c r="F817" s="6">
        <v>46188.504027777781</v>
      </c>
      <c r="G817" t="s">
        <v>944</v>
      </c>
      <c r="H817" t="s">
        <v>658</v>
      </c>
    </row>
    <row r="818" spans="1:8">
      <c r="A818" s="3" t="s">
        <v>1529</v>
      </c>
      <c r="B818" s="1" t="s">
        <v>1657</v>
      </c>
      <c r="C818" s="1" t="s">
        <v>1658</v>
      </c>
      <c r="D818" s="3" t="s">
        <v>7</v>
      </c>
      <c r="E818" s="1" t="s">
        <v>14</v>
      </c>
      <c r="F818" s="5">
        <v>46191.29179398148</v>
      </c>
      <c r="G818" t="s">
        <v>944</v>
      </c>
      <c r="H818" t="s">
        <v>658</v>
      </c>
    </row>
    <row r="819" spans="1:8">
      <c r="A819" s="4" t="s">
        <v>1530</v>
      </c>
      <c r="B819" s="2" t="s">
        <v>1657</v>
      </c>
      <c r="C819" s="2" t="s">
        <v>1658</v>
      </c>
      <c r="D819" s="4" t="s">
        <v>7</v>
      </c>
      <c r="E819" s="2" t="s">
        <v>14</v>
      </c>
      <c r="F819" s="6">
        <v>46189.314085648148</v>
      </c>
      <c r="G819" t="s">
        <v>944</v>
      </c>
      <c r="H819" t="s">
        <v>658</v>
      </c>
    </row>
    <row r="820" spans="1:8">
      <c r="A820" s="3" t="s">
        <v>1531</v>
      </c>
      <c r="B820" s="1" t="s">
        <v>1657</v>
      </c>
      <c r="C820" s="1" t="s">
        <v>1658</v>
      </c>
      <c r="D820" s="3" t="s">
        <v>7</v>
      </c>
      <c r="E820" s="1" t="s">
        <v>14</v>
      </c>
      <c r="F820" s="5">
        <v>46189.312025462961</v>
      </c>
      <c r="G820" t="s">
        <v>944</v>
      </c>
      <c r="H820" t="s">
        <v>658</v>
      </c>
    </row>
    <row r="821" spans="1:8">
      <c r="A821" s="4" t="s">
        <v>1532</v>
      </c>
      <c r="B821" s="2" t="s">
        <v>1657</v>
      </c>
      <c r="C821" s="2" t="s">
        <v>1658</v>
      </c>
      <c r="D821" s="4" t="s">
        <v>7</v>
      </c>
      <c r="E821" s="2" t="s">
        <v>14</v>
      </c>
      <c r="F821" s="6">
        <v>46189.309236111112</v>
      </c>
      <c r="G821" t="s">
        <v>944</v>
      </c>
      <c r="H821" t="s">
        <v>658</v>
      </c>
    </row>
    <row r="822" spans="1:8">
      <c r="A822" s="3" t="s">
        <v>1533</v>
      </c>
      <c r="B822" s="1" t="s">
        <v>1657</v>
      </c>
      <c r="C822" s="1" t="s">
        <v>1658</v>
      </c>
      <c r="D822" s="3" t="s">
        <v>7</v>
      </c>
      <c r="E822" s="1" t="s">
        <v>14</v>
      </c>
      <c r="F822" s="5">
        <v>46189.302337962959</v>
      </c>
      <c r="G822" t="s">
        <v>944</v>
      </c>
      <c r="H822" t="s">
        <v>658</v>
      </c>
    </row>
    <row r="823" spans="1:8">
      <c r="A823" s="4" t="s">
        <v>1534</v>
      </c>
      <c r="B823" s="2" t="s">
        <v>1657</v>
      </c>
      <c r="C823" s="2" t="s">
        <v>1658</v>
      </c>
      <c r="D823" s="4" t="s">
        <v>7</v>
      </c>
      <c r="E823" s="2" t="s">
        <v>14</v>
      </c>
      <c r="F823" s="6">
        <v>46191.247245370374</v>
      </c>
      <c r="G823" t="s">
        <v>944</v>
      </c>
      <c r="H823" t="s">
        <v>658</v>
      </c>
    </row>
    <row r="824" spans="1:8">
      <c r="A824" s="3" t="s">
        <v>1535</v>
      </c>
      <c r="B824" s="1" t="s">
        <v>1657</v>
      </c>
      <c r="C824" s="1" t="s">
        <v>1658</v>
      </c>
      <c r="D824" s="3" t="s">
        <v>7</v>
      </c>
      <c r="E824" s="1" t="s">
        <v>14</v>
      </c>
      <c r="F824" s="5">
        <v>46189.297037037039</v>
      </c>
      <c r="G824" t="s">
        <v>944</v>
      </c>
      <c r="H824" t="s">
        <v>658</v>
      </c>
    </row>
    <row r="825" spans="1:8">
      <c r="A825" s="4" t="s">
        <v>1536</v>
      </c>
      <c r="B825" s="2" t="s">
        <v>1657</v>
      </c>
      <c r="C825" s="2" t="s">
        <v>1658</v>
      </c>
      <c r="D825" s="4" t="s">
        <v>7</v>
      </c>
      <c r="E825" s="2" t="s">
        <v>14</v>
      </c>
      <c r="F825" s="6">
        <v>46191.241226851853</v>
      </c>
      <c r="G825" t="s">
        <v>944</v>
      </c>
      <c r="H825" t="s">
        <v>658</v>
      </c>
    </row>
    <row r="826" spans="1:8">
      <c r="A826" s="3" t="s">
        <v>1537</v>
      </c>
      <c r="B826" s="1" t="s">
        <v>1657</v>
      </c>
      <c r="C826" s="1" t="s">
        <v>1658</v>
      </c>
      <c r="D826" s="3" t="s">
        <v>7</v>
      </c>
      <c r="E826" s="1" t="s">
        <v>14</v>
      </c>
      <c r="F826" s="5">
        <v>46189.310682870368</v>
      </c>
      <c r="G826" t="s">
        <v>944</v>
      </c>
      <c r="H826" t="s">
        <v>658</v>
      </c>
    </row>
    <row r="827" spans="1:8">
      <c r="A827" s="4" t="s">
        <v>1538</v>
      </c>
      <c r="B827" s="2" t="s">
        <v>1657</v>
      </c>
      <c r="C827" s="2" t="s">
        <v>1658</v>
      </c>
      <c r="D827" s="4" t="s">
        <v>7</v>
      </c>
      <c r="E827" s="2" t="s">
        <v>14</v>
      </c>
      <c r="F827" s="6">
        <v>46189.638599537036</v>
      </c>
      <c r="G827" t="s">
        <v>944</v>
      </c>
      <c r="H827" t="s">
        <v>658</v>
      </c>
    </row>
    <row r="828" spans="1:8">
      <c r="A828" s="3" t="s">
        <v>1539</v>
      </c>
      <c r="B828" s="1" t="s">
        <v>1657</v>
      </c>
      <c r="C828" s="1" t="s">
        <v>1658</v>
      </c>
      <c r="D828" s="3" t="s">
        <v>7</v>
      </c>
      <c r="E828" s="1" t="s">
        <v>14</v>
      </c>
      <c r="F828" s="5">
        <v>46190.474768518521</v>
      </c>
      <c r="G828" t="s">
        <v>944</v>
      </c>
      <c r="H828" t="s">
        <v>658</v>
      </c>
    </row>
    <row r="829" spans="1:8">
      <c r="A829" s="4" t="s">
        <v>1540</v>
      </c>
      <c r="B829" s="2" t="s">
        <v>1657</v>
      </c>
      <c r="C829" s="2" t="s">
        <v>1658</v>
      </c>
      <c r="D829" s="4" t="s">
        <v>7</v>
      </c>
      <c r="E829" s="2" t="s">
        <v>14</v>
      </c>
      <c r="F829" s="6">
        <v>46188.411782407406</v>
      </c>
      <c r="G829" t="s">
        <v>944</v>
      </c>
      <c r="H829" t="s">
        <v>658</v>
      </c>
    </row>
    <row r="830" spans="1:8">
      <c r="A830" s="3" t="s">
        <v>1541</v>
      </c>
      <c r="B830" s="1" t="s">
        <v>1657</v>
      </c>
      <c r="C830" s="1" t="s">
        <v>1658</v>
      </c>
      <c r="D830" s="3" t="s">
        <v>7</v>
      </c>
      <c r="E830" s="1" t="s">
        <v>14</v>
      </c>
      <c r="F830" s="5">
        <v>46191.316724537035</v>
      </c>
      <c r="G830" t="s">
        <v>944</v>
      </c>
      <c r="H830" t="s">
        <v>658</v>
      </c>
    </row>
    <row r="831" spans="1:8">
      <c r="A831" s="4" t="s">
        <v>1542</v>
      </c>
      <c r="B831" s="2" t="s">
        <v>1657</v>
      </c>
      <c r="C831" s="2" t="s">
        <v>1658</v>
      </c>
      <c r="D831" s="4" t="s">
        <v>7</v>
      </c>
      <c r="E831" s="2" t="s">
        <v>14</v>
      </c>
      <c r="F831" s="6">
        <v>46188.417719907404</v>
      </c>
      <c r="G831" t="s">
        <v>944</v>
      </c>
      <c r="H831" t="s">
        <v>658</v>
      </c>
    </row>
    <row r="832" spans="1:8">
      <c r="A832" s="3" t="s">
        <v>1543</v>
      </c>
      <c r="B832" s="1" t="s">
        <v>1657</v>
      </c>
      <c r="C832" s="1" t="s">
        <v>1658</v>
      </c>
      <c r="D832" s="3" t="s">
        <v>7</v>
      </c>
      <c r="E832" s="1" t="s">
        <v>14</v>
      </c>
      <c r="F832" s="5">
        <v>46191.317962962959</v>
      </c>
      <c r="G832" t="s">
        <v>944</v>
      </c>
      <c r="H832" t="s">
        <v>658</v>
      </c>
    </row>
    <row r="833" spans="1:8">
      <c r="A833" s="4" t="s">
        <v>1544</v>
      </c>
      <c r="B833" s="2" t="s">
        <v>1657</v>
      </c>
      <c r="C833" s="2" t="s">
        <v>1658</v>
      </c>
      <c r="D833" s="4" t="s">
        <v>7</v>
      </c>
      <c r="E833" s="2" t="s">
        <v>14</v>
      </c>
      <c r="F833" s="6">
        <v>46191.315023148149</v>
      </c>
      <c r="G833" t="s">
        <v>944</v>
      </c>
      <c r="H833" t="s">
        <v>658</v>
      </c>
    </row>
    <row r="834" spans="1:8">
      <c r="A834" s="3" t="s">
        <v>1545</v>
      </c>
      <c r="B834" s="1" t="s">
        <v>1657</v>
      </c>
      <c r="C834" s="1" t="s">
        <v>1658</v>
      </c>
      <c r="D834" s="3" t="s">
        <v>7</v>
      </c>
      <c r="E834" s="1" t="s">
        <v>14</v>
      </c>
      <c r="F834" s="5">
        <v>46188.427002314813</v>
      </c>
      <c r="G834" t="s">
        <v>944</v>
      </c>
      <c r="H834" t="s">
        <v>658</v>
      </c>
    </row>
    <row r="835" spans="1:8">
      <c r="A835" s="4" t="s">
        <v>1546</v>
      </c>
      <c r="B835" s="2" t="s">
        <v>1657</v>
      </c>
      <c r="C835" s="2" t="s">
        <v>1658</v>
      </c>
      <c r="D835" s="4" t="s">
        <v>7</v>
      </c>
      <c r="E835" s="2" t="s">
        <v>14</v>
      </c>
      <c r="F835" s="6">
        <v>46188.429513888892</v>
      </c>
      <c r="G835" t="s">
        <v>944</v>
      </c>
      <c r="H835" t="s">
        <v>658</v>
      </c>
    </row>
    <row r="836" spans="1:8">
      <c r="A836" s="3" t="s">
        <v>1547</v>
      </c>
      <c r="B836" s="1" t="s">
        <v>1657</v>
      </c>
      <c r="C836" s="1" t="s">
        <v>1658</v>
      </c>
      <c r="D836" s="3" t="s">
        <v>7</v>
      </c>
      <c r="E836" s="1" t="s">
        <v>14</v>
      </c>
      <c r="F836" s="5">
        <v>46188.431168981479</v>
      </c>
      <c r="G836" t="s">
        <v>944</v>
      </c>
      <c r="H836" t="s">
        <v>658</v>
      </c>
    </row>
    <row r="837" spans="1:8">
      <c r="A837" s="4" t="s">
        <v>1548</v>
      </c>
      <c r="B837" s="2" t="s">
        <v>1657</v>
      </c>
      <c r="C837" s="2" t="s">
        <v>1658</v>
      </c>
      <c r="D837" s="4" t="s">
        <v>7</v>
      </c>
      <c r="E837" s="2" t="s">
        <v>14</v>
      </c>
      <c r="F837" s="6">
        <v>46188.434004629627</v>
      </c>
      <c r="G837" t="s">
        <v>944</v>
      </c>
      <c r="H837" t="s">
        <v>658</v>
      </c>
    </row>
    <row r="838" spans="1:8">
      <c r="A838" s="3" t="s">
        <v>1549</v>
      </c>
      <c r="B838" s="1" t="s">
        <v>1657</v>
      </c>
      <c r="C838" s="1" t="s">
        <v>1658</v>
      </c>
      <c r="D838" s="3" t="s">
        <v>7</v>
      </c>
      <c r="E838" s="1" t="s">
        <v>14</v>
      </c>
      <c r="F838" s="5">
        <v>46188.43650462963</v>
      </c>
      <c r="G838" t="s">
        <v>944</v>
      </c>
      <c r="H838" t="s">
        <v>658</v>
      </c>
    </row>
    <row r="839" spans="1:8">
      <c r="A839" s="4" t="s">
        <v>1550</v>
      </c>
      <c r="B839" s="2" t="s">
        <v>1657</v>
      </c>
      <c r="C839" s="2" t="s">
        <v>1658</v>
      </c>
      <c r="D839" s="4" t="s">
        <v>7</v>
      </c>
      <c r="E839" s="2" t="s">
        <v>14</v>
      </c>
      <c r="F839" s="6">
        <v>46188.519988425927</v>
      </c>
      <c r="G839" t="s">
        <v>944</v>
      </c>
      <c r="H839" t="s">
        <v>658</v>
      </c>
    </row>
    <row r="840" spans="1:8">
      <c r="A840" s="3" t="s">
        <v>1551</v>
      </c>
      <c r="B840" s="1" t="s">
        <v>1657</v>
      </c>
      <c r="C840" s="1" t="s">
        <v>1658</v>
      </c>
      <c r="D840" s="3" t="s">
        <v>7</v>
      </c>
      <c r="E840" s="1" t="s">
        <v>14</v>
      </c>
      <c r="F840" s="5">
        <v>46188.531805555554</v>
      </c>
      <c r="G840" t="s">
        <v>944</v>
      </c>
      <c r="H840" t="s">
        <v>658</v>
      </c>
    </row>
    <row r="841" spans="1:8">
      <c r="A841" s="4" t="s">
        <v>1552</v>
      </c>
      <c r="B841" s="2" t="s">
        <v>1657</v>
      </c>
      <c r="C841" s="2" t="s">
        <v>1658</v>
      </c>
      <c r="D841" s="4" t="s">
        <v>7</v>
      </c>
      <c r="E841" s="2" t="s">
        <v>14</v>
      </c>
      <c r="F841" s="6">
        <v>46191.32366898148</v>
      </c>
      <c r="G841" t="s">
        <v>944</v>
      </c>
      <c r="H841" t="s">
        <v>658</v>
      </c>
    </row>
    <row r="842" spans="1:8">
      <c r="A842" s="3" t="s">
        <v>1553</v>
      </c>
      <c r="B842" s="1" t="s">
        <v>1657</v>
      </c>
      <c r="C842" s="1" t="s">
        <v>1658</v>
      </c>
      <c r="D842" s="3" t="s">
        <v>7</v>
      </c>
      <c r="E842" s="1" t="s">
        <v>14</v>
      </c>
      <c r="F842" s="5">
        <v>46188.546516203707</v>
      </c>
      <c r="G842" t="s">
        <v>944</v>
      </c>
      <c r="H842" t="s">
        <v>658</v>
      </c>
    </row>
    <row r="843" spans="1:8">
      <c r="A843" s="4" t="s">
        <v>1554</v>
      </c>
      <c r="B843" s="2" t="s">
        <v>1657</v>
      </c>
      <c r="C843" s="2" t="s">
        <v>1658</v>
      </c>
      <c r="D843" s="4" t="s">
        <v>7</v>
      </c>
      <c r="E843" s="2" t="s">
        <v>14</v>
      </c>
      <c r="F843" s="6">
        <v>46188.546666666669</v>
      </c>
      <c r="G843" t="s">
        <v>944</v>
      </c>
      <c r="H843" t="s">
        <v>658</v>
      </c>
    </row>
    <row r="844" spans="1:8">
      <c r="A844" s="3" t="s">
        <v>1555</v>
      </c>
      <c r="B844" s="1" t="s">
        <v>1657</v>
      </c>
      <c r="C844" s="1" t="s">
        <v>1658</v>
      </c>
      <c r="D844" s="3" t="s">
        <v>7</v>
      </c>
      <c r="E844" s="1" t="s">
        <v>14</v>
      </c>
      <c r="F844" s="5">
        <v>46188.547013888892</v>
      </c>
      <c r="G844" t="s">
        <v>944</v>
      </c>
      <c r="H844" t="s">
        <v>658</v>
      </c>
    </row>
    <row r="845" spans="1:8">
      <c r="A845" s="4" t="s">
        <v>1556</v>
      </c>
      <c r="B845" s="2" t="s">
        <v>1657</v>
      </c>
      <c r="C845" s="2" t="s">
        <v>1658</v>
      </c>
      <c r="D845" s="4" t="s">
        <v>7</v>
      </c>
      <c r="E845" s="2" t="s">
        <v>14</v>
      </c>
      <c r="F845" s="6">
        <v>46188.546585648146</v>
      </c>
      <c r="G845" t="s">
        <v>944</v>
      </c>
      <c r="H845" t="s">
        <v>658</v>
      </c>
    </row>
    <row r="846" spans="1:8">
      <c r="A846" s="3" t="s">
        <v>1557</v>
      </c>
      <c r="B846" s="1" t="s">
        <v>1657</v>
      </c>
      <c r="C846" s="1" t="s">
        <v>1658</v>
      </c>
      <c r="D846" s="3" t="s">
        <v>7</v>
      </c>
      <c r="E846" s="1" t="s">
        <v>14</v>
      </c>
      <c r="F846" s="5">
        <v>46188.546736111108</v>
      </c>
      <c r="G846" t="s">
        <v>944</v>
      </c>
      <c r="H846" t="s">
        <v>658</v>
      </c>
    </row>
    <row r="847" spans="1:8">
      <c r="A847" s="4" t="s">
        <v>1558</v>
      </c>
      <c r="B847" s="2" t="s">
        <v>1657</v>
      </c>
      <c r="C847" s="2" t="s">
        <v>1658</v>
      </c>
      <c r="D847" s="4" t="s">
        <v>7</v>
      </c>
      <c r="E847" s="2" t="s">
        <v>14</v>
      </c>
      <c r="F847" s="6">
        <v>46188.5468287037</v>
      </c>
      <c r="G847" t="s">
        <v>944</v>
      </c>
      <c r="H847" t="s">
        <v>658</v>
      </c>
    </row>
    <row r="848" spans="1:8">
      <c r="A848" s="3" t="s">
        <v>1559</v>
      </c>
      <c r="B848" s="1" t="s">
        <v>1657</v>
      </c>
      <c r="C848" s="1" t="s">
        <v>1658</v>
      </c>
      <c r="D848" s="3" t="s">
        <v>7</v>
      </c>
      <c r="E848" s="1" t="s">
        <v>14</v>
      </c>
      <c r="F848" s="5">
        <v>46188.546932870369</v>
      </c>
      <c r="G848" t="s">
        <v>944</v>
      </c>
      <c r="H848" t="s">
        <v>658</v>
      </c>
    </row>
    <row r="849" spans="1:8">
      <c r="A849" s="4" t="s">
        <v>1560</v>
      </c>
      <c r="B849" s="2" t="s">
        <v>1657</v>
      </c>
      <c r="C849" s="2" t="s">
        <v>1658</v>
      </c>
      <c r="D849" s="4" t="s">
        <v>7</v>
      </c>
      <c r="E849" s="2" t="s">
        <v>14</v>
      </c>
      <c r="F849" s="6">
        <v>46190.470555555556</v>
      </c>
      <c r="G849" t="s">
        <v>944</v>
      </c>
      <c r="H849" t="s">
        <v>658</v>
      </c>
    </row>
    <row r="850" spans="1:8">
      <c r="A850" s="3" t="s">
        <v>1561</v>
      </c>
      <c r="B850" s="1" t="s">
        <v>1657</v>
      </c>
      <c r="C850" s="1" t="s">
        <v>1658</v>
      </c>
      <c r="D850" s="3" t="s">
        <v>7</v>
      </c>
      <c r="E850" s="1" t="s">
        <v>14</v>
      </c>
      <c r="F850" s="5">
        <v>46188.593229166669</v>
      </c>
      <c r="G850" t="s">
        <v>944</v>
      </c>
      <c r="H850" t="s">
        <v>658</v>
      </c>
    </row>
    <row r="851" spans="1:8">
      <c r="A851" s="4" t="s">
        <v>1562</v>
      </c>
      <c r="B851" s="2" t="s">
        <v>1657</v>
      </c>
      <c r="C851" s="2" t="s">
        <v>1658</v>
      </c>
      <c r="D851" s="4" t="s">
        <v>7</v>
      </c>
      <c r="E851" s="2" t="s">
        <v>14</v>
      </c>
      <c r="F851" s="6">
        <v>46188.594409722224</v>
      </c>
      <c r="G851" t="s">
        <v>944</v>
      </c>
      <c r="H851" t="s">
        <v>658</v>
      </c>
    </row>
    <row r="852" spans="1:8">
      <c r="A852" s="3" t="s">
        <v>1563</v>
      </c>
      <c r="B852" s="1" t="s">
        <v>1657</v>
      </c>
      <c r="C852" s="1" t="s">
        <v>1658</v>
      </c>
      <c r="D852" s="3" t="s">
        <v>7</v>
      </c>
      <c r="E852" s="1" t="s">
        <v>14</v>
      </c>
      <c r="F852" s="5">
        <v>46188.672592592593</v>
      </c>
      <c r="G852" t="s">
        <v>944</v>
      </c>
      <c r="H852" t="s">
        <v>658</v>
      </c>
    </row>
    <row r="853" spans="1:8">
      <c r="A853" s="4" t="s">
        <v>1564</v>
      </c>
      <c r="B853" s="2" t="s">
        <v>1657</v>
      </c>
      <c r="C853" s="2" t="s">
        <v>1658</v>
      </c>
      <c r="D853" s="4" t="s">
        <v>7</v>
      </c>
      <c r="E853" s="2" t="s">
        <v>14</v>
      </c>
      <c r="F853" s="6">
        <v>46190.514756944445</v>
      </c>
      <c r="G853" t="s">
        <v>944</v>
      </c>
      <c r="H853" t="s">
        <v>658</v>
      </c>
    </row>
    <row r="854" spans="1:8">
      <c r="A854" s="3" t="s">
        <v>1565</v>
      </c>
      <c r="B854" s="1" t="s">
        <v>1657</v>
      </c>
      <c r="C854" s="1" t="s">
        <v>1658</v>
      </c>
      <c r="D854" s="3" t="s">
        <v>7</v>
      </c>
      <c r="E854" s="1" t="s">
        <v>14</v>
      </c>
      <c r="F854" s="5">
        <v>46188.670011574075</v>
      </c>
      <c r="G854" t="s">
        <v>944</v>
      </c>
      <c r="H854" t="s">
        <v>658</v>
      </c>
    </row>
    <row r="855" spans="1:8">
      <c r="A855" s="4" t="s">
        <v>1566</v>
      </c>
      <c r="B855" s="2" t="s">
        <v>1657</v>
      </c>
      <c r="C855" s="2" t="s">
        <v>1658</v>
      </c>
      <c r="D855" s="4" t="s">
        <v>7</v>
      </c>
      <c r="E855" s="2" t="s">
        <v>14</v>
      </c>
      <c r="F855" s="6">
        <v>46188.66741898148</v>
      </c>
      <c r="G855" t="s">
        <v>944</v>
      </c>
      <c r="H855" t="s">
        <v>658</v>
      </c>
    </row>
    <row r="856" spans="1:8">
      <c r="A856" s="3" t="s">
        <v>1567</v>
      </c>
      <c r="B856" s="1" t="s">
        <v>1657</v>
      </c>
      <c r="C856" s="1" t="s">
        <v>1658</v>
      </c>
      <c r="D856" s="3" t="s">
        <v>7</v>
      </c>
      <c r="E856" s="1" t="s">
        <v>14</v>
      </c>
      <c r="F856" s="5">
        <v>46190.508831018517</v>
      </c>
      <c r="G856" t="s">
        <v>944</v>
      </c>
      <c r="H856" t="s">
        <v>658</v>
      </c>
    </row>
    <row r="857" spans="1:8">
      <c r="A857" s="4" t="s">
        <v>1568</v>
      </c>
      <c r="B857" s="2" t="s">
        <v>1657</v>
      </c>
      <c r="C857" s="2" t="s">
        <v>1658</v>
      </c>
      <c r="D857" s="4" t="s">
        <v>7</v>
      </c>
      <c r="E857" s="2" t="s">
        <v>14</v>
      </c>
      <c r="F857" s="6">
        <v>46188.71303240741</v>
      </c>
      <c r="G857" t="s">
        <v>944</v>
      </c>
      <c r="H857" t="s">
        <v>658</v>
      </c>
    </row>
    <row r="858" spans="1:8">
      <c r="A858" s="3" t="s">
        <v>1569</v>
      </c>
      <c r="B858" s="1" t="s">
        <v>1657</v>
      </c>
      <c r="C858" s="1" t="s">
        <v>1658</v>
      </c>
      <c r="D858" s="3" t="s">
        <v>7</v>
      </c>
      <c r="E858" s="1" t="s">
        <v>14</v>
      </c>
      <c r="F858" s="5">
        <v>46188.710925925923</v>
      </c>
      <c r="G858" t="s">
        <v>944</v>
      </c>
      <c r="H858" t="s">
        <v>658</v>
      </c>
    </row>
    <row r="859" spans="1:8">
      <c r="A859" s="4" t="s">
        <v>1570</v>
      </c>
      <c r="B859" s="2" t="s">
        <v>1657</v>
      </c>
      <c r="C859" s="2" t="s">
        <v>1658</v>
      </c>
      <c r="D859" s="4" t="s">
        <v>7</v>
      </c>
      <c r="E859" s="2" t="s">
        <v>14</v>
      </c>
      <c r="F859" s="6">
        <v>46191.245208333334</v>
      </c>
      <c r="G859" t="s">
        <v>944</v>
      </c>
      <c r="H859" t="s">
        <v>658</v>
      </c>
    </row>
    <row r="860" spans="1:8">
      <c r="A860" s="3" t="s">
        <v>1571</v>
      </c>
      <c r="B860" s="1" t="s">
        <v>1657</v>
      </c>
      <c r="C860" s="1" t="s">
        <v>1658</v>
      </c>
      <c r="D860" s="3" t="s">
        <v>7</v>
      </c>
      <c r="E860" s="1" t="s">
        <v>14</v>
      </c>
      <c r="F860" s="5">
        <v>46190.516226851854</v>
      </c>
      <c r="G860" t="s">
        <v>944</v>
      </c>
      <c r="H860" t="s">
        <v>658</v>
      </c>
    </row>
    <row r="861" spans="1:8">
      <c r="A861" s="4" t="s">
        <v>1572</v>
      </c>
      <c r="B861" s="2" t="s">
        <v>1657</v>
      </c>
      <c r="C861" s="2" t="s">
        <v>1658</v>
      </c>
      <c r="D861" s="4" t="s">
        <v>7</v>
      </c>
      <c r="E861" s="2" t="s">
        <v>14</v>
      </c>
      <c r="F861" s="6">
        <v>46188.726574074077</v>
      </c>
      <c r="G861" t="s">
        <v>944</v>
      </c>
      <c r="H861" t="s">
        <v>658</v>
      </c>
    </row>
    <row r="862" spans="1:8">
      <c r="A862" s="3" t="s">
        <v>1573</v>
      </c>
      <c r="B862" s="1" t="s">
        <v>1657</v>
      </c>
      <c r="C862" s="1" t="s">
        <v>1658</v>
      </c>
      <c r="D862" s="3" t="s">
        <v>7</v>
      </c>
      <c r="E862" s="1" t="s">
        <v>14</v>
      </c>
      <c r="F862" s="5">
        <v>46188.729224537034</v>
      </c>
      <c r="G862" t="s">
        <v>944</v>
      </c>
      <c r="H862" t="s">
        <v>658</v>
      </c>
    </row>
    <row r="863" spans="1:8">
      <c r="A863" s="4" t="s">
        <v>1574</v>
      </c>
      <c r="B863" s="2" t="s">
        <v>1657</v>
      </c>
      <c r="C863" s="2" t="s">
        <v>1658</v>
      </c>
      <c r="D863" s="4" t="s">
        <v>7</v>
      </c>
      <c r="E863" s="2" t="s">
        <v>14</v>
      </c>
      <c r="F863" s="6">
        <v>46190.49046296296</v>
      </c>
      <c r="G863" t="s">
        <v>944</v>
      </c>
      <c r="H863" t="s">
        <v>658</v>
      </c>
    </row>
    <row r="864" spans="1:8">
      <c r="A864" s="3" t="s">
        <v>1575</v>
      </c>
      <c r="B864" s="1" t="s">
        <v>1657</v>
      </c>
      <c r="C864" s="1" t="s">
        <v>1658</v>
      </c>
      <c r="D864" s="3" t="s">
        <v>7</v>
      </c>
      <c r="E864" s="1" t="s">
        <v>14</v>
      </c>
      <c r="F864" s="5">
        <v>46188.709004629629</v>
      </c>
      <c r="G864" t="s">
        <v>944</v>
      </c>
      <c r="H864" t="s">
        <v>658</v>
      </c>
    </row>
    <row r="865" spans="1:8">
      <c r="A865" s="4" t="s">
        <v>1576</v>
      </c>
      <c r="B865" s="2" t="s">
        <v>1657</v>
      </c>
      <c r="C865" s="2" t="s">
        <v>1658</v>
      </c>
      <c r="D865" s="4" t="s">
        <v>7</v>
      </c>
      <c r="E865" s="2" t="s">
        <v>14</v>
      </c>
      <c r="F865" s="6">
        <v>46188.684502314813</v>
      </c>
      <c r="G865" t="s">
        <v>944</v>
      </c>
      <c r="H865" t="s">
        <v>658</v>
      </c>
    </row>
    <row r="866" spans="1:8">
      <c r="A866" s="3" t="s">
        <v>1577</v>
      </c>
      <c r="B866" s="1" t="s">
        <v>1657</v>
      </c>
      <c r="C866" s="1" t="s">
        <v>1658</v>
      </c>
      <c r="D866" s="3" t="s">
        <v>7</v>
      </c>
      <c r="E866" s="1" t="s">
        <v>14</v>
      </c>
      <c r="F866" s="5">
        <v>46188.701018518521</v>
      </c>
      <c r="G866" t="s">
        <v>944</v>
      </c>
      <c r="H866" t="s">
        <v>658</v>
      </c>
    </row>
    <row r="867" spans="1:8">
      <c r="A867" s="4" t="s">
        <v>1578</v>
      </c>
      <c r="B867" s="2" t="s">
        <v>1657</v>
      </c>
      <c r="C867" s="2" t="s">
        <v>1658</v>
      </c>
      <c r="D867" s="4" t="s">
        <v>7</v>
      </c>
      <c r="E867" s="2" t="s">
        <v>14</v>
      </c>
      <c r="F867" s="6">
        <v>46188.703761574077</v>
      </c>
      <c r="G867" t="s">
        <v>944</v>
      </c>
      <c r="H867" t="s">
        <v>658</v>
      </c>
    </row>
    <row r="868" spans="1:8">
      <c r="A868" s="3" t="s">
        <v>1579</v>
      </c>
      <c r="B868" s="1" t="s">
        <v>1659</v>
      </c>
      <c r="C868" s="1" t="s">
        <v>1660</v>
      </c>
      <c r="D868" s="3" t="s">
        <v>7</v>
      </c>
      <c r="E868" s="1" t="s">
        <v>14</v>
      </c>
      <c r="F868" s="5">
        <v>46188.655729166669</v>
      </c>
      <c r="G868" t="s">
        <v>944</v>
      </c>
      <c r="H868" t="s">
        <v>658</v>
      </c>
    </row>
    <row r="869" spans="1:8">
      <c r="A869" s="4" t="s">
        <v>1580</v>
      </c>
      <c r="B869" s="2" t="s">
        <v>1657</v>
      </c>
      <c r="C869" s="2" t="s">
        <v>1658</v>
      </c>
      <c r="D869" s="4" t="s">
        <v>7</v>
      </c>
      <c r="E869" s="2" t="s">
        <v>14</v>
      </c>
      <c r="F869" s="6">
        <v>46188.80505787037</v>
      </c>
      <c r="G869" t="s">
        <v>944</v>
      </c>
      <c r="H869" t="s">
        <v>658</v>
      </c>
    </row>
    <row r="870" spans="1:8">
      <c r="A870" s="3" t="s">
        <v>1581</v>
      </c>
      <c r="B870" s="1" t="s">
        <v>1657</v>
      </c>
      <c r="C870" s="1" t="s">
        <v>1658</v>
      </c>
      <c r="D870" s="3" t="s">
        <v>7</v>
      </c>
      <c r="E870" s="1" t="s">
        <v>14</v>
      </c>
      <c r="F870" s="5">
        <v>46188.810752314814</v>
      </c>
      <c r="G870" t="s">
        <v>944</v>
      </c>
      <c r="H870" t="s">
        <v>658</v>
      </c>
    </row>
    <row r="871" spans="1:8">
      <c r="A871" s="4" t="s">
        <v>1582</v>
      </c>
      <c r="B871" s="2" t="s">
        <v>1657</v>
      </c>
      <c r="C871" s="2" t="s">
        <v>1658</v>
      </c>
      <c r="D871" s="4" t="s">
        <v>7</v>
      </c>
      <c r="E871" s="2" t="s">
        <v>14</v>
      </c>
      <c r="F871" s="6">
        <v>46188.812534722223</v>
      </c>
      <c r="G871" t="s">
        <v>944</v>
      </c>
      <c r="H871" t="s">
        <v>658</v>
      </c>
    </row>
    <row r="872" spans="1:8">
      <c r="A872" s="3" t="s">
        <v>1583</v>
      </c>
      <c r="B872" s="1" t="s">
        <v>1657</v>
      </c>
      <c r="C872" s="1" t="s">
        <v>1658</v>
      </c>
      <c r="D872" s="3" t="s">
        <v>7</v>
      </c>
      <c r="E872" s="1" t="s">
        <v>14</v>
      </c>
      <c r="F872" s="5">
        <v>46188.814826388887</v>
      </c>
      <c r="G872" t="s">
        <v>944</v>
      </c>
      <c r="H872" t="s">
        <v>658</v>
      </c>
    </row>
    <row r="873" spans="1:8">
      <c r="A873" s="4" t="s">
        <v>1584</v>
      </c>
      <c r="B873" s="2" t="s">
        <v>1657</v>
      </c>
      <c r="C873" s="2" t="s">
        <v>1658</v>
      </c>
      <c r="D873" s="4" t="s">
        <v>7</v>
      </c>
      <c r="E873" s="2" t="s">
        <v>14</v>
      </c>
      <c r="F873" s="6">
        <v>46188.816689814812</v>
      </c>
      <c r="G873" t="s">
        <v>944</v>
      </c>
      <c r="H873" t="s">
        <v>658</v>
      </c>
    </row>
    <row r="874" spans="1:8">
      <c r="A874" s="3" t="s">
        <v>1585</v>
      </c>
      <c r="B874" s="1" t="s">
        <v>1657</v>
      </c>
      <c r="C874" s="1" t="s">
        <v>1658</v>
      </c>
      <c r="D874" s="3" t="s">
        <v>7</v>
      </c>
      <c r="E874" s="1" t="s">
        <v>14</v>
      </c>
      <c r="F874" s="5">
        <v>46188.819780092592</v>
      </c>
      <c r="G874" t="s">
        <v>944</v>
      </c>
      <c r="H874" t="s">
        <v>658</v>
      </c>
    </row>
    <row r="875" spans="1:8">
      <c r="A875" s="4" t="s">
        <v>1586</v>
      </c>
      <c r="B875" s="2" t="s">
        <v>1657</v>
      </c>
      <c r="C875" s="2" t="s">
        <v>1658</v>
      </c>
      <c r="D875" s="4" t="s">
        <v>7</v>
      </c>
      <c r="E875" s="2" t="s">
        <v>14</v>
      </c>
      <c r="F875" s="6">
        <v>46188.822164351855</v>
      </c>
      <c r="G875" t="s">
        <v>944</v>
      </c>
      <c r="H875" t="s">
        <v>658</v>
      </c>
    </row>
    <row r="876" spans="1:8">
      <c r="A876" s="3" t="s">
        <v>1587</v>
      </c>
      <c r="B876" s="1" t="s">
        <v>1657</v>
      </c>
      <c r="C876" s="1" t="s">
        <v>1658</v>
      </c>
      <c r="D876" s="3" t="s">
        <v>7</v>
      </c>
      <c r="E876" s="1" t="s">
        <v>14</v>
      </c>
      <c r="F876" s="5">
        <v>46188.866342592592</v>
      </c>
      <c r="G876" t="s">
        <v>944</v>
      </c>
      <c r="H876" t="s">
        <v>658</v>
      </c>
    </row>
    <row r="877" spans="1:8">
      <c r="A877" s="4" t="s">
        <v>1588</v>
      </c>
      <c r="B877" s="2" t="s">
        <v>1659</v>
      </c>
      <c r="C877" s="2" t="s">
        <v>1660</v>
      </c>
      <c r="D877" s="4" t="s">
        <v>7</v>
      </c>
      <c r="E877" s="2" t="s">
        <v>14</v>
      </c>
      <c r="F877" s="6">
        <v>46188.702789351853</v>
      </c>
      <c r="G877" t="s">
        <v>944</v>
      </c>
      <c r="H877" t="s">
        <v>658</v>
      </c>
    </row>
    <row r="878" spans="1:8">
      <c r="A878" s="3" t="s">
        <v>1589</v>
      </c>
      <c r="B878" s="1" t="s">
        <v>1657</v>
      </c>
      <c r="C878" s="1" t="s">
        <v>1658</v>
      </c>
      <c r="D878" s="3" t="s">
        <v>7</v>
      </c>
      <c r="E878" s="1" t="s">
        <v>14</v>
      </c>
      <c r="F878" s="5">
        <v>46188.750763888886</v>
      </c>
      <c r="G878" t="s">
        <v>944</v>
      </c>
      <c r="H878" t="s">
        <v>658</v>
      </c>
    </row>
    <row r="879" spans="1:8">
      <c r="A879" s="4" t="s">
        <v>1590</v>
      </c>
      <c r="B879" s="2" t="s">
        <v>1657</v>
      </c>
      <c r="C879" s="2" t="s">
        <v>1658</v>
      </c>
      <c r="D879" s="4" t="s">
        <v>7</v>
      </c>
      <c r="E879" s="2" t="s">
        <v>14</v>
      </c>
      <c r="F879" s="6">
        <v>46190.496874999997</v>
      </c>
      <c r="G879" t="s">
        <v>944</v>
      </c>
      <c r="H879" t="s">
        <v>658</v>
      </c>
    </row>
    <row r="880" spans="1:8">
      <c r="A880" s="3" t="s">
        <v>1591</v>
      </c>
      <c r="B880" s="1" t="s">
        <v>1657</v>
      </c>
      <c r="C880" s="1" t="s">
        <v>1658</v>
      </c>
      <c r="D880" s="3" t="s">
        <v>7</v>
      </c>
      <c r="E880" s="1" t="s">
        <v>14</v>
      </c>
      <c r="F880" s="5">
        <v>46189.60628472222</v>
      </c>
      <c r="G880" t="s">
        <v>944</v>
      </c>
      <c r="H880" t="s">
        <v>658</v>
      </c>
    </row>
    <row r="881" spans="1:8">
      <c r="A881" s="4" t="s">
        <v>1592</v>
      </c>
      <c r="B881" s="2" t="s">
        <v>1657</v>
      </c>
      <c r="C881" s="2" t="s">
        <v>1658</v>
      </c>
      <c r="D881" s="4" t="s">
        <v>7</v>
      </c>
      <c r="E881" s="2" t="s">
        <v>14</v>
      </c>
      <c r="F881" s="6">
        <v>46190.505023148151</v>
      </c>
      <c r="G881" t="s">
        <v>944</v>
      </c>
      <c r="H881" t="s">
        <v>658</v>
      </c>
    </row>
    <row r="882" spans="1:8">
      <c r="A882" s="3" t="s">
        <v>1593</v>
      </c>
      <c r="B882" s="1" t="s">
        <v>1657</v>
      </c>
      <c r="C882" s="1" t="s">
        <v>1658</v>
      </c>
      <c r="D882" s="3" t="s">
        <v>7</v>
      </c>
      <c r="E882" s="1" t="s">
        <v>14</v>
      </c>
      <c r="F882" s="5">
        <v>46189.623472222222</v>
      </c>
      <c r="G882" t="s">
        <v>944</v>
      </c>
      <c r="H882" t="s">
        <v>658</v>
      </c>
    </row>
    <row r="883" spans="1:8">
      <c r="A883" s="4" t="s">
        <v>1594</v>
      </c>
      <c r="B883" s="2" t="s">
        <v>1657</v>
      </c>
      <c r="C883" s="2" t="s">
        <v>1658</v>
      </c>
      <c r="D883" s="4" t="s">
        <v>7</v>
      </c>
      <c r="E883" s="2" t="s">
        <v>14</v>
      </c>
      <c r="F883" s="6">
        <v>46189.623402777775</v>
      </c>
      <c r="G883" t="s">
        <v>944</v>
      </c>
      <c r="H883" t="s">
        <v>658</v>
      </c>
    </row>
    <row r="884" spans="1:8">
      <c r="A884" s="3" t="s">
        <v>1595</v>
      </c>
      <c r="B884" s="1" t="s">
        <v>1657</v>
      </c>
      <c r="C884" s="1" t="s">
        <v>1658</v>
      </c>
      <c r="D884" s="3" t="s">
        <v>7</v>
      </c>
      <c r="E884" s="1" t="s">
        <v>14</v>
      </c>
      <c r="F884" s="5">
        <v>46189.62358796296</v>
      </c>
      <c r="G884" t="s">
        <v>944</v>
      </c>
      <c r="H884" t="s">
        <v>658</v>
      </c>
    </row>
    <row r="885" spans="1:8">
      <c r="A885" s="4" t="s">
        <v>1596</v>
      </c>
      <c r="B885" s="2" t="s">
        <v>1657</v>
      </c>
      <c r="C885" s="2" t="s">
        <v>1658</v>
      </c>
      <c r="D885" s="4" t="s">
        <v>7</v>
      </c>
      <c r="E885" s="2" t="s">
        <v>14</v>
      </c>
      <c r="F885" s="6">
        <v>46190.480925925927</v>
      </c>
      <c r="G885" t="s">
        <v>944</v>
      </c>
      <c r="H885" t="s">
        <v>658</v>
      </c>
    </row>
    <row r="886" spans="1:8">
      <c r="A886" s="3" t="s">
        <v>1597</v>
      </c>
      <c r="B886" s="1" t="s">
        <v>1657</v>
      </c>
      <c r="C886" s="1" t="s">
        <v>1658</v>
      </c>
      <c r="D886" s="3" t="s">
        <v>7</v>
      </c>
      <c r="E886" s="1" t="s">
        <v>14</v>
      </c>
      <c r="F886" s="5">
        <v>46189.624525462961</v>
      </c>
      <c r="G886" t="s">
        <v>944</v>
      </c>
      <c r="H886" t="s">
        <v>658</v>
      </c>
    </row>
    <row r="887" spans="1:8">
      <c r="A887" s="4" t="s">
        <v>1598</v>
      </c>
      <c r="B887" s="2" t="s">
        <v>1657</v>
      </c>
      <c r="C887" s="2" t="s">
        <v>1658</v>
      </c>
      <c r="D887" s="4" t="s">
        <v>7</v>
      </c>
      <c r="E887" s="2" t="s">
        <v>14</v>
      </c>
      <c r="F887" s="6">
        <v>46190.488888888889</v>
      </c>
      <c r="G887" t="s">
        <v>944</v>
      </c>
      <c r="H887" t="s">
        <v>658</v>
      </c>
    </row>
    <row r="888" spans="1:8">
      <c r="A888" s="3" t="s">
        <v>1599</v>
      </c>
      <c r="B888" s="1" t="s">
        <v>1657</v>
      </c>
      <c r="C888" s="1" t="s">
        <v>1658</v>
      </c>
      <c r="D888" s="3" t="s">
        <v>7</v>
      </c>
      <c r="E888" s="1" t="s">
        <v>14</v>
      </c>
      <c r="F888" s="5">
        <v>46189.641747685186</v>
      </c>
      <c r="G888" t="s">
        <v>944</v>
      </c>
      <c r="H888" t="s">
        <v>658</v>
      </c>
    </row>
    <row r="889" spans="1:8">
      <c r="A889" s="4" t="s">
        <v>1600</v>
      </c>
      <c r="B889" s="2" t="s">
        <v>1657</v>
      </c>
      <c r="C889" s="2" t="s">
        <v>1658</v>
      </c>
      <c r="D889" s="4" t="s">
        <v>7</v>
      </c>
      <c r="E889" s="2" t="s">
        <v>14</v>
      </c>
      <c r="F889" s="6">
        <v>46188.897268518522</v>
      </c>
      <c r="G889" t="s">
        <v>944</v>
      </c>
      <c r="H889" t="s">
        <v>658</v>
      </c>
    </row>
    <row r="890" spans="1:8">
      <c r="A890" s="3" t="s">
        <v>1601</v>
      </c>
      <c r="B890" s="1" t="s">
        <v>1657</v>
      </c>
      <c r="C890" s="1" t="s">
        <v>1658</v>
      </c>
      <c r="D890" s="3" t="s">
        <v>7</v>
      </c>
      <c r="E890" s="1" t="s">
        <v>14</v>
      </c>
      <c r="F890" s="5">
        <v>46190.495208333334</v>
      </c>
      <c r="G890" t="s">
        <v>944</v>
      </c>
      <c r="H890" t="s">
        <v>658</v>
      </c>
    </row>
    <row r="891" spans="1:8">
      <c r="A891" s="4" t="s">
        <v>1602</v>
      </c>
      <c r="B891" s="2" t="s">
        <v>1657</v>
      </c>
      <c r="C891" s="2" t="s">
        <v>1658</v>
      </c>
      <c r="D891" s="4" t="s">
        <v>7</v>
      </c>
      <c r="E891" s="2" t="s">
        <v>14</v>
      </c>
      <c r="F891" s="6">
        <v>46188.917928240742</v>
      </c>
      <c r="G891" t="s">
        <v>944</v>
      </c>
      <c r="H891" t="s">
        <v>658</v>
      </c>
    </row>
    <row r="892" spans="1:8">
      <c r="A892" s="3" t="s">
        <v>1603</v>
      </c>
      <c r="B892" s="1" t="s">
        <v>1657</v>
      </c>
      <c r="C892" s="1" t="s">
        <v>1658</v>
      </c>
      <c r="D892" s="3" t="s">
        <v>7</v>
      </c>
      <c r="E892" s="1" t="s">
        <v>14</v>
      </c>
      <c r="F892" s="5">
        <v>46188.921979166669</v>
      </c>
      <c r="G892" t="s">
        <v>944</v>
      </c>
      <c r="H892" t="s">
        <v>658</v>
      </c>
    </row>
    <row r="893" spans="1:8">
      <c r="A893" s="4" t="s">
        <v>1604</v>
      </c>
      <c r="B893" s="2" t="s">
        <v>1659</v>
      </c>
      <c r="C893" s="2" t="s">
        <v>1660</v>
      </c>
      <c r="D893" s="4" t="s">
        <v>7</v>
      </c>
      <c r="E893" s="2" t="s">
        <v>14</v>
      </c>
      <c r="F893" s="6">
        <v>46188.862395833334</v>
      </c>
      <c r="G893" t="s">
        <v>944</v>
      </c>
      <c r="H893" t="s">
        <v>658</v>
      </c>
    </row>
    <row r="894" spans="1:8">
      <c r="A894" s="3" t="s">
        <v>1605</v>
      </c>
      <c r="B894" s="1" t="s">
        <v>1657</v>
      </c>
      <c r="C894" s="1" t="s">
        <v>1658</v>
      </c>
      <c r="D894" s="3" t="s">
        <v>7</v>
      </c>
      <c r="E894" s="1" t="s">
        <v>14</v>
      </c>
      <c r="F894" s="5">
        <v>46188.889791666668</v>
      </c>
      <c r="G894" t="s">
        <v>944</v>
      </c>
      <c r="H894" t="s">
        <v>658</v>
      </c>
    </row>
    <row r="895" spans="1:8">
      <c r="A895" s="4" t="s">
        <v>1606</v>
      </c>
      <c r="B895" s="2" t="s">
        <v>1657</v>
      </c>
      <c r="C895" s="2" t="s">
        <v>1658</v>
      </c>
      <c r="D895" s="4" t="s">
        <v>7</v>
      </c>
      <c r="E895" s="2" t="s">
        <v>14</v>
      </c>
      <c r="F895" s="6">
        <v>46188.887175925927</v>
      </c>
      <c r="G895" t="s">
        <v>944</v>
      </c>
      <c r="H895" t="s">
        <v>658</v>
      </c>
    </row>
    <row r="896" spans="1:8">
      <c r="A896" s="3" t="s">
        <v>1607</v>
      </c>
      <c r="B896" s="1" t="s">
        <v>1657</v>
      </c>
      <c r="C896" s="1" t="s">
        <v>1658</v>
      </c>
      <c r="D896" s="3" t="s">
        <v>7</v>
      </c>
      <c r="E896" s="1" t="s">
        <v>14</v>
      </c>
      <c r="F896" s="5">
        <v>46188.892187500001</v>
      </c>
      <c r="G896" t="s">
        <v>944</v>
      </c>
      <c r="H896" t="s">
        <v>658</v>
      </c>
    </row>
    <row r="897" spans="1:8">
      <c r="A897" s="4" t="s">
        <v>1608</v>
      </c>
      <c r="B897" s="2" t="s">
        <v>1657</v>
      </c>
      <c r="C897" s="2" t="s">
        <v>1658</v>
      </c>
      <c r="D897" s="4" t="s">
        <v>7</v>
      </c>
      <c r="E897" s="2" t="s">
        <v>14</v>
      </c>
      <c r="F897" s="6">
        <v>46188.89471064815</v>
      </c>
      <c r="G897" t="s">
        <v>944</v>
      </c>
      <c r="H897" t="s">
        <v>658</v>
      </c>
    </row>
    <row r="898" spans="1:8">
      <c r="A898" s="3" t="s">
        <v>1609</v>
      </c>
      <c r="B898" s="1" t="s">
        <v>1657</v>
      </c>
      <c r="C898" s="1" t="s">
        <v>1658</v>
      </c>
      <c r="D898" s="3" t="s">
        <v>7</v>
      </c>
      <c r="E898" s="1" t="s">
        <v>14</v>
      </c>
      <c r="F898" s="5">
        <v>46188.884965277779</v>
      </c>
      <c r="G898" t="s">
        <v>944</v>
      </c>
      <c r="H898" t="s">
        <v>658</v>
      </c>
    </row>
    <row r="899" spans="1:8">
      <c r="A899" s="4" t="s">
        <v>1610</v>
      </c>
      <c r="B899" s="2" t="s">
        <v>1657</v>
      </c>
      <c r="C899" s="2" t="s">
        <v>1658</v>
      </c>
      <c r="D899" s="4" t="s">
        <v>7</v>
      </c>
      <c r="E899" s="2" t="s">
        <v>14</v>
      </c>
      <c r="F899" s="6">
        <v>46189.713171296295</v>
      </c>
      <c r="G899" t="s">
        <v>944</v>
      </c>
      <c r="H899" t="s">
        <v>658</v>
      </c>
    </row>
    <row r="900" spans="1:8">
      <c r="A900" s="3" t="s">
        <v>1611</v>
      </c>
      <c r="B900" s="1" t="s">
        <v>1659</v>
      </c>
      <c r="C900" s="1" t="s">
        <v>1660</v>
      </c>
      <c r="D900" s="3" t="s">
        <v>7</v>
      </c>
      <c r="E900" s="1" t="s">
        <v>14</v>
      </c>
      <c r="F900" s="5">
        <v>46189.707557870373</v>
      </c>
      <c r="G900" t="s">
        <v>944</v>
      </c>
      <c r="H900" t="s">
        <v>658</v>
      </c>
    </row>
    <row r="901" spans="1:8">
      <c r="A901" s="4" t="s">
        <v>1612</v>
      </c>
      <c r="B901" s="2" t="s">
        <v>1659</v>
      </c>
      <c r="C901" s="2" t="s">
        <v>1660</v>
      </c>
      <c r="D901" s="4" t="s">
        <v>7</v>
      </c>
      <c r="E901" s="2" t="s">
        <v>14</v>
      </c>
      <c r="F901" s="6">
        <v>46189.606886574074</v>
      </c>
      <c r="G901" t="s">
        <v>944</v>
      </c>
      <c r="H901" t="s">
        <v>658</v>
      </c>
    </row>
    <row r="902" spans="1:8">
      <c r="A902" s="3" t="s">
        <v>1613</v>
      </c>
      <c r="B902" s="1" t="s">
        <v>1657</v>
      </c>
      <c r="C902" s="1" t="s">
        <v>1658</v>
      </c>
      <c r="D902" s="3" t="s">
        <v>7</v>
      </c>
      <c r="E902" s="1" t="s">
        <v>14</v>
      </c>
      <c r="F902" s="5">
        <v>46189.710833333331</v>
      </c>
      <c r="G902" t="s">
        <v>944</v>
      </c>
      <c r="H902" t="s">
        <v>658</v>
      </c>
    </row>
    <row r="903" spans="1:8">
      <c r="A903" s="4" t="s">
        <v>1614</v>
      </c>
      <c r="B903" s="2" t="s">
        <v>1657</v>
      </c>
      <c r="C903" s="2" t="s">
        <v>1658</v>
      </c>
      <c r="D903" s="4" t="s">
        <v>7</v>
      </c>
      <c r="E903" s="2" t="s">
        <v>14</v>
      </c>
      <c r="F903" s="6">
        <v>46189.690034722225</v>
      </c>
      <c r="G903" t="s">
        <v>944</v>
      </c>
      <c r="H903" t="s">
        <v>658</v>
      </c>
    </row>
    <row r="904" spans="1:8">
      <c r="A904" s="3" t="s">
        <v>1615</v>
      </c>
      <c r="B904" s="1" t="s">
        <v>1657</v>
      </c>
      <c r="C904" s="1" t="s">
        <v>1658</v>
      </c>
      <c r="D904" s="3" t="s">
        <v>7</v>
      </c>
      <c r="E904" s="1" t="s">
        <v>14</v>
      </c>
      <c r="F904" s="5">
        <v>46189.674444444441</v>
      </c>
      <c r="G904" t="s">
        <v>944</v>
      </c>
      <c r="H904" t="s">
        <v>658</v>
      </c>
    </row>
    <row r="905" spans="1:8">
      <c r="A905" s="4" t="s">
        <v>1616</v>
      </c>
      <c r="B905" s="2" t="s">
        <v>1657</v>
      </c>
      <c r="C905" s="2" t="s">
        <v>1658</v>
      </c>
      <c r="D905" s="4" t="s">
        <v>7</v>
      </c>
      <c r="E905" s="2" t="s">
        <v>14</v>
      </c>
      <c r="F905" s="6">
        <v>46190.4846875</v>
      </c>
      <c r="G905" t="s">
        <v>944</v>
      </c>
      <c r="H905" t="s">
        <v>658</v>
      </c>
    </row>
    <row r="906" spans="1:8">
      <c r="A906" s="3" t="s">
        <v>1617</v>
      </c>
      <c r="B906" s="1" t="s">
        <v>1657</v>
      </c>
      <c r="C906" s="1" t="s">
        <v>1658</v>
      </c>
      <c r="D906" s="3" t="s">
        <v>7</v>
      </c>
      <c r="E906" s="1" t="s">
        <v>14</v>
      </c>
      <c r="F906" s="5">
        <v>46190.483182870368</v>
      </c>
      <c r="G906" t="s">
        <v>944</v>
      </c>
      <c r="H906" t="s">
        <v>658</v>
      </c>
    </row>
    <row r="907" spans="1:8">
      <c r="A907" s="4" t="s">
        <v>1618</v>
      </c>
      <c r="B907" s="2" t="s">
        <v>1657</v>
      </c>
      <c r="C907" s="2" t="s">
        <v>1658</v>
      </c>
      <c r="D907" s="4" t="s">
        <v>7</v>
      </c>
      <c r="E907" s="2" t="s">
        <v>14</v>
      </c>
      <c r="F907" s="6">
        <v>46189.644085648149</v>
      </c>
      <c r="G907" t="s">
        <v>944</v>
      </c>
      <c r="H907" t="s">
        <v>658</v>
      </c>
    </row>
    <row r="908" spans="1:8">
      <c r="A908" s="3" t="s">
        <v>1619</v>
      </c>
      <c r="B908" s="1" t="s">
        <v>1657</v>
      </c>
      <c r="C908" s="1" t="s">
        <v>1658</v>
      </c>
      <c r="D908" s="3" t="s">
        <v>7</v>
      </c>
      <c r="E908" s="1" t="s">
        <v>14</v>
      </c>
      <c r="F908" s="5">
        <v>46189.640196759261</v>
      </c>
      <c r="G908" t="s">
        <v>944</v>
      </c>
      <c r="H908" t="s">
        <v>658</v>
      </c>
    </row>
    <row r="909" spans="1:8">
      <c r="A909" s="4" t="s">
        <v>1620</v>
      </c>
      <c r="B909" s="2" t="s">
        <v>1657</v>
      </c>
      <c r="C909" s="2" t="s">
        <v>1658</v>
      </c>
      <c r="D909" s="4" t="s">
        <v>7</v>
      </c>
      <c r="E909" s="2" t="s">
        <v>14</v>
      </c>
      <c r="F909" s="6">
        <v>46189.339791666665</v>
      </c>
      <c r="G909" t="s">
        <v>944</v>
      </c>
      <c r="H909" t="s">
        <v>658</v>
      </c>
    </row>
    <row r="910" spans="1:8">
      <c r="A910" s="3" t="s">
        <v>1621</v>
      </c>
      <c r="B910" s="1" t="s">
        <v>1657</v>
      </c>
      <c r="C910" s="1" t="s">
        <v>1658</v>
      </c>
      <c r="D910" s="3" t="s">
        <v>7</v>
      </c>
      <c r="E910" s="1" t="s">
        <v>14</v>
      </c>
      <c r="F910" s="5">
        <v>46189.33630787037</v>
      </c>
      <c r="G910" t="s">
        <v>944</v>
      </c>
      <c r="H910" t="s">
        <v>658</v>
      </c>
    </row>
    <row r="911" spans="1:8">
      <c r="A911" s="4" t="s">
        <v>1622</v>
      </c>
      <c r="B911" s="2" t="s">
        <v>1657</v>
      </c>
      <c r="C911" s="2" t="s">
        <v>1658</v>
      </c>
      <c r="D911" s="4" t="s">
        <v>7</v>
      </c>
      <c r="E911" s="2" t="s">
        <v>14</v>
      </c>
      <c r="F911" s="6">
        <v>46189.334664351853</v>
      </c>
      <c r="G911" t="s">
        <v>944</v>
      </c>
      <c r="H911" t="s">
        <v>658</v>
      </c>
    </row>
    <row r="912" spans="1:8">
      <c r="A912" s="3" t="s">
        <v>1623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944</v>
      </c>
      <c r="H912" t="s">
        <v>658</v>
      </c>
    </row>
    <row r="913" spans="1:8">
      <c r="A913" s="4" t="s">
        <v>1624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944</v>
      </c>
      <c r="H913" t="s">
        <v>658</v>
      </c>
    </row>
    <row r="914" spans="1:8">
      <c r="A914" s="3" t="s">
        <v>1625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944</v>
      </c>
      <c r="H914" t="s">
        <v>658</v>
      </c>
    </row>
    <row r="915" spans="1:8">
      <c r="A915" s="4" t="s">
        <v>1626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944</v>
      </c>
      <c r="H915" t="s">
        <v>658</v>
      </c>
    </row>
    <row r="916" spans="1:8">
      <c r="A916" s="3" t="s">
        <v>1627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944</v>
      </c>
      <c r="H916" t="s">
        <v>658</v>
      </c>
    </row>
    <row r="917" spans="1:8">
      <c r="A917" s="4" t="s">
        <v>1628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944</v>
      </c>
      <c r="H917" t="s">
        <v>658</v>
      </c>
    </row>
    <row r="918" spans="1:8">
      <c r="A918" s="3" t="s">
        <v>1629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944</v>
      </c>
      <c r="H918" t="s">
        <v>658</v>
      </c>
    </row>
    <row r="919" spans="1:8">
      <c r="A919" s="4" t="s">
        <v>1630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944</v>
      </c>
      <c r="H919" t="s">
        <v>658</v>
      </c>
    </row>
    <row r="920" spans="1:8">
      <c r="A920" s="3" t="s">
        <v>1631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944</v>
      </c>
      <c r="H920" t="s">
        <v>658</v>
      </c>
    </row>
    <row r="921" spans="1:8">
      <c r="A921" s="4" t="s">
        <v>1632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944</v>
      </c>
      <c r="H921" t="s">
        <v>658</v>
      </c>
    </row>
    <row r="922" spans="1:8">
      <c r="A922" s="3" t="s">
        <v>1633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944</v>
      </c>
      <c r="H922" t="s">
        <v>658</v>
      </c>
    </row>
    <row r="923" spans="1:8">
      <c r="A923" s="4" t="s">
        <v>1634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944</v>
      </c>
      <c r="H923" t="s">
        <v>658</v>
      </c>
    </row>
    <row r="924" spans="1:8">
      <c r="A924" s="3" t="s">
        <v>1635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944</v>
      </c>
      <c r="H924" t="s">
        <v>658</v>
      </c>
    </row>
    <row r="925" spans="1:8">
      <c r="A925" s="4" t="s">
        <v>1636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944</v>
      </c>
      <c r="H925" t="s">
        <v>658</v>
      </c>
    </row>
    <row r="926" spans="1:8">
      <c r="A926" s="3" t="s">
        <v>1637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944</v>
      </c>
      <c r="H926" t="s">
        <v>658</v>
      </c>
    </row>
    <row r="927" spans="1:8">
      <c r="A927" s="4" t="s">
        <v>1638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944</v>
      </c>
      <c r="H927" t="s">
        <v>658</v>
      </c>
    </row>
    <row r="928" spans="1:8">
      <c r="A928" s="3" t="s">
        <v>1639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944</v>
      </c>
      <c r="H928" t="s">
        <v>658</v>
      </c>
    </row>
    <row r="929" spans="1:8">
      <c r="A929" s="4" t="s">
        <v>1640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944</v>
      </c>
      <c r="H929" t="s">
        <v>658</v>
      </c>
    </row>
    <row r="930" spans="1:8">
      <c r="A930" s="3" t="s">
        <v>1641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944</v>
      </c>
      <c r="H930" t="s">
        <v>658</v>
      </c>
    </row>
    <row r="931" spans="1:8">
      <c r="A931" s="4" t="s">
        <v>1642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944</v>
      </c>
      <c r="H931" t="s">
        <v>658</v>
      </c>
    </row>
    <row r="932" spans="1:8">
      <c r="A932" s="3" t="s">
        <v>1643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944</v>
      </c>
      <c r="H932" t="s">
        <v>658</v>
      </c>
    </row>
    <row r="933" spans="1:8">
      <c r="A933" s="4" t="s">
        <v>1644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944</v>
      </c>
      <c r="H933" t="s">
        <v>658</v>
      </c>
    </row>
    <row r="934" spans="1:8">
      <c r="A934" s="3" t="s">
        <v>1645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944</v>
      </c>
      <c r="H934" t="s">
        <v>658</v>
      </c>
    </row>
    <row r="935" spans="1:8">
      <c r="A935" s="4" t="s">
        <v>1646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944</v>
      </c>
      <c r="H935" t="s">
        <v>658</v>
      </c>
    </row>
    <row r="936" spans="1:8">
      <c r="A936" s="3" t="s">
        <v>1647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944</v>
      </c>
      <c r="H936" t="s">
        <v>658</v>
      </c>
    </row>
    <row r="937" spans="1:8">
      <c r="A937" s="4" t="s">
        <v>1648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944</v>
      </c>
      <c r="H937" t="s">
        <v>658</v>
      </c>
    </row>
    <row r="938" spans="1:8">
      <c r="A938" s="3" t="s">
        <v>1649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944</v>
      </c>
      <c r="H938" t="s">
        <v>658</v>
      </c>
    </row>
    <row r="939" spans="1:8">
      <c r="A939" s="4" t="s">
        <v>1650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944</v>
      </c>
      <c r="H939" t="s">
        <v>658</v>
      </c>
    </row>
    <row r="940" spans="1:8">
      <c r="A940" s="3" t="s">
        <v>1651</v>
      </c>
      <c r="B940" s="1" t="s">
        <v>6</v>
      </c>
      <c r="C940" s="1" t="s">
        <v>6</v>
      </c>
      <c r="D940" s="3" t="s">
        <v>7</v>
      </c>
      <c r="E940" s="1" t="s">
        <v>128</v>
      </c>
      <c r="F940" s="5">
        <v>46174.46435185185</v>
      </c>
      <c r="G940" t="s">
        <v>944</v>
      </c>
      <c r="H940" t="s">
        <v>658</v>
      </c>
    </row>
    <row r="941" spans="1:8">
      <c r="A941" s="4" t="s">
        <v>1652</v>
      </c>
      <c r="B941" s="2" t="s">
        <v>6</v>
      </c>
      <c r="C941" s="2" t="s">
        <v>6</v>
      </c>
      <c r="D941" s="4" t="s">
        <v>7</v>
      </c>
      <c r="E941" s="2" t="s">
        <v>128</v>
      </c>
      <c r="F941" s="6">
        <v>46174.46435185185</v>
      </c>
      <c r="G941" t="s">
        <v>944</v>
      </c>
      <c r="H941" t="s">
        <v>658</v>
      </c>
    </row>
    <row r="942" spans="1:8">
      <c r="A942" s="3" t="s">
        <v>1653</v>
      </c>
      <c r="B942" s="1" t="s">
        <v>6</v>
      </c>
      <c r="C942" s="1" t="s">
        <v>6</v>
      </c>
      <c r="D942" s="3" t="s">
        <v>7</v>
      </c>
      <c r="E942" s="1" t="s">
        <v>128</v>
      </c>
      <c r="F942" s="5">
        <v>46174.46435185185</v>
      </c>
      <c r="G942" t="s">
        <v>944</v>
      </c>
      <c r="H942" t="s">
        <v>658</v>
      </c>
    </row>
    <row r="943" spans="1:8">
      <c r="A943" s="4" t="s">
        <v>1654</v>
      </c>
      <c r="B943" s="2" t="s">
        <v>6</v>
      </c>
      <c r="C943" s="2" t="s">
        <v>6</v>
      </c>
      <c r="D943" s="4" t="s">
        <v>7</v>
      </c>
      <c r="E943" s="2" t="s">
        <v>128</v>
      </c>
      <c r="F943" s="6">
        <v>46174.46435185185</v>
      </c>
      <c r="G943" t="s">
        <v>944</v>
      </c>
      <c r="H943" t="s">
        <v>658</v>
      </c>
    </row>
    <row r="944" spans="1:8">
      <c r="A944" s="3" t="s">
        <v>1655</v>
      </c>
      <c r="B944" s="1" t="s">
        <v>6</v>
      </c>
      <c r="C944" s="1" t="s">
        <v>6</v>
      </c>
      <c r="D944" s="3" t="s">
        <v>7</v>
      </c>
      <c r="E944" s="1" t="s">
        <v>128</v>
      </c>
      <c r="F944" s="5">
        <v>46174.46435185185</v>
      </c>
      <c r="G944" t="s">
        <v>944</v>
      </c>
      <c r="H944" t="s">
        <v>658</v>
      </c>
    </row>
    <row r="945" spans="1:8">
      <c r="A945" s="4" t="s">
        <v>1656</v>
      </c>
      <c r="B945" s="2" t="s">
        <v>6</v>
      </c>
      <c r="C945" s="2" t="s">
        <v>6</v>
      </c>
      <c r="D945" s="4" t="s">
        <v>7</v>
      </c>
      <c r="E945" s="2" t="s">
        <v>128</v>
      </c>
      <c r="F945" s="6">
        <v>46174.46435185185</v>
      </c>
      <c r="G945" t="s">
        <v>944</v>
      </c>
      <c r="H945" t="s">
        <v>658</v>
      </c>
    </row>
    <row r="946" spans="1:8">
      <c r="A946" s="3" t="s">
        <v>781</v>
      </c>
      <c r="B946" s="1" t="s">
        <v>98</v>
      </c>
      <c r="C946" s="1" t="s">
        <v>99</v>
      </c>
      <c r="D946" s="3" t="s">
        <v>7</v>
      </c>
      <c r="E946" s="1" t="s">
        <v>100</v>
      </c>
      <c r="F946" s="5">
        <v>46183.379745370374</v>
      </c>
      <c r="G946" t="s">
        <v>655</v>
      </c>
      <c r="H946" t="s">
        <v>657</v>
      </c>
    </row>
    <row r="947" spans="1:8">
      <c r="A947" s="4" t="s">
        <v>782</v>
      </c>
      <c r="B947" s="2" t="s">
        <v>98</v>
      </c>
      <c r="C947" s="2" t="s">
        <v>99</v>
      </c>
      <c r="D947" s="4" t="s">
        <v>7</v>
      </c>
      <c r="E947" s="2" t="s">
        <v>100</v>
      </c>
      <c r="F947" s="6">
        <v>46183.330543981479</v>
      </c>
      <c r="G947" t="s">
        <v>655</v>
      </c>
      <c r="H947" t="s">
        <v>657</v>
      </c>
    </row>
    <row r="948" spans="1:8">
      <c r="A948" s="3" t="s">
        <v>783</v>
      </c>
      <c r="B948" s="1" t="s">
        <v>98</v>
      </c>
      <c r="C948" s="1" t="s">
        <v>99</v>
      </c>
      <c r="D948" s="3" t="s">
        <v>7</v>
      </c>
      <c r="E948" s="1" t="s">
        <v>100</v>
      </c>
      <c r="F948" s="5">
        <v>46183.329467592594</v>
      </c>
      <c r="G948" t="s">
        <v>655</v>
      </c>
      <c r="H948" t="s">
        <v>657</v>
      </c>
    </row>
    <row r="949" spans="1:8">
      <c r="A949" s="4" t="s">
        <v>784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46169.547581018516</v>
      </c>
      <c r="G949" t="s">
        <v>655</v>
      </c>
      <c r="H949" t="s">
        <v>657</v>
      </c>
    </row>
    <row r="950" spans="1:8">
      <c r="A950" s="3" t="s">
        <v>785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46183.33121527778</v>
      </c>
      <c r="G950" t="s">
        <v>655</v>
      </c>
      <c r="H950" t="s">
        <v>657</v>
      </c>
    </row>
    <row r="951" spans="1:8">
      <c r="A951" s="4" t="s">
        <v>786</v>
      </c>
      <c r="B951" s="2" t="s">
        <v>98</v>
      </c>
      <c r="C951" s="2" t="s">
        <v>99</v>
      </c>
      <c r="D951" s="4" t="s">
        <v>7</v>
      </c>
      <c r="E951" s="2" t="s">
        <v>100</v>
      </c>
      <c r="F951" s="6">
        <v>46183.347638888888</v>
      </c>
      <c r="G951" t="s">
        <v>655</v>
      </c>
      <c r="H951" t="s">
        <v>657</v>
      </c>
    </row>
    <row r="952" spans="1:8">
      <c r="A952" s="3" t="s">
        <v>787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46174.426261574074</v>
      </c>
      <c r="G952" t="s">
        <v>655</v>
      </c>
      <c r="H952" t="s">
        <v>657</v>
      </c>
    </row>
    <row r="953" spans="1:8">
      <c r="A953" s="4" t="s">
        <v>788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46169.384768518517</v>
      </c>
      <c r="G953" t="s">
        <v>655</v>
      </c>
      <c r="H953" t="s">
        <v>657</v>
      </c>
    </row>
    <row r="954" spans="1:8">
      <c r="A954" s="3" t="s">
        <v>789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46170.496157407404</v>
      </c>
      <c r="G954" t="s">
        <v>655</v>
      </c>
      <c r="H954" t="s">
        <v>657</v>
      </c>
    </row>
    <row r="955" spans="1:8">
      <c r="A955" s="4" t="s">
        <v>790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46183.348541666666</v>
      </c>
      <c r="G955" t="s">
        <v>655</v>
      </c>
      <c r="H955" t="s">
        <v>657</v>
      </c>
    </row>
    <row r="956" spans="1:8">
      <c r="A956" s="3" t="s">
        <v>791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46150.495787037034</v>
      </c>
      <c r="G956" t="s">
        <v>655</v>
      </c>
      <c r="H956" t="s">
        <v>657</v>
      </c>
    </row>
    <row r="957" spans="1:8">
      <c r="A957" s="4" t="s">
        <v>792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46169.546909722223</v>
      </c>
      <c r="G957" t="s">
        <v>655</v>
      </c>
      <c r="H957" t="s">
        <v>657</v>
      </c>
    </row>
    <row r="958" spans="1:8">
      <c r="A958" s="3" t="s">
        <v>793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46174.426423611112</v>
      </c>
      <c r="G958" t="s">
        <v>655</v>
      </c>
      <c r="H958" t="s">
        <v>657</v>
      </c>
    </row>
    <row r="959" spans="1:8">
      <c r="A959" s="4" t="s">
        <v>794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46174.426041666666</v>
      </c>
      <c r="G959" t="s">
        <v>655</v>
      </c>
      <c r="H959" t="s">
        <v>657</v>
      </c>
    </row>
    <row r="960" spans="1:8">
      <c r="A960" s="3" t="s">
        <v>795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46174.426319444443</v>
      </c>
      <c r="G960" t="s">
        <v>655</v>
      </c>
      <c r="H960" t="s">
        <v>657</v>
      </c>
    </row>
    <row r="961" spans="1:8">
      <c r="A961" s="4" t="s">
        <v>796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46150.321956018517</v>
      </c>
      <c r="G961" t="s">
        <v>655</v>
      </c>
      <c r="H961" t="s">
        <v>657</v>
      </c>
    </row>
    <row r="962" spans="1:8">
      <c r="A962" s="3" t="s">
        <v>797</v>
      </c>
      <c r="B962" s="1" t="s">
        <v>98</v>
      </c>
      <c r="C962" s="1" t="s">
        <v>99</v>
      </c>
      <c r="D962" s="3" t="s">
        <v>7</v>
      </c>
      <c r="E962" s="1" t="s">
        <v>100</v>
      </c>
      <c r="F962" s="5">
        <v>46150.322951388887</v>
      </c>
      <c r="G962" t="s">
        <v>655</v>
      </c>
      <c r="H962" t="s">
        <v>657</v>
      </c>
    </row>
    <row r="963" spans="1:8">
      <c r="A963" s="4" t="s">
        <v>798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46169.547129629631</v>
      </c>
      <c r="G963" t="s">
        <v>655</v>
      </c>
      <c r="H963" t="s">
        <v>657</v>
      </c>
    </row>
    <row r="964" spans="1:8">
      <c r="A964" s="3" t="s">
        <v>799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46169.547384259262</v>
      </c>
      <c r="G964" t="s">
        <v>655</v>
      </c>
      <c r="H964" t="s">
        <v>657</v>
      </c>
    </row>
    <row r="965" spans="1:8">
      <c r="A965" s="4" t="s">
        <v>800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46170.496701388889</v>
      </c>
      <c r="G965" t="s">
        <v>655</v>
      </c>
      <c r="H965" t="s">
        <v>657</v>
      </c>
    </row>
    <row r="966" spans="1:8">
      <c r="A966" s="3" t="s">
        <v>801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46170.496331018519</v>
      </c>
      <c r="G966" t="s">
        <v>655</v>
      </c>
      <c r="H966" t="s">
        <v>657</v>
      </c>
    </row>
    <row r="967" spans="1:8">
      <c r="A967" s="4" t="s">
        <v>802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46183.349548611113</v>
      </c>
      <c r="G967" t="s">
        <v>655</v>
      </c>
      <c r="H967" t="s">
        <v>657</v>
      </c>
    </row>
    <row r="968" spans="1:8">
      <c r="A968" s="3" t="s">
        <v>803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46170.31621527778</v>
      </c>
      <c r="G968" t="s">
        <v>655</v>
      </c>
      <c r="H968" t="s">
        <v>657</v>
      </c>
    </row>
    <row r="969" spans="1:8">
      <c r="A969" s="4" t="s">
        <v>804</v>
      </c>
      <c r="B969" s="2" t="s">
        <v>6</v>
      </c>
      <c r="C969" s="2" t="s">
        <v>6</v>
      </c>
      <c r="D969" s="4" t="s">
        <v>7</v>
      </c>
      <c r="E969" s="2" t="s">
        <v>8</v>
      </c>
      <c r="F969" s="6">
        <v>46169.501180555555</v>
      </c>
      <c r="G969" t="s">
        <v>655</v>
      </c>
      <c r="H969" t="s">
        <v>657</v>
      </c>
    </row>
    <row r="970" spans="1:8">
      <c r="A970" s="3" t="s">
        <v>805</v>
      </c>
      <c r="B970" s="1" t="s">
        <v>6</v>
      </c>
      <c r="C970" s="1" t="s">
        <v>6</v>
      </c>
      <c r="D970" s="3" t="s">
        <v>7</v>
      </c>
      <c r="E970" s="1" t="s">
        <v>8</v>
      </c>
      <c r="F970" s="5">
        <v>46169.499988425923</v>
      </c>
      <c r="G970" t="s">
        <v>655</v>
      </c>
      <c r="H970" t="s">
        <v>657</v>
      </c>
    </row>
    <row r="971" spans="1:8">
      <c r="A971" s="4" t="s">
        <v>806</v>
      </c>
      <c r="B971" s="2" t="s">
        <v>98</v>
      </c>
      <c r="C971" s="2" t="s">
        <v>99</v>
      </c>
      <c r="D971" s="4" t="s">
        <v>7</v>
      </c>
      <c r="E971" s="2" t="s">
        <v>100</v>
      </c>
      <c r="F971" s="6">
        <v>46183.3515162037</v>
      </c>
      <c r="G971" t="s">
        <v>655</v>
      </c>
      <c r="H971" t="s">
        <v>657</v>
      </c>
    </row>
    <row r="972" spans="1:8">
      <c r="A972" s="3" t="s">
        <v>807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46170.375555555554</v>
      </c>
      <c r="G972" t="s">
        <v>655</v>
      </c>
      <c r="H972" t="s">
        <v>657</v>
      </c>
    </row>
    <row r="973" spans="1:8">
      <c r="A973" s="4" t="s">
        <v>808</v>
      </c>
      <c r="B973" s="2" t="s">
        <v>98</v>
      </c>
      <c r="C973" s="2" t="s">
        <v>99</v>
      </c>
      <c r="D973" s="4" t="s">
        <v>7</v>
      </c>
      <c r="E973" s="2" t="s">
        <v>100</v>
      </c>
      <c r="F973" s="6">
        <v>46183.352083333331</v>
      </c>
      <c r="G973" t="s">
        <v>655</v>
      </c>
      <c r="H973" t="s">
        <v>657</v>
      </c>
    </row>
    <row r="974" spans="1:8">
      <c r="A974" s="3" t="s">
        <v>809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46170.375555555554</v>
      </c>
      <c r="G974" t="s">
        <v>655</v>
      </c>
      <c r="H974" t="s">
        <v>657</v>
      </c>
    </row>
    <row r="975" spans="1:8">
      <c r="A975" s="4" t="s">
        <v>810</v>
      </c>
      <c r="B975" s="2" t="s">
        <v>98</v>
      </c>
      <c r="C975" s="2" t="s">
        <v>99</v>
      </c>
      <c r="D975" s="4" t="s">
        <v>7</v>
      </c>
      <c r="E975" s="2" t="s">
        <v>100</v>
      </c>
      <c r="F975" s="6">
        <v>46183.35255787037</v>
      </c>
      <c r="G975" t="s">
        <v>655</v>
      </c>
      <c r="H975" t="s">
        <v>657</v>
      </c>
    </row>
    <row r="976" spans="1:8">
      <c r="A976" s="3" t="s">
        <v>811</v>
      </c>
      <c r="B976" s="1" t="s">
        <v>98</v>
      </c>
      <c r="C976" s="1" t="s">
        <v>99</v>
      </c>
      <c r="D976" s="3" t="s">
        <v>7</v>
      </c>
      <c r="E976" s="1" t="s">
        <v>100</v>
      </c>
      <c r="F976" s="5">
        <v>46183.354212962964</v>
      </c>
      <c r="G976" t="s">
        <v>655</v>
      </c>
      <c r="H976" t="s">
        <v>657</v>
      </c>
    </row>
    <row r="977" spans="1:8">
      <c r="A977" s="4" t="s">
        <v>812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46169.385416666664</v>
      </c>
      <c r="G977" t="s">
        <v>655</v>
      </c>
      <c r="H977" t="s">
        <v>657</v>
      </c>
    </row>
    <row r="978" spans="1:8">
      <c r="A978" s="3" t="s">
        <v>813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46170.476724537039</v>
      </c>
      <c r="G978" t="s">
        <v>655</v>
      </c>
      <c r="H978" t="s">
        <v>657</v>
      </c>
    </row>
    <row r="979" spans="1:8">
      <c r="A979" s="4" t="s">
        <v>814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46169.389837962961</v>
      </c>
      <c r="G979" t="s">
        <v>655</v>
      </c>
      <c r="H979" t="s">
        <v>657</v>
      </c>
    </row>
    <row r="980" spans="1:8">
      <c r="A980" s="3" t="s">
        <v>815</v>
      </c>
      <c r="B980" s="1" t="s">
        <v>98</v>
      </c>
      <c r="C980" s="1" t="s">
        <v>99</v>
      </c>
      <c r="D980" s="3" t="s">
        <v>7</v>
      </c>
      <c r="E980" s="1" t="s">
        <v>100</v>
      </c>
      <c r="F980" s="5">
        <v>46183.354849537034</v>
      </c>
      <c r="G980" t="s">
        <v>655</v>
      </c>
      <c r="H980" t="s">
        <v>657</v>
      </c>
    </row>
    <row r="981" spans="1:8">
      <c r="A981" s="4" t="s">
        <v>816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46169.5002662037</v>
      </c>
      <c r="G981" t="s">
        <v>655</v>
      </c>
      <c r="H981" t="s">
        <v>657</v>
      </c>
    </row>
    <row r="982" spans="1:8">
      <c r="A982" s="3" t="s">
        <v>817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46169.389143518521</v>
      </c>
      <c r="G982" t="s">
        <v>655</v>
      </c>
      <c r="H982" t="s">
        <v>657</v>
      </c>
    </row>
    <row r="983" spans="1:8">
      <c r="A983" s="4" t="s">
        <v>818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46169.389317129629</v>
      </c>
      <c r="G983" t="s">
        <v>655</v>
      </c>
      <c r="H983" t="s">
        <v>657</v>
      </c>
    </row>
    <row r="984" spans="1:8">
      <c r="A984" s="3" t="s">
        <v>819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46170.477094907408</v>
      </c>
      <c r="G984" t="s">
        <v>655</v>
      </c>
      <c r="H984" t="s">
        <v>657</v>
      </c>
    </row>
    <row r="985" spans="1:8">
      <c r="A985" s="4" t="s">
        <v>820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46169.385231481479</v>
      </c>
      <c r="G985" t="s">
        <v>655</v>
      </c>
      <c r="H985" t="s">
        <v>657</v>
      </c>
    </row>
    <row r="986" spans="1:8">
      <c r="A986" s="3" t="s">
        <v>821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46169.38417824074</v>
      </c>
      <c r="G986" t="s">
        <v>655</v>
      </c>
      <c r="H986" t="s">
        <v>657</v>
      </c>
    </row>
    <row r="987" spans="1:8">
      <c r="A987" s="4" t="s">
        <v>822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46169.384467592594</v>
      </c>
      <c r="G987" t="s">
        <v>655</v>
      </c>
      <c r="H987" t="s">
        <v>657</v>
      </c>
    </row>
    <row r="988" spans="1:8">
      <c r="A988" s="3" t="s">
        <v>823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46170.315925925926</v>
      </c>
      <c r="G988" t="s">
        <v>655</v>
      </c>
      <c r="H988" t="s">
        <v>657</v>
      </c>
    </row>
    <row r="989" spans="1:8">
      <c r="A989" s="4" t="s">
        <v>824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46170.477222222224</v>
      </c>
      <c r="G989" t="s">
        <v>655</v>
      </c>
      <c r="H989" t="s">
        <v>657</v>
      </c>
    </row>
    <row r="990" spans="1:8">
      <c r="A990" s="3" t="s">
        <v>825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46170.331284722219</v>
      </c>
      <c r="G990" t="s">
        <v>655</v>
      </c>
      <c r="H990" t="s">
        <v>657</v>
      </c>
    </row>
    <row r="991" spans="1:8">
      <c r="A991" s="4" t="s">
        <v>826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46169.389560185184</v>
      </c>
      <c r="G991" t="s">
        <v>655</v>
      </c>
      <c r="H991" t="s">
        <v>657</v>
      </c>
    </row>
    <row r="992" spans="1:8">
      <c r="A992" s="3" t="s">
        <v>827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46169.384745370371</v>
      </c>
      <c r="G992" t="s">
        <v>655</v>
      </c>
      <c r="H992" t="s">
        <v>657</v>
      </c>
    </row>
    <row r="993" spans="1:8">
      <c r="A993" s="4" t="s">
        <v>828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46170.316724537035</v>
      </c>
      <c r="G993" t="s">
        <v>655</v>
      </c>
      <c r="H993" t="s">
        <v>657</v>
      </c>
    </row>
    <row r="994" spans="1:8">
      <c r="A994" s="3" t="s">
        <v>829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46170.325821759259</v>
      </c>
      <c r="G994" t="s">
        <v>655</v>
      </c>
      <c r="H994" t="s">
        <v>657</v>
      </c>
    </row>
    <row r="995" spans="1:8">
      <c r="A995" s="4" t="s">
        <v>830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46170.476898148147</v>
      </c>
      <c r="G995" t="s">
        <v>655</v>
      </c>
      <c r="H995" t="s">
        <v>657</v>
      </c>
    </row>
    <row r="996" spans="1:8">
      <c r="A996" s="3" t="s">
        <v>831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46170.496504629627</v>
      </c>
      <c r="G996" t="s">
        <v>655</v>
      </c>
      <c r="H996" t="s">
        <v>657</v>
      </c>
    </row>
    <row r="997" spans="1:8">
      <c r="A997" s="4" t="s">
        <v>832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46170.375543981485</v>
      </c>
      <c r="G997" t="s">
        <v>655</v>
      </c>
      <c r="H997" t="s">
        <v>657</v>
      </c>
    </row>
    <row r="998" spans="1:8">
      <c r="A998" s="3" t="s">
        <v>833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46169.384988425925</v>
      </c>
      <c r="G998" t="s">
        <v>655</v>
      </c>
      <c r="H998" t="s">
        <v>657</v>
      </c>
    </row>
    <row r="999" spans="1:8">
      <c r="A999" s="4" t="s">
        <v>834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46170.375358796293</v>
      </c>
      <c r="G999" t="s">
        <v>655</v>
      </c>
      <c r="H999" t="s">
        <v>657</v>
      </c>
    </row>
    <row r="1000" spans="1:8">
      <c r="A1000" s="3" t="s">
        <v>835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46170.316423611112</v>
      </c>
      <c r="G1000" t="s">
        <v>655</v>
      </c>
      <c r="H1000" t="s">
        <v>657</v>
      </c>
    </row>
    <row r="1001" spans="1:8">
      <c r="A1001" s="4" t="s">
        <v>836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46169.385196759256</v>
      </c>
      <c r="G1001" t="s">
        <v>655</v>
      </c>
      <c r="H1001" t="s">
        <v>657</v>
      </c>
    </row>
    <row r="1002" spans="1:8">
      <c r="A1002" s="3" t="s">
        <v>837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46170.325624999998</v>
      </c>
      <c r="G1002" t="s">
        <v>655</v>
      </c>
      <c r="H1002" t="s">
        <v>657</v>
      </c>
    </row>
    <row r="1003" spans="1:8">
      <c r="A1003" s="4" t="s">
        <v>838</v>
      </c>
      <c r="B1003" s="2" t="s">
        <v>6</v>
      </c>
      <c r="C1003" s="2" t="s">
        <v>6</v>
      </c>
      <c r="D1003" s="4" t="s">
        <v>7</v>
      </c>
      <c r="E1003" s="2" t="s">
        <v>8</v>
      </c>
      <c r="F1003" s="6">
        <v>46170.326261574075</v>
      </c>
      <c r="G1003" t="s">
        <v>655</v>
      </c>
      <c r="H1003" t="s">
        <v>657</v>
      </c>
    </row>
    <row r="1004" spans="1:8">
      <c r="A1004" s="3" t="s">
        <v>839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46169.501504629632</v>
      </c>
      <c r="G1004" t="s">
        <v>655</v>
      </c>
      <c r="H1004" t="s">
        <v>657</v>
      </c>
    </row>
    <row r="1005" spans="1:8">
      <c r="A1005" s="4" t="s">
        <v>840</v>
      </c>
      <c r="B1005" s="2" t="s">
        <v>98</v>
      </c>
      <c r="C1005" s="2" t="s">
        <v>99</v>
      </c>
      <c r="D1005" s="4" t="s">
        <v>7</v>
      </c>
      <c r="E1005" s="2" t="s">
        <v>100</v>
      </c>
      <c r="F1005" s="6">
        <v>46183.356782407405</v>
      </c>
      <c r="G1005" t="s">
        <v>655</v>
      </c>
      <c r="H1005" t="s">
        <v>657</v>
      </c>
    </row>
    <row r="1006" spans="1:8">
      <c r="A1006" s="3" t="s">
        <v>841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46183.375787037039</v>
      </c>
      <c r="G1006" t="s">
        <v>655</v>
      </c>
      <c r="H1006" t="s">
        <v>657</v>
      </c>
    </row>
    <row r="1007" spans="1:8">
      <c r="A1007" s="4" t="s">
        <v>842</v>
      </c>
      <c r="B1007" s="2" t="s">
        <v>98</v>
      </c>
      <c r="C1007" s="2" t="s">
        <v>99</v>
      </c>
      <c r="D1007" s="4" t="s">
        <v>7</v>
      </c>
      <c r="E1007" s="2" t="s">
        <v>100</v>
      </c>
      <c r="F1007" s="6">
        <v>46150.495393518519</v>
      </c>
      <c r="G1007" t="s">
        <v>655</v>
      </c>
      <c r="H1007" t="s">
        <v>657</v>
      </c>
    </row>
    <row r="1008" spans="1:8">
      <c r="A1008" s="3" t="s">
        <v>843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46170.362604166665</v>
      </c>
      <c r="G1008" t="s">
        <v>656</v>
      </c>
      <c r="H1008" t="s">
        <v>658</v>
      </c>
    </row>
    <row r="1009" spans="1:8">
      <c r="A1009" s="4" t="s">
        <v>844</v>
      </c>
      <c r="B1009" s="2" t="s">
        <v>98</v>
      </c>
      <c r="C1009" s="2" t="s">
        <v>99</v>
      </c>
      <c r="D1009" s="4" t="s">
        <v>7</v>
      </c>
      <c r="E1009" s="2" t="s">
        <v>100</v>
      </c>
      <c r="F1009" s="6">
        <v>46175.350138888891</v>
      </c>
      <c r="G1009" t="s">
        <v>656</v>
      </c>
      <c r="H1009" t="s">
        <v>658</v>
      </c>
    </row>
    <row r="1010" spans="1:8">
      <c r="A1010" s="3" t="s">
        <v>845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46170.477372685185</v>
      </c>
      <c r="G1010" t="s">
        <v>656</v>
      </c>
      <c r="H1010" t="s">
        <v>658</v>
      </c>
    </row>
    <row r="1011" spans="1:8">
      <c r="A1011" s="4" t="s">
        <v>846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46170.476446759261</v>
      </c>
      <c r="G1011" t="s">
        <v>656</v>
      </c>
      <c r="H1011" t="s">
        <v>658</v>
      </c>
    </row>
    <row r="1012" spans="1:8">
      <c r="A1012" s="3" t="s">
        <v>847</v>
      </c>
      <c r="B1012" s="1" t="s">
        <v>98</v>
      </c>
      <c r="C1012" s="1" t="s">
        <v>99</v>
      </c>
      <c r="D1012" s="3" t="s">
        <v>7</v>
      </c>
      <c r="E1012" s="1" t="s">
        <v>100</v>
      </c>
      <c r="F1012" s="5">
        <v>46175.356678240743</v>
      </c>
      <c r="G1012" t="s">
        <v>656</v>
      </c>
      <c r="H1012" t="s">
        <v>658</v>
      </c>
    </row>
    <row r="1013" spans="1:8">
      <c r="A1013" s="4" t="s">
        <v>848</v>
      </c>
      <c r="B1013" s="2" t="s">
        <v>6</v>
      </c>
      <c r="C1013" s="2" t="s">
        <v>6</v>
      </c>
      <c r="D1013" s="4" t="s">
        <v>7</v>
      </c>
      <c r="E1013" s="2" t="s">
        <v>8</v>
      </c>
      <c r="F1013" s="6">
        <v>46174.425995370373</v>
      </c>
      <c r="G1013" t="s">
        <v>656</v>
      </c>
      <c r="H1013" t="s">
        <v>658</v>
      </c>
    </row>
    <row r="1014" spans="1:8">
      <c r="A1014" s="3" t="s">
        <v>849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46169.390138888892</v>
      </c>
      <c r="G1014" t="s">
        <v>656</v>
      </c>
      <c r="H1014" t="s">
        <v>658</v>
      </c>
    </row>
    <row r="1015" spans="1:8">
      <c r="A1015" s="4" t="s">
        <v>850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46170.315659722219</v>
      </c>
      <c r="G1015" t="s">
        <v>656</v>
      </c>
      <c r="H1015" t="s">
        <v>658</v>
      </c>
    </row>
    <row r="1016" spans="1:8">
      <c r="A1016" s="3" t="s">
        <v>851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46169.388761574075</v>
      </c>
      <c r="G1016" t="s">
        <v>656</v>
      </c>
      <c r="H1016" t="s">
        <v>658</v>
      </c>
    </row>
    <row r="1017" spans="1:8">
      <c r="A1017" s="4" t="s">
        <v>852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46169.4997337963</v>
      </c>
      <c r="G1017" t="s">
        <v>656</v>
      </c>
      <c r="H1017" t="s">
        <v>658</v>
      </c>
    </row>
    <row r="1018" spans="1:8">
      <c r="A1018" s="3" t="s">
        <v>853</v>
      </c>
      <c r="B1018" s="1" t="s">
        <v>6</v>
      </c>
      <c r="C1018" s="1" t="s">
        <v>6</v>
      </c>
      <c r="D1018" s="3" t="s">
        <v>7</v>
      </c>
      <c r="E1018" s="1" t="s">
        <v>8</v>
      </c>
      <c r="F1018" s="5">
        <v>46170.476585648146</v>
      </c>
      <c r="G1018" t="s">
        <v>656</v>
      </c>
      <c r="H1018" t="s">
        <v>658</v>
      </c>
    </row>
    <row r="1019" spans="1:8">
      <c r="A1019" s="4" t="s">
        <v>854</v>
      </c>
      <c r="B1019" s="2" t="s">
        <v>98</v>
      </c>
      <c r="C1019" s="2" t="s">
        <v>99</v>
      </c>
      <c r="D1019" s="4" t="s">
        <v>7</v>
      </c>
      <c r="E1019" s="2" t="s">
        <v>100</v>
      </c>
      <c r="F1019" s="6">
        <v>46175.352280092593</v>
      </c>
      <c r="G1019" t="s">
        <v>656</v>
      </c>
      <c r="H1019" t="s">
        <v>658</v>
      </c>
    </row>
    <row r="1020" spans="1:8">
      <c r="A1020" s="3" t="s">
        <v>855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46170.315254629626</v>
      </c>
      <c r="G1020" t="s">
        <v>656</v>
      </c>
      <c r="H1020" t="s">
        <v>658</v>
      </c>
    </row>
    <row r="1021" spans="1:8">
      <c r="A1021" s="4" t="s">
        <v>856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46170.47760416667</v>
      </c>
      <c r="G1021" t="s">
        <v>656</v>
      </c>
      <c r="H1021" t="s">
        <v>658</v>
      </c>
    </row>
    <row r="1022" spans="1:8">
      <c r="A1022" s="3" t="s">
        <v>857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46169.50172453704</v>
      </c>
      <c r="G1022" t="s">
        <v>656</v>
      </c>
      <c r="H1022" t="s">
        <v>658</v>
      </c>
    </row>
    <row r="1023" spans="1:8">
      <c r="A1023" s="4" t="s">
        <v>858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46170.31722222222</v>
      </c>
      <c r="G1023" t="s">
        <v>656</v>
      </c>
      <c r="H1023" t="s">
        <v>658</v>
      </c>
    </row>
    <row r="1024" spans="1:8">
      <c r="A1024" s="3" t="s">
        <v>859</v>
      </c>
      <c r="B1024" s="1" t="s">
        <v>98</v>
      </c>
      <c r="C1024" s="1" t="s">
        <v>99</v>
      </c>
      <c r="D1024" s="3" t="s">
        <v>7</v>
      </c>
      <c r="E1024" s="1" t="s">
        <v>100</v>
      </c>
      <c r="F1024" s="5">
        <v>46175.334664351853</v>
      </c>
      <c r="G1024" t="s">
        <v>656</v>
      </c>
      <c r="H1024" t="s">
        <v>658</v>
      </c>
    </row>
    <row r="1025" spans="1:8">
      <c r="A1025" s="4" t="s">
        <v>860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46170.497164351851</v>
      </c>
      <c r="G1025" t="s">
        <v>656</v>
      </c>
      <c r="H1025" t="s">
        <v>658</v>
      </c>
    </row>
    <row r="1026" spans="1:8">
      <c r="A1026" s="3" t="s">
        <v>861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46169.389976851853</v>
      </c>
      <c r="G1026" t="s">
        <v>656</v>
      </c>
      <c r="H1026" t="s">
        <v>658</v>
      </c>
    </row>
    <row r="1027" spans="1:8">
      <c r="A1027" s="4" t="s">
        <v>862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46169.388969907406</v>
      </c>
      <c r="G1027" t="s">
        <v>656</v>
      </c>
      <c r="H1027" t="s">
        <v>658</v>
      </c>
    </row>
    <row r="1028" spans="1:8">
      <c r="A1028" s="3" t="s">
        <v>863</v>
      </c>
      <c r="B1028" s="1" t="s">
        <v>98</v>
      </c>
      <c r="C1028" s="1" t="s">
        <v>99</v>
      </c>
      <c r="D1028" s="3" t="s">
        <v>7</v>
      </c>
      <c r="E1028" s="1" t="s">
        <v>100</v>
      </c>
      <c r="F1028" s="5">
        <v>46175.351759259262</v>
      </c>
      <c r="G1028" t="s">
        <v>656</v>
      </c>
      <c r="H1028" t="s">
        <v>658</v>
      </c>
    </row>
    <row r="1029" spans="1:8">
      <c r="A1029" s="4" t="s">
        <v>864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46170.317013888889</v>
      </c>
      <c r="G1029" t="s">
        <v>656</v>
      </c>
      <c r="H1029" t="s">
        <v>658</v>
      </c>
    </row>
    <row r="1030" spans="1:8">
      <c r="A1030" s="3" t="s">
        <v>865</v>
      </c>
      <c r="B1030" s="1" t="s">
        <v>6</v>
      </c>
      <c r="C1030" s="1" t="s">
        <v>6</v>
      </c>
      <c r="D1030" s="3" t="s">
        <v>7</v>
      </c>
      <c r="E1030" s="1" t="s">
        <v>8</v>
      </c>
      <c r="F1030" s="5">
        <v>46196.643263888887</v>
      </c>
      <c r="G1030" t="s">
        <v>656</v>
      </c>
      <c r="H1030" t="s">
        <v>658</v>
      </c>
    </row>
    <row r="1031" spans="1:8">
      <c r="A1031" s="4" t="s">
        <v>866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46170.325324074074</v>
      </c>
      <c r="G1031" t="s">
        <v>656</v>
      </c>
      <c r="H1031" t="s">
        <v>658</v>
      </c>
    </row>
    <row r="1032" spans="1:8">
      <c r="A1032" s="3" t="s">
        <v>867</v>
      </c>
      <c r="B1032" s="1" t="s">
        <v>6</v>
      </c>
      <c r="C1032" s="1" t="s">
        <v>6</v>
      </c>
      <c r="D1032" s="3" t="s">
        <v>7</v>
      </c>
      <c r="E1032" s="1" t="s">
        <v>8</v>
      </c>
      <c r="F1032" s="5">
        <v>46170.495995370373</v>
      </c>
      <c r="G1032" t="s">
        <v>656</v>
      </c>
      <c r="H1032" t="s">
        <v>658</v>
      </c>
    </row>
    <row r="1033" spans="1:8">
      <c r="A1033" s="4" t="s">
        <v>868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46170.364212962966</v>
      </c>
      <c r="G1033" t="s">
        <v>656</v>
      </c>
      <c r="H1033" t="s">
        <v>658</v>
      </c>
    </row>
    <row r="1034" spans="1:8">
      <c r="A1034" s="3" t="s">
        <v>869</v>
      </c>
      <c r="B1034" s="1" t="s">
        <v>6</v>
      </c>
      <c r="C1034" s="1" t="s">
        <v>6</v>
      </c>
      <c r="D1034" s="3" t="s">
        <v>7</v>
      </c>
      <c r="E1034" s="1" t="s">
        <v>8</v>
      </c>
      <c r="F1034" s="5">
        <v>46170.364004629628</v>
      </c>
      <c r="G1034" t="s">
        <v>656</v>
      </c>
      <c r="H1034" t="s">
        <v>658</v>
      </c>
    </row>
    <row r="1035" spans="1:8">
      <c r="A1035" s="4" t="s">
        <v>870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46169.38380787037</v>
      </c>
      <c r="G1035" t="s">
        <v>656</v>
      </c>
      <c r="H1035" t="s">
        <v>658</v>
      </c>
    </row>
    <row r="1036" spans="1:8">
      <c r="A1036" s="3" t="s">
        <v>871</v>
      </c>
      <c r="B1036" s="1" t="s">
        <v>98</v>
      </c>
      <c r="C1036" s="1" t="s">
        <v>99</v>
      </c>
      <c r="D1036" s="3" t="s">
        <v>7</v>
      </c>
      <c r="E1036" s="1" t="s">
        <v>100</v>
      </c>
      <c r="F1036" s="5">
        <v>46175.349050925928</v>
      </c>
      <c r="G1036" t="s">
        <v>656</v>
      </c>
      <c r="H1036" t="s">
        <v>658</v>
      </c>
    </row>
    <row r="1037" spans="1:8">
      <c r="A1037" s="4" t="s">
        <v>872</v>
      </c>
      <c r="B1037" s="2" t="s">
        <v>98</v>
      </c>
      <c r="C1037" s="2" t="s">
        <v>99</v>
      </c>
      <c r="D1037" s="4" t="s">
        <v>7</v>
      </c>
      <c r="E1037" s="2" t="s">
        <v>100</v>
      </c>
      <c r="F1037" s="6">
        <v>46175.352777777778</v>
      </c>
      <c r="G1037" t="s">
        <v>656</v>
      </c>
      <c r="H1037" t="s">
        <v>658</v>
      </c>
    </row>
    <row r="1038" spans="1:8">
      <c r="A1038" s="3" t="s">
        <v>873</v>
      </c>
      <c r="B1038" s="1" t="s">
        <v>98</v>
      </c>
      <c r="C1038" s="1" t="s">
        <v>99</v>
      </c>
      <c r="D1038" s="3" t="s">
        <v>7</v>
      </c>
      <c r="E1038" s="1" t="s">
        <v>100</v>
      </c>
      <c r="F1038" s="5">
        <v>46175.354363425926</v>
      </c>
      <c r="G1038" t="s">
        <v>656</v>
      </c>
      <c r="H1038" t="s">
        <v>658</v>
      </c>
    </row>
    <row r="1039" spans="1:8">
      <c r="A1039" s="4" t="s">
        <v>874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46170.496932870374</v>
      </c>
      <c r="G1039" t="s">
        <v>656</v>
      </c>
      <c r="H1039" t="s">
        <v>658</v>
      </c>
    </row>
    <row r="1040" spans="1:8">
      <c r="A1040" s="3" t="s">
        <v>875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46175.353298611109</v>
      </c>
      <c r="G1040" t="s">
        <v>656</v>
      </c>
      <c r="H1040" t="s">
        <v>658</v>
      </c>
    </row>
    <row r="1041" spans="1:8">
      <c r="A1041" s="4" t="s">
        <v>876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46178.509930555556</v>
      </c>
      <c r="G1041" t="s">
        <v>656</v>
      </c>
      <c r="H1041" t="s">
        <v>658</v>
      </c>
    </row>
    <row r="1042" spans="1:8">
      <c r="A1042" s="3" t="s">
        <v>877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46170.495856481481</v>
      </c>
      <c r="G1042" t="s">
        <v>656</v>
      </c>
      <c r="H1042" t="s">
        <v>658</v>
      </c>
    </row>
    <row r="1043" spans="1:8">
      <c r="A1043" s="4" t="s">
        <v>878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46169.385601851849</v>
      </c>
      <c r="G1043" t="s">
        <v>656</v>
      </c>
      <c r="H1043" t="s">
        <v>658</v>
      </c>
    </row>
    <row r="1044" spans="1:8">
      <c r="A1044" s="3" t="s">
        <v>879</v>
      </c>
      <c r="B1044" s="1" t="s">
        <v>275</v>
      </c>
      <c r="C1044" s="1" t="s">
        <v>276</v>
      </c>
      <c r="D1044" s="3" t="s">
        <v>7</v>
      </c>
      <c r="E1044" s="1" t="s">
        <v>277</v>
      </c>
      <c r="F1044" s="5">
        <v>46178.332268518519</v>
      </c>
      <c r="G1044" t="s">
        <v>656</v>
      </c>
      <c r="H1044" t="s">
        <v>658</v>
      </c>
    </row>
    <row r="1045" spans="1:8">
      <c r="A1045" s="4" t="s">
        <v>880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46171.526863425926</v>
      </c>
      <c r="G1045" t="s">
        <v>656</v>
      </c>
      <c r="H1045" t="s">
        <v>658</v>
      </c>
    </row>
    <row r="1046" spans="1:8">
      <c r="A1046" s="3" t="s">
        <v>881</v>
      </c>
      <c r="B1046" s="1" t="s">
        <v>98</v>
      </c>
      <c r="C1046" s="1" t="s">
        <v>99</v>
      </c>
      <c r="D1046" s="3" t="s">
        <v>7</v>
      </c>
      <c r="E1046" s="1" t="s">
        <v>100</v>
      </c>
      <c r="F1046" s="5">
        <v>46175.356053240743</v>
      </c>
      <c r="G1046" t="s">
        <v>656</v>
      </c>
      <c r="H1046" t="s">
        <v>658</v>
      </c>
    </row>
    <row r="1047" spans="1:8">
      <c r="A1047" s="4" t="s">
        <v>882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46169.547905092593</v>
      </c>
      <c r="G1047" t="s">
        <v>656</v>
      </c>
      <c r="H1047" t="s">
        <v>658</v>
      </c>
    </row>
    <row r="1048" spans="1:8">
      <c r="A1048" s="3" t="s">
        <v>883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46169.499502314815</v>
      </c>
      <c r="G1048" t="s">
        <v>656</v>
      </c>
      <c r="H1048" t="s">
        <v>658</v>
      </c>
    </row>
    <row r="1049" spans="1:8">
      <c r="A1049" s="4" t="s">
        <v>884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46169.546666666669</v>
      </c>
      <c r="G1049" t="s">
        <v>656</v>
      </c>
      <c r="H1049" t="s">
        <v>658</v>
      </c>
    </row>
    <row r="1050" spans="1:8">
      <c r="A1050" s="3" t="s">
        <v>885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46170.362858796296</v>
      </c>
      <c r="G1050" t="s">
        <v>656</v>
      </c>
      <c r="H1050" t="s">
        <v>658</v>
      </c>
    </row>
    <row r="1051" spans="1:8">
      <c r="A1051" s="4" t="s">
        <v>886</v>
      </c>
      <c r="B1051" s="2" t="s">
        <v>6</v>
      </c>
      <c r="C1051" s="2" t="s">
        <v>6</v>
      </c>
      <c r="D1051" s="4" t="s">
        <v>7</v>
      </c>
      <c r="E1051" s="2" t="s">
        <v>8</v>
      </c>
      <c r="F1051" s="6">
        <v>46182.434699074074</v>
      </c>
      <c r="G1051" t="s">
        <v>656</v>
      </c>
      <c r="H1051" t="s">
        <v>658</v>
      </c>
    </row>
    <row r="1052" spans="1:8">
      <c r="A1052" s="3" t="s">
        <v>887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46170.326608796298</v>
      </c>
      <c r="G1052" t="s">
        <v>656</v>
      </c>
      <c r="H1052" t="s">
        <v>658</v>
      </c>
    </row>
    <row r="1053" spans="1:8">
      <c r="A1053" s="4" t="s">
        <v>888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46169.384074074071</v>
      </c>
      <c r="G1053" t="s">
        <v>656</v>
      </c>
      <c r="H1053" t="s">
        <v>658</v>
      </c>
    </row>
    <row r="1054" spans="1:8">
      <c r="A1054" s="3" t="s">
        <v>889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46174.425949074073</v>
      </c>
      <c r="G1054" t="s">
        <v>656</v>
      </c>
      <c r="H1054" t="s">
        <v>658</v>
      </c>
    </row>
    <row r="1055" spans="1:8">
      <c r="A1055" s="4" t="s">
        <v>890</v>
      </c>
      <c r="B1055" s="2" t="s">
        <v>6</v>
      </c>
      <c r="C1055" s="2" t="s">
        <v>6</v>
      </c>
      <c r="D1055" s="4" t="s">
        <v>7</v>
      </c>
      <c r="E1055" s="2" t="s">
        <v>8</v>
      </c>
      <c r="F1055" s="6">
        <v>46169.546180555553</v>
      </c>
      <c r="G1055" t="s">
        <v>656</v>
      </c>
      <c r="H1055" t="s">
        <v>658</v>
      </c>
    </row>
    <row r="1056" spans="1:8">
      <c r="A1056" s="3" t="s">
        <v>891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46169.385914351849</v>
      </c>
      <c r="G1056" t="s">
        <v>656</v>
      </c>
      <c r="H1056" t="s">
        <v>658</v>
      </c>
    </row>
    <row r="1057" spans="1:8">
      <c r="A1057" s="4" t="s">
        <v>892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46175.351319444446</v>
      </c>
      <c r="G1057" t="s">
        <v>656</v>
      </c>
      <c r="H1057" t="s">
        <v>658</v>
      </c>
    </row>
    <row r="1058" spans="1:8">
      <c r="A1058" s="3" t="s">
        <v>893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46169.383923611109</v>
      </c>
      <c r="G1058" t="s">
        <v>656</v>
      </c>
      <c r="H1058" t="s">
        <v>658</v>
      </c>
    </row>
    <row r="1059" spans="1:8">
      <c r="A1059" s="4" t="s">
        <v>894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46169.383634259262</v>
      </c>
      <c r="G1059" t="s">
        <v>656</v>
      </c>
      <c r="H1059" t="s">
        <v>658</v>
      </c>
    </row>
    <row r="1060" spans="1:8">
      <c r="A1060" s="3" t="s">
        <v>895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46169.385381944441</v>
      </c>
      <c r="G1060" t="s">
        <v>656</v>
      </c>
      <c r="H1060" t="s">
        <v>658</v>
      </c>
    </row>
    <row r="1061" spans="1:8">
      <c r="A1061" s="4" t="s">
        <v>896</v>
      </c>
      <c r="B1061" s="2" t="s">
        <v>98</v>
      </c>
      <c r="C1061" s="2" t="s">
        <v>99</v>
      </c>
      <c r="D1061" s="4" t="s">
        <v>7</v>
      </c>
      <c r="E1061" s="2" t="s">
        <v>100</v>
      </c>
      <c r="F1061" s="6">
        <v>46175.353888888887</v>
      </c>
      <c r="G1061" t="s">
        <v>656</v>
      </c>
      <c r="H1061" t="s">
        <v>658</v>
      </c>
    </row>
    <row r="1062" spans="1:8">
      <c r="A1062" s="3" t="s">
        <v>897</v>
      </c>
      <c r="B1062" s="1" t="s">
        <v>98</v>
      </c>
      <c r="C1062" s="1" t="s">
        <v>99</v>
      </c>
      <c r="D1062" s="3" t="s">
        <v>7</v>
      </c>
      <c r="E1062" s="1" t="s">
        <v>100</v>
      </c>
      <c r="F1062" s="5">
        <v>46175.349490740744</v>
      </c>
      <c r="G1062" t="s">
        <v>656</v>
      </c>
      <c r="H1062" t="s">
        <v>658</v>
      </c>
    </row>
    <row r="1063" spans="1:8">
      <c r="A1063" s="4" t="s">
        <v>898</v>
      </c>
      <c r="B1063" s="2" t="s">
        <v>98</v>
      </c>
      <c r="C1063" s="2" t="s">
        <v>99</v>
      </c>
      <c r="D1063" s="4" t="s">
        <v>7</v>
      </c>
      <c r="E1063" s="2" t="s">
        <v>100</v>
      </c>
      <c r="F1063" s="6">
        <v>46175.350787037038</v>
      </c>
      <c r="G1063" t="s">
        <v>656</v>
      </c>
      <c r="H1063" t="s">
        <v>658</v>
      </c>
    </row>
    <row r="1064" spans="1:8">
      <c r="A1064" s="3" t="s">
        <v>899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46170.325115740743</v>
      </c>
      <c r="G1064" t="s">
        <v>656</v>
      </c>
      <c r="H1064" t="s">
        <v>658</v>
      </c>
    </row>
    <row r="1065" spans="1:8">
      <c r="A1065" s="4" t="s">
        <v>900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46174.426481481481</v>
      </c>
      <c r="G1065" t="s">
        <v>656</v>
      </c>
      <c r="H1065" t="s">
        <v>658</v>
      </c>
    </row>
    <row r="1066" spans="1:8">
      <c r="A1066" s="3" t="s">
        <v>901</v>
      </c>
      <c r="B1066" s="1" t="s">
        <v>275</v>
      </c>
      <c r="C1066" s="1" t="s">
        <v>276</v>
      </c>
      <c r="D1066" s="3" t="s">
        <v>7</v>
      </c>
      <c r="E1066" s="1" t="s">
        <v>277</v>
      </c>
      <c r="F1066" s="5">
        <v>46171.489212962966</v>
      </c>
      <c r="G1066" t="s">
        <v>656</v>
      </c>
      <c r="H1066" t="s">
        <v>658</v>
      </c>
    </row>
    <row r="1067" spans="1:8">
      <c r="A1067" s="4" t="s">
        <v>902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46170.32644675926</v>
      </c>
      <c r="G1067" t="s">
        <v>656</v>
      </c>
      <c r="H1067" t="s">
        <v>658</v>
      </c>
    </row>
    <row r="1068" spans="1:8">
      <c r="A1068" s="3" t="s">
        <v>903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46169.385729166665</v>
      </c>
      <c r="G1068" t="s">
        <v>656</v>
      </c>
      <c r="H1068" t="s">
        <v>658</v>
      </c>
    </row>
    <row r="1069" spans="1:8">
      <c r="A1069" s="4" t="s">
        <v>904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46169.501909722225</v>
      </c>
      <c r="G1069" t="s">
        <v>656</v>
      </c>
      <c r="H1069" t="s">
        <v>658</v>
      </c>
    </row>
    <row r="1070" spans="1:8">
      <c r="A1070" s="3" t="s">
        <v>968</v>
      </c>
      <c r="B1070" s="1" t="s">
        <v>6</v>
      </c>
      <c r="C1070" s="1" t="s">
        <v>6</v>
      </c>
      <c r="D1070" s="3" t="s">
        <v>7</v>
      </c>
      <c r="E1070" s="1" t="s">
        <v>8</v>
      </c>
      <c r="F1070" s="5">
        <v>46192.583020833335</v>
      </c>
      <c r="G1070" t="s">
        <v>961</v>
      </c>
      <c r="H1070" t="s">
        <v>657</v>
      </c>
    </row>
    <row r="1071" spans="1:8">
      <c r="A1071" s="4" t="s">
        <v>969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46178.510185185187</v>
      </c>
      <c r="G1071" t="s">
        <v>961</v>
      </c>
      <c r="H1071" t="s">
        <v>657</v>
      </c>
    </row>
    <row r="1072" spans="1:8">
      <c r="A1072" s="3" t="s">
        <v>970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46181.712256944447</v>
      </c>
      <c r="G1072" t="s">
        <v>961</v>
      </c>
      <c r="H1072" t="s">
        <v>657</v>
      </c>
    </row>
    <row r="1073" spans="1:8">
      <c r="A1073" s="4" t="s">
        <v>971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46183.269270833334</v>
      </c>
      <c r="G1073" t="s">
        <v>961</v>
      </c>
      <c r="H1073" t="s">
        <v>657</v>
      </c>
    </row>
    <row r="1074" spans="1:8">
      <c r="A1074" s="3" t="s">
        <v>972</v>
      </c>
      <c r="B1074" s="1" t="s">
        <v>6</v>
      </c>
      <c r="C1074" s="1" t="s">
        <v>6</v>
      </c>
      <c r="D1074" s="3" t="s">
        <v>7</v>
      </c>
      <c r="E1074" s="1" t="s">
        <v>8</v>
      </c>
      <c r="F1074" s="5">
        <v>46183.268761574072</v>
      </c>
      <c r="G1074" t="s">
        <v>961</v>
      </c>
      <c r="H1074" t="s">
        <v>657</v>
      </c>
    </row>
    <row r="1075" spans="1:8">
      <c r="A1075" s="4" t="s">
        <v>973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46179.498564814814</v>
      </c>
      <c r="G1075" t="s">
        <v>961</v>
      </c>
      <c r="H1075" t="s">
        <v>657</v>
      </c>
    </row>
    <row r="1076" spans="1:8">
      <c r="A1076" s="3" t="s">
        <v>974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46196.64334490741</v>
      </c>
      <c r="G1076" t="s">
        <v>961</v>
      </c>
      <c r="H1076" t="s">
        <v>657</v>
      </c>
    </row>
    <row r="1077" spans="1:8">
      <c r="A1077" s="4" t="s">
        <v>975</v>
      </c>
      <c r="B1077" s="2" t="s">
        <v>6</v>
      </c>
      <c r="C1077" s="2" t="s">
        <v>6</v>
      </c>
      <c r="D1077" s="4" t="s">
        <v>7</v>
      </c>
      <c r="E1077" s="2" t="s">
        <v>8</v>
      </c>
      <c r="F1077" s="6">
        <v>46183.269097222219</v>
      </c>
      <c r="G1077" t="s">
        <v>961</v>
      </c>
      <c r="H1077" t="s">
        <v>657</v>
      </c>
    </row>
    <row r="1078" spans="1:8">
      <c r="A1078" s="3" t="s">
        <v>976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46183.593634259261</v>
      </c>
      <c r="G1078" t="s">
        <v>961</v>
      </c>
      <c r="H1078" t="s">
        <v>657</v>
      </c>
    </row>
    <row r="1079" spans="1:8">
      <c r="A1079" s="4" t="s">
        <v>977</v>
      </c>
      <c r="B1079" s="2" t="s">
        <v>6</v>
      </c>
      <c r="C1079" s="2" t="s">
        <v>6</v>
      </c>
      <c r="D1079" s="4" t="s">
        <v>7</v>
      </c>
      <c r="E1079" s="2" t="s">
        <v>8</v>
      </c>
      <c r="F1079" s="6">
        <v>46183.448877314811</v>
      </c>
      <c r="G1079" t="s">
        <v>961</v>
      </c>
      <c r="H1079" t="s">
        <v>657</v>
      </c>
    </row>
    <row r="1080" spans="1:8">
      <c r="A1080" s="3" t="s">
        <v>978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46189.471412037034</v>
      </c>
      <c r="G1080" t="s">
        <v>961</v>
      </c>
      <c r="H1080" t="s">
        <v>657</v>
      </c>
    </row>
    <row r="1081" spans="1:8">
      <c r="A1081" s="4" t="s">
        <v>979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46184.590231481481</v>
      </c>
      <c r="G1081" t="s">
        <v>961</v>
      </c>
      <c r="H1081" t="s">
        <v>657</v>
      </c>
    </row>
    <row r="1082" spans="1:8">
      <c r="A1082" s="3" t="s">
        <v>980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46196.555497685185</v>
      </c>
      <c r="G1082" t="s">
        <v>961</v>
      </c>
      <c r="H1082" t="s">
        <v>657</v>
      </c>
    </row>
    <row r="1083" spans="1:8">
      <c r="A1083" s="4" t="s">
        <v>981</v>
      </c>
      <c r="B1083" s="2" t="s">
        <v>12</v>
      </c>
      <c r="C1083" s="2" t="s">
        <v>13</v>
      </c>
      <c r="D1083" s="4" t="s">
        <v>7</v>
      </c>
      <c r="E1083" s="2" t="s">
        <v>14</v>
      </c>
      <c r="F1083" s="6">
        <v>46192.276620370372</v>
      </c>
      <c r="G1083" t="s">
        <v>961</v>
      </c>
      <c r="H1083" t="s">
        <v>657</v>
      </c>
    </row>
    <row r="1084" spans="1:8">
      <c r="A1084" s="3" t="s">
        <v>982</v>
      </c>
      <c r="B1084" s="1" t="s">
        <v>6</v>
      </c>
      <c r="C1084" s="1" t="s">
        <v>6</v>
      </c>
      <c r="D1084" s="3" t="s">
        <v>7</v>
      </c>
      <c r="E1084" s="1" t="s">
        <v>8</v>
      </c>
      <c r="F1084" s="5">
        <v>46197.562662037039</v>
      </c>
      <c r="G1084" t="s">
        <v>961</v>
      </c>
      <c r="H1084" t="s">
        <v>657</v>
      </c>
    </row>
    <row r="1085" spans="1:8">
      <c r="A1085" s="4" t="s">
        <v>983</v>
      </c>
      <c r="B1085" s="2" t="s">
        <v>6</v>
      </c>
      <c r="C1085" s="2" t="s">
        <v>6</v>
      </c>
      <c r="D1085" s="4" t="s">
        <v>7</v>
      </c>
      <c r="E1085" s="2" t="s">
        <v>8</v>
      </c>
      <c r="F1085" s="6">
        <v>46189.471331018518</v>
      </c>
      <c r="G1085" t="s">
        <v>961</v>
      </c>
      <c r="H1085" t="s">
        <v>657</v>
      </c>
    </row>
    <row r="1086" spans="1:8">
      <c r="A1086" s="3" t="s">
        <v>984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46181.712523148148</v>
      </c>
      <c r="G1086" t="s">
        <v>961</v>
      </c>
      <c r="H1086" t="s">
        <v>657</v>
      </c>
    </row>
    <row r="1087" spans="1:8">
      <c r="A1087" s="4" t="s">
        <v>985</v>
      </c>
      <c r="B1087" s="2" t="s">
        <v>6</v>
      </c>
      <c r="C1087" s="2" t="s">
        <v>6</v>
      </c>
      <c r="D1087" s="4" t="s">
        <v>7</v>
      </c>
      <c r="E1087" s="2" t="s">
        <v>8</v>
      </c>
      <c r="F1087" s="6">
        <v>46179.499016203707</v>
      </c>
      <c r="G1087" t="s">
        <v>961</v>
      </c>
      <c r="H1087" t="s">
        <v>657</v>
      </c>
    </row>
    <row r="1088" spans="1:8">
      <c r="A1088" s="3" t="s">
        <v>986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46183.44872685185</v>
      </c>
      <c r="G1088" t="s">
        <v>961</v>
      </c>
      <c r="H1088" t="s">
        <v>657</v>
      </c>
    </row>
    <row r="1089" spans="1:8">
      <c r="A1089" s="4" t="s">
        <v>987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46183.448541666665</v>
      </c>
      <c r="G1089" t="s">
        <v>961</v>
      </c>
      <c r="H1089" t="s">
        <v>657</v>
      </c>
    </row>
    <row r="1090" spans="1:8">
      <c r="A1090" s="3" t="s">
        <v>988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46190.448865740742</v>
      </c>
      <c r="G1090" t="s">
        <v>961</v>
      </c>
      <c r="H1090" t="s">
        <v>657</v>
      </c>
    </row>
    <row r="1091" spans="1:8">
      <c r="A1091" s="4" t="s">
        <v>989</v>
      </c>
      <c r="B1091" s="2" t="s">
        <v>9</v>
      </c>
      <c r="C1091" s="2" t="s">
        <v>10</v>
      </c>
      <c r="D1091" s="4" t="s">
        <v>7</v>
      </c>
      <c r="E1091" s="2" t="s">
        <v>11</v>
      </c>
      <c r="F1091" s="6">
        <v>46190.254849537036</v>
      </c>
      <c r="G1091" t="s">
        <v>961</v>
      </c>
      <c r="H1091" t="s">
        <v>657</v>
      </c>
    </row>
    <row r="1092" spans="1:8">
      <c r="A1092" s="3" t="s">
        <v>990</v>
      </c>
      <c r="B1092" s="1" t="s">
        <v>6</v>
      </c>
      <c r="C1092" s="1" t="s">
        <v>6</v>
      </c>
      <c r="D1092" s="3" t="s">
        <v>7</v>
      </c>
      <c r="E1092" s="1" t="s">
        <v>8</v>
      </c>
      <c r="F1092" s="5">
        <v>46183.447766203702</v>
      </c>
      <c r="G1092" t="s">
        <v>961</v>
      </c>
      <c r="H1092" t="s">
        <v>657</v>
      </c>
    </row>
    <row r="1093" spans="1:8">
      <c r="A1093" s="4" t="s">
        <v>991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46190.487025462964</v>
      </c>
      <c r="G1093" t="s">
        <v>961</v>
      </c>
      <c r="H1093" t="s">
        <v>657</v>
      </c>
    </row>
    <row r="1094" spans="1:8">
      <c r="A1094" s="3" t="s">
        <v>992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46184.286215277774</v>
      </c>
      <c r="G1094" t="s">
        <v>961</v>
      </c>
      <c r="H1094" t="s">
        <v>657</v>
      </c>
    </row>
    <row r="1095" spans="1:8">
      <c r="A1095" s="4" t="s">
        <v>993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46184.332037037035</v>
      </c>
      <c r="G1095" t="s">
        <v>961</v>
      </c>
      <c r="H1095" t="s">
        <v>657</v>
      </c>
    </row>
    <row r="1096" spans="1:8">
      <c r="A1096" s="3" t="s">
        <v>994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46181.712025462963</v>
      </c>
      <c r="G1096" t="s">
        <v>961</v>
      </c>
      <c r="H1096" t="s">
        <v>657</v>
      </c>
    </row>
    <row r="1097" spans="1:8">
      <c r="A1097" s="4" t="s">
        <v>995</v>
      </c>
      <c r="B1097" s="2" t="s">
        <v>6</v>
      </c>
      <c r="C1097" s="2" t="s">
        <v>6</v>
      </c>
      <c r="D1097" s="4" t="s">
        <v>7</v>
      </c>
      <c r="E1097" s="2" t="s">
        <v>8</v>
      </c>
      <c r="F1097" s="6">
        <v>46190.448796296296</v>
      </c>
      <c r="G1097" t="s">
        <v>961</v>
      </c>
      <c r="H1097" t="s">
        <v>657</v>
      </c>
    </row>
    <row r="1098" spans="1:8">
      <c r="A1098" s="3" t="s">
        <v>996</v>
      </c>
      <c r="B1098" s="1" t="s">
        <v>6</v>
      </c>
      <c r="C1098" s="1" t="s">
        <v>6</v>
      </c>
      <c r="D1098" s="3" t="s">
        <v>7</v>
      </c>
      <c r="E1098" s="1" t="s">
        <v>8</v>
      </c>
      <c r="F1098" s="5">
        <v>46197.559560185182</v>
      </c>
      <c r="G1098" t="s">
        <v>961</v>
      </c>
      <c r="H1098" t="s">
        <v>657</v>
      </c>
    </row>
    <row r="1099" spans="1:8">
      <c r="A1099" s="4" t="s">
        <v>997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46183.718414351853</v>
      </c>
      <c r="G1099" t="s">
        <v>961</v>
      </c>
      <c r="H1099" t="s">
        <v>657</v>
      </c>
    </row>
    <row r="1100" spans="1:8">
      <c r="A1100" s="3" t="s">
        <v>998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46197.562604166669</v>
      </c>
      <c r="G1100" t="s">
        <v>961</v>
      </c>
      <c r="H1100" t="s">
        <v>657</v>
      </c>
    </row>
    <row r="1101" spans="1:8">
      <c r="A1101" s="4" t="s">
        <v>999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46184.285879629628</v>
      </c>
      <c r="G1101" t="s">
        <v>961</v>
      </c>
      <c r="H1101" t="s">
        <v>657</v>
      </c>
    </row>
    <row r="1102" spans="1:8">
      <c r="A1102" s="3" t="s">
        <v>1000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46183.717650462961</v>
      </c>
      <c r="G1102" t="s">
        <v>961</v>
      </c>
      <c r="H1102" t="s">
        <v>657</v>
      </c>
    </row>
    <row r="1103" spans="1:8">
      <c r="A1103" s="4" t="s">
        <v>1001</v>
      </c>
      <c r="B1103" s="2" t="s">
        <v>650</v>
      </c>
      <c r="C1103" s="2" t="s">
        <v>651</v>
      </c>
      <c r="D1103" s="4" t="s">
        <v>7</v>
      </c>
      <c r="E1103" s="2" t="s">
        <v>647</v>
      </c>
      <c r="F1103" s="6">
        <v>46181.451585648145</v>
      </c>
      <c r="G1103" t="s">
        <v>961</v>
      </c>
      <c r="H1103" t="s">
        <v>657</v>
      </c>
    </row>
    <row r="1104" spans="1:8">
      <c r="A1104" s="3" t="s">
        <v>1002</v>
      </c>
      <c r="B1104" s="1" t="s">
        <v>98</v>
      </c>
      <c r="C1104" s="1" t="s">
        <v>99</v>
      </c>
      <c r="D1104" s="3" t="s">
        <v>7</v>
      </c>
      <c r="E1104" s="1" t="s">
        <v>100</v>
      </c>
      <c r="F1104" s="5">
        <v>46195.551087962966</v>
      </c>
      <c r="G1104" t="s">
        <v>961</v>
      </c>
      <c r="H1104" t="s">
        <v>657</v>
      </c>
    </row>
    <row r="1105" spans="1:8">
      <c r="A1105" s="4" t="s">
        <v>1003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46196.643368055556</v>
      </c>
      <c r="G1105" t="s">
        <v>961</v>
      </c>
      <c r="H1105" t="s">
        <v>657</v>
      </c>
    </row>
    <row r="1106" spans="1:8">
      <c r="A1106" s="3" t="s">
        <v>1004</v>
      </c>
      <c r="B1106" s="1" t="s">
        <v>9</v>
      </c>
      <c r="C1106" s="1" t="s">
        <v>10</v>
      </c>
      <c r="D1106" s="3" t="s">
        <v>7</v>
      </c>
      <c r="E1106" s="1" t="s">
        <v>11</v>
      </c>
      <c r="F1106" s="5">
        <v>46191.816446759258</v>
      </c>
      <c r="G1106" t="s">
        <v>961</v>
      </c>
      <c r="H1106" t="s">
        <v>657</v>
      </c>
    </row>
    <row r="1107" spans="1:8">
      <c r="A1107" s="4" t="s">
        <v>1005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46184.286458333336</v>
      </c>
      <c r="G1107" t="s">
        <v>961</v>
      </c>
      <c r="H1107" t="s">
        <v>657</v>
      </c>
    </row>
    <row r="1108" spans="1:8">
      <c r="A1108" s="3" t="s">
        <v>1006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46189.573888888888</v>
      </c>
      <c r="G1108" t="s">
        <v>961</v>
      </c>
      <c r="H1108" t="s">
        <v>657</v>
      </c>
    </row>
    <row r="1109" spans="1:8">
      <c r="A1109" s="4" t="s">
        <v>1007</v>
      </c>
      <c r="B1109" s="2" t="s">
        <v>6</v>
      </c>
      <c r="C1109" s="2" t="s">
        <v>6</v>
      </c>
      <c r="D1109" s="4" t="s">
        <v>7</v>
      </c>
      <c r="E1109" s="2" t="s">
        <v>8</v>
      </c>
      <c r="F1109" s="6">
        <v>46181.551863425928</v>
      </c>
      <c r="G1109" t="s">
        <v>961</v>
      </c>
      <c r="H1109" t="s">
        <v>657</v>
      </c>
    </row>
    <row r="1110" spans="1:8">
      <c r="A1110" s="3" t="s">
        <v>1008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46196.555451388886</v>
      </c>
      <c r="G1110" t="s">
        <v>961</v>
      </c>
      <c r="H1110" t="s">
        <v>657</v>
      </c>
    </row>
    <row r="1111" spans="1:8">
      <c r="A1111" s="4" t="s">
        <v>1009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46188.599004629628</v>
      </c>
      <c r="G1111" t="s">
        <v>961</v>
      </c>
      <c r="H1111" t="s">
        <v>657</v>
      </c>
    </row>
    <row r="1112" spans="1:8">
      <c r="A1112" s="3" t="s">
        <v>1010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46181.551342592589</v>
      </c>
      <c r="G1112" t="s">
        <v>961</v>
      </c>
      <c r="H1112" t="s">
        <v>657</v>
      </c>
    </row>
    <row r="1113" spans="1:8">
      <c r="A1113" s="4" t="s">
        <v>1011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46181.551018518519</v>
      </c>
      <c r="G1113" t="s">
        <v>961</v>
      </c>
      <c r="H1113" t="s">
        <v>657</v>
      </c>
    </row>
    <row r="1114" spans="1:8">
      <c r="A1114" s="3" t="s">
        <v>1012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46183.592569444445</v>
      </c>
      <c r="G1114" t="s">
        <v>961</v>
      </c>
      <c r="H1114" t="s">
        <v>657</v>
      </c>
    </row>
    <row r="1115" spans="1:8">
      <c r="A1115" s="4" t="s">
        <v>1013</v>
      </c>
      <c r="B1115" s="2" t="s">
        <v>6</v>
      </c>
      <c r="C1115" s="2" t="s">
        <v>6</v>
      </c>
      <c r="D1115" s="4" t="s">
        <v>7</v>
      </c>
      <c r="E1115" s="2" t="s">
        <v>8</v>
      </c>
      <c r="F1115" s="6">
        <v>46197.562777777777</v>
      </c>
      <c r="G1115" t="s">
        <v>961</v>
      </c>
      <c r="H1115" t="s">
        <v>657</v>
      </c>
    </row>
    <row r="1116" spans="1:8">
      <c r="A1116" s="3" t="s">
        <v>1014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46184.59033564815</v>
      </c>
      <c r="G1116" t="s">
        <v>961</v>
      </c>
      <c r="H1116" t="s">
        <v>657</v>
      </c>
    </row>
    <row r="1117" spans="1:8">
      <c r="A1117" s="4" t="s">
        <v>1015</v>
      </c>
      <c r="B1117" s="2" t="s">
        <v>9</v>
      </c>
      <c r="C1117" s="2" t="s">
        <v>10</v>
      </c>
      <c r="D1117" s="4" t="s">
        <v>7</v>
      </c>
      <c r="E1117" s="2" t="s">
        <v>11</v>
      </c>
      <c r="F1117" s="6">
        <v>46191.841249999998</v>
      </c>
      <c r="G1117" t="s">
        <v>961</v>
      </c>
      <c r="H1117" t="s">
        <v>657</v>
      </c>
    </row>
    <row r="1118" spans="1:8">
      <c r="A1118" s="3" t="s">
        <v>1016</v>
      </c>
      <c r="B1118" s="1" t="s">
        <v>6</v>
      </c>
      <c r="C1118" s="1" t="s">
        <v>6</v>
      </c>
      <c r="D1118" s="3" t="s">
        <v>7</v>
      </c>
      <c r="E1118" s="1" t="s">
        <v>8</v>
      </c>
      <c r="F1118" s="5">
        <v>46184.332245370373</v>
      </c>
      <c r="G1118" t="s">
        <v>961</v>
      </c>
      <c r="H1118" t="s">
        <v>657</v>
      </c>
    </row>
    <row r="1119" spans="1:8">
      <c r="A1119" s="4" t="s">
        <v>1017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46188.599131944444</v>
      </c>
      <c r="G1119" t="s">
        <v>961</v>
      </c>
      <c r="H1119" t="s">
        <v>657</v>
      </c>
    </row>
    <row r="1120" spans="1:8">
      <c r="A1120" s="3" t="s">
        <v>1018</v>
      </c>
      <c r="B1120" s="1" t="s">
        <v>275</v>
      </c>
      <c r="C1120" s="1" t="s">
        <v>276</v>
      </c>
      <c r="D1120" s="3" t="s">
        <v>7</v>
      </c>
      <c r="E1120" s="1" t="s">
        <v>277</v>
      </c>
      <c r="F1120" s="5">
        <v>46191.82540509259</v>
      </c>
      <c r="G1120" t="s">
        <v>961</v>
      </c>
      <c r="H1120" t="s">
        <v>657</v>
      </c>
    </row>
    <row r="1121" spans="1:8">
      <c r="A1121" s="4" t="s">
        <v>1019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46189.549340277779</v>
      </c>
      <c r="G1121" t="s">
        <v>961</v>
      </c>
      <c r="H1121" t="s">
        <v>657</v>
      </c>
    </row>
    <row r="1122" spans="1:8">
      <c r="A1122" s="3" t="s">
        <v>1020</v>
      </c>
      <c r="B1122" s="1" t="s">
        <v>275</v>
      </c>
      <c r="C1122" s="1" t="s">
        <v>276</v>
      </c>
      <c r="D1122" s="3" t="s">
        <v>7</v>
      </c>
      <c r="E1122" s="1" t="s">
        <v>277</v>
      </c>
      <c r="F1122" s="5">
        <v>46191.857569444444</v>
      </c>
      <c r="G1122" t="s">
        <v>961</v>
      </c>
      <c r="H1122" t="s">
        <v>657</v>
      </c>
    </row>
    <row r="1123" spans="1:8">
      <c r="A1123" s="4" t="s">
        <v>1021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46196.64340277778</v>
      </c>
      <c r="G1123" t="s">
        <v>961</v>
      </c>
      <c r="H1123" t="s">
        <v>657</v>
      </c>
    </row>
    <row r="1124" spans="1:8">
      <c r="A1124" s="3" t="s">
        <v>1022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46192.582974537036</v>
      </c>
      <c r="G1124" t="s">
        <v>961</v>
      </c>
      <c r="H1124" t="s">
        <v>657</v>
      </c>
    </row>
    <row r="1125" spans="1:8">
      <c r="A1125" s="4" t="s">
        <v>1023</v>
      </c>
      <c r="B1125" s="2" t="s">
        <v>275</v>
      </c>
      <c r="C1125" s="2" t="s">
        <v>276</v>
      </c>
      <c r="D1125" s="4" t="s">
        <v>7</v>
      </c>
      <c r="E1125" s="2" t="s">
        <v>277</v>
      </c>
      <c r="F1125" s="6">
        <v>46190.420717592591</v>
      </c>
      <c r="G1125" t="s">
        <v>961</v>
      </c>
      <c r="H1125" t="s">
        <v>657</v>
      </c>
    </row>
    <row r="1126" spans="1:8">
      <c r="A1126" s="3" t="s">
        <v>1024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46183.268923611111</v>
      </c>
      <c r="G1126" t="s">
        <v>961</v>
      </c>
      <c r="H1126" t="s">
        <v>657</v>
      </c>
    </row>
    <row r="1127" spans="1:8">
      <c r="A1127" s="4" t="s">
        <v>1025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46189.63925925926</v>
      </c>
      <c r="G1127" t="s">
        <v>961</v>
      </c>
      <c r="H1127" t="s">
        <v>657</v>
      </c>
    </row>
    <row r="1128" spans="1:8">
      <c r="A1128" s="3" t="s">
        <v>1026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46186.469166666669</v>
      </c>
      <c r="G1128" t="s">
        <v>961</v>
      </c>
      <c r="H1128" t="s">
        <v>657</v>
      </c>
    </row>
    <row r="1129" spans="1:8">
      <c r="A1129" s="4" t="s">
        <v>1027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46190.448622685188</v>
      </c>
      <c r="G1129" t="s">
        <v>961</v>
      </c>
      <c r="H1129" t="s">
        <v>657</v>
      </c>
    </row>
    <row r="1130" spans="1:8">
      <c r="A1130" s="3" t="s">
        <v>1028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46189.639374999999</v>
      </c>
      <c r="G1130" t="s">
        <v>961</v>
      </c>
      <c r="H1130" t="s">
        <v>657</v>
      </c>
    </row>
    <row r="1131" spans="1:8">
      <c r="A1131" s="4" t="s">
        <v>1029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46197.559594907405</v>
      </c>
      <c r="G1131" t="s">
        <v>961</v>
      </c>
      <c r="H1131" t="s">
        <v>657</v>
      </c>
    </row>
    <row r="1132" spans="1:8">
      <c r="A1132" s="3" t="s">
        <v>1030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46178.510381944441</v>
      </c>
      <c r="G1132" t="s">
        <v>961</v>
      </c>
      <c r="H1132" t="s">
        <v>657</v>
      </c>
    </row>
    <row r="1133" spans="1:8">
      <c r="A1133" s="4" t="s">
        <v>1031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46179.498124999998</v>
      </c>
      <c r="G1133" t="s">
        <v>961</v>
      </c>
      <c r="H1133" t="s">
        <v>657</v>
      </c>
    </row>
    <row r="1134" spans="1:8">
      <c r="A1134" s="3" t="s">
        <v>1032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46183.5940162037</v>
      </c>
      <c r="G1134" t="s">
        <v>961</v>
      </c>
      <c r="H1134" t="s">
        <v>657</v>
      </c>
    </row>
    <row r="1135" spans="1:8">
      <c r="A1135" s="4" t="s">
        <v>1033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46179.49832175926</v>
      </c>
      <c r="G1135" t="s">
        <v>961</v>
      </c>
      <c r="H1135" t="s">
        <v>657</v>
      </c>
    </row>
    <row r="1136" spans="1:8">
      <c r="A1136" s="3" t="s">
        <v>1034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46178.511145833334</v>
      </c>
      <c r="G1136" t="s">
        <v>961</v>
      </c>
      <c r="H1136" t="s">
        <v>657</v>
      </c>
    </row>
    <row r="1137" spans="1:8">
      <c r="A1137" s="4" t="s">
        <v>1035</v>
      </c>
      <c r="B1137" s="2" t="s">
        <v>9</v>
      </c>
      <c r="C1137" s="2" t="s">
        <v>10</v>
      </c>
      <c r="D1137" s="4" t="s">
        <v>7</v>
      </c>
      <c r="E1137" s="2" t="s">
        <v>11</v>
      </c>
      <c r="F1137" s="6">
        <v>46191.44803240741</v>
      </c>
      <c r="G1137" t="s">
        <v>961</v>
      </c>
      <c r="H1137" t="s">
        <v>657</v>
      </c>
    </row>
    <row r="1138" spans="1:8">
      <c r="A1138" s="3" t="s">
        <v>1036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46178.510775462964</v>
      </c>
      <c r="G1138" t="s">
        <v>961</v>
      </c>
      <c r="H1138" t="s">
        <v>657</v>
      </c>
    </row>
    <row r="1139" spans="1:8">
      <c r="A1139" s="4" t="s">
        <v>1037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46184.590324074074</v>
      </c>
      <c r="G1139" t="s">
        <v>961</v>
      </c>
      <c r="H1139" t="s">
        <v>657</v>
      </c>
    </row>
    <row r="1140" spans="1:8">
      <c r="A1140" s="3" t="s">
        <v>1038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46192.503460648149</v>
      </c>
      <c r="G1140" t="s">
        <v>961</v>
      </c>
      <c r="H1140" t="s">
        <v>657</v>
      </c>
    </row>
    <row r="1141" spans="1:8">
      <c r="A1141" s="4" t="s">
        <v>1039</v>
      </c>
      <c r="B1141" s="2" t="s">
        <v>275</v>
      </c>
      <c r="C1141" s="2" t="s">
        <v>276</v>
      </c>
      <c r="D1141" s="4" t="s">
        <v>7</v>
      </c>
      <c r="E1141" s="2" t="s">
        <v>277</v>
      </c>
      <c r="F1141" s="6">
        <v>46184.671134259261</v>
      </c>
      <c r="G1141" t="s">
        <v>961</v>
      </c>
      <c r="H1141" t="s">
        <v>657</v>
      </c>
    </row>
    <row r="1142" spans="1:8">
      <c r="A1142" s="3" t="s">
        <v>1040</v>
      </c>
      <c r="B1142" s="1" t="s">
        <v>275</v>
      </c>
      <c r="C1142" s="1" t="s">
        <v>276</v>
      </c>
      <c r="D1142" s="3" t="s">
        <v>7</v>
      </c>
      <c r="E1142" s="1" t="s">
        <v>277</v>
      </c>
      <c r="F1142" s="5">
        <v>46178.490925925929</v>
      </c>
      <c r="G1142" t="s">
        <v>961</v>
      </c>
      <c r="H1142" t="s">
        <v>657</v>
      </c>
    </row>
    <row r="1143" spans="1:8">
      <c r="A1143" s="4" t="s">
        <v>1041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46196.643379629626</v>
      </c>
      <c r="G1143" t="s">
        <v>961</v>
      </c>
      <c r="H1143" t="s">
        <v>657</v>
      </c>
    </row>
    <row r="1144" spans="1:8">
      <c r="A1144" s="3" t="s">
        <v>1042</v>
      </c>
      <c r="B1144" s="1" t="s">
        <v>9</v>
      </c>
      <c r="C1144" s="1" t="s">
        <v>10</v>
      </c>
      <c r="D1144" s="3" t="s">
        <v>7</v>
      </c>
      <c r="E1144" s="1" t="s">
        <v>11</v>
      </c>
      <c r="F1144" s="5">
        <v>46192.334675925929</v>
      </c>
      <c r="G1144" t="s">
        <v>961</v>
      </c>
      <c r="H1144" t="s">
        <v>657</v>
      </c>
    </row>
    <row r="1145" spans="1:8">
      <c r="A1145" s="4" t="s">
        <v>1043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46197.562592592592</v>
      </c>
      <c r="G1145" t="s">
        <v>961</v>
      </c>
      <c r="H1145" t="s">
        <v>657</v>
      </c>
    </row>
    <row r="1146" spans="1:8">
      <c r="A1146" s="3" t="s">
        <v>1044</v>
      </c>
      <c r="B1146" s="1" t="s">
        <v>9</v>
      </c>
      <c r="C1146" s="1" t="s">
        <v>10</v>
      </c>
      <c r="D1146" s="3" t="s">
        <v>7</v>
      </c>
      <c r="E1146" s="1" t="s">
        <v>11</v>
      </c>
      <c r="F1146" s="5">
        <v>46191.456608796296</v>
      </c>
      <c r="G1146" t="s">
        <v>961</v>
      </c>
      <c r="H1146" t="s">
        <v>657</v>
      </c>
    </row>
    <row r="1147" spans="1:8">
      <c r="A1147" s="4" t="s">
        <v>1045</v>
      </c>
      <c r="B1147" s="2" t="s">
        <v>6</v>
      </c>
      <c r="C1147" s="2" t="s">
        <v>6</v>
      </c>
      <c r="D1147" s="4" t="s">
        <v>7</v>
      </c>
      <c r="E1147" s="2" t="s">
        <v>8</v>
      </c>
      <c r="F1147" s="6">
        <v>46190.44871527778</v>
      </c>
      <c r="G1147" t="s">
        <v>961</v>
      </c>
      <c r="H1147" t="s">
        <v>657</v>
      </c>
    </row>
    <row r="1148" spans="1:8">
      <c r="A1148" s="3" t="s">
        <v>1046</v>
      </c>
      <c r="B1148" s="1" t="s">
        <v>6</v>
      </c>
      <c r="C1148" s="1" t="s">
        <v>6</v>
      </c>
      <c r="D1148" s="3" t="s">
        <v>7</v>
      </c>
      <c r="E1148" s="1" t="s">
        <v>8</v>
      </c>
      <c r="F1148" s="5">
        <v>46190.48715277778</v>
      </c>
      <c r="G1148" t="s">
        <v>961</v>
      </c>
      <c r="H1148" t="s">
        <v>657</v>
      </c>
    </row>
    <row r="1149" spans="1:8">
      <c r="A1149" s="4" t="s">
        <v>1047</v>
      </c>
      <c r="B1149" s="2" t="s">
        <v>275</v>
      </c>
      <c r="C1149" s="2" t="s">
        <v>276</v>
      </c>
      <c r="D1149" s="4" t="s">
        <v>7</v>
      </c>
      <c r="E1149" s="2" t="s">
        <v>277</v>
      </c>
      <c r="F1149" s="6">
        <v>46191.827349537038</v>
      </c>
      <c r="G1149" t="s">
        <v>961</v>
      </c>
      <c r="H1149" t="s">
        <v>657</v>
      </c>
    </row>
    <row r="1150" spans="1:8">
      <c r="A1150" s="3" t="s">
        <v>1048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46184.285601851851</v>
      </c>
      <c r="G1150" t="s">
        <v>961</v>
      </c>
      <c r="H1150" t="s">
        <v>657</v>
      </c>
    </row>
    <row r="1151" spans="1:8">
      <c r="A1151" s="4" t="s">
        <v>1049</v>
      </c>
      <c r="B1151" s="2" t="s">
        <v>9</v>
      </c>
      <c r="C1151" s="2" t="s">
        <v>10</v>
      </c>
      <c r="D1151" s="4" t="s">
        <v>7</v>
      </c>
      <c r="E1151" s="2" t="s">
        <v>11</v>
      </c>
      <c r="F1151" s="6">
        <v>46191.440393518518</v>
      </c>
      <c r="G1151" t="s">
        <v>961</v>
      </c>
      <c r="H1151" t="s">
        <v>657</v>
      </c>
    </row>
    <row r="1152" spans="1:8">
      <c r="A1152" s="3" t="s">
        <v>1050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46183.593229166669</v>
      </c>
      <c r="G1152" t="s">
        <v>961</v>
      </c>
      <c r="H1152" t="s">
        <v>657</v>
      </c>
    </row>
    <row r="1153" spans="1:8">
      <c r="A1153" s="4" t="s">
        <v>1051</v>
      </c>
      <c r="B1153" s="2" t="s">
        <v>9</v>
      </c>
      <c r="C1153" s="2" t="s">
        <v>10</v>
      </c>
      <c r="D1153" s="4" t="s">
        <v>7</v>
      </c>
      <c r="E1153" s="2" t="s">
        <v>11</v>
      </c>
      <c r="F1153" s="6">
        <v>46191.436585648145</v>
      </c>
      <c r="G1153" t="s">
        <v>961</v>
      </c>
      <c r="H1153" t="s">
        <v>657</v>
      </c>
    </row>
    <row r="1154" spans="1:8">
      <c r="A1154" s="3" t="s">
        <v>1052</v>
      </c>
      <c r="B1154" s="1" t="s">
        <v>9</v>
      </c>
      <c r="C1154" s="1" t="s">
        <v>10</v>
      </c>
      <c r="D1154" s="3" t="s">
        <v>7</v>
      </c>
      <c r="E1154" s="1" t="s">
        <v>11</v>
      </c>
      <c r="F1154" s="5">
        <v>46191.455347222225</v>
      </c>
      <c r="G1154" t="s">
        <v>961</v>
      </c>
      <c r="H1154" t="s">
        <v>657</v>
      </c>
    </row>
    <row r="1155" spans="1:8">
      <c r="A1155" s="4" t="s">
        <v>1053</v>
      </c>
      <c r="B1155" s="2" t="s">
        <v>275</v>
      </c>
      <c r="C1155" s="2" t="s">
        <v>276</v>
      </c>
      <c r="D1155" s="4" t="s">
        <v>7</v>
      </c>
      <c r="E1155" s="2" t="s">
        <v>277</v>
      </c>
      <c r="F1155" s="6">
        <v>46191.903854166667</v>
      </c>
      <c r="G1155" t="s">
        <v>961</v>
      </c>
      <c r="H1155" t="s">
        <v>657</v>
      </c>
    </row>
    <row r="1156" spans="1:8">
      <c r="A1156" s="3" t="s">
        <v>1054</v>
      </c>
      <c r="B1156" s="1" t="s">
        <v>9</v>
      </c>
      <c r="C1156" s="1" t="s">
        <v>10</v>
      </c>
      <c r="D1156" s="3" t="s">
        <v>7</v>
      </c>
      <c r="E1156" s="1" t="s">
        <v>11</v>
      </c>
      <c r="F1156" s="5">
        <v>46190.341203703705</v>
      </c>
      <c r="G1156" t="s">
        <v>961</v>
      </c>
      <c r="H1156" t="s">
        <v>657</v>
      </c>
    </row>
    <row r="1157" spans="1:8">
      <c r="A1157" s="4" t="s">
        <v>1055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46192.503310185188</v>
      </c>
      <c r="G1157" t="s">
        <v>961</v>
      </c>
      <c r="H1157" t="s">
        <v>657</v>
      </c>
    </row>
    <row r="1158" spans="1:8">
      <c r="A1158" s="3" t="s">
        <v>1056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46192.503541666665</v>
      </c>
      <c r="G1158" t="s">
        <v>961</v>
      </c>
      <c r="H1158" t="s">
        <v>657</v>
      </c>
    </row>
    <row r="1159" spans="1:8">
      <c r="A1159" s="4" t="s">
        <v>1057</v>
      </c>
      <c r="B1159" s="2" t="s">
        <v>9</v>
      </c>
      <c r="C1159" s="2" t="s">
        <v>10</v>
      </c>
      <c r="D1159" s="4" t="s">
        <v>7</v>
      </c>
      <c r="E1159" s="2" t="s">
        <v>11</v>
      </c>
      <c r="F1159" s="6">
        <v>46191.808391203704</v>
      </c>
      <c r="G1159" t="s">
        <v>961</v>
      </c>
      <c r="H1159" t="s">
        <v>657</v>
      </c>
    </row>
    <row r="1160" spans="1:8">
      <c r="A1160" s="3" t="s">
        <v>1058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46190.587997685187</v>
      </c>
      <c r="G1160" t="s">
        <v>961</v>
      </c>
      <c r="H1160" t="s">
        <v>657</v>
      </c>
    </row>
    <row r="1161" spans="1:8">
      <c r="A1161" s="4" t="s">
        <v>1059</v>
      </c>
      <c r="B1161" s="2" t="s">
        <v>6</v>
      </c>
      <c r="C1161" s="2" t="s">
        <v>6</v>
      </c>
      <c r="D1161" s="4" t="s">
        <v>7</v>
      </c>
      <c r="E1161" s="2" t="s">
        <v>8</v>
      </c>
      <c r="F1161" s="6">
        <v>46186.469409722224</v>
      </c>
      <c r="G1161" t="s">
        <v>961</v>
      </c>
      <c r="H1161" t="s">
        <v>657</v>
      </c>
    </row>
    <row r="1162" spans="1:8">
      <c r="A1162" s="3" t="s">
        <v>1060</v>
      </c>
      <c r="B1162" s="1" t="s">
        <v>9</v>
      </c>
      <c r="C1162" s="1" t="s">
        <v>10</v>
      </c>
      <c r="D1162" s="3" t="s">
        <v>7</v>
      </c>
      <c r="E1162" s="1" t="s">
        <v>11</v>
      </c>
      <c r="F1162" s="5">
        <v>46189.907395833332</v>
      </c>
      <c r="G1162" t="s">
        <v>961</v>
      </c>
      <c r="H1162" t="s">
        <v>657</v>
      </c>
    </row>
    <row r="1163" spans="1:8">
      <c r="A1163" s="4" t="s">
        <v>1061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46197.522083333337</v>
      </c>
      <c r="G1163" t="s">
        <v>961</v>
      </c>
      <c r="H1163" t="s">
        <v>657</v>
      </c>
    </row>
    <row r="1164" spans="1:8">
      <c r="A1164" s="3" t="s">
        <v>1062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46186.468576388892</v>
      </c>
      <c r="G1164" t="s">
        <v>961</v>
      </c>
      <c r="H1164" t="s">
        <v>657</v>
      </c>
    </row>
    <row r="1165" spans="1:8">
      <c r="A1165" s="4" t="s">
        <v>1063</v>
      </c>
      <c r="B1165" s="2" t="s">
        <v>9</v>
      </c>
      <c r="C1165" s="2" t="s">
        <v>10</v>
      </c>
      <c r="D1165" s="4" t="s">
        <v>7</v>
      </c>
      <c r="E1165" s="2" t="s">
        <v>11</v>
      </c>
      <c r="F1165" s="6">
        <v>46190.324421296296</v>
      </c>
      <c r="G1165" t="s">
        <v>961</v>
      </c>
      <c r="H1165" t="s">
        <v>657</v>
      </c>
    </row>
    <row r="1166" spans="1:8">
      <c r="A1166" s="3" t="s">
        <v>1064</v>
      </c>
      <c r="B1166" s="1" t="s">
        <v>6</v>
      </c>
      <c r="C1166" s="1" t="s">
        <v>6</v>
      </c>
      <c r="D1166" s="3" t="s">
        <v>7</v>
      </c>
      <c r="E1166" s="1" t="s">
        <v>8</v>
      </c>
      <c r="F1166" s="5">
        <v>46190.39565972222</v>
      </c>
      <c r="G1166" t="s">
        <v>961</v>
      </c>
      <c r="H1166" t="s">
        <v>657</v>
      </c>
    </row>
    <row r="1167" spans="1:8">
      <c r="A1167" s="4" t="s">
        <v>1065</v>
      </c>
      <c r="B1167" s="2" t="s">
        <v>9</v>
      </c>
      <c r="C1167" s="2" t="s">
        <v>10</v>
      </c>
      <c r="D1167" s="4" t="s">
        <v>7</v>
      </c>
      <c r="E1167" s="2" t="s">
        <v>11</v>
      </c>
      <c r="F1167" s="6">
        <v>46192.338495370372</v>
      </c>
      <c r="G1167" t="s">
        <v>961</v>
      </c>
      <c r="H1167" t="s">
        <v>657</v>
      </c>
    </row>
    <row r="1168" spans="1:8">
      <c r="A1168" s="3" t="s">
        <v>1066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46186.268113425926</v>
      </c>
      <c r="G1168" t="s">
        <v>961</v>
      </c>
      <c r="H1168" t="s">
        <v>657</v>
      </c>
    </row>
    <row r="1169" spans="1:8">
      <c r="A1169" s="4" t="s">
        <v>1067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46183.717835648145</v>
      </c>
      <c r="G1169" t="s">
        <v>961</v>
      </c>
      <c r="H1169" t="s">
        <v>657</v>
      </c>
    </row>
    <row r="1170" spans="1:8">
      <c r="A1170" s="3" t="s">
        <v>1068</v>
      </c>
      <c r="B1170" s="1" t="s">
        <v>9</v>
      </c>
      <c r="C1170" s="1" t="s">
        <v>10</v>
      </c>
      <c r="D1170" s="3" t="s">
        <v>7</v>
      </c>
      <c r="E1170" s="1" t="s">
        <v>11</v>
      </c>
      <c r="F1170" s="5">
        <v>46197.298217592594</v>
      </c>
      <c r="G1170" t="s">
        <v>961</v>
      </c>
      <c r="H1170" t="s">
        <v>657</v>
      </c>
    </row>
    <row r="1171" spans="1:8">
      <c r="A1171" s="4" t="s">
        <v>1069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46197.522152777776</v>
      </c>
      <c r="G1171" t="s">
        <v>961</v>
      </c>
      <c r="H1171" t="s">
        <v>657</v>
      </c>
    </row>
    <row r="1172" spans="1:8">
      <c r="A1172" s="3" t="s">
        <v>1070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46190.588125000002</v>
      </c>
      <c r="G1172" t="s">
        <v>961</v>
      </c>
      <c r="H1172" t="s">
        <v>657</v>
      </c>
    </row>
    <row r="1173" spans="1:8">
      <c r="A1173" s="4" t="s">
        <v>1071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46186.469664351855</v>
      </c>
      <c r="G1173" t="s">
        <v>961</v>
      </c>
      <c r="H1173" t="s">
        <v>657</v>
      </c>
    </row>
    <row r="1174" spans="1:8">
      <c r="A1174" s="3" t="s">
        <v>1072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46197.559525462966</v>
      </c>
      <c r="G1174" t="s">
        <v>961</v>
      </c>
      <c r="H1174" t="s">
        <v>657</v>
      </c>
    </row>
    <row r="1175" spans="1:8">
      <c r="A1175" s="4" t="s">
        <v>1073</v>
      </c>
      <c r="B1175" s="2" t="s">
        <v>9</v>
      </c>
      <c r="C1175" s="2" t="s">
        <v>10</v>
      </c>
      <c r="D1175" s="4" t="s">
        <v>7</v>
      </c>
      <c r="E1175" s="2" t="s">
        <v>11</v>
      </c>
      <c r="F1175" s="6">
        <v>46191.444108796299</v>
      </c>
      <c r="G1175" t="s">
        <v>961</v>
      </c>
      <c r="H1175" t="s">
        <v>657</v>
      </c>
    </row>
    <row r="1176" spans="1:8">
      <c r="A1176" s="3" t="s">
        <v>1074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46190.395601851851</v>
      </c>
      <c r="G1176" t="s">
        <v>961</v>
      </c>
      <c r="H1176" t="s">
        <v>657</v>
      </c>
    </row>
    <row r="1177" spans="1:8">
      <c r="A1177" s="4" t="s">
        <v>1075</v>
      </c>
      <c r="B1177" s="2" t="s">
        <v>9</v>
      </c>
      <c r="C1177" s="2" t="s">
        <v>10</v>
      </c>
      <c r="D1177" s="4" t="s">
        <v>7</v>
      </c>
      <c r="E1177" s="2" t="s">
        <v>11</v>
      </c>
      <c r="F1177" s="6">
        <v>46189.910532407404</v>
      </c>
      <c r="G1177" t="s">
        <v>961</v>
      </c>
      <c r="H1177" t="s">
        <v>657</v>
      </c>
    </row>
    <row r="1178" spans="1:8">
      <c r="A1178" s="3" t="s">
        <v>1076</v>
      </c>
      <c r="B1178" s="1" t="s">
        <v>6</v>
      </c>
      <c r="C1178" s="1" t="s">
        <v>6</v>
      </c>
      <c r="D1178" s="3" t="s">
        <v>7</v>
      </c>
      <c r="E1178" s="1" t="s">
        <v>8</v>
      </c>
      <c r="F1178" s="5">
        <v>46181.711747685185</v>
      </c>
      <c r="G1178" t="s">
        <v>961</v>
      </c>
      <c r="H1178" t="s">
        <v>657</v>
      </c>
    </row>
    <row r="1179" spans="1:8">
      <c r="A1179" s="4" t="s">
        <v>1077</v>
      </c>
      <c r="B1179" s="2" t="s">
        <v>9</v>
      </c>
      <c r="C1179" s="2" t="s">
        <v>10</v>
      </c>
      <c r="D1179" s="4" t="s">
        <v>7</v>
      </c>
      <c r="E1179" s="2" t="s">
        <v>11</v>
      </c>
      <c r="F1179" s="6">
        <v>46189.909456018519</v>
      </c>
      <c r="G1179" t="s">
        <v>961</v>
      </c>
      <c r="H1179" t="s">
        <v>657</v>
      </c>
    </row>
    <row r="1180" spans="1:8">
      <c r="A1180" s="3" t="s">
        <v>1078</v>
      </c>
      <c r="B1180" s="1" t="s">
        <v>6</v>
      </c>
      <c r="C1180" s="1" t="s">
        <v>6</v>
      </c>
      <c r="D1180" s="3" t="s">
        <v>7</v>
      </c>
      <c r="E1180" s="1" t="s">
        <v>8</v>
      </c>
      <c r="F1180" s="5">
        <v>46189.471273148149</v>
      </c>
      <c r="G1180" t="s">
        <v>961</v>
      </c>
      <c r="H1180" t="s">
        <v>657</v>
      </c>
    </row>
    <row r="1181" spans="1:8">
      <c r="A1181" s="4" t="s">
        <v>1079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46192.503564814811</v>
      </c>
      <c r="G1181" t="s">
        <v>961</v>
      </c>
      <c r="H1181" t="s">
        <v>657</v>
      </c>
    </row>
    <row r="1182" spans="1:8">
      <c r="A1182" s="3" t="s">
        <v>1080</v>
      </c>
      <c r="B1182" s="1" t="s">
        <v>6</v>
      </c>
      <c r="C1182" s="1" t="s">
        <v>6</v>
      </c>
      <c r="D1182" s="3" t="s">
        <v>7</v>
      </c>
      <c r="E1182" s="1" t="s">
        <v>8</v>
      </c>
      <c r="F1182" s="5">
        <v>46188.599328703705</v>
      </c>
      <c r="G1182" t="s">
        <v>961</v>
      </c>
      <c r="H1182" t="s">
        <v>657</v>
      </c>
    </row>
    <row r="1183" spans="1:8">
      <c r="A1183" s="4" t="s">
        <v>1081</v>
      </c>
      <c r="B1183" s="2" t="s">
        <v>12</v>
      </c>
      <c r="C1183" s="2" t="s">
        <v>13</v>
      </c>
      <c r="D1183" s="4" t="s">
        <v>7</v>
      </c>
      <c r="E1183" s="2" t="s">
        <v>14</v>
      </c>
      <c r="F1183" s="6">
        <v>46192.285243055558</v>
      </c>
      <c r="G1183" t="s">
        <v>961</v>
      </c>
      <c r="H1183" t="s">
        <v>657</v>
      </c>
    </row>
    <row r="1184" spans="1:8">
      <c r="A1184" s="3" t="s">
        <v>1082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46192.583055555559</v>
      </c>
      <c r="G1184" t="s">
        <v>961</v>
      </c>
      <c r="H1184" t="s">
        <v>657</v>
      </c>
    </row>
    <row r="1185" spans="1:8">
      <c r="A1185" s="4" t="s">
        <v>1083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46181.552164351851</v>
      </c>
      <c r="G1185" t="s">
        <v>961</v>
      </c>
      <c r="H1185" t="s">
        <v>657</v>
      </c>
    </row>
    <row r="1186" spans="1:8">
      <c r="A1186" s="3" t="s">
        <v>1084</v>
      </c>
      <c r="B1186" s="1" t="s">
        <v>98</v>
      </c>
      <c r="C1186" s="1" t="s">
        <v>99</v>
      </c>
      <c r="D1186" s="3" t="s">
        <v>7</v>
      </c>
      <c r="E1186" s="1" t="s">
        <v>100</v>
      </c>
      <c r="F1186" s="5">
        <v>46195.553993055553</v>
      </c>
      <c r="G1186" t="s">
        <v>961</v>
      </c>
      <c r="H1186" t="s">
        <v>657</v>
      </c>
    </row>
    <row r="1187" spans="1:8">
      <c r="A1187" s="4" t="s">
        <v>1085</v>
      </c>
      <c r="B1187" s="2" t="s">
        <v>98</v>
      </c>
      <c r="C1187" s="2" t="s">
        <v>99</v>
      </c>
      <c r="D1187" s="4" t="s">
        <v>7</v>
      </c>
      <c r="E1187" s="2" t="s">
        <v>100</v>
      </c>
      <c r="F1187" s="6">
        <v>46185.440370370372</v>
      </c>
      <c r="G1187" t="s">
        <v>961</v>
      </c>
      <c r="H1187" t="s">
        <v>657</v>
      </c>
    </row>
    <row r="1188" spans="1:8">
      <c r="A1188" s="3" t="s">
        <v>1086</v>
      </c>
      <c r="B1188" s="1" t="s">
        <v>275</v>
      </c>
      <c r="C1188" s="1" t="s">
        <v>276</v>
      </c>
      <c r="D1188" s="3" t="s">
        <v>7</v>
      </c>
      <c r="E1188" s="1" t="s">
        <v>277</v>
      </c>
      <c r="F1188" s="5">
        <v>46191.831990740742</v>
      </c>
      <c r="G1188" t="s">
        <v>961</v>
      </c>
      <c r="H1188" t="s">
        <v>657</v>
      </c>
    </row>
    <row r="1189" spans="1:8">
      <c r="A1189" s="4" t="s">
        <v>1087</v>
      </c>
      <c r="B1189" s="2" t="s">
        <v>275</v>
      </c>
      <c r="C1189" s="2" t="s">
        <v>276</v>
      </c>
      <c r="D1189" s="4" t="s">
        <v>7</v>
      </c>
      <c r="E1189" s="2" t="s">
        <v>277</v>
      </c>
      <c r="F1189" s="6">
        <v>46191.852395833332</v>
      </c>
      <c r="G1189" t="s">
        <v>961</v>
      </c>
      <c r="H1189" t="s">
        <v>657</v>
      </c>
    </row>
    <row r="1190" spans="1:8">
      <c r="A1190" s="3" t="s">
        <v>1088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46196.555636574078</v>
      </c>
      <c r="G1190" t="s">
        <v>961</v>
      </c>
      <c r="H1190" t="s">
        <v>657</v>
      </c>
    </row>
    <row r="1191" spans="1:8">
      <c r="A1191" s="4" t="s">
        <v>1089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46196.555567129632</v>
      </c>
      <c r="G1191" t="s">
        <v>961</v>
      </c>
      <c r="H1191" t="s">
        <v>657</v>
      </c>
    </row>
    <row r="1192" spans="1:8">
      <c r="A1192" s="3" t="s">
        <v>1090</v>
      </c>
      <c r="B1192" s="1" t="s">
        <v>275</v>
      </c>
      <c r="C1192" s="1" t="s">
        <v>276</v>
      </c>
      <c r="D1192" s="3" t="s">
        <v>7</v>
      </c>
      <c r="E1192" s="1" t="s">
        <v>277</v>
      </c>
      <c r="F1192" s="5">
        <v>46191.828506944446</v>
      </c>
      <c r="G1192" t="s">
        <v>961</v>
      </c>
      <c r="H1192" t="s">
        <v>657</v>
      </c>
    </row>
    <row r="1193" spans="1:8">
      <c r="A1193" s="4" t="s">
        <v>1091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46192.583090277774</v>
      </c>
      <c r="G1193" t="s">
        <v>961</v>
      </c>
      <c r="H1193" t="s">
        <v>657</v>
      </c>
    </row>
    <row r="1194" spans="1:8">
      <c r="A1194" s="3" t="s">
        <v>1092</v>
      </c>
      <c r="B1194" s="1" t="s">
        <v>275</v>
      </c>
      <c r="C1194" s="1" t="s">
        <v>276</v>
      </c>
      <c r="D1194" s="3" t="s">
        <v>7</v>
      </c>
      <c r="E1194" s="1" t="s">
        <v>277</v>
      </c>
      <c r="F1194" s="5">
        <v>46191.836782407408</v>
      </c>
      <c r="G1194" t="s">
        <v>961</v>
      </c>
      <c r="H1194" t="s">
        <v>657</v>
      </c>
    </row>
    <row r="1195" spans="1:8">
      <c r="A1195" s="4" t="s">
        <v>1093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46189.66369212963</v>
      </c>
      <c r="G1195" t="s">
        <v>961</v>
      </c>
      <c r="H1195" t="s">
        <v>657</v>
      </c>
    </row>
    <row r="1196" spans="1:8">
      <c r="A1196" s="3" t="s">
        <v>1094</v>
      </c>
      <c r="B1196" s="1" t="s">
        <v>98</v>
      </c>
      <c r="C1196" s="1" t="s">
        <v>99</v>
      </c>
      <c r="D1196" s="3" t="s">
        <v>7</v>
      </c>
      <c r="E1196" s="1" t="s">
        <v>100</v>
      </c>
      <c r="F1196" s="5">
        <v>46195.554560185185</v>
      </c>
      <c r="G1196" t="s">
        <v>961</v>
      </c>
      <c r="H1196" t="s">
        <v>657</v>
      </c>
    </row>
    <row r="1197" spans="1:8">
      <c r="A1197" s="4" t="s">
        <v>1095</v>
      </c>
      <c r="B1197" s="2" t="s">
        <v>98</v>
      </c>
      <c r="C1197" s="2" t="s">
        <v>99</v>
      </c>
      <c r="D1197" s="4" t="s">
        <v>7</v>
      </c>
      <c r="E1197" s="2" t="s">
        <v>100</v>
      </c>
      <c r="F1197" s="6">
        <v>46195.55810185185</v>
      </c>
      <c r="G1197" t="s">
        <v>961</v>
      </c>
      <c r="H1197" t="s">
        <v>657</v>
      </c>
    </row>
    <row r="1198" spans="1:8">
      <c r="A1198" s="3" t="s">
        <v>1096</v>
      </c>
      <c r="B1198" s="1" t="s">
        <v>98</v>
      </c>
      <c r="C1198" s="1" t="s">
        <v>99</v>
      </c>
      <c r="D1198" s="3" t="s">
        <v>7</v>
      </c>
      <c r="E1198" s="1" t="s">
        <v>100</v>
      </c>
      <c r="F1198" s="5">
        <v>46195.554224537038</v>
      </c>
      <c r="G1198" t="s">
        <v>961</v>
      </c>
      <c r="H1198" t="s">
        <v>657</v>
      </c>
    </row>
    <row r="1199" spans="1:8">
      <c r="A1199" s="4" t="s">
        <v>1097</v>
      </c>
      <c r="B1199" s="2" t="s">
        <v>6</v>
      </c>
      <c r="C1199" s="2" t="s">
        <v>6</v>
      </c>
      <c r="D1199" s="4" t="s">
        <v>7</v>
      </c>
      <c r="E1199" s="2" t="s">
        <v>8</v>
      </c>
      <c r="F1199" s="6">
        <v>46197.522314814814</v>
      </c>
      <c r="G1199" t="s">
        <v>961</v>
      </c>
      <c r="H1199" t="s">
        <v>657</v>
      </c>
    </row>
    <row r="1200" spans="1:8">
      <c r="A1200" s="3" t="s">
        <v>1098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46190.587743055556</v>
      </c>
      <c r="G1200" t="s">
        <v>961</v>
      </c>
      <c r="H1200" t="s">
        <v>657</v>
      </c>
    </row>
    <row r="1201" spans="1:8">
      <c r="A1201" s="4" t="s">
        <v>1099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46190.487060185187</v>
      </c>
      <c r="G1201" t="s">
        <v>961</v>
      </c>
      <c r="H1201" t="s">
        <v>657</v>
      </c>
    </row>
    <row r="1202" spans="1:8">
      <c r="A1202" s="3" t="s">
        <v>1100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46197.522037037037</v>
      </c>
      <c r="G1202" t="s">
        <v>961</v>
      </c>
      <c r="H1202" t="s">
        <v>657</v>
      </c>
    </row>
    <row r="1203" spans="1:8">
      <c r="A1203" s="4" t="s">
        <v>1101</v>
      </c>
      <c r="B1203" s="2" t="s">
        <v>6</v>
      </c>
      <c r="C1203" s="2" t="s">
        <v>6</v>
      </c>
      <c r="D1203" s="4" t="s">
        <v>7</v>
      </c>
      <c r="E1203" s="2" t="s">
        <v>8</v>
      </c>
      <c r="F1203" s="6">
        <v>46190.487118055556</v>
      </c>
      <c r="G1203" t="s">
        <v>961</v>
      </c>
      <c r="H1203" t="s">
        <v>657</v>
      </c>
    </row>
    <row r="1204" spans="1:8">
      <c r="A1204" s="3" t="s">
        <v>1102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46190.395624999997</v>
      </c>
      <c r="G1204" t="s">
        <v>961</v>
      </c>
      <c r="H1204" t="s">
        <v>657</v>
      </c>
    </row>
    <row r="1205" spans="1:8">
      <c r="A1205" s="4" t="s">
        <v>1103</v>
      </c>
      <c r="B1205" s="2" t="s">
        <v>9</v>
      </c>
      <c r="C1205" s="2" t="s">
        <v>10</v>
      </c>
      <c r="D1205" s="4" t="s">
        <v>7</v>
      </c>
      <c r="E1205" s="2" t="s">
        <v>11</v>
      </c>
      <c r="F1205" s="6">
        <v>46191.455879629626</v>
      </c>
      <c r="G1205" t="s">
        <v>961</v>
      </c>
      <c r="H1205" t="s">
        <v>657</v>
      </c>
    </row>
    <row r="1206" spans="1:8">
      <c r="A1206" s="3" t="s">
        <v>1104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46190.395682870374</v>
      </c>
      <c r="G1206" t="s">
        <v>961</v>
      </c>
      <c r="H1206" t="s">
        <v>657</v>
      </c>
    </row>
    <row r="1207" spans="1:8">
      <c r="A1207" s="4" t="s">
        <v>1105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46190.58803240741</v>
      </c>
      <c r="G1207" t="s">
        <v>961</v>
      </c>
      <c r="H1207" t="s">
        <v>657</v>
      </c>
    </row>
    <row r="1208" spans="1:8">
      <c r="A1208" s="3" t="s">
        <v>1106</v>
      </c>
      <c r="B1208" s="1" t="s">
        <v>12</v>
      </c>
      <c r="C1208" s="1" t="s">
        <v>13</v>
      </c>
      <c r="D1208" s="3" t="s">
        <v>7</v>
      </c>
      <c r="E1208" s="1" t="s">
        <v>14</v>
      </c>
      <c r="F1208" s="5">
        <v>46185.435023148151</v>
      </c>
      <c r="G1208" t="s">
        <v>961</v>
      </c>
      <c r="H1208" t="s">
        <v>657</v>
      </c>
    </row>
    <row r="1209" spans="1:8">
      <c r="A1209" s="4" t="s">
        <v>1107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46197.559629629628</v>
      </c>
      <c r="G1209" t="s">
        <v>961</v>
      </c>
      <c r="H1209" t="s">
        <v>657</v>
      </c>
    </row>
    <row r="1210" spans="1:8">
      <c r="A1210" s="3" t="s">
        <v>1108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46190.588182870371</v>
      </c>
      <c r="G1210" t="s">
        <v>962</v>
      </c>
      <c r="H1210" t="s">
        <v>658</v>
      </c>
    </row>
    <row r="1211" spans="1:8">
      <c r="A1211" s="4" t="s">
        <v>1109</v>
      </c>
      <c r="B1211" s="2" t="s">
        <v>98</v>
      </c>
      <c r="C1211" s="2" t="s">
        <v>99</v>
      </c>
      <c r="D1211" s="4" t="s">
        <v>7</v>
      </c>
      <c r="E1211" s="2" t="s">
        <v>100</v>
      </c>
      <c r="F1211" s="6">
        <v>46195.550613425927</v>
      </c>
      <c r="G1211" t="s">
        <v>962</v>
      </c>
      <c r="H1211" t="s">
        <v>658</v>
      </c>
    </row>
    <row r="1212" spans="1:8">
      <c r="A1212" s="3" t="s">
        <v>1110</v>
      </c>
      <c r="B1212" s="1" t="s">
        <v>9</v>
      </c>
      <c r="C1212" s="1" t="s">
        <v>10</v>
      </c>
      <c r="D1212" s="3" t="s">
        <v>7</v>
      </c>
      <c r="E1212" s="1" t="s">
        <v>11</v>
      </c>
      <c r="F1212" s="5">
        <v>46196.343576388892</v>
      </c>
      <c r="G1212" t="s">
        <v>962</v>
      </c>
      <c r="H1212" t="s">
        <v>658</v>
      </c>
    </row>
    <row r="1213" spans="1:8">
      <c r="A1213" s="4" t="s">
        <v>1111</v>
      </c>
      <c r="B1213" s="2" t="s">
        <v>275</v>
      </c>
      <c r="C1213" s="2" t="s">
        <v>276</v>
      </c>
      <c r="D1213" s="4" t="s">
        <v>7</v>
      </c>
      <c r="E1213" s="2" t="s">
        <v>277</v>
      </c>
      <c r="F1213" s="6">
        <v>46196.669618055559</v>
      </c>
      <c r="G1213" t="s">
        <v>962</v>
      </c>
      <c r="H1213" t="s">
        <v>658</v>
      </c>
    </row>
    <row r="1214" spans="1:8">
      <c r="A1214" s="3" t="s">
        <v>1112</v>
      </c>
      <c r="B1214" s="1" t="s">
        <v>9</v>
      </c>
      <c r="C1214" s="1" t="s">
        <v>10</v>
      </c>
      <c r="D1214" s="3" t="s">
        <v>7</v>
      </c>
      <c r="E1214" s="1" t="s">
        <v>11</v>
      </c>
      <c r="F1214" s="5">
        <v>46189.800868055558</v>
      </c>
      <c r="G1214" t="s">
        <v>962</v>
      </c>
      <c r="H1214" t="s">
        <v>658</v>
      </c>
    </row>
    <row r="1215" spans="1:8">
      <c r="A1215" s="4" t="s">
        <v>1113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46189.471574074072</v>
      </c>
      <c r="G1215" t="s">
        <v>962</v>
      </c>
      <c r="H1215" t="s">
        <v>658</v>
      </c>
    </row>
    <row r="1216" spans="1:8">
      <c r="A1216" s="3" t="s">
        <v>1114</v>
      </c>
      <c r="B1216" s="1" t="s">
        <v>275</v>
      </c>
      <c r="C1216" s="1" t="s">
        <v>276</v>
      </c>
      <c r="D1216" s="3" t="s">
        <v>7</v>
      </c>
      <c r="E1216" s="1" t="s">
        <v>277</v>
      </c>
      <c r="F1216" s="5">
        <v>46183.266712962963</v>
      </c>
      <c r="G1216" t="s">
        <v>962</v>
      </c>
      <c r="H1216" t="s">
        <v>658</v>
      </c>
    </row>
    <row r="1217" spans="1:8">
      <c r="A1217" s="4" t="s">
        <v>1115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46197.562557870369</v>
      </c>
      <c r="G1217" t="s">
        <v>962</v>
      </c>
      <c r="H1217" t="s">
        <v>658</v>
      </c>
    </row>
    <row r="1218" spans="1:8">
      <c r="A1218" s="3" t="s">
        <v>1116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46186.268819444442</v>
      </c>
      <c r="G1218" t="s">
        <v>962</v>
      </c>
      <c r="H1218" t="s">
        <v>658</v>
      </c>
    </row>
    <row r="1219" spans="1:8">
      <c r="A1219" s="4" t="s">
        <v>1117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46196.643460648149</v>
      </c>
      <c r="G1219" t="s">
        <v>962</v>
      </c>
      <c r="H1219" t="s">
        <v>658</v>
      </c>
    </row>
    <row r="1220" spans="1:8">
      <c r="A1220" s="3" t="s">
        <v>1118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46183.449259259258</v>
      </c>
      <c r="G1220" t="s">
        <v>962</v>
      </c>
      <c r="H1220" t="s">
        <v>658</v>
      </c>
    </row>
    <row r="1221" spans="1:8">
      <c r="A1221" s="4" t="s">
        <v>1119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46197.521851851852</v>
      </c>
      <c r="G1221" t="s">
        <v>962</v>
      </c>
      <c r="H1221" t="s">
        <v>658</v>
      </c>
    </row>
    <row r="1222" spans="1:8">
      <c r="A1222" s="3" t="s">
        <v>1120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46183.59170138889</v>
      </c>
      <c r="G1222" t="s">
        <v>962</v>
      </c>
      <c r="H1222" t="s">
        <v>658</v>
      </c>
    </row>
    <row r="1223" spans="1:8">
      <c r="A1223" s="4" t="s">
        <v>1121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46184.581342592595</v>
      </c>
      <c r="G1223" t="s">
        <v>962</v>
      </c>
      <c r="H1223" t="s">
        <v>658</v>
      </c>
    </row>
    <row r="1224" spans="1:8">
      <c r="A1224" s="3" t="s">
        <v>1122</v>
      </c>
      <c r="B1224" s="1" t="s">
        <v>9</v>
      </c>
      <c r="C1224" s="1" t="s">
        <v>10</v>
      </c>
      <c r="D1224" s="3" t="s">
        <v>7</v>
      </c>
      <c r="E1224" s="1" t="s">
        <v>11</v>
      </c>
      <c r="F1224" s="5">
        <v>46196.781319444446</v>
      </c>
      <c r="G1224" t="s">
        <v>962</v>
      </c>
      <c r="H1224" t="s">
        <v>658</v>
      </c>
    </row>
    <row r="1225" spans="1:8">
      <c r="A1225" s="4" t="s">
        <v>1123</v>
      </c>
      <c r="B1225" s="2" t="s">
        <v>9</v>
      </c>
      <c r="C1225" s="2" t="s">
        <v>10</v>
      </c>
      <c r="D1225" s="4" t="s">
        <v>7</v>
      </c>
      <c r="E1225" s="2" t="s">
        <v>11</v>
      </c>
      <c r="F1225" s="6">
        <v>46197.888483796298</v>
      </c>
      <c r="G1225" t="s">
        <v>962</v>
      </c>
      <c r="H1225" t="s">
        <v>658</v>
      </c>
    </row>
    <row r="1226" spans="1:8">
      <c r="A1226" s="3" t="s">
        <v>1124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46181.710972222223</v>
      </c>
      <c r="G1226" t="s">
        <v>962</v>
      </c>
      <c r="H1226" t="s">
        <v>658</v>
      </c>
    </row>
    <row r="1227" spans="1:8">
      <c r="A1227" s="4" t="s">
        <v>1125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46189.471631944441</v>
      </c>
      <c r="G1227" t="s">
        <v>962</v>
      </c>
      <c r="H1227" t="s">
        <v>658</v>
      </c>
    </row>
    <row r="1228" spans="1:8">
      <c r="A1228" s="3" t="s">
        <v>1126</v>
      </c>
      <c r="B1228" s="1" t="s">
        <v>9</v>
      </c>
      <c r="C1228" s="1" t="s">
        <v>10</v>
      </c>
      <c r="D1228" s="3" t="s">
        <v>7</v>
      </c>
      <c r="E1228" s="1" t="s">
        <v>11</v>
      </c>
      <c r="F1228" s="5">
        <v>46196.75472222222</v>
      </c>
      <c r="G1228" t="s">
        <v>962</v>
      </c>
      <c r="H1228" t="s">
        <v>658</v>
      </c>
    </row>
    <row r="1229" spans="1:8">
      <c r="A1229" s="4" t="s">
        <v>1127</v>
      </c>
      <c r="B1229" s="2" t="s">
        <v>9</v>
      </c>
      <c r="C1229" s="2" t="s">
        <v>10</v>
      </c>
      <c r="D1229" s="4" t="s">
        <v>7</v>
      </c>
      <c r="E1229" s="2" t="s">
        <v>11</v>
      </c>
      <c r="F1229" s="6">
        <v>46196.794872685183</v>
      </c>
      <c r="G1229" t="s">
        <v>962</v>
      </c>
      <c r="H1229" t="s">
        <v>658</v>
      </c>
    </row>
    <row r="1230" spans="1:8">
      <c r="A1230" s="3" t="s">
        <v>1128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46183.718726851854</v>
      </c>
      <c r="G1230" t="s">
        <v>962</v>
      </c>
      <c r="H1230" t="s">
        <v>658</v>
      </c>
    </row>
    <row r="1231" spans="1:8">
      <c r="A1231" s="4" t="s">
        <v>1129</v>
      </c>
      <c r="B1231" s="2" t="s">
        <v>9</v>
      </c>
      <c r="C1231" s="2" t="s">
        <v>10</v>
      </c>
      <c r="D1231" s="4" t="s">
        <v>7</v>
      </c>
      <c r="E1231" s="2" t="s">
        <v>11</v>
      </c>
      <c r="F1231" s="6">
        <v>46196.785891203705</v>
      </c>
      <c r="G1231" t="s">
        <v>962</v>
      </c>
      <c r="H1231" t="s">
        <v>658</v>
      </c>
    </row>
    <row r="1232" spans="1:8">
      <c r="A1232" s="3" t="s">
        <v>1130</v>
      </c>
      <c r="B1232" s="1" t="s">
        <v>275</v>
      </c>
      <c r="C1232" s="1" t="s">
        <v>276</v>
      </c>
      <c r="D1232" s="3" t="s">
        <v>7</v>
      </c>
      <c r="E1232" s="1" t="s">
        <v>277</v>
      </c>
      <c r="F1232" s="5">
        <v>46191.87</v>
      </c>
      <c r="G1232" t="s">
        <v>962</v>
      </c>
      <c r="H1232" t="s">
        <v>658</v>
      </c>
    </row>
    <row r="1233" spans="1:8">
      <c r="A1233" s="4" t="s">
        <v>1131</v>
      </c>
      <c r="B1233" s="2" t="s">
        <v>275</v>
      </c>
      <c r="C1233" s="2" t="s">
        <v>276</v>
      </c>
      <c r="D1233" s="4" t="s">
        <v>7</v>
      </c>
      <c r="E1233" s="2" t="s">
        <v>277</v>
      </c>
      <c r="F1233" s="6">
        <v>46191.884293981479</v>
      </c>
      <c r="G1233" t="s">
        <v>962</v>
      </c>
      <c r="H1233" t="s">
        <v>658</v>
      </c>
    </row>
    <row r="1234" spans="1:8">
      <c r="A1234" s="3" t="s">
        <v>1132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46196.555405092593</v>
      </c>
      <c r="G1234" t="s">
        <v>962</v>
      </c>
      <c r="H1234" t="s">
        <v>658</v>
      </c>
    </row>
    <row r="1235" spans="1:8">
      <c r="A1235" s="4" t="s">
        <v>1133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46186.267233796294</v>
      </c>
      <c r="G1235" t="s">
        <v>962</v>
      </c>
      <c r="H1235" t="s">
        <v>658</v>
      </c>
    </row>
    <row r="1236" spans="1:8">
      <c r="A1236" s="3" t="s">
        <v>1134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46192.503622685188</v>
      </c>
      <c r="G1236" t="s">
        <v>962</v>
      </c>
      <c r="H1236" t="s">
        <v>658</v>
      </c>
    </row>
    <row r="1237" spans="1:8">
      <c r="A1237" s="4" t="s">
        <v>1135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46183.718888888892</v>
      </c>
      <c r="G1237" t="s">
        <v>962</v>
      </c>
      <c r="H1237" t="s">
        <v>658</v>
      </c>
    </row>
    <row r="1238" spans="1:8">
      <c r="A1238" s="3" t="s">
        <v>1136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46183.447604166664</v>
      </c>
      <c r="G1238" t="s">
        <v>962</v>
      </c>
      <c r="H1238" t="s">
        <v>658</v>
      </c>
    </row>
    <row r="1239" spans="1:8">
      <c r="A1239" s="4" t="s">
        <v>1137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46197.522453703707</v>
      </c>
      <c r="G1239" t="s">
        <v>962</v>
      </c>
      <c r="H1239" t="s">
        <v>658</v>
      </c>
    </row>
    <row r="1240" spans="1:8">
      <c r="A1240" s="3" t="s">
        <v>1138</v>
      </c>
      <c r="B1240" s="1" t="s">
        <v>275</v>
      </c>
      <c r="C1240" s="1" t="s">
        <v>276</v>
      </c>
      <c r="D1240" s="3" t="s">
        <v>7</v>
      </c>
      <c r="E1240" s="1" t="s">
        <v>277</v>
      </c>
      <c r="F1240" s="5">
        <v>46196.494803240741</v>
      </c>
      <c r="G1240" t="s">
        <v>962</v>
      </c>
      <c r="H1240" t="s">
        <v>658</v>
      </c>
    </row>
    <row r="1241" spans="1:8">
      <c r="A1241" s="4" t="s">
        <v>1139</v>
      </c>
      <c r="B1241" s="2" t="s">
        <v>12</v>
      </c>
      <c r="C1241" s="2" t="s">
        <v>13</v>
      </c>
      <c r="D1241" s="4" t="s">
        <v>7</v>
      </c>
      <c r="E1241" s="2" t="s">
        <v>14</v>
      </c>
      <c r="F1241" s="6">
        <v>46195.306226851855</v>
      </c>
      <c r="G1241" t="s">
        <v>962</v>
      </c>
      <c r="H1241" t="s">
        <v>658</v>
      </c>
    </row>
    <row r="1242" spans="1:8">
      <c r="A1242" s="3" t="s">
        <v>1140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46192.503136574072</v>
      </c>
      <c r="G1242" t="s">
        <v>962</v>
      </c>
      <c r="H1242" t="s">
        <v>658</v>
      </c>
    </row>
    <row r="1243" spans="1:8">
      <c r="A1243" s="4" t="s">
        <v>1141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46197.55972222222</v>
      </c>
      <c r="G1243" t="s">
        <v>962</v>
      </c>
      <c r="H1243" t="s">
        <v>658</v>
      </c>
    </row>
    <row r="1244" spans="1:8">
      <c r="A1244" s="3" t="s">
        <v>1142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46190.587708333333</v>
      </c>
      <c r="G1244" t="s">
        <v>962</v>
      </c>
      <c r="H1244" t="s">
        <v>658</v>
      </c>
    </row>
    <row r="1245" spans="1:8">
      <c r="A1245" s="4" t="s">
        <v>1143</v>
      </c>
      <c r="B1245" s="2" t="s">
        <v>6</v>
      </c>
      <c r="C1245" s="2" t="s">
        <v>6</v>
      </c>
      <c r="D1245" s="4" t="s">
        <v>7</v>
      </c>
      <c r="E1245" s="2" t="s">
        <v>8</v>
      </c>
      <c r="F1245" s="6">
        <v>46184.332881944443</v>
      </c>
      <c r="G1245" t="s">
        <v>962</v>
      </c>
      <c r="H1245" t="s">
        <v>658</v>
      </c>
    </row>
    <row r="1246" spans="1:8">
      <c r="A1246" s="3" t="s">
        <v>1144</v>
      </c>
      <c r="B1246" s="1" t="s">
        <v>6</v>
      </c>
      <c r="C1246" s="1" t="s">
        <v>6</v>
      </c>
      <c r="D1246" s="3" t="s">
        <v>7</v>
      </c>
      <c r="E1246" s="1" t="s">
        <v>8</v>
      </c>
      <c r="F1246" s="5">
        <v>46179.499490740738</v>
      </c>
      <c r="G1246" t="s">
        <v>962</v>
      </c>
      <c r="H1246" t="s">
        <v>658</v>
      </c>
    </row>
    <row r="1247" spans="1:8">
      <c r="A1247" s="4" t="s">
        <v>1145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46197.562534722223</v>
      </c>
      <c r="G1247" t="s">
        <v>962</v>
      </c>
      <c r="H1247" t="s">
        <v>658</v>
      </c>
    </row>
    <row r="1248" spans="1:8">
      <c r="A1248" s="3" t="s">
        <v>1146</v>
      </c>
      <c r="B1248" s="1" t="s">
        <v>9</v>
      </c>
      <c r="C1248" s="1" t="s">
        <v>10</v>
      </c>
      <c r="D1248" s="3" t="s">
        <v>7</v>
      </c>
      <c r="E1248" s="1" t="s">
        <v>11</v>
      </c>
      <c r="F1248" s="5">
        <v>46196.80060185185</v>
      </c>
      <c r="G1248" t="s">
        <v>962</v>
      </c>
      <c r="H1248" t="s">
        <v>658</v>
      </c>
    </row>
    <row r="1249" spans="1:8">
      <c r="A1249" s="4" t="s">
        <v>1147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46189.574618055558</v>
      </c>
      <c r="G1249" t="s">
        <v>962</v>
      </c>
      <c r="H1249" t="s">
        <v>658</v>
      </c>
    </row>
    <row r="1250" spans="1:8">
      <c r="A1250" s="3" t="s">
        <v>1148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46184.286689814813</v>
      </c>
      <c r="G1250" t="s">
        <v>962</v>
      </c>
      <c r="H1250" t="s">
        <v>658</v>
      </c>
    </row>
    <row r="1251" spans="1:8">
      <c r="A1251" s="4" t="s">
        <v>1149</v>
      </c>
      <c r="B1251" s="2" t="s">
        <v>275</v>
      </c>
      <c r="C1251" s="2" t="s">
        <v>276</v>
      </c>
      <c r="D1251" s="4" t="s">
        <v>7</v>
      </c>
      <c r="E1251" s="2" t="s">
        <v>277</v>
      </c>
      <c r="F1251" s="6">
        <v>46196.712951388887</v>
      </c>
      <c r="G1251" t="s">
        <v>962</v>
      </c>
      <c r="H1251" t="s">
        <v>658</v>
      </c>
    </row>
    <row r="1252" spans="1:8">
      <c r="A1252" s="3" t="s">
        <v>1150</v>
      </c>
      <c r="B1252" s="1" t="s">
        <v>1659</v>
      </c>
      <c r="C1252" s="1" t="s">
        <v>1660</v>
      </c>
      <c r="D1252" s="3" t="s">
        <v>7</v>
      </c>
      <c r="E1252" s="1" t="s">
        <v>14</v>
      </c>
      <c r="F1252" s="5">
        <v>46175.319803240738</v>
      </c>
      <c r="G1252" t="s">
        <v>962</v>
      </c>
      <c r="H1252" t="s">
        <v>658</v>
      </c>
    </row>
    <row r="1253" spans="1:8">
      <c r="A1253" s="4" t="s">
        <v>1151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46189.639004629629</v>
      </c>
      <c r="G1253" t="s">
        <v>962</v>
      </c>
      <c r="H1253" t="s">
        <v>658</v>
      </c>
    </row>
    <row r="1254" spans="1:8">
      <c r="A1254" s="3" t="s">
        <v>1152</v>
      </c>
      <c r="B1254" s="1" t="s">
        <v>12</v>
      </c>
      <c r="C1254" s="1" t="s">
        <v>13</v>
      </c>
      <c r="D1254" s="3" t="s">
        <v>7</v>
      </c>
      <c r="E1254" s="1" t="s">
        <v>14</v>
      </c>
      <c r="F1254" s="5">
        <v>46195.306817129633</v>
      </c>
      <c r="G1254" t="s">
        <v>962</v>
      </c>
      <c r="H1254" t="s">
        <v>658</v>
      </c>
    </row>
    <row r="1255" spans="1:8">
      <c r="A1255" s="4" t="s">
        <v>1153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46178.509606481479</v>
      </c>
      <c r="G1255" t="s">
        <v>962</v>
      </c>
      <c r="H1255" t="s">
        <v>658</v>
      </c>
    </row>
    <row r="1256" spans="1:8">
      <c r="A1256" s="3" t="s">
        <v>1154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46197.562800925924</v>
      </c>
      <c r="G1256" t="s">
        <v>962</v>
      </c>
      <c r="H1256" t="s">
        <v>658</v>
      </c>
    </row>
    <row r="1257" spans="1:8">
      <c r="A1257" s="4" t="s">
        <v>1155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46179.497662037036</v>
      </c>
      <c r="G1257" t="s">
        <v>962</v>
      </c>
      <c r="H1257" t="s">
        <v>658</v>
      </c>
    </row>
    <row r="1258" spans="1:8">
      <c r="A1258" s="3" t="s">
        <v>1156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46190.587638888886</v>
      </c>
      <c r="G1258" t="s">
        <v>962</v>
      </c>
      <c r="H1258" t="s">
        <v>658</v>
      </c>
    </row>
    <row r="1259" spans="1:8">
      <c r="A1259" s="4" t="s">
        <v>1157</v>
      </c>
      <c r="B1259" s="2" t="s">
        <v>9</v>
      </c>
      <c r="C1259" s="2" t="s">
        <v>10</v>
      </c>
      <c r="D1259" s="4" t="s">
        <v>7</v>
      </c>
      <c r="E1259" s="2" t="s">
        <v>11</v>
      </c>
      <c r="F1259" s="6">
        <v>46197.862916666665</v>
      </c>
      <c r="G1259" t="s">
        <v>962</v>
      </c>
      <c r="H1259" t="s">
        <v>658</v>
      </c>
    </row>
    <row r="1260" spans="1:8">
      <c r="A1260" s="3" t="s">
        <v>1158</v>
      </c>
      <c r="B1260" s="1" t="s">
        <v>275</v>
      </c>
      <c r="C1260" s="1" t="s">
        <v>276</v>
      </c>
      <c r="D1260" s="3" t="s">
        <v>7</v>
      </c>
      <c r="E1260" s="1" t="s">
        <v>277</v>
      </c>
      <c r="F1260" s="5">
        <v>46184.306435185186</v>
      </c>
      <c r="G1260" t="s">
        <v>962</v>
      </c>
      <c r="H1260" t="s">
        <v>658</v>
      </c>
    </row>
    <row r="1261" spans="1:8">
      <c r="A1261" s="4" t="s">
        <v>1159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46181.712673611109</v>
      </c>
      <c r="G1261" t="s">
        <v>962</v>
      </c>
      <c r="H1261" t="s">
        <v>658</v>
      </c>
    </row>
    <row r="1262" spans="1:8">
      <c r="A1262" s="3" t="s">
        <v>1160</v>
      </c>
      <c r="B1262" s="1" t="s">
        <v>1984</v>
      </c>
      <c r="C1262" s="1" t="s">
        <v>1985</v>
      </c>
      <c r="D1262" s="3" t="s">
        <v>7</v>
      </c>
      <c r="E1262" s="1" t="s">
        <v>14</v>
      </c>
      <c r="F1262" s="5">
        <v>46197.320185185185</v>
      </c>
      <c r="G1262" t="s">
        <v>962</v>
      </c>
      <c r="H1262" t="s">
        <v>658</v>
      </c>
    </row>
    <row r="1263" spans="1:8">
      <c r="A1263" s="4" t="s">
        <v>1161</v>
      </c>
      <c r="B1263" s="2" t="s">
        <v>9</v>
      </c>
      <c r="C1263" s="2" t="s">
        <v>10</v>
      </c>
      <c r="D1263" s="4" t="s">
        <v>7</v>
      </c>
      <c r="E1263" s="2" t="s">
        <v>11</v>
      </c>
      <c r="F1263" s="6">
        <v>46196.8047337963</v>
      </c>
      <c r="G1263" t="s">
        <v>962</v>
      </c>
      <c r="H1263" t="s">
        <v>658</v>
      </c>
    </row>
    <row r="1264" spans="1:8">
      <c r="A1264" s="3" t="s">
        <v>1162</v>
      </c>
      <c r="B1264" s="1" t="s">
        <v>6</v>
      </c>
      <c r="C1264" s="1" t="s">
        <v>6</v>
      </c>
      <c r="D1264" s="3" t="s">
        <v>7</v>
      </c>
      <c r="E1264" s="1" t="s">
        <v>8</v>
      </c>
      <c r="F1264" s="5">
        <v>46197.559317129628</v>
      </c>
      <c r="G1264" t="s">
        <v>962</v>
      </c>
      <c r="H1264" t="s">
        <v>658</v>
      </c>
    </row>
    <row r="1265" spans="1:8">
      <c r="A1265" s="4" t="s">
        <v>1163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46196.555671296293</v>
      </c>
      <c r="G1265" t="s">
        <v>962</v>
      </c>
      <c r="H1265" t="s">
        <v>658</v>
      </c>
    </row>
    <row r="1266" spans="1:8">
      <c r="A1266" s="3" t="s">
        <v>1164</v>
      </c>
      <c r="B1266" s="1" t="s">
        <v>275</v>
      </c>
      <c r="C1266" s="1" t="s">
        <v>276</v>
      </c>
      <c r="D1266" s="3" t="s">
        <v>7</v>
      </c>
      <c r="E1266" s="1" t="s">
        <v>277</v>
      </c>
      <c r="F1266" s="5">
        <v>46196.665393518517</v>
      </c>
      <c r="G1266" t="s">
        <v>962</v>
      </c>
      <c r="H1266" t="s">
        <v>658</v>
      </c>
    </row>
    <row r="1267" spans="1:8">
      <c r="A1267" s="4" t="s">
        <v>1165</v>
      </c>
      <c r="B1267" s="2" t="s">
        <v>275</v>
      </c>
      <c r="C1267" s="2" t="s">
        <v>276</v>
      </c>
      <c r="D1267" s="4" t="s">
        <v>7</v>
      </c>
      <c r="E1267" s="2" t="s">
        <v>277</v>
      </c>
      <c r="F1267" s="6">
        <v>46196.732152777775</v>
      </c>
      <c r="G1267" t="s">
        <v>962</v>
      </c>
      <c r="H1267" t="s">
        <v>658</v>
      </c>
    </row>
    <row r="1268" spans="1:8">
      <c r="A1268" s="3" t="s">
        <v>1166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46197.52238425926</v>
      </c>
      <c r="G1268" t="s">
        <v>962</v>
      </c>
      <c r="H1268" t="s">
        <v>658</v>
      </c>
    </row>
    <row r="1269" spans="1:8">
      <c r="A1269" s="4" t="s">
        <v>1167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46179.497013888889</v>
      </c>
      <c r="G1269" t="s">
        <v>962</v>
      </c>
      <c r="H1269" t="s">
        <v>658</v>
      </c>
    </row>
    <row r="1270" spans="1:8">
      <c r="A1270" s="3" t="s">
        <v>1168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46197.559374999997</v>
      </c>
      <c r="G1270" t="s">
        <v>962</v>
      </c>
      <c r="H1270" t="s">
        <v>658</v>
      </c>
    </row>
    <row r="1271" spans="1:8">
      <c r="A1271" s="4" t="s">
        <v>1169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46196.555787037039</v>
      </c>
      <c r="G1271" t="s">
        <v>962</v>
      </c>
      <c r="H1271" t="s">
        <v>658</v>
      </c>
    </row>
    <row r="1272" spans="1:8">
      <c r="A1272" s="3" t="s">
        <v>1170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46183.268599537034</v>
      </c>
      <c r="G1272" t="s">
        <v>962</v>
      </c>
      <c r="H1272" t="s">
        <v>658</v>
      </c>
    </row>
    <row r="1273" spans="1:8">
      <c r="A1273" s="4" t="s">
        <v>1171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46179.499293981484</v>
      </c>
      <c r="G1273" t="s">
        <v>962</v>
      </c>
      <c r="H1273" t="s">
        <v>658</v>
      </c>
    </row>
    <row r="1274" spans="1:8">
      <c r="A1274" s="3" t="s">
        <v>1172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46186.268680555557</v>
      </c>
      <c r="G1274" t="s">
        <v>962</v>
      </c>
      <c r="H1274" t="s">
        <v>658</v>
      </c>
    </row>
    <row r="1275" spans="1:8">
      <c r="A1275" s="4" t="s">
        <v>1173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46183.592222222222</v>
      </c>
      <c r="G1275" t="s">
        <v>962</v>
      </c>
      <c r="H1275" t="s">
        <v>658</v>
      </c>
    </row>
    <row r="1276" spans="1:8">
      <c r="A1276" s="3" t="s">
        <v>1174</v>
      </c>
      <c r="B1276" s="1" t="s">
        <v>275</v>
      </c>
      <c r="C1276" s="1" t="s">
        <v>276</v>
      </c>
      <c r="D1276" s="3" t="s">
        <v>7</v>
      </c>
      <c r="E1276" s="1" t="s">
        <v>277</v>
      </c>
      <c r="F1276" s="5">
        <v>46196.775821759256</v>
      </c>
      <c r="G1276" t="s">
        <v>962</v>
      </c>
      <c r="H1276" t="s">
        <v>658</v>
      </c>
    </row>
    <row r="1277" spans="1:8">
      <c r="A1277" s="4" t="s">
        <v>1175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46196.643321759257</v>
      </c>
      <c r="G1277" t="s">
        <v>962</v>
      </c>
      <c r="H1277" t="s">
        <v>658</v>
      </c>
    </row>
    <row r="1278" spans="1:8">
      <c r="A1278" s="3" t="s">
        <v>1176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46184.286851851852</v>
      </c>
      <c r="G1278" t="s">
        <v>962</v>
      </c>
      <c r="H1278" t="s">
        <v>658</v>
      </c>
    </row>
    <row r="1279" spans="1:8">
      <c r="A1279" s="4" t="s">
        <v>1177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46189.639120370368</v>
      </c>
      <c r="G1279" t="s">
        <v>962</v>
      </c>
      <c r="H1279" t="s">
        <v>658</v>
      </c>
    </row>
    <row r="1280" spans="1:8">
      <c r="A1280" s="3" t="s">
        <v>1178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46189.471203703702</v>
      </c>
      <c r="G1280" t="s">
        <v>962</v>
      </c>
      <c r="H1280" t="s">
        <v>658</v>
      </c>
    </row>
    <row r="1281" spans="1:8">
      <c r="A1281" s="4" t="s">
        <v>1179</v>
      </c>
      <c r="B1281" s="2" t="s">
        <v>98</v>
      </c>
      <c r="C1281" s="2" t="s">
        <v>99</v>
      </c>
      <c r="D1281" s="4" t="s">
        <v>7</v>
      </c>
      <c r="E1281" s="2" t="s">
        <v>100</v>
      </c>
      <c r="F1281" s="6">
        <v>46195.552777777775</v>
      </c>
      <c r="G1281" t="s">
        <v>962</v>
      </c>
      <c r="H1281" t="s">
        <v>658</v>
      </c>
    </row>
    <row r="1282" spans="1:8">
      <c r="A1282" s="3" t="s">
        <v>1180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46197.562835648147</v>
      </c>
      <c r="G1282" t="s">
        <v>962</v>
      </c>
      <c r="H1282" t="s">
        <v>658</v>
      </c>
    </row>
    <row r="1283" spans="1:8">
      <c r="A1283" s="4" t="s">
        <v>1181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46192.503703703704</v>
      </c>
      <c r="G1283" t="s">
        <v>962</v>
      </c>
      <c r="H1283" t="s">
        <v>658</v>
      </c>
    </row>
    <row r="1284" spans="1:8">
      <c r="A1284" s="3" t="s">
        <v>1182</v>
      </c>
      <c r="B1284" s="1" t="s">
        <v>9</v>
      </c>
      <c r="C1284" s="1" t="s">
        <v>10</v>
      </c>
      <c r="D1284" s="3" t="s">
        <v>7</v>
      </c>
      <c r="E1284" s="1" t="s">
        <v>11</v>
      </c>
      <c r="F1284" s="5">
        <v>46196.790925925925</v>
      </c>
      <c r="G1284" t="s">
        <v>962</v>
      </c>
      <c r="H1284" t="s">
        <v>658</v>
      </c>
    </row>
    <row r="1285" spans="1:8">
      <c r="A1285" s="4" t="s">
        <v>1183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46181.550312500003</v>
      </c>
      <c r="G1285" t="s">
        <v>962</v>
      </c>
      <c r="H1285" t="s">
        <v>658</v>
      </c>
    </row>
    <row r="1286" spans="1:8">
      <c r="A1286" s="3" t="s">
        <v>1184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46181.712858796294</v>
      </c>
      <c r="G1286" t="s">
        <v>962</v>
      </c>
      <c r="H1286" t="s">
        <v>658</v>
      </c>
    </row>
    <row r="1287" spans="1:8">
      <c r="A1287" s="4" t="s">
        <v>1185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46181.552418981482</v>
      </c>
      <c r="G1287" t="s">
        <v>962</v>
      </c>
      <c r="H1287" t="s">
        <v>658</v>
      </c>
    </row>
    <row r="1288" spans="1:8">
      <c r="A1288" s="3" t="s">
        <v>1186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46178.511365740742</v>
      </c>
      <c r="G1288" t="s">
        <v>962</v>
      </c>
      <c r="H1288" t="s">
        <v>658</v>
      </c>
    </row>
    <row r="1289" spans="1:8">
      <c r="A1289" s="4" t="s">
        <v>1187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46181.550694444442</v>
      </c>
      <c r="G1289" t="s">
        <v>962</v>
      </c>
      <c r="H1289" t="s">
        <v>658</v>
      </c>
    </row>
    <row r="1290" spans="1:8">
      <c r="A1290" s="3" t="s">
        <v>1188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46178.511608796296</v>
      </c>
      <c r="G1290" t="s">
        <v>962</v>
      </c>
      <c r="H1290" t="s">
        <v>658</v>
      </c>
    </row>
    <row r="1291" spans="1:8">
      <c r="A1291" s="4" t="s">
        <v>1189</v>
      </c>
      <c r="B1291" s="2" t="s">
        <v>12</v>
      </c>
      <c r="C1291" s="2" t="s">
        <v>13</v>
      </c>
      <c r="D1291" s="4" t="s">
        <v>7</v>
      </c>
      <c r="E1291" s="2" t="s">
        <v>14</v>
      </c>
      <c r="F1291" s="6">
        <v>46195.307523148149</v>
      </c>
      <c r="G1291" t="s">
        <v>962</v>
      </c>
      <c r="H1291" t="s">
        <v>658</v>
      </c>
    </row>
    <row r="1292" spans="1:8">
      <c r="A1292" s="3" t="s">
        <v>1190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46181.552754629629</v>
      </c>
      <c r="G1292" t="s">
        <v>962</v>
      </c>
      <c r="H1292" t="s">
        <v>658</v>
      </c>
    </row>
    <row r="1293" spans="1:8">
      <c r="A1293" s="4" t="s">
        <v>1191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46184.579861111109</v>
      </c>
      <c r="G1293" t="s">
        <v>962</v>
      </c>
      <c r="H1293" t="s">
        <v>658</v>
      </c>
    </row>
    <row r="1294" spans="1:8">
      <c r="A1294" s="3" t="s">
        <v>1192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46189.54923611111</v>
      </c>
      <c r="G1294" t="s">
        <v>962</v>
      </c>
      <c r="H1294" t="s">
        <v>658</v>
      </c>
    </row>
    <row r="1295" spans="1:8">
      <c r="A1295" s="4" t="s">
        <v>1193</v>
      </c>
      <c r="B1295" s="2" t="s">
        <v>9</v>
      </c>
      <c r="C1295" s="2" t="s">
        <v>10</v>
      </c>
      <c r="D1295" s="4" t="s">
        <v>7</v>
      </c>
      <c r="E1295" s="2" t="s">
        <v>11</v>
      </c>
      <c r="F1295" s="6">
        <v>46196.746354166666</v>
      </c>
      <c r="G1295" t="s">
        <v>962</v>
      </c>
      <c r="H1295" t="s">
        <v>658</v>
      </c>
    </row>
    <row r="1296" spans="1:8">
      <c r="A1296" s="3" t="s">
        <v>1194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46184.333055555559</v>
      </c>
      <c r="G1296" t="s">
        <v>962</v>
      </c>
      <c r="H1296" t="s">
        <v>658</v>
      </c>
    </row>
    <row r="1297" spans="1:8">
      <c r="A1297" s="4" t="s">
        <v>1195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46184.579664351855</v>
      </c>
      <c r="G1297" t="s">
        <v>962</v>
      </c>
      <c r="H1297" t="s">
        <v>658</v>
      </c>
    </row>
    <row r="1298" spans="1:8">
      <c r="A1298" s="3" t="s">
        <v>1196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46183.269421296296</v>
      </c>
      <c r="G1298" t="s">
        <v>962</v>
      </c>
      <c r="H1298" t="s">
        <v>658</v>
      </c>
    </row>
    <row r="1299" spans="1:8">
      <c r="A1299" s="4" t="s">
        <v>1197</v>
      </c>
      <c r="B1299" s="2" t="s">
        <v>1984</v>
      </c>
      <c r="C1299" s="2" t="s">
        <v>1985</v>
      </c>
      <c r="D1299" s="4" t="s">
        <v>7</v>
      </c>
      <c r="E1299" s="2" t="s">
        <v>14</v>
      </c>
      <c r="F1299" s="6">
        <v>46196.340960648151</v>
      </c>
      <c r="G1299" t="s">
        <v>962</v>
      </c>
      <c r="H1299" t="s">
        <v>658</v>
      </c>
    </row>
    <row r="1300" spans="1:8">
      <c r="A1300" s="3" t="s">
        <v>1198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46192.583148148151</v>
      </c>
      <c r="G1300" t="s">
        <v>962</v>
      </c>
      <c r="H1300" t="s">
        <v>658</v>
      </c>
    </row>
    <row r="1301" spans="1:8">
      <c r="A1301" s="4" t="s">
        <v>1199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46183.717222222222</v>
      </c>
      <c r="G1301" t="s">
        <v>962</v>
      </c>
      <c r="H1301" t="s">
        <v>658</v>
      </c>
    </row>
    <row r="1302" spans="1:8">
      <c r="A1302" s="3" t="s">
        <v>1200</v>
      </c>
      <c r="B1302" s="1" t="s">
        <v>98</v>
      </c>
      <c r="C1302" s="1" t="s">
        <v>99</v>
      </c>
      <c r="D1302" s="3" t="s">
        <v>7</v>
      </c>
      <c r="E1302" s="1" t="s">
        <v>100</v>
      </c>
      <c r="F1302" s="5">
        <v>46195.551689814813</v>
      </c>
      <c r="G1302" t="s">
        <v>962</v>
      </c>
      <c r="H1302" t="s">
        <v>658</v>
      </c>
    </row>
    <row r="1303" spans="1:8">
      <c r="A1303" s="4" t="s">
        <v>1201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46183.44902777778</v>
      </c>
      <c r="G1303" t="s">
        <v>962</v>
      </c>
      <c r="H1303" t="s">
        <v>658</v>
      </c>
    </row>
    <row r="1304" spans="1:8">
      <c r="A1304" s="3" t="s">
        <v>1202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46190.588275462964</v>
      </c>
      <c r="G1304" t="s">
        <v>962</v>
      </c>
      <c r="H1304" t="s">
        <v>658</v>
      </c>
    </row>
    <row r="1305" spans="1:8">
      <c r="A1305" s="4" t="s">
        <v>1203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46186.26761574074</v>
      </c>
      <c r="G1305" t="s">
        <v>962</v>
      </c>
      <c r="H1305" t="s">
        <v>658</v>
      </c>
    </row>
    <row r="1306" spans="1:8">
      <c r="A1306" s="3" t="s">
        <v>1204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46196.643414351849</v>
      </c>
      <c r="G1306" t="s">
        <v>962</v>
      </c>
      <c r="H1306" t="s">
        <v>658</v>
      </c>
    </row>
    <row r="1307" spans="1:8">
      <c r="A1307" s="4" t="s">
        <v>1205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46192.503263888888</v>
      </c>
      <c r="G1307" t="s">
        <v>962</v>
      </c>
      <c r="H1307" t="s">
        <v>658</v>
      </c>
    </row>
    <row r="1308" spans="1:8">
      <c r="A1308" s="3" t="s">
        <v>1206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46197.559641203705</v>
      </c>
      <c r="G1308" t="s">
        <v>962</v>
      </c>
      <c r="H1308" t="s">
        <v>658</v>
      </c>
    </row>
    <row r="1309" spans="1:8">
      <c r="A1309" s="4" t="s">
        <v>1207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46196.555335648147</v>
      </c>
      <c r="G1309" t="s">
        <v>962</v>
      </c>
      <c r="H1309" t="s">
        <v>658</v>
      </c>
    </row>
    <row r="1310" spans="1:8">
      <c r="A1310" s="3" t="s">
        <v>1208</v>
      </c>
      <c r="B1310" s="1" t="s">
        <v>9</v>
      </c>
      <c r="C1310" s="1" t="s">
        <v>10</v>
      </c>
      <c r="D1310" s="3" t="s">
        <v>7</v>
      </c>
      <c r="E1310" s="1" t="s">
        <v>11</v>
      </c>
      <c r="F1310" s="5">
        <v>46197.492662037039</v>
      </c>
      <c r="G1310" t="s">
        <v>962</v>
      </c>
      <c r="H1310" t="s">
        <v>658</v>
      </c>
    </row>
    <row r="1311" spans="1:8">
      <c r="A1311" s="4" t="s">
        <v>1209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46186.467812499999</v>
      </c>
      <c r="G1311" t="s">
        <v>962</v>
      </c>
      <c r="H1311" t="s">
        <v>658</v>
      </c>
    </row>
    <row r="1312" spans="1:8">
      <c r="A1312" s="3" t="s">
        <v>1210</v>
      </c>
      <c r="B1312" s="1" t="s">
        <v>98</v>
      </c>
      <c r="C1312" s="1" t="s">
        <v>99</v>
      </c>
      <c r="D1312" s="3" t="s">
        <v>7</v>
      </c>
      <c r="E1312" s="1" t="s">
        <v>100</v>
      </c>
      <c r="F1312" s="5">
        <v>46195.558796296296</v>
      </c>
      <c r="G1312" t="s">
        <v>962</v>
      </c>
      <c r="H1312" t="s">
        <v>658</v>
      </c>
    </row>
    <row r="1313" spans="1:8">
      <c r="A1313" s="4" t="s">
        <v>1211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46190.487187500003</v>
      </c>
      <c r="G1313" t="s">
        <v>962</v>
      </c>
      <c r="H1313" t="s">
        <v>658</v>
      </c>
    </row>
    <row r="1314" spans="1:8">
      <c r="A1314" s="3" t="s">
        <v>1212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46197.521990740737</v>
      </c>
      <c r="G1314" t="s">
        <v>962</v>
      </c>
      <c r="H1314" t="s">
        <v>658</v>
      </c>
    </row>
    <row r="1315" spans="1:8">
      <c r="A1315" s="4" t="s">
        <v>1213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46190.486979166664</v>
      </c>
      <c r="G1315" t="s">
        <v>962</v>
      </c>
      <c r="H1315" t="s">
        <v>658</v>
      </c>
    </row>
    <row r="1316" spans="1:8">
      <c r="A1316" s="3" t="s">
        <v>1214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46190.449016203704</v>
      </c>
      <c r="G1316" t="s">
        <v>962</v>
      </c>
      <c r="H1316" t="s">
        <v>658</v>
      </c>
    </row>
    <row r="1317" spans="1:8">
      <c r="A1317" s="4" t="s">
        <v>1215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46190.395578703705</v>
      </c>
      <c r="G1317" t="s">
        <v>962</v>
      </c>
      <c r="H1317" t="s">
        <v>658</v>
      </c>
    </row>
    <row r="1318" spans="1:8">
      <c r="A1318" s="3" t="s">
        <v>1216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46186.470138888886</v>
      </c>
      <c r="G1318" t="s">
        <v>962</v>
      </c>
      <c r="H1318" t="s">
        <v>658</v>
      </c>
    </row>
    <row r="1319" spans="1:8">
      <c r="A1319" s="4" t="s">
        <v>1217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46186.468113425923</v>
      </c>
      <c r="G1319" t="s">
        <v>962</v>
      </c>
      <c r="H1319" t="s">
        <v>658</v>
      </c>
    </row>
    <row r="1320" spans="1:8">
      <c r="A1320" s="3" t="s">
        <v>1218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46190.39570601852</v>
      </c>
      <c r="G1320" t="s">
        <v>962</v>
      </c>
      <c r="H1320" t="s">
        <v>658</v>
      </c>
    </row>
    <row r="1321" spans="1:8">
      <c r="A1321" s="4" t="s">
        <v>1219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46183.594328703701</v>
      </c>
      <c r="G1321" t="s">
        <v>962</v>
      </c>
      <c r="H1321" t="s">
        <v>658</v>
      </c>
    </row>
    <row r="1322" spans="1:8">
      <c r="A1322" s="3" t="s">
        <v>1220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46190.486944444441</v>
      </c>
      <c r="G1322" t="s">
        <v>962</v>
      </c>
      <c r="H1322" t="s">
        <v>658</v>
      </c>
    </row>
    <row r="1323" spans="1:8">
      <c r="A1323" s="4" t="s">
        <v>1221</v>
      </c>
      <c r="B1323" s="2" t="s">
        <v>9</v>
      </c>
      <c r="C1323" s="2" t="s">
        <v>10</v>
      </c>
      <c r="D1323" s="4" t="s">
        <v>7</v>
      </c>
      <c r="E1323" s="2" t="s">
        <v>11</v>
      </c>
      <c r="F1323" s="6">
        <v>46197.498692129629</v>
      </c>
      <c r="G1323" t="s">
        <v>962</v>
      </c>
      <c r="H1323" t="s">
        <v>658</v>
      </c>
    </row>
    <row r="1324" spans="1:8">
      <c r="A1324" s="3" t="s">
        <v>1222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46190.39576388889</v>
      </c>
      <c r="G1324" t="s">
        <v>962</v>
      </c>
      <c r="H1324" t="s">
        <v>658</v>
      </c>
    </row>
    <row r="1325" spans="1:8">
      <c r="A1325" s="4" t="s">
        <v>1223</v>
      </c>
      <c r="B1325" s="2" t="s">
        <v>650</v>
      </c>
      <c r="C1325" s="2" t="s">
        <v>651</v>
      </c>
      <c r="D1325" s="4" t="s">
        <v>7</v>
      </c>
      <c r="E1325" s="2" t="s">
        <v>647</v>
      </c>
      <c r="F1325" s="6">
        <v>46182.319467592592</v>
      </c>
      <c r="G1325" t="s">
        <v>962</v>
      </c>
      <c r="H1325" t="s">
        <v>658</v>
      </c>
    </row>
    <row r="1326" spans="1:8">
      <c r="A1326" s="3" t="s">
        <v>1224</v>
      </c>
      <c r="B1326" s="1" t="s">
        <v>1984</v>
      </c>
      <c r="C1326" s="1" t="s">
        <v>1985</v>
      </c>
      <c r="D1326" s="3" t="s">
        <v>7</v>
      </c>
      <c r="E1326" s="1" t="s">
        <v>14</v>
      </c>
      <c r="F1326" s="5">
        <v>46197.494733796295</v>
      </c>
      <c r="G1326" t="s">
        <v>962</v>
      </c>
      <c r="H1326" t="s">
        <v>658</v>
      </c>
    </row>
    <row r="1327" spans="1:8">
      <c r="A1327" s="4" t="s">
        <v>1225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46183.447395833333</v>
      </c>
      <c r="G1327" t="s">
        <v>962</v>
      </c>
      <c r="H1327" t="s">
        <v>658</v>
      </c>
    </row>
    <row r="1328" spans="1:8">
      <c r="A1328" s="3" t="s">
        <v>1226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46183.594606481478</v>
      </c>
      <c r="G1328" t="s">
        <v>962</v>
      </c>
      <c r="H1328" t="s">
        <v>658</v>
      </c>
    </row>
    <row r="1329" spans="1:8">
      <c r="A1329" s="4" t="s">
        <v>1227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46192.583229166667</v>
      </c>
      <c r="G1329" t="s">
        <v>962</v>
      </c>
      <c r="H1329" t="s">
        <v>658</v>
      </c>
    </row>
    <row r="1330" spans="1:8">
      <c r="A1330" s="3" t="s">
        <v>1228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46190.44908564815</v>
      </c>
      <c r="G1330" t="s">
        <v>962</v>
      </c>
      <c r="H1330" t="s">
        <v>658</v>
      </c>
    </row>
    <row r="1331" spans="1:8">
      <c r="A1331" s="4" t="s">
        <v>1229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46190.448472222219</v>
      </c>
      <c r="G1331" t="s">
        <v>962</v>
      </c>
      <c r="H1331" t="s">
        <v>658</v>
      </c>
    </row>
    <row r="1332" spans="1:8">
      <c r="A1332" s="3" t="s">
        <v>1230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46181.711400462962</v>
      </c>
      <c r="G1332" t="s">
        <v>962</v>
      </c>
      <c r="H1332" t="s">
        <v>658</v>
      </c>
    </row>
    <row r="1333" spans="1:8">
      <c r="A1333" s="4" t="s">
        <v>1231</v>
      </c>
      <c r="B1333" s="2" t="s">
        <v>9</v>
      </c>
      <c r="C1333" s="2" t="s">
        <v>10</v>
      </c>
      <c r="D1333" s="4" t="s">
        <v>7</v>
      </c>
      <c r="E1333" s="2" t="s">
        <v>11</v>
      </c>
      <c r="F1333" s="6">
        <v>46197.495856481481</v>
      </c>
      <c r="G1333" t="s">
        <v>962</v>
      </c>
      <c r="H1333" t="s">
        <v>658</v>
      </c>
    </row>
    <row r="1334" spans="1:8">
      <c r="A1334" s="3" t="s">
        <v>1232</v>
      </c>
      <c r="B1334" s="1" t="s">
        <v>6</v>
      </c>
      <c r="C1334" s="1" t="s">
        <v>6</v>
      </c>
      <c r="D1334" s="3" t="s">
        <v>7</v>
      </c>
      <c r="E1334" s="1" t="s">
        <v>8</v>
      </c>
      <c r="F1334" s="5">
        <v>46183.267962962964</v>
      </c>
      <c r="G1334" t="s">
        <v>962</v>
      </c>
      <c r="H1334" t="s">
        <v>658</v>
      </c>
    </row>
    <row r="1335" spans="1:8">
      <c r="A1335" s="4" t="s">
        <v>1233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46184.284629629627</v>
      </c>
      <c r="G1335" t="s">
        <v>962</v>
      </c>
      <c r="H1335" t="s">
        <v>658</v>
      </c>
    </row>
    <row r="1336" spans="1:8">
      <c r="A1336" s="3" t="s">
        <v>1234</v>
      </c>
      <c r="B1336" s="1" t="s">
        <v>6</v>
      </c>
      <c r="C1336" s="1" t="s">
        <v>6</v>
      </c>
      <c r="D1336" s="3" t="s">
        <v>7</v>
      </c>
      <c r="E1336" s="1" t="s">
        <v>8</v>
      </c>
      <c r="F1336" s="5">
        <v>46183.7266087963</v>
      </c>
      <c r="G1336" t="s">
        <v>962</v>
      </c>
      <c r="H1336" t="s">
        <v>658</v>
      </c>
    </row>
    <row r="1337" spans="1:8">
      <c r="A1337" s="4" t="s">
        <v>1235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46183.269606481481</v>
      </c>
      <c r="G1337" t="s">
        <v>962</v>
      </c>
      <c r="H1337" t="s">
        <v>658</v>
      </c>
    </row>
    <row r="1338" spans="1:8">
      <c r="A1338" s="3" t="s">
        <v>1236</v>
      </c>
      <c r="B1338" s="1" t="s">
        <v>6</v>
      </c>
      <c r="C1338" s="1" t="s">
        <v>6</v>
      </c>
      <c r="D1338" s="3" t="s">
        <v>7</v>
      </c>
      <c r="E1338" s="1" t="s">
        <v>8</v>
      </c>
      <c r="F1338" s="5">
        <v>46184.285231481481</v>
      </c>
      <c r="G1338" t="s">
        <v>962</v>
      </c>
      <c r="H1338" t="s">
        <v>658</v>
      </c>
    </row>
    <row r="1339" spans="1:8">
      <c r="A1339" s="4" t="s">
        <v>1237</v>
      </c>
      <c r="B1339" s="2" t="s">
        <v>275</v>
      </c>
      <c r="C1339" s="2" t="s">
        <v>276</v>
      </c>
      <c r="D1339" s="4" t="s">
        <v>7</v>
      </c>
      <c r="E1339" s="2" t="s">
        <v>277</v>
      </c>
      <c r="F1339" s="6">
        <v>46191.888379629629</v>
      </c>
      <c r="G1339" t="s">
        <v>962</v>
      </c>
      <c r="H1339" t="s">
        <v>658</v>
      </c>
    </row>
    <row r="1340" spans="1:8">
      <c r="A1340" s="3" t="s">
        <v>1238</v>
      </c>
      <c r="B1340" s="1" t="s">
        <v>6</v>
      </c>
      <c r="C1340" s="1" t="s">
        <v>6</v>
      </c>
      <c r="D1340" s="3" t="s">
        <v>7</v>
      </c>
      <c r="E1340" s="1" t="s">
        <v>8</v>
      </c>
      <c r="F1340" s="5">
        <v>46190.395474537036</v>
      </c>
      <c r="G1340" t="s">
        <v>962</v>
      </c>
      <c r="H1340" t="s">
        <v>658</v>
      </c>
    </row>
    <row r="1341" spans="1:8">
      <c r="A1341" s="4" t="s">
        <v>1239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46186.469907407409</v>
      </c>
      <c r="G1341" t="s">
        <v>962</v>
      </c>
      <c r="H1341" t="s">
        <v>658</v>
      </c>
    </row>
    <row r="1342" spans="1:8">
      <c r="A1342" s="3" t="s">
        <v>1240</v>
      </c>
      <c r="B1342" s="1" t="s">
        <v>98</v>
      </c>
      <c r="C1342" s="1" t="s">
        <v>99</v>
      </c>
      <c r="D1342" s="3" t="s">
        <v>7</v>
      </c>
      <c r="E1342" s="1" t="s">
        <v>100</v>
      </c>
      <c r="F1342" s="5">
        <v>46195.559513888889</v>
      </c>
      <c r="G1342" t="s">
        <v>962</v>
      </c>
      <c r="H1342" t="s">
        <v>658</v>
      </c>
    </row>
    <row r="1343" spans="1:8">
      <c r="A1343" s="4" t="s">
        <v>1241</v>
      </c>
      <c r="B1343" s="2" t="s">
        <v>98</v>
      </c>
      <c r="C1343" s="2" t="s">
        <v>99</v>
      </c>
      <c r="D1343" s="4" t="s">
        <v>7</v>
      </c>
      <c r="E1343" s="2" t="s">
        <v>100</v>
      </c>
      <c r="F1343" s="6">
        <v>46195.558437500003</v>
      </c>
      <c r="G1343" t="s">
        <v>962</v>
      </c>
      <c r="H1343" t="s">
        <v>658</v>
      </c>
    </row>
    <row r="1344" spans="1:8">
      <c r="A1344" s="3" t="s">
        <v>1242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46192.582905092589</v>
      </c>
      <c r="G1344" t="s">
        <v>962</v>
      </c>
      <c r="H1344" t="s">
        <v>658</v>
      </c>
    </row>
    <row r="1345" spans="1:8">
      <c r="A1345" s="4" t="s">
        <v>1243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46190.487256944441</v>
      </c>
      <c r="G1345" t="s">
        <v>962</v>
      </c>
      <c r="H1345" t="s">
        <v>658</v>
      </c>
    </row>
    <row r="1346" spans="1:8">
      <c r="A1346" s="3" t="s">
        <v>1244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46190.448530092595</v>
      </c>
      <c r="G1346" t="s">
        <v>962</v>
      </c>
      <c r="H1346" t="s">
        <v>658</v>
      </c>
    </row>
    <row r="1347" spans="1:8">
      <c r="A1347" s="4" t="s">
        <v>1245</v>
      </c>
      <c r="B1347" s="2" t="s">
        <v>1984</v>
      </c>
      <c r="C1347" s="2" t="s">
        <v>1985</v>
      </c>
      <c r="D1347" s="4" t="s">
        <v>7</v>
      </c>
      <c r="E1347" s="2" t="s">
        <v>14</v>
      </c>
      <c r="F1347" s="6">
        <v>46196.325972222221</v>
      </c>
      <c r="G1347" t="s">
        <v>962</v>
      </c>
      <c r="H1347" t="s">
        <v>658</v>
      </c>
    </row>
    <row r="1348" spans="1:8">
      <c r="A1348" s="3" t="s">
        <v>1246</v>
      </c>
      <c r="B1348" s="1" t="s">
        <v>653</v>
      </c>
      <c r="C1348" s="1" t="s">
        <v>654</v>
      </c>
      <c r="D1348" s="3" t="s">
        <v>7</v>
      </c>
      <c r="E1348" s="1" t="s">
        <v>647</v>
      </c>
      <c r="F1348" s="5">
        <v>46196.592476851853</v>
      </c>
      <c r="G1348" t="s">
        <v>962</v>
      </c>
      <c r="H1348" t="s">
        <v>658</v>
      </c>
    </row>
    <row r="1349" spans="1:8">
      <c r="A1349" s="4" t="s">
        <v>1247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46192.582939814813</v>
      </c>
      <c r="G1349" t="s">
        <v>962</v>
      </c>
      <c r="H1349" t="s">
        <v>658</v>
      </c>
    </row>
    <row r="1350" spans="1:8">
      <c r="A1350" s="3" t="s">
        <v>95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46072.54996527778</v>
      </c>
      <c r="G1350" t="s">
        <v>144</v>
      </c>
      <c r="H1350" t="s">
        <v>152</v>
      </c>
    </row>
    <row r="1351" spans="1:8">
      <c r="A1351" s="4" t="s">
        <v>96</v>
      </c>
      <c r="B1351" s="2" t="s">
        <v>98</v>
      </c>
      <c r="C1351" s="2" t="s">
        <v>99</v>
      </c>
      <c r="D1351" s="4" t="s">
        <v>7</v>
      </c>
      <c r="E1351" s="2" t="s">
        <v>100</v>
      </c>
      <c r="F1351" s="6">
        <v>46070.519953703704</v>
      </c>
      <c r="G1351" t="s">
        <v>144</v>
      </c>
      <c r="H1351" t="s">
        <v>152</v>
      </c>
    </row>
    <row r="1352" spans="1:8">
      <c r="A1352" s="3" t="s">
        <v>97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46064.476134259261</v>
      </c>
      <c r="G1352" t="s">
        <v>144</v>
      </c>
      <c r="H1352" t="s">
        <v>152</v>
      </c>
    </row>
    <row r="1353" spans="1:8">
      <c r="A1353" s="4" t="s">
        <v>101</v>
      </c>
      <c r="B1353" s="2" t="s">
        <v>98</v>
      </c>
      <c r="C1353" s="2" t="s">
        <v>99</v>
      </c>
      <c r="D1353" s="4" t="s">
        <v>7</v>
      </c>
      <c r="E1353" s="2" t="s">
        <v>100</v>
      </c>
      <c r="F1353" s="6">
        <v>46093.411180555559</v>
      </c>
      <c r="G1353" t="s">
        <v>144</v>
      </c>
      <c r="H1353" t="s">
        <v>152</v>
      </c>
    </row>
    <row r="1354" spans="1:8">
      <c r="A1354" s="3" t="s">
        <v>102</v>
      </c>
      <c r="B1354" s="1" t="s">
        <v>98</v>
      </c>
      <c r="C1354" s="1" t="s">
        <v>99</v>
      </c>
      <c r="D1354" s="3" t="s">
        <v>7</v>
      </c>
      <c r="E1354" s="1" t="s">
        <v>100</v>
      </c>
      <c r="F1354" s="5">
        <v>46091.466041666667</v>
      </c>
      <c r="G1354" t="s">
        <v>144</v>
      </c>
      <c r="H1354" t="s">
        <v>152</v>
      </c>
    </row>
    <row r="1355" spans="1:8">
      <c r="A1355" s="4" t="s">
        <v>103</v>
      </c>
      <c r="B1355" s="2" t="s">
        <v>98</v>
      </c>
      <c r="C1355" s="2" t="s">
        <v>99</v>
      </c>
      <c r="D1355" s="4" t="s">
        <v>7</v>
      </c>
      <c r="E1355" s="2" t="s">
        <v>100</v>
      </c>
      <c r="F1355" s="6">
        <v>46183.416250000002</v>
      </c>
      <c r="G1355" t="s">
        <v>144</v>
      </c>
      <c r="H1355" t="s">
        <v>152</v>
      </c>
    </row>
    <row r="1356" spans="1:8">
      <c r="A1356" s="3" t="s">
        <v>104</v>
      </c>
      <c r="B1356" s="1" t="s">
        <v>6</v>
      </c>
      <c r="C1356" s="1" t="s">
        <v>6</v>
      </c>
      <c r="D1356" s="3" t="s">
        <v>7</v>
      </c>
      <c r="E1356" s="1" t="s">
        <v>8</v>
      </c>
      <c r="F1356" s="5">
        <v>46092.319791666669</v>
      </c>
      <c r="G1356" t="s">
        <v>144</v>
      </c>
      <c r="H1356" t="s">
        <v>152</v>
      </c>
    </row>
    <row r="1357" spans="1:8">
      <c r="A1357" s="4" t="s">
        <v>105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46071.436874999999</v>
      </c>
      <c r="G1357" t="s">
        <v>144</v>
      </c>
      <c r="H1357" t="s">
        <v>152</v>
      </c>
    </row>
    <row r="1358" spans="1:8">
      <c r="A1358" s="3" t="s">
        <v>106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46183.443576388891</v>
      </c>
      <c r="G1358" t="s">
        <v>144</v>
      </c>
      <c r="H1358" t="s">
        <v>152</v>
      </c>
    </row>
    <row r="1359" spans="1:8">
      <c r="A1359" s="4" t="s">
        <v>107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46073.399988425925</v>
      </c>
      <c r="G1359" t="s">
        <v>144</v>
      </c>
      <c r="H1359" t="s">
        <v>152</v>
      </c>
    </row>
    <row r="1360" spans="1:8">
      <c r="A1360" s="3" t="s">
        <v>108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46100.280844907407</v>
      </c>
      <c r="G1360" t="s">
        <v>144</v>
      </c>
      <c r="H1360" t="s">
        <v>152</v>
      </c>
    </row>
    <row r="1361" spans="1:8">
      <c r="A1361" s="4" t="s">
        <v>109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46097.504641203705</v>
      </c>
      <c r="G1361" t="s">
        <v>144</v>
      </c>
      <c r="H1361" t="s">
        <v>152</v>
      </c>
    </row>
    <row r="1362" spans="1:8">
      <c r="A1362" s="3" t="s">
        <v>110</v>
      </c>
      <c r="B1362" s="1" t="s">
        <v>98</v>
      </c>
      <c r="C1362" s="1" t="s">
        <v>99</v>
      </c>
      <c r="D1362" s="3" t="s">
        <v>7</v>
      </c>
      <c r="E1362" s="1" t="s">
        <v>100</v>
      </c>
      <c r="F1362" s="5">
        <v>46183.44431712963</v>
      </c>
      <c r="G1362" t="s">
        <v>144</v>
      </c>
      <c r="H1362" t="s">
        <v>152</v>
      </c>
    </row>
    <row r="1363" spans="1:8">
      <c r="A1363" s="4" t="s">
        <v>111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46072.318819444445</v>
      </c>
      <c r="G1363" t="s">
        <v>144</v>
      </c>
      <c r="H1363" t="s">
        <v>152</v>
      </c>
    </row>
    <row r="1364" spans="1:8">
      <c r="A1364" s="3" t="s">
        <v>112</v>
      </c>
      <c r="B1364" s="1" t="s">
        <v>98</v>
      </c>
      <c r="C1364" s="1" t="s">
        <v>99</v>
      </c>
      <c r="D1364" s="3" t="s">
        <v>7</v>
      </c>
      <c r="E1364" s="1" t="s">
        <v>100</v>
      </c>
      <c r="F1364" s="5">
        <v>46111.549305555556</v>
      </c>
      <c r="G1364" t="s">
        <v>144</v>
      </c>
      <c r="H1364" t="s">
        <v>152</v>
      </c>
    </row>
    <row r="1365" spans="1:8">
      <c r="A1365" s="4" t="s">
        <v>113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46183.447557870371</v>
      </c>
      <c r="G1365" t="s">
        <v>144</v>
      </c>
      <c r="H1365" t="s">
        <v>152</v>
      </c>
    </row>
    <row r="1366" spans="1:8">
      <c r="A1366" s="3" t="s">
        <v>114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46072.449212962965</v>
      </c>
      <c r="G1366" t="s">
        <v>144</v>
      </c>
      <c r="H1366" t="s">
        <v>152</v>
      </c>
    </row>
    <row r="1367" spans="1:8">
      <c r="A1367" s="4" t="s">
        <v>115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46071.412546296298</v>
      </c>
      <c r="G1367" t="s">
        <v>144</v>
      </c>
      <c r="H1367" t="s">
        <v>152</v>
      </c>
    </row>
    <row r="1368" spans="1:8">
      <c r="A1368" s="3" t="s">
        <v>116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46091.600578703707</v>
      </c>
      <c r="G1368" t="s">
        <v>144</v>
      </c>
      <c r="H1368" t="s">
        <v>152</v>
      </c>
    </row>
    <row r="1369" spans="1:8">
      <c r="A1369" s="4" t="s">
        <v>117</v>
      </c>
      <c r="B1369" s="2" t="s">
        <v>98</v>
      </c>
      <c r="C1369" s="2" t="s">
        <v>99</v>
      </c>
      <c r="D1369" s="4" t="s">
        <v>7</v>
      </c>
      <c r="E1369" s="2" t="s">
        <v>100</v>
      </c>
      <c r="F1369" s="6">
        <v>46183.449340277781</v>
      </c>
      <c r="G1369" t="s">
        <v>144</v>
      </c>
      <c r="H1369" t="s">
        <v>152</v>
      </c>
    </row>
    <row r="1370" spans="1:8">
      <c r="A1370" s="3" t="s">
        <v>118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46097.375381944446</v>
      </c>
      <c r="G1370" t="s">
        <v>144</v>
      </c>
      <c r="H1370" t="s">
        <v>152</v>
      </c>
    </row>
    <row r="1371" spans="1:8">
      <c r="A1371" s="4" t="s">
        <v>119</v>
      </c>
      <c r="B1371" s="2" t="s">
        <v>98</v>
      </c>
      <c r="C1371" s="2" t="s">
        <v>99</v>
      </c>
      <c r="D1371" s="4" t="s">
        <v>7</v>
      </c>
      <c r="E1371" s="2" t="s">
        <v>100</v>
      </c>
      <c r="F1371" s="6">
        <v>46111.550324074073</v>
      </c>
      <c r="G1371" t="s">
        <v>144</v>
      </c>
      <c r="H1371" t="s">
        <v>152</v>
      </c>
    </row>
    <row r="1372" spans="1:8">
      <c r="A1372" s="3" t="s">
        <v>120</v>
      </c>
      <c r="B1372" s="1" t="s">
        <v>98</v>
      </c>
      <c r="C1372" s="1" t="s">
        <v>99</v>
      </c>
      <c r="D1372" s="3" t="s">
        <v>7</v>
      </c>
      <c r="E1372" s="1" t="s">
        <v>100</v>
      </c>
      <c r="F1372" s="5">
        <v>46183.450567129628</v>
      </c>
      <c r="G1372" t="s">
        <v>144</v>
      </c>
      <c r="H1372" t="s">
        <v>152</v>
      </c>
    </row>
    <row r="1373" spans="1:8">
      <c r="A1373" s="4" t="s">
        <v>121</v>
      </c>
      <c r="B1373" s="2" t="s">
        <v>98</v>
      </c>
      <c r="C1373" s="2" t="s">
        <v>99</v>
      </c>
      <c r="D1373" s="4" t="s">
        <v>7</v>
      </c>
      <c r="E1373" s="2" t="s">
        <v>100</v>
      </c>
      <c r="F1373" s="6">
        <v>46183.451261574075</v>
      </c>
      <c r="G1373" t="s">
        <v>144</v>
      </c>
      <c r="H1373" t="s">
        <v>152</v>
      </c>
    </row>
    <row r="1374" spans="1:8">
      <c r="A1374" s="3" t="s">
        <v>122</v>
      </c>
      <c r="B1374" s="1" t="s">
        <v>98</v>
      </c>
      <c r="C1374" s="1" t="s">
        <v>99</v>
      </c>
      <c r="D1374" s="3" t="s">
        <v>7</v>
      </c>
      <c r="E1374" s="1" t="s">
        <v>100</v>
      </c>
      <c r="F1374" s="5">
        <v>46064.472361111111</v>
      </c>
      <c r="G1374" t="s">
        <v>144</v>
      </c>
      <c r="H1374" t="s">
        <v>152</v>
      </c>
    </row>
    <row r="1375" spans="1:8">
      <c r="A1375" s="3" t="s">
        <v>322</v>
      </c>
      <c r="B1375" s="1" t="s">
        <v>98</v>
      </c>
      <c r="C1375" s="1" t="s">
        <v>99</v>
      </c>
      <c r="D1375" s="3" t="s">
        <v>7</v>
      </c>
      <c r="E1375" s="1" t="s">
        <v>100</v>
      </c>
      <c r="F1375" s="5">
        <v>46174.48982638889</v>
      </c>
      <c r="G1375" t="s">
        <v>317</v>
      </c>
      <c r="H1375" t="s">
        <v>319</v>
      </c>
    </row>
    <row r="1376" spans="1:8">
      <c r="A1376" s="4" t="s">
        <v>323</v>
      </c>
      <c r="B1376" s="2" t="s">
        <v>6</v>
      </c>
      <c r="C1376" s="2" t="s">
        <v>6</v>
      </c>
      <c r="D1376" s="4" t="s">
        <v>7</v>
      </c>
      <c r="E1376" s="2" t="s">
        <v>8</v>
      </c>
      <c r="F1376" s="6">
        <v>46149.560254629629</v>
      </c>
      <c r="G1376" t="s">
        <v>317</v>
      </c>
      <c r="H1376" t="s">
        <v>319</v>
      </c>
    </row>
    <row r="1377" spans="1:8">
      <c r="A1377" s="3" t="s">
        <v>324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46150.375648148147</v>
      </c>
      <c r="G1377" t="s">
        <v>317</v>
      </c>
      <c r="H1377" t="s">
        <v>319</v>
      </c>
    </row>
    <row r="1378" spans="1:8">
      <c r="A1378" s="4" t="s">
        <v>325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46149.413449074076</v>
      </c>
      <c r="G1378" t="s">
        <v>317</v>
      </c>
      <c r="H1378" t="s">
        <v>319</v>
      </c>
    </row>
    <row r="1379" spans="1:8">
      <c r="A1379" s="3" t="s">
        <v>326</v>
      </c>
      <c r="B1379" s="1" t="s">
        <v>98</v>
      </c>
      <c r="C1379" s="1" t="s">
        <v>99</v>
      </c>
      <c r="D1379" s="3" t="s">
        <v>7</v>
      </c>
      <c r="E1379" s="1" t="s">
        <v>100</v>
      </c>
      <c r="F1379" s="5">
        <v>46174.490532407406</v>
      </c>
      <c r="G1379" t="s">
        <v>317</v>
      </c>
      <c r="H1379" t="s">
        <v>319</v>
      </c>
    </row>
    <row r="1380" spans="1:8">
      <c r="A1380" s="4" t="s">
        <v>327</v>
      </c>
      <c r="B1380" s="2" t="s">
        <v>6</v>
      </c>
      <c r="C1380" s="2" t="s">
        <v>6</v>
      </c>
      <c r="D1380" s="4" t="s">
        <v>7</v>
      </c>
      <c r="E1380" s="2" t="s">
        <v>8</v>
      </c>
      <c r="F1380" s="6">
        <v>46154.29078703704</v>
      </c>
      <c r="G1380" t="s">
        <v>317</v>
      </c>
      <c r="H1380" t="s">
        <v>319</v>
      </c>
    </row>
    <row r="1381" spans="1:8">
      <c r="A1381" s="3" t="s">
        <v>328</v>
      </c>
      <c r="B1381" s="1" t="s">
        <v>6</v>
      </c>
      <c r="C1381" s="1" t="s">
        <v>6</v>
      </c>
      <c r="D1381" s="3" t="s">
        <v>7</v>
      </c>
      <c r="E1381" s="1" t="s">
        <v>8</v>
      </c>
      <c r="F1381" s="5">
        <v>46123.277777777781</v>
      </c>
      <c r="G1381" t="s">
        <v>317</v>
      </c>
      <c r="H1381" t="s">
        <v>319</v>
      </c>
    </row>
    <row r="1382" spans="1:8">
      <c r="A1382" s="4" t="s">
        <v>329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46134.287002314813</v>
      </c>
      <c r="G1382" t="s">
        <v>317</v>
      </c>
      <c r="H1382" t="s">
        <v>319</v>
      </c>
    </row>
    <row r="1383" spans="1:8">
      <c r="A1383" s="3" t="s">
        <v>330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46153.456238425926</v>
      </c>
      <c r="G1383" t="s">
        <v>317</v>
      </c>
      <c r="H1383" t="s">
        <v>319</v>
      </c>
    </row>
    <row r="1384" spans="1:8">
      <c r="A1384" s="4" t="s">
        <v>331</v>
      </c>
      <c r="B1384" s="2" t="s">
        <v>6</v>
      </c>
      <c r="C1384" s="2" t="s">
        <v>6</v>
      </c>
      <c r="D1384" s="4" t="s">
        <v>7</v>
      </c>
      <c r="E1384" s="2" t="s">
        <v>8</v>
      </c>
      <c r="F1384" s="6">
        <v>46125.562071759261</v>
      </c>
      <c r="G1384" t="s">
        <v>317</v>
      </c>
      <c r="H1384" t="s">
        <v>319</v>
      </c>
    </row>
    <row r="1385" spans="1:8">
      <c r="A1385" s="3" t="s">
        <v>332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46150.420555555553</v>
      </c>
      <c r="G1385" t="s">
        <v>317</v>
      </c>
      <c r="H1385" t="s">
        <v>319</v>
      </c>
    </row>
    <row r="1386" spans="1:8">
      <c r="A1386" s="4" t="s">
        <v>333</v>
      </c>
      <c r="B1386" s="2" t="s">
        <v>98</v>
      </c>
      <c r="C1386" s="2" t="s">
        <v>99</v>
      </c>
      <c r="D1386" s="4" t="s">
        <v>7</v>
      </c>
      <c r="E1386" s="2" t="s">
        <v>100</v>
      </c>
      <c r="F1386" s="6">
        <v>46170.286400462966</v>
      </c>
      <c r="G1386" t="s">
        <v>317</v>
      </c>
      <c r="H1386" t="s">
        <v>319</v>
      </c>
    </row>
    <row r="1387" spans="1:8">
      <c r="A1387" s="3" t="s">
        <v>334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46108.59443287037</v>
      </c>
      <c r="G1387" t="s">
        <v>317</v>
      </c>
      <c r="H1387" t="s">
        <v>319</v>
      </c>
    </row>
    <row r="1388" spans="1:8">
      <c r="A1388" s="4" t="s">
        <v>335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46174.491527777776</v>
      </c>
      <c r="G1388" t="s">
        <v>317</v>
      </c>
      <c r="H1388" t="s">
        <v>319</v>
      </c>
    </row>
    <row r="1389" spans="1:8">
      <c r="A1389" s="3" t="s">
        <v>336</v>
      </c>
      <c r="B1389" s="1" t="s">
        <v>6</v>
      </c>
      <c r="C1389" s="1" t="s">
        <v>6</v>
      </c>
      <c r="D1389" s="3" t="s">
        <v>7</v>
      </c>
      <c r="E1389" s="1" t="s">
        <v>8</v>
      </c>
      <c r="F1389" s="5">
        <v>46127.290069444447</v>
      </c>
      <c r="G1389" t="s">
        <v>317</v>
      </c>
      <c r="H1389" t="s">
        <v>319</v>
      </c>
    </row>
    <row r="1390" spans="1:8">
      <c r="A1390" s="4" t="s">
        <v>337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46139.324872685182</v>
      </c>
      <c r="G1390" t="s">
        <v>317</v>
      </c>
      <c r="H1390" t="s">
        <v>319</v>
      </c>
    </row>
    <row r="1391" spans="1:8">
      <c r="A1391" s="3" t="s">
        <v>338</v>
      </c>
      <c r="B1391" s="1" t="s">
        <v>6</v>
      </c>
      <c r="C1391" s="1" t="s">
        <v>6</v>
      </c>
      <c r="D1391" s="3" t="s">
        <v>7</v>
      </c>
      <c r="E1391" s="1" t="s">
        <v>8</v>
      </c>
      <c r="F1391" s="5">
        <v>46154.447199074071</v>
      </c>
      <c r="G1391" t="s">
        <v>317</v>
      </c>
      <c r="H1391" t="s">
        <v>319</v>
      </c>
    </row>
    <row r="1392" spans="1:8">
      <c r="A1392" s="4" t="s">
        <v>339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46153.30872685185</v>
      </c>
      <c r="G1392" t="s">
        <v>317</v>
      </c>
      <c r="H1392" t="s">
        <v>319</v>
      </c>
    </row>
    <row r="1393" spans="1:8">
      <c r="A1393" s="3" t="s">
        <v>340</v>
      </c>
      <c r="B1393" s="1" t="s">
        <v>98</v>
      </c>
      <c r="C1393" s="1" t="s">
        <v>99</v>
      </c>
      <c r="D1393" s="3" t="s">
        <v>7</v>
      </c>
      <c r="E1393" s="1" t="s">
        <v>100</v>
      </c>
      <c r="F1393" s="5">
        <v>46183.385717592595</v>
      </c>
      <c r="G1393" t="s">
        <v>317</v>
      </c>
      <c r="H1393" t="s">
        <v>319</v>
      </c>
    </row>
    <row r="1394" spans="1:8">
      <c r="A1394" s="4" t="s">
        <v>341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46174.492523148147</v>
      </c>
      <c r="G1394" t="s">
        <v>317</v>
      </c>
      <c r="H1394" t="s">
        <v>319</v>
      </c>
    </row>
    <row r="1395" spans="1:8">
      <c r="A1395" s="3" t="s">
        <v>342</v>
      </c>
      <c r="B1395" s="1" t="s">
        <v>98</v>
      </c>
      <c r="C1395" s="1" t="s">
        <v>99</v>
      </c>
      <c r="D1395" s="3" t="s">
        <v>7</v>
      </c>
      <c r="E1395" s="1" t="s">
        <v>100</v>
      </c>
      <c r="F1395" s="5">
        <v>46174.493321759262</v>
      </c>
      <c r="G1395" t="s">
        <v>317</v>
      </c>
      <c r="H1395" t="s">
        <v>319</v>
      </c>
    </row>
    <row r="1396" spans="1:8">
      <c r="A1396" s="4" t="s">
        <v>343</v>
      </c>
      <c r="B1396" s="2" t="s">
        <v>98</v>
      </c>
      <c r="C1396" s="2" t="s">
        <v>99</v>
      </c>
      <c r="D1396" s="4" t="s">
        <v>7</v>
      </c>
      <c r="E1396" s="2" t="s">
        <v>100</v>
      </c>
      <c r="F1396" s="6">
        <v>46183.385208333333</v>
      </c>
      <c r="G1396" t="s">
        <v>317</v>
      </c>
      <c r="H1396" t="s">
        <v>319</v>
      </c>
    </row>
    <row r="1397" spans="1:8">
      <c r="A1397" s="3" t="s">
        <v>344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46174.494039351855</v>
      </c>
      <c r="G1397" t="s">
        <v>317</v>
      </c>
      <c r="H1397" t="s">
        <v>319</v>
      </c>
    </row>
    <row r="1398" spans="1:8">
      <c r="A1398" s="4" t="s">
        <v>345</v>
      </c>
      <c r="B1398" s="2" t="s">
        <v>6</v>
      </c>
      <c r="C1398" s="2" t="s">
        <v>6</v>
      </c>
      <c r="D1398" s="4" t="s">
        <v>7</v>
      </c>
      <c r="E1398" s="2" t="s">
        <v>8</v>
      </c>
      <c r="F1398" s="6">
        <v>46153.54483796296</v>
      </c>
      <c r="G1398" t="s">
        <v>317</v>
      </c>
      <c r="H1398" t="s">
        <v>319</v>
      </c>
    </row>
    <row r="1399" spans="1:8">
      <c r="A1399" s="3" t="s">
        <v>346</v>
      </c>
      <c r="B1399" s="1" t="s">
        <v>6</v>
      </c>
      <c r="C1399" s="1" t="s">
        <v>6</v>
      </c>
      <c r="D1399" s="3" t="s">
        <v>7</v>
      </c>
      <c r="E1399" s="1" t="s">
        <v>8</v>
      </c>
      <c r="F1399" s="5">
        <v>46149.593842592592</v>
      </c>
      <c r="G1399" t="s">
        <v>317</v>
      </c>
      <c r="H1399" t="s">
        <v>319</v>
      </c>
    </row>
    <row r="1400" spans="1:8">
      <c r="A1400" s="4" t="s">
        <v>347</v>
      </c>
      <c r="B1400" s="2" t="s">
        <v>98</v>
      </c>
      <c r="C1400" s="2" t="s">
        <v>99</v>
      </c>
      <c r="D1400" s="4" t="s">
        <v>7</v>
      </c>
      <c r="E1400" s="2" t="s">
        <v>100</v>
      </c>
      <c r="F1400" s="6">
        <v>46183.382256944446</v>
      </c>
      <c r="G1400" t="s">
        <v>317</v>
      </c>
      <c r="H1400" t="s">
        <v>319</v>
      </c>
    </row>
    <row r="1401" spans="1:8">
      <c r="A1401" s="3" t="s">
        <v>348</v>
      </c>
      <c r="B1401" s="1" t="s">
        <v>6</v>
      </c>
      <c r="C1401" s="1" t="s">
        <v>6</v>
      </c>
      <c r="D1401" s="3" t="s">
        <v>7</v>
      </c>
      <c r="E1401" s="1" t="s">
        <v>8</v>
      </c>
      <c r="F1401" s="5">
        <v>46123.457777777781</v>
      </c>
      <c r="G1401" t="s">
        <v>317</v>
      </c>
      <c r="H1401" t="s">
        <v>319</v>
      </c>
    </row>
    <row r="1402" spans="1:8">
      <c r="A1402" s="4" t="s">
        <v>349</v>
      </c>
      <c r="B1402" s="2" t="s">
        <v>6</v>
      </c>
      <c r="C1402" s="2" t="s">
        <v>6</v>
      </c>
      <c r="D1402" s="4" t="s">
        <v>7</v>
      </c>
      <c r="E1402" s="2" t="s">
        <v>8</v>
      </c>
      <c r="F1402" s="6">
        <v>46148.483900462961</v>
      </c>
      <c r="G1402" t="s">
        <v>317</v>
      </c>
      <c r="H1402" t="s">
        <v>319</v>
      </c>
    </row>
    <row r="1403" spans="1:8">
      <c r="A1403" s="3" t="s">
        <v>350</v>
      </c>
      <c r="B1403" s="1" t="s">
        <v>98</v>
      </c>
      <c r="C1403" s="1" t="s">
        <v>99</v>
      </c>
      <c r="D1403" s="3" t="s">
        <v>7</v>
      </c>
      <c r="E1403" s="1" t="s">
        <v>100</v>
      </c>
      <c r="F1403" s="5">
        <v>46183.382870370369</v>
      </c>
      <c r="G1403" t="s">
        <v>317</v>
      </c>
      <c r="H1403" t="s">
        <v>319</v>
      </c>
    </row>
    <row r="1404" spans="1:8">
      <c r="A1404" s="3" t="s">
        <v>661</v>
      </c>
      <c r="B1404" s="1" t="s">
        <v>6</v>
      </c>
      <c r="C1404" s="1" t="s">
        <v>6</v>
      </c>
      <c r="D1404" s="3" t="s">
        <v>7</v>
      </c>
      <c r="E1404" s="1" t="s">
        <v>8</v>
      </c>
      <c r="F1404" s="5">
        <v>46190.486250000002</v>
      </c>
      <c r="G1404" t="s">
        <v>369</v>
      </c>
      <c r="H1404" t="s">
        <v>646</v>
      </c>
    </row>
    <row r="1405" spans="1:8">
      <c r="A1405" s="4" t="s">
        <v>662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46186.540613425925</v>
      </c>
      <c r="G1405" t="s">
        <v>369</v>
      </c>
      <c r="H1405" t="s">
        <v>646</v>
      </c>
    </row>
    <row r="1406" spans="1:8">
      <c r="A1406" s="3" t="s">
        <v>663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46170.362129629626</v>
      </c>
      <c r="G1406" t="s">
        <v>369</v>
      </c>
      <c r="H1406" t="s">
        <v>646</v>
      </c>
    </row>
    <row r="1407" spans="1:8">
      <c r="A1407" s="4" t="s">
        <v>664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46190.636469907404</v>
      </c>
      <c r="G1407" t="s">
        <v>369</v>
      </c>
      <c r="H1407" t="s">
        <v>646</v>
      </c>
    </row>
    <row r="1408" spans="1:8">
      <c r="A1408" s="3" t="s">
        <v>665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46186.302187499998</v>
      </c>
      <c r="G1408" t="s">
        <v>369</v>
      </c>
      <c r="H1408" t="s">
        <v>646</v>
      </c>
    </row>
    <row r="1409" spans="1:8">
      <c r="A1409" s="4" t="s">
        <v>666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46195.419351851851</v>
      </c>
      <c r="G1409" t="s">
        <v>369</v>
      </c>
      <c r="H1409" t="s">
        <v>646</v>
      </c>
    </row>
    <row r="1410" spans="1:8">
      <c r="A1410" s="3" t="s">
        <v>667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46190.62127314815</v>
      </c>
      <c r="G1410" t="s">
        <v>369</v>
      </c>
      <c r="H1410" t="s">
        <v>646</v>
      </c>
    </row>
    <row r="1411" spans="1:8">
      <c r="A1411" s="4" t="s">
        <v>668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46183.623449074075</v>
      </c>
      <c r="G1411" t="s">
        <v>369</v>
      </c>
      <c r="H1411" t="s">
        <v>646</v>
      </c>
    </row>
    <row r="1412" spans="1:8">
      <c r="A1412" s="3" t="s">
        <v>669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46190.473414351851</v>
      </c>
      <c r="G1412" t="s">
        <v>369</v>
      </c>
      <c r="H1412" t="s">
        <v>646</v>
      </c>
    </row>
    <row r="1413" spans="1:8">
      <c r="A1413" s="4" t="s">
        <v>670</v>
      </c>
      <c r="B1413" s="2" t="s">
        <v>275</v>
      </c>
      <c r="C1413" s="2" t="s">
        <v>276</v>
      </c>
      <c r="D1413" s="4" t="s">
        <v>7</v>
      </c>
      <c r="E1413" s="2" t="s">
        <v>277</v>
      </c>
      <c r="F1413" s="6">
        <v>46184.678657407407</v>
      </c>
      <c r="G1413" t="s">
        <v>369</v>
      </c>
      <c r="H1413" t="s">
        <v>646</v>
      </c>
    </row>
    <row r="1414" spans="1:8">
      <c r="A1414" s="3" t="s">
        <v>671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46179.537708333337</v>
      </c>
      <c r="G1414" t="s">
        <v>369</v>
      </c>
      <c r="H1414" t="s">
        <v>646</v>
      </c>
    </row>
    <row r="1415" spans="1:8">
      <c r="A1415" s="4" t="s">
        <v>672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46181.73574074074</v>
      </c>
      <c r="G1415" t="s">
        <v>369</v>
      </c>
      <c r="H1415" t="s">
        <v>646</v>
      </c>
    </row>
    <row r="1416" spans="1:8">
      <c r="A1416" s="3" t="s">
        <v>673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46190.559513888889</v>
      </c>
      <c r="G1416" t="s">
        <v>369</v>
      </c>
      <c r="H1416" t="s">
        <v>646</v>
      </c>
    </row>
    <row r="1417" spans="1:8">
      <c r="A1417" s="4" t="s">
        <v>674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46186.487557870372</v>
      </c>
      <c r="G1417" t="s">
        <v>369</v>
      </c>
      <c r="H1417" t="s">
        <v>646</v>
      </c>
    </row>
    <row r="1418" spans="1:8">
      <c r="A1418" s="3" t="s">
        <v>675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46170.508668981478</v>
      </c>
      <c r="G1418" t="s">
        <v>369</v>
      </c>
      <c r="H1418" t="s">
        <v>646</v>
      </c>
    </row>
    <row r="1419" spans="1:8">
      <c r="A1419" s="4" t="s">
        <v>676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46184.323750000003</v>
      </c>
      <c r="G1419" t="s">
        <v>369</v>
      </c>
      <c r="H1419" t="s">
        <v>646</v>
      </c>
    </row>
    <row r="1420" spans="1:8">
      <c r="A1420" s="3" t="s">
        <v>677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46170.501851851855</v>
      </c>
      <c r="G1420" t="s">
        <v>369</v>
      </c>
      <c r="H1420" t="s">
        <v>646</v>
      </c>
    </row>
    <row r="1421" spans="1:8">
      <c r="A1421" s="4" t="s">
        <v>678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46189.580752314818</v>
      </c>
      <c r="G1421" t="s">
        <v>369</v>
      </c>
      <c r="H1421" t="s">
        <v>646</v>
      </c>
    </row>
    <row r="1422" spans="1:8">
      <c r="A1422" s="3" t="s">
        <v>679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46169.390196759261</v>
      </c>
      <c r="G1422" t="s">
        <v>369</v>
      </c>
      <c r="H1422" t="s">
        <v>646</v>
      </c>
    </row>
    <row r="1423" spans="1:8">
      <c r="A1423" s="4" t="s">
        <v>680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46190.610995370371</v>
      </c>
      <c r="G1423" t="s">
        <v>369</v>
      </c>
      <c r="H1423" t="s">
        <v>646</v>
      </c>
    </row>
    <row r="1424" spans="1:8">
      <c r="A1424" s="3" t="s">
        <v>681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46178.572233796294</v>
      </c>
      <c r="G1424" t="s">
        <v>369</v>
      </c>
      <c r="H1424" t="s">
        <v>646</v>
      </c>
    </row>
    <row r="1425" spans="1:8">
      <c r="A1425" s="4" t="s">
        <v>682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46192.579317129632</v>
      </c>
      <c r="G1425" t="s">
        <v>369</v>
      </c>
      <c r="H1425" t="s">
        <v>646</v>
      </c>
    </row>
    <row r="1426" spans="1:8">
      <c r="A1426" s="3" t="s">
        <v>683</v>
      </c>
      <c r="B1426" s="1" t="s">
        <v>12</v>
      </c>
      <c r="C1426" s="1" t="s">
        <v>13</v>
      </c>
      <c r="D1426" s="3" t="s">
        <v>7</v>
      </c>
      <c r="E1426" s="1" t="s">
        <v>14</v>
      </c>
      <c r="F1426" s="5">
        <v>46181.274004629631</v>
      </c>
      <c r="G1426" t="s">
        <v>369</v>
      </c>
      <c r="H1426" t="s">
        <v>646</v>
      </c>
    </row>
    <row r="1427" spans="1:8">
      <c r="A1427" s="4" t="s">
        <v>684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46169.402627314812</v>
      </c>
      <c r="G1427" t="s">
        <v>369</v>
      </c>
      <c r="H1427" t="s">
        <v>646</v>
      </c>
    </row>
    <row r="1428" spans="1:8">
      <c r="A1428" s="3" t="s">
        <v>685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46184.440266203703</v>
      </c>
      <c r="G1428" t="s">
        <v>369</v>
      </c>
      <c r="H1428" t="s">
        <v>646</v>
      </c>
    </row>
    <row r="1429" spans="1:8">
      <c r="A1429" s="4" t="s">
        <v>686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46183.740740740737</v>
      </c>
      <c r="G1429" t="s">
        <v>369</v>
      </c>
      <c r="H1429" t="s">
        <v>646</v>
      </c>
    </row>
    <row r="1430" spans="1:8">
      <c r="A1430" s="3" t="s">
        <v>687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46183.27648148148</v>
      </c>
      <c r="G1430" t="s">
        <v>369</v>
      </c>
      <c r="H1430" t="s">
        <v>646</v>
      </c>
    </row>
    <row r="1431" spans="1:8">
      <c r="A1431" s="4" t="s">
        <v>688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46170.496678240743</v>
      </c>
      <c r="G1431" t="s">
        <v>369</v>
      </c>
      <c r="H1431" t="s">
        <v>646</v>
      </c>
    </row>
    <row r="1432" spans="1:8">
      <c r="A1432" s="3" t="s">
        <v>689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46181.56925925926</v>
      </c>
      <c r="G1432" t="s">
        <v>369</v>
      </c>
      <c r="H1432" t="s">
        <v>646</v>
      </c>
    </row>
    <row r="1433" spans="1:8">
      <c r="A1433" s="4" t="s">
        <v>690</v>
      </c>
      <c r="B1433" s="2" t="s">
        <v>6</v>
      </c>
      <c r="C1433" s="2" t="s">
        <v>6</v>
      </c>
      <c r="D1433" s="4" t="s">
        <v>7</v>
      </c>
      <c r="E1433" s="2" t="s">
        <v>8</v>
      </c>
      <c r="F1433" s="6">
        <v>46186.542557870373</v>
      </c>
      <c r="G1433" t="s">
        <v>369</v>
      </c>
      <c r="H1433" t="s">
        <v>646</v>
      </c>
    </row>
    <row r="1434" spans="1:8">
      <c r="A1434" s="3" t="s">
        <v>691</v>
      </c>
      <c r="B1434" s="1" t="s">
        <v>653</v>
      </c>
      <c r="C1434" s="1" t="s">
        <v>654</v>
      </c>
      <c r="D1434" s="3" t="s">
        <v>7</v>
      </c>
      <c r="E1434" s="1" t="s">
        <v>647</v>
      </c>
      <c r="F1434" s="5">
        <v>46195.39472222222</v>
      </c>
      <c r="G1434" t="s">
        <v>369</v>
      </c>
      <c r="H1434" t="s">
        <v>646</v>
      </c>
    </row>
    <row r="1435" spans="1:8">
      <c r="A1435" s="4" t="s">
        <v>692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46170.393055555556</v>
      </c>
      <c r="G1435" t="s">
        <v>369</v>
      </c>
      <c r="H1435" t="s">
        <v>646</v>
      </c>
    </row>
    <row r="1436" spans="1:8">
      <c r="A1436" s="3" t="s">
        <v>693</v>
      </c>
      <c r="B1436" s="1" t="s">
        <v>653</v>
      </c>
      <c r="C1436" s="1" t="s">
        <v>654</v>
      </c>
      <c r="D1436" s="3" t="s">
        <v>7</v>
      </c>
      <c r="E1436" s="1" t="s">
        <v>647</v>
      </c>
      <c r="F1436" s="5">
        <v>46197.484282407408</v>
      </c>
      <c r="G1436" t="s">
        <v>369</v>
      </c>
      <c r="H1436" t="s">
        <v>646</v>
      </c>
    </row>
    <row r="1437" spans="1:8">
      <c r="A1437" s="4" t="s">
        <v>694</v>
      </c>
      <c r="B1437" s="2" t="s">
        <v>12</v>
      </c>
      <c r="C1437" s="2" t="s">
        <v>13</v>
      </c>
      <c r="D1437" s="4" t="s">
        <v>7</v>
      </c>
      <c r="E1437" s="2" t="s">
        <v>14</v>
      </c>
      <c r="F1437" s="6">
        <v>46188.492476851854</v>
      </c>
      <c r="G1437" t="s">
        <v>369</v>
      </c>
      <c r="H1437" t="s">
        <v>646</v>
      </c>
    </row>
    <row r="1438" spans="1:8">
      <c r="A1438" s="3" t="s">
        <v>695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46170.354525462964</v>
      </c>
      <c r="G1438" t="s">
        <v>369</v>
      </c>
      <c r="H1438" t="s">
        <v>646</v>
      </c>
    </row>
    <row r="1439" spans="1:8">
      <c r="A1439" s="4" t="s">
        <v>696</v>
      </c>
      <c r="B1439" s="2" t="s">
        <v>275</v>
      </c>
      <c r="C1439" s="2" t="s">
        <v>276</v>
      </c>
      <c r="D1439" s="4" t="s">
        <v>7</v>
      </c>
      <c r="E1439" s="2" t="s">
        <v>277</v>
      </c>
      <c r="F1439" s="6">
        <v>46162.443020833336</v>
      </c>
      <c r="G1439" t="s">
        <v>369</v>
      </c>
      <c r="H1439" t="s">
        <v>646</v>
      </c>
    </row>
    <row r="1440" spans="1:8">
      <c r="A1440" s="3" t="s">
        <v>697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46184.663506944446</v>
      </c>
      <c r="G1440" t="s">
        <v>369</v>
      </c>
      <c r="H1440" t="s">
        <v>646</v>
      </c>
    </row>
    <row r="1441" spans="1:8">
      <c r="A1441" s="4" t="s">
        <v>698</v>
      </c>
      <c r="B1441" s="2" t="s">
        <v>6</v>
      </c>
      <c r="C1441" s="2" t="s">
        <v>6</v>
      </c>
      <c r="D1441" s="4" t="s">
        <v>7</v>
      </c>
      <c r="E1441" s="2" t="s">
        <v>8</v>
      </c>
      <c r="F1441" s="6">
        <v>46169.399155092593</v>
      </c>
      <c r="G1441" t="s">
        <v>369</v>
      </c>
      <c r="H1441" t="s">
        <v>646</v>
      </c>
    </row>
    <row r="1442" spans="1:8">
      <c r="A1442" s="3" t="s">
        <v>699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46170.509386574071</v>
      </c>
      <c r="G1442" t="s">
        <v>369</v>
      </c>
      <c r="H1442" t="s">
        <v>646</v>
      </c>
    </row>
    <row r="1443" spans="1:8">
      <c r="A1443" s="4" t="s">
        <v>700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46196.577951388892</v>
      </c>
      <c r="G1443" t="s">
        <v>369</v>
      </c>
      <c r="H1443" t="s">
        <v>646</v>
      </c>
    </row>
    <row r="1444" spans="1:8">
      <c r="A1444" s="3" t="s">
        <v>701</v>
      </c>
      <c r="B1444" s="1" t="s">
        <v>6</v>
      </c>
      <c r="C1444" s="1" t="s">
        <v>6</v>
      </c>
      <c r="D1444" s="3" t="s">
        <v>7</v>
      </c>
      <c r="E1444" s="1" t="s">
        <v>8</v>
      </c>
      <c r="F1444" s="5">
        <v>46169.554039351853</v>
      </c>
      <c r="G1444" t="s">
        <v>369</v>
      </c>
      <c r="H1444" t="s">
        <v>646</v>
      </c>
    </row>
    <row r="1445" spans="1:8">
      <c r="A1445" s="3" t="s">
        <v>1890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46190.25577546296</v>
      </c>
      <c r="G1445" t="s">
        <v>1880</v>
      </c>
      <c r="H1445" t="s">
        <v>1891</v>
      </c>
    </row>
    <row r="1446" spans="1:8">
      <c r="A1446" s="4" t="s">
        <v>1892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46190.25577546296</v>
      </c>
      <c r="G1446" t="s">
        <v>1880</v>
      </c>
      <c r="H1446" t="s">
        <v>1891</v>
      </c>
    </row>
    <row r="1447" spans="1:8">
      <c r="A1447" s="3" t="s">
        <v>1893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46190.25577546296</v>
      </c>
      <c r="G1447" t="s">
        <v>1880</v>
      </c>
      <c r="H1447" t="s">
        <v>1891</v>
      </c>
    </row>
    <row r="1448" spans="1:8">
      <c r="A1448" s="4" t="s">
        <v>1894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46190.25577546296</v>
      </c>
      <c r="G1448" t="s">
        <v>1880</v>
      </c>
      <c r="H1448" t="s">
        <v>1891</v>
      </c>
    </row>
    <row r="1449" spans="1:8">
      <c r="A1449" s="3" t="s">
        <v>1895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46190.25577546296</v>
      </c>
      <c r="G1449" t="s">
        <v>1880</v>
      </c>
      <c r="H1449" t="s">
        <v>1891</v>
      </c>
    </row>
    <row r="1450" spans="1:8">
      <c r="A1450" s="4" t="s">
        <v>1896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46190.25577546296</v>
      </c>
      <c r="G1450" t="s">
        <v>1880</v>
      </c>
      <c r="H1450" t="s">
        <v>1891</v>
      </c>
    </row>
    <row r="1451" spans="1:8">
      <c r="A1451" s="3" t="s">
        <v>1897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46190.25577546296</v>
      </c>
      <c r="G1451" t="s">
        <v>1880</v>
      </c>
      <c r="H1451" t="s">
        <v>1891</v>
      </c>
    </row>
    <row r="1452" spans="1:8">
      <c r="A1452" s="4" t="s">
        <v>1898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46190.25577546296</v>
      </c>
      <c r="G1452" t="s">
        <v>1880</v>
      </c>
      <c r="H1452" t="s">
        <v>1891</v>
      </c>
    </row>
    <row r="1453" spans="1:8">
      <c r="A1453" s="3" t="s">
        <v>1899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46190.25577546296</v>
      </c>
      <c r="G1453" t="s">
        <v>1880</v>
      </c>
      <c r="H1453" t="s">
        <v>1891</v>
      </c>
    </row>
    <row r="1454" spans="1:8">
      <c r="A1454" s="4" t="s">
        <v>1900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46190.25577546296</v>
      </c>
      <c r="G1454" t="s">
        <v>1880</v>
      </c>
      <c r="H1454" t="s">
        <v>1891</v>
      </c>
    </row>
    <row r="1455" spans="1:8">
      <c r="A1455" s="3" t="s">
        <v>1901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46190.25577546296</v>
      </c>
      <c r="G1455" t="s">
        <v>1880</v>
      </c>
      <c r="H1455" t="s">
        <v>1891</v>
      </c>
    </row>
    <row r="1456" spans="1:8">
      <c r="A1456" s="4" t="s">
        <v>1902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46190.25577546296</v>
      </c>
      <c r="G1456" t="s">
        <v>1880</v>
      </c>
      <c r="H1456" t="s">
        <v>1891</v>
      </c>
    </row>
    <row r="1457" spans="1:8">
      <c r="A1457" s="3" t="s">
        <v>1903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46190.25577546296</v>
      </c>
      <c r="G1457" t="s">
        <v>1880</v>
      </c>
      <c r="H1457" t="s">
        <v>1891</v>
      </c>
    </row>
    <row r="1458" spans="1:8">
      <c r="A1458" s="4" t="s">
        <v>1904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46190.25577546296</v>
      </c>
      <c r="G1458" t="s">
        <v>1880</v>
      </c>
      <c r="H1458" t="s">
        <v>1891</v>
      </c>
    </row>
    <row r="1459" spans="1:8">
      <c r="A1459" s="3" t="s">
        <v>1905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46190.25577546296</v>
      </c>
      <c r="G1459" t="s">
        <v>1880</v>
      </c>
      <c r="H1459" t="s">
        <v>1891</v>
      </c>
    </row>
    <row r="1460" spans="1:8">
      <c r="A1460" s="4" t="s">
        <v>1906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46190.25577546296</v>
      </c>
      <c r="G1460" t="s">
        <v>1880</v>
      </c>
      <c r="H1460" t="s">
        <v>1891</v>
      </c>
    </row>
    <row r="1461" spans="1:8">
      <c r="A1461" s="3" t="s">
        <v>1907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46190.25577546296</v>
      </c>
      <c r="G1461" t="s">
        <v>1880</v>
      </c>
      <c r="H1461" t="s">
        <v>1891</v>
      </c>
    </row>
    <row r="1462" spans="1:8">
      <c r="A1462" s="4" t="s">
        <v>1908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46190.25577546296</v>
      </c>
      <c r="G1462" t="s">
        <v>1880</v>
      </c>
      <c r="H1462" t="s">
        <v>1891</v>
      </c>
    </row>
    <row r="1463" spans="1:8">
      <c r="A1463" s="3" t="s">
        <v>1909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46190.25577546296</v>
      </c>
      <c r="G1463" t="s">
        <v>1880</v>
      </c>
      <c r="H1463" t="s">
        <v>1891</v>
      </c>
    </row>
    <row r="1464" spans="1:8">
      <c r="A1464" s="4" t="s">
        <v>1910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46190.25577546296</v>
      </c>
      <c r="G1464" t="s">
        <v>1880</v>
      </c>
      <c r="H1464" t="s">
        <v>1891</v>
      </c>
    </row>
    <row r="1465" spans="1:8">
      <c r="A1465" s="3" t="s">
        <v>1911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46190.25577546296</v>
      </c>
      <c r="G1465" t="s">
        <v>1880</v>
      </c>
      <c r="H1465" t="s">
        <v>1891</v>
      </c>
    </row>
    <row r="1466" spans="1:8">
      <c r="A1466" s="4" t="s">
        <v>1912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46190.25577546296</v>
      </c>
      <c r="G1466" t="s">
        <v>1880</v>
      </c>
      <c r="H1466" t="s">
        <v>1891</v>
      </c>
    </row>
    <row r="1467" spans="1:8">
      <c r="A1467" s="3" t="s">
        <v>1913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46190.25577546296</v>
      </c>
      <c r="G1467" t="s">
        <v>1880</v>
      </c>
      <c r="H1467" t="s">
        <v>1891</v>
      </c>
    </row>
    <row r="1468" spans="1:8">
      <c r="A1468" s="4" t="s">
        <v>1914</v>
      </c>
      <c r="B1468" s="2" t="s">
        <v>6</v>
      </c>
      <c r="C1468" s="2" t="s">
        <v>6</v>
      </c>
      <c r="D1468" s="4" t="s">
        <v>7</v>
      </c>
      <c r="E1468" s="2" t="s">
        <v>128</v>
      </c>
      <c r="F1468" s="6">
        <v>46190.25577546296</v>
      </c>
      <c r="G1468" t="s">
        <v>1880</v>
      </c>
      <c r="H1468" t="s">
        <v>1891</v>
      </c>
    </row>
    <row r="1469" spans="1:8">
      <c r="A1469" s="3" t="s">
        <v>1915</v>
      </c>
      <c r="B1469" s="1" t="s">
        <v>6</v>
      </c>
      <c r="C1469" s="1" t="s">
        <v>6</v>
      </c>
      <c r="D1469" s="3" t="s">
        <v>7</v>
      </c>
      <c r="E1469" s="1" t="s">
        <v>128</v>
      </c>
      <c r="F1469" s="5">
        <v>46190.25577546296</v>
      </c>
      <c r="G1469" t="s">
        <v>1880</v>
      </c>
      <c r="H1469" t="s">
        <v>1891</v>
      </c>
    </row>
    <row r="1470" spans="1:8">
      <c r="A1470" s="4" t="s">
        <v>1916</v>
      </c>
      <c r="B1470" s="2" t="s">
        <v>6</v>
      </c>
      <c r="C1470" s="2" t="s">
        <v>6</v>
      </c>
      <c r="D1470" s="4" t="s">
        <v>7</v>
      </c>
      <c r="E1470" s="2" t="s">
        <v>128</v>
      </c>
      <c r="F1470" s="6">
        <v>46190.25577546296</v>
      </c>
      <c r="G1470" t="s">
        <v>1880</v>
      </c>
      <c r="H1470" t="s">
        <v>1891</v>
      </c>
    </row>
    <row r="1471" spans="1:8">
      <c r="A1471" s="3" t="s">
        <v>1917</v>
      </c>
      <c r="B1471" s="1" t="s">
        <v>6</v>
      </c>
      <c r="C1471" s="1" t="s">
        <v>6</v>
      </c>
      <c r="D1471" s="3" t="s">
        <v>7</v>
      </c>
      <c r="E1471" s="1" t="s">
        <v>128</v>
      </c>
      <c r="F1471" s="5">
        <v>46190.25577546296</v>
      </c>
      <c r="G1471" t="s">
        <v>1880</v>
      </c>
      <c r="H1471" t="s">
        <v>1891</v>
      </c>
    </row>
    <row r="1472" spans="1:8">
      <c r="A1472" s="4" t="s">
        <v>1918</v>
      </c>
      <c r="B1472" s="2" t="s">
        <v>6</v>
      </c>
      <c r="C1472" s="2" t="s">
        <v>6</v>
      </c>
      <c r="D1472" s="4" t="s">
        <v>7</v>
      </c>
      <c r="E1472" s="2" t="s">
        <v>128</v>
      </c>
      <c r="F1472" s="6">
        <v>46190.25577546296</v>
      </c>
      <c r="G1472" t="s">
        <v>1880</v>
      </c>
      <c r="H1472" t="s">
        <v>1891</v>
      </c>
    </row>
    <row r="1473" spans="1:8">
      <c r="A1473" s="3" t="s">
        <v>1919</v>
      </c>
      <c r="B1473" s="1" t="s">
        <v>6</v>
      </c>
      <c r="C1473" s="1" t="s">
        <v>6</v>
      </c>
      <c r="D1473" s="3" t="s">
        <v>7</v>
      </c>
      <c r="E1473" s="1" t="s">
        <v>128</v>
      </c>
      <c r="F1473" s="5">
        <v>46190.25577546296</v>
      </c>
      <c r="G1473" t="s">
        <v>1880</v>
      </c>
      <c r="H1473" t="s">
        <v>1891</v>
      </c>
    </row>
    <row r="1474" spans="1:8">
      <c r="A1474" s="3" t="s">
        <v>1764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46197.592731481483</v>
      </c>
      <c r="G1474" t="s">
        <v>943</v>
      </c>
      <c r="H1474" t="s">
        <v>646</v>
      </c>
    </row>
    <row r="1475" spans="1:8">
      <c r="A1475" s="4" t="s">
        <v>1765</v>
      </c>
      <c r="B1475" s="2" t="s">
        <v>9</v>
      </c>
      <c r="C1475" s="2" t="s">
        <v>10</v>
      </c>
      <c r="D1475" s="4" t="s">
        <v>7</v>
      </c>
      <c r="E1475" s="2" t="s">
        <v>11</v>
      </c>
      <c r="F1475" s="6">
        <v>46197.317696759259</v>
      </c>
      <c r="G1475" t="s">
        <v>943</v>
      </c>
      <c r="H1475" t="s">
        <v>646</v>
      </c>
    </row>
    <row r="1476" spans="1:8">
      <c r="A1476" s="3" t="s">
        <v>1766</v>
      </c>
      <c r="B1476" s="1" t="s">
        <v>1657</v>
      </c>
      <c r="C1476" s="1" t="s">
        <v>1658</v>
      </c>
      <c r="D1476" s="3" t="s">
        <v>7</v>
      </c>
      <c r="E1476" s="1" t="s">
        <v>14</v>
      </c>
      <c r="F1476" s="5">
        <v>46192.401331018518</v>
      </c>
      <c r="G1476" t="s">
        <v>943</v>
      </c>
      <c r="H1476" t="s">
        <v>646</v>
      </c>
    </row>
    <row r="1477" spans="1:8">
      <c r="A1477" s="4" t="s">
        <v>1767</v>
      </c>
      <c r="B1477" s="2" t="s">
        <v>9</v>
      </c>
      <c r="C1477" s="2" t="s">
        <v>10</v>
      </c>
      <c r="D1477" s="4" t="s">
        <v>7</v>
      </c>
      <c r="E1477" s="2" t="s">
        <v>11</v>
      </c>
      <c r="F1477" s="6">
        <v>46196.740706018521</v>
      </c>
      <c r="G1477" t="s">
        <v>943</v>
      </c>
      <c r="H1477" t="s">
        <v>646</v>
      </c>
    </row>
    <row r="1478" spans="1:8">
      <c r="A1478" s="3" t="s">
        <v>1768</v>
      </c>
      <c r="B1478" s="1" t="s">
        <v>1657</v>
      </c>
      <c r="C1478" s="1" t="s">
        <v>1658</v>
      </c>
      <c r="D1478" s="3" t="s">
        <v>7</v>
      </c>
      <c r="E1478" s="1" t="s">
        <v>14</v>
      </c>
      <c r="F1478" s="5">
        <v>46196.578564814816</v>
      </c>
      <c r="G1478" t="s">
        <v>943</v>
      </c>
      <c r="H1478" t="s">
        <v>646</v>
      </c>
    </row>
    <row r="1479" spans="1:8">
      <c r="A1479" s="4" t="s">
        <v>1769</v>
      </c>
      <c r="B1479" s="2" t="s">
        <v>1657</v>
      </c>
      <c r="C1479" s="2" t="s">
        <v>1658</v>
      </c>
      <c r="D1479" s="4" t="s">
        <v>7</v>
      </c>
      <c r="E1479" s="2" t="s">
        <v>14</v>
      </c>
      <c r="F1479" s="6">
        <v>46196.476990740739</v>
      </c>
      <c r="G1479" t="s">
        <v>943</v>
      </c>
      <c r="H1479" t="s">
        <v>646</v>
      </c>
    </row>
    <row r="1480" spans="1:8">
      <c r="A1480" s="3" t="s">
        <v>1770</v>
      </c>
      <c r="B1480" s="1" t="s">
        <v>9</v>
      </c>
      <c r="C1480" s="1" t="s">
        <v>10</v>
      </c>
      <c r="D1480" s="3" t="s">
        <v>7</v>
      </c>
      <c r="E1480" s="1" t="s">
        <v>11</v>
      </c>
      <c r="F1480" s="5">
        <v>46196.562581018516</v>
      </c>
      <c r="G1480" t="s">
        <v>943</v>
      </c>
      <c r="H1480" t="s">
        <v>646</v>
      </c>
    </row>
    <row r="1481" spans="1:8">
      <c r="A1481" s="4" t="s">
        <v>1771</v>
      </c>
      <c r="B1481" s="2" t="s">
        <v>9</v>
      </c>
      <c r="C1481" s="2" t="s">
        <v>10</v>
      </c>
      <c r="D1481" s="4" t="s">
        <v>7</v>
      </c>
      <c r="E1481" s="2" t="s">
        <v>11</v>
      </c>
      <c r="F1481" s="6">
        <v>46196.646365740744</v>
      </c>
      <c r="G1481" t="s">
        <v>943</v>
      </c>
      <c r="H1481" t="s">
        <v>646</v>
      </c>
    </row>
    <row r="1482" spans="1:8">
      <c r="A1482" s="3" t="s">
        <v>1772</v>
      </c>
      <c r="B1482" s="1" t="s">
        <v>1657</v>
      </c>
      <c r="C1482" s="1" t="s">
        <v>1658</v>
      </c>
      <c r="D1482" s="3" t="s">
        <v>7</v>
      </c>
      <c r="E1482" s="1" t="s">
        <v>14</v>
      </c>
      <c r="F1482" s="5">
        <v>46192.393587962964</v>
      </c>
      <c r="G1482" t="s">
        <v>943</v>
      </c>
      <c r="H1482" t="s">
        <v>646</v>
      </c>
    </row>
    <row r="1483" spans="1:8">
      <c r="A1483" s="4" t="s">
        <v>1773</v>
      </c>
      <c r="B1483" s="2" t="s">
        <v>9</v>
      </c>
      <c r="C1483" s="2" t="s">
        <v>10</v>
      </c>
      <c r="D1483" s="4" t="s">
        <v>7</v>
      </c>
      <c r="E1483" s="2" t="s">
        <v>11</v>
      </c>
      <c r="F1483" s="6">
        <v>46196.774618055555</v>
      </c>
      <c r="G1483" t="s">
        <v>943</v>
      </c>
      <c r="H1483" t="s">
        <v>646</v>
      </c>
    </row>
    <row r="1484" spans="1:8">
      <c r="A1484" s="3" t="s">
        <v>1774</v>
      </c>
      <c r="B1484" s="1" t="s">
        <v>653</v>
      </c>
      <c r="C1484" s="1" t="s">
        <v>654</v>
      </c>
      <c r="D1484" s="3" t="s">
        <v>7</v>
      </c>
      <c r="E1484" s="1" t="s">
        <v>647</v>
      </c>
      <c r="F1484" s="5">
        <v>46197.35527777778</v>
      </c>
      <c r="G1484" t="s">
        <v>943</v>
      </c>
      <c r="H1484" t="s">
        <v>646</v>
      </c>
    </row>
    <row r="1485" spans="1:8">
      <c r="A1485" s="4" t="s">
        <v>1775</v>
      </c>
      <c r="B1485" s="2" t="s">
        <v>6</v>
      </c>
      <c r="C1485" s="2" t="s">
        <v>6</v>
      </c>
      <c r="D1485" s="4" t="s">
        <v>7</v>
      </c>
      <c r="E1485" s="2" t="s">
        <v>8</v>
      </c>
      <c r="F1485" s="6">
        <v>46197.587326388886</v>
      </c>
      <c r="G1485" t="s">
        <v>943</v>
      </c>
      <c r="H1485" t="s">
        <v>646</v>
      </c>
    </row>
    <row r="1486" spans="1:8">
      <c r="A1486" s="3" t="s">
        <v>1776</v>
      </c>
      <c r="B1486" s="1" t="s">
        <v>9</v>
      </c>
      <c r="C1486" s="1" t="s">
        <v>10</v>
      </c>
      <c r="D1486" s="3" t="s">
        <v>7</v>
      </c>
      <c r="E1486" s="1" t="s">
        <v>11</v>
      </c>
      <c r="F1486" s="5">
        <v>46196.628252314818</v>
      </c>
      <c r="G1486" t="s">
        <v>943</v>
      </c>
      <c r="H1486" t="s">
        <v>646</v>
      </c>
    </row>
    <row r="1487" spans="1:8">
      <c r="A1487" s="4" t="s">
        <v>1777</v>
      </c>
      <c r="B1487" s="2" t="s">
        <v>1657</v>
      </c>
      <c r="C1487" s="2" t="s">
        <v>1658</v>
      </c>
      <c r="D1487" s="4" t="s">
        <v>7</v>
      </c>
      <c r="E1487" s="2" t="s">
        <v>14</v>
      </c>
      <c r="F1487" s="6">
        <v>46198.304189814815</v>
      </c>
      <c r="G1487" t="s">
        <v>943</v>
      </c>
      <c r="H1487" t="s">
        <v>646</v>
      </c>
    </row>
    <row r="1488" spans="1:8">
      <c r="A1488" s="3" t="s">
        <v>1778</v>
      </c>
      <c r="B1488" s="1" t="s">
        <v>1657</v>
      </c>
      <c r="C1488" s="1" t="s">
        <v>1658</v>
      </c>
      <c r="D1488" s="3" t="s">
        <v>7</v>
      </c>
      <c r="E1488" s="1" t="s">
        <v>14</v>
      </c>
      <c r="F1488" s="5">
        <v>46197.510497685187</v>
      </c>
      <c r="G1488" t="s">
        <v>943</v>
      </c>
      <c r="H1488" t="s">
        <v>646</v>
      </c>
    </row>
    <row r="1489" spans="1:8">
      <c r="A1489" s="4" t="s">
        <v>1779</v>
      </c>
      <c r="B1489" s="2" t="s">
        <v>1657</v>
      </c>
      <c r="C1489" s="2" t="s">
        <v>1658</v>
      </c>
      <c r="D1489" s="4" t="s">
        <v>7</v>
      </c>
      <c r="E1489" s="2" t="s">
        <v>14</v>
      </c>
      <c r="F1489" s="6">
        <v>46197.600497685184</v>
      </c>
      <c r="G1489" t="s">
        <v>943</v>
      </c>
      <c r="H1489" t="s">
        <v>646</v>
      </c>
    </row>
    <row r="1490" spans="1:8">
      <c r="A1490" s="3" t="s">
        <v>1780</v>
      </c>
      <c r="B1490" s="1" t="s">
        <v>9</v>
      </c>
      <c r="C1490" s="1" t="s">
        <v>10</v>
      </c>
      <c r="D1490" s="3" t="s">
        <v>7</v>
      </c>
      <c r="E1490" s="1" t="s">
        <v>11</v>
      </c>
      <c r="F1490" s="5">
        <v>46196.899583333332</v>
      </c>
      <c r="G1490" t="s">
        <v>943</v>
      </c>
      <c r="H1490" t="s">
        <v>646</v>
      </c>
    </row>
    <row r="1491" spans="1:8">
      <c r="A1491" s="4" t="s">
        <v>1781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46197.588206018518</v>
      </c>
      <c r="G1491" t="s">
        <v>943</v>
      </c>
      <c r="H1491" t="s">
        <v>646</v>
      </c>
    </row>
    <row r="1492" spans="1:8">
      <c r="A1492" s="3" t="s">
        <v>1782</v>
      </c>
      <c r="B1492" s="1" t="s">
        <v>275</v>
      </c>
      <c r="C1492" s="1" t="s">
        <v>276</v>
      </c>
      <c r="D1492" s="3" t="s">
        <v>7</v>
      </c>
      <c r="E1492" s="1" t="s">
        <v>277</v>
      </c>
      <c r="F1492" s="5">
        <v>46196.718993055554</v>
      </c>
      <c r="G1492" t="s">
        <v>943</v>
      </c>
      <c r="H1492" t="s">
        <v>646</v>
      </c>
    </row>
    <row r="1493" spans="1:8">
      <c r="A1493" s="4" t="s">
        <v>1783</v>
      </c>
      <c r="B1493" s="2" t="s">
        <v>1657</v>
      </c>
      <c r="C1493" s="2" t="s">
        <v>1658</v>
      </c>
      <c r="D1493" s="4" t="s">
        <v>7</v>
      </c>
      <c r="E1493" s="2" t="s">
        <v>14</v>
      </c>
      <c r="F1493" s="6">
        <v>46197.400613425925</v>
      </c>
      <c r="G1493" t="s">
        <v>943</v>
      </c>
      <c r="H1493" t="s">
        <v>646</v>
      </c>
    </row>
    <row r="1494" spans="1:8">
      <c r="A1494" s="3" t="s">
        <v>1784</v>
      </c>
      <c r="B1494" s="1" t="s">
        <v>1657</v>
      </c>
      <c r="C1494" s="1" t="s">
        <v>1658</v>
      </c>
      <c r="D1494" s="3" t="s">
        <v>7</v>
      </c>
      <c r="E1494" s="1" t="s">
        <v>14</v>
      </c>
      <c r="F1494" s="5">
        <v>46192.384722222225</v>
      </c>
      <c r="G1494" t="s">
        <v>943</v>
      </c>
      <c r="H1494" t="s">
        <v>646</v>
      </c>
    </row>
    <row r="1495" spans="1:8">
      <c r="A1495" s="4" t="s">
        <v>1785</v>
      </c>
      <c r="B1495" s="2" t="s">
        <v>1657</v>
      </c>
      <c r="C1495" s="2" t="s">
        <v>1658</v>
      </c>
      <c r="D1495" s="4" t="s">
        <v>7</v>
      </c>
      <c r="E1495" s="2" t="s">
        <v>14</v>
      </c>
      <c r="F1495" s="6">
        <v>46197.481886574074</v>
      </c>
      <c r="G1495" t="s">
        <v>943</v>
      </c>
      <c r="H1495" t="s">
        <v>646</v>
      </c>
    </row>
    <row r="1496" spans="1:8">
      <c r="A1496" s="3" t="s">
        <v>1786</v>
      </c>
      <c r="B1496" s="1" t="s">
        <v>9</v>
      </c>
      <c r="C1496" s="1" t="s">
        <v>10</v>
      </c>
      <c r="D1496" s="3" t="s">
        <v>7</v>
      </c>
      <c r="E1496" s="1" t="s">
        <v>11</v>
      </c>
      <c r="F1496" s="5">
        <v>46198.327314814815</v>
      </c>
      <c r="G1496" t="s">
        <v>943</v>
      </c>
      <c r="H1496" t="s">
        <v>646</v>
      </c>
    </row>
    <row r="1497" spans="1:8">
      <c r="A1497" s="4" t="s">
        <v>1787</v>
      </c>
      <c r="B1497" s="2" t="s">
        <v>1657</v>
      </c>
      <c r="C1497" s="2" t="s">
        <v>1658</v>
      </c>
      <c r="D1497" s="4" t="s">
        <v>7</v>
      </c>
      <c r="E1497" s="2" t="s">
        <v>14</v>
      </c>
      <c r="F1497" s="6">
        <v>46198.294409722221</v>
      </c>
      <c r="G1497" t="s">
        <v>943</v>
      </c>
      <c r="H1497" t="s">
        <v>646</v>
      </c>
    </row>
    <row r="1498" spans="1:8">
      <c r="A1498" s="3" t="s">
        <v>1788</v>
      </c>
      <c r="B1498" s="1" t="s">
        <v>1657</v>
      </c>
      <c r="C1498" s="1" t="s">
        <v>1658</v>
      </c>
      <c r="D1498" s="3" t="s">
        <v>7</v>
      </c>
      <c r="E1498" s="1" t="s">
        <v>14</v>
      </c>
      <c r="F1498" s="5">
        <v>46196.497465277775</v>
      </c>
      <c r="G1498" t="s">
        <v>943</v>
      </c>
      <c r="H1498" t="s">
        <v>646</v>
      </c>
    </row>
    <row r="1499" spans="1:8">
      <c r="A1499" s="4" t="s">
        <v>1789</v>
      </c>
      <c r="B1499" s="2" t="s">
        <v>1657</v>
      </c>
      <c r="C1499" s="2" t="s">
        <v>1658</v>
      </c>
      <c r="D1499" s="4" t="s">
        <v>7</v>
      </c>
      <c r="E1499" s="2" t="s">
        <v>14</v>
      </c>
      <c r="F1499" s="6">
        <v>46197.419768518521</v>
      </c>
      <c r="G1499" t="s">
        <v>943</v>
      </c>
      <c r="H1499" t="s">
        <v>646</v>
      </c>
    </row>
    <row r="1500" spans="1:8">
      <c r="A1500" s="3" t="s">
        <v>1790</v>
      </c>
      <c r="B1500" s="1" t="s">
        <v>9</v>
      </c>
      <c r="C1500" s="1" t="s">
        <v>10</v>
      </c>
      <c r="D1500" s="3" t="s">
        <v>7</v>
      </c>
      <c r="E1500" s="1" t="s">
        <v>11</v>
      </c>
      <c r="F1500" s="5">
        <v>46197.372997685183</v>
      </c>
      <c r="G1500" t="s">
        <v>943</v>
      </c>
      <c r="H1500" t="s">
        <v>646</v>
      </c>
    </row>
    <row r="1501" spans="1:8">
      <c r="A1501" s="4" t="s">
        <v>1791</v>
      </c>
      <c r="B1501" s="2" t="s">
        <v>9</v>
      </c>
      <c r="C1501" s="2" t="s">
        <v>10</v>
      </c>
      <c r="D1501" s="4" t="s">
        <v>7</v>
      </c>
      <c r="E1501" s="2" t="s">
        <v>11</v>
      </c>
      <c r="F1501" s="6">
        <v>46197.401967592596</v>
      </c>
      <c r="G1501" t="s">
        <v>943</v>
      </c>
      <c r="H1501" t="s">
        <v>646</v>
      </c>
    </row>
    <row r="1502" spans="1:8">
      <c r="A1502" s="3" t="s">
        <v>1792</v>
      </c>
      <c r="B1502" s="1" t="s">
        <v>9</v>
      </c>
      <c r="C1502" s="1" t="s">
        <v>10</v>
      </c>
      <c r="D1502" s="3" t="s">
        <v>7</v>
      </c>
      <c r="E1502" s="1" t="s">
        <v>11</v>
      </c>
      <c r="F1502" s="5">
        <v>46196.810532407406</v>
      </c>
      <c r="G1502" t="s">
        <v>943</v>
      </c>
      <c r="H1502" t="s">
        <v>646</v>
      </c>
    </row>
    <row r="1503" spans="1:8">
      <c r="A1503" s="4" t="s">
        <v>1793</v>
      </c>
      <c r="B1503" s="2" t="s">
        <v>9</v>
      </c>
      <c r="C1503" s="2" t="s">
        <v>10</v>
      </c>
      <c r="D1503" s="4" t="s">
        <v>7</v>
      </c>
      <c r="E1503" s="2" t="s">
        <v>11</v>
      </c>
      <c r="F1503" s="6">
        <v>46196.91978009259</v>
      </c>
      <c r="G1503" t="s">
        <v>943</v>
      </c>
      <c r="H1503" t="s">
        <v>646</v>
      </c>
    </row>
    <row r="1504" spans="1:8">
      <c r="A1504" s="3" t="s">
        <v>1794</v>
      </c>
      <c r="B1504" s="1" t="s">
        <v>9</v>
      </c>
      <c r="C1504" s="1" t="s">
        <v>10</v>
      </c>
      <c r="D1504" s="3" t="s">
        <v>7</v>
      </c>
      <c r="E1504" s="1" t="s">
        <v>11</v>
      </c>
      <c r="F1504" s="5">
        <v>46197.29760416667</v>
      </c>
      <c r="G1504" t="s">
        <v>943</v>
      </c>
      <c r="H1504" t="s">
        <v>646</v>
      </c>
    </row>
    <row r="1505" spans="1:8">
      <c r="A1505" s="4" t="s">
        <v>1795</v>
      </c>
      <c r="B1505" s="2" t="s">
        <v>1657</v>
      </c>
      <c r="C1505" s="2" t="s">
        <v>1658</v>
      </c>
      <c r="D1505" s="4" t="s">
        <v>7</v>
      </c>
      <c r="E1505" s="2" t="s">
        <v>14</v>
      </c>
      <c r="F1505" s="6">
        <v>46192.35601851852</v>
      </c>
      <c r="G1505" t="s">
        <v>943</v>
      </c>
      <c r="H1505" t="s">
        <v>646</v>
      </c>
    </row>
    <row r="1506" spans="1:8">
      <c r="A1506" s="3" t="s">
        <v>1796</v>
      </c>
      <c r="B1506" s="1" t="s">
        <v>1657</v>
      </c>
      <c r="C1506" s="1" t="s">
        <v>1658</v>
      </c>
      <c r="D1506" s="3" t="s">
        <v>7</v>
      </c>
      <c r="E1506" s="1" t="s">
        <v>14</v>
      </c>
      <c r="F1506" s="5">
        <v>46188.881064814814</v>
      </c>
      <c r="G1506" t="s">
        <v>943</v>
      </c>
      <c r="H1506" t="s">
        <v>646</v>
      </c>
    </row>
    <row r="1507" spans="1:8">
      <c r="A1507" s="4" t="s">
        <v>1797</v>
      </c>
      <c r="B1507" s="2" t="s">
        <v>1657</v>
      </c>
      <c r="C1507" s="2" t="s">
        <v>1658</v>
      </c>
      <c r="D1507" s="4" t="s">
        <v>7</v>
      </c>
      <c r="E1507" s="2" t="s">
        <v>14</v>
      </c>
      <c r="F1507" s="6">
        <v>46188.914085648146</v>
      </c>
      <c r="G1507" t="s">
        <v>943</v>
      </c>
      <c r="H1507" t="s">
        <v>646</v>
      </c>
    </row>
    <row r="1508" spans="1:8">
      <c r="A1508" s="3" t="s">
        <v>1798</v>
      </c>
      <c r="B1508" s="1" t="s">
        <v>1657</v>
      </c>
      <c r="C1508" s="1" t="s">
        <v>1658</v>
      </c>
      <c r="D1508" s="3" t="s">
        <v>7</v>
      </c>
      <c r="E1508" s="1" t="s">
        <v>14</v>
      </c>
      <c r="F1508" s="5">
        <v>46197.423842592594</v>
      </c>
      <c r="G1508" t="s">
        <v>943</v>
      </c>
      <c r="H1508" t="s">
        <v>646</v>
      </c>
    </row>
    <row r="1509" spans="1:8">
      <c r="A1509" s="4" t="s">
        <v>1799</v>
      </c>
      <c r="B1509" s="2" t="s">
        <v>1657</v>
      </c>
      <c r="C1509" s="2" t="s">
        <v>1658</v>
      </c>
      <c r="D1509" s="4" t="s">
        <v>7</v>
      </c>
      <c r="E1509" s="2" t="s">
        <v>14</v>
      </c>
      <c r="F1509" s="6">
        <v>46196.423460648148</v>
      </c>
      <c r="G1509" t="s">
        <v>943</v>
      </c>
      <c r="H1509" t="s">
        <v>646</v>
      </c>
    </row>
    <row r="1510" spans="1:8">
      <c r="A1510" s="3" t="s">
        <v>1800</v>
      </c>
      <c r="B1510" s="1" t="s">
        <v>12</v>
      </c>
      <c r="C1510" s="1" t="s">
        <v>13</v>
      </c>
      <c r="D1510" s="3" t="s">
        <v>7</v>
      </c>
      <c r="E1510" s="1" t="s">
        <v>14</v>
      </c>
      <c r="F1510" s="5">
        <v>46196.446226851855</v>
      </c>
      <c r="G1510" t="s">
        <v>943</v>
      </c>
      <c r="H1510" t="s">
        <v>646</v>
      </c>
    </row>
    <row r="1511" spans="1:8">
      <c r="A1511" s="4" t="s">
        <v>1801</v>
      </c>
      <c r="B1511" s="2" t="s">
        <v>1657</v>
      </c>
      <c r="C1511" s="2" t="s">
        <v>1658</v>
      </c>
      <c r="D1511" s="4" t="s">
        <v>7</v>
      </c>
      <c r="E1511" s="2" t="s">
        <v>14</v>
      </c>
      <c r="F1511" s="6">
        <v>46196.609780092593</v>
      </c>
      <c r="G1511" t="s">
        <v>943</v>
      </c>
      <c r="H1511" t="s">
        <v>646</v>
      </c>
    </row>
    <row r="1512" spans="1:8">
      <c r="A1512" s="3" t="s">
        <v>1802</v>
      </c>
      <c r="B1512" s="1" t="s">
        <v>1657</v>
      </c>
      <c r="C1512" s="1" t="s">
        <v>1658</v>
      </c>
      <c r="D1512" s="3" t="s">
        <v>7</v>
      </c>
      <c r="E1512" s="1" t="s">
        <v>14</v>
      </c>
      <c r="F1512" s="5">
        <v>46197.374641203707</v>
      </c>
      <c r="G1512" t="s">
        <v>943</v>
      </c>
      <c r="H1512" t="s">
        <v>646</v>
      </c>
    </row>
    <row r="1513" spans="1:8">
      <c r="A1513" s="4" t="s">
        <v>1803</v>
      </c>
      <c r="B1513" s="2" t="s">
        <v>1657</v>
      </c>
      <c r="C1513" s="2" t="s">
        <v>1658</v>
      </c>
      <c r="D1513" s="4" t="s">
        <v>7</v>
      </c>
      <c r="E1513" s="2" t="s">
        <v>14</v>
      </c>
      <c r="F1513" s="6">
        <v>46197.313946759263</v>
      </c>
      <c r="G1513" t="s">
        <v>943</v>
      </c>
      <c r="H1513" t="s">
        <v>646</v>
      </c>
    </row>
    <row r="1514" spans="1:8">
      <c r="A1514" s="3" t="s">
        <v>1804</v>
      </c>
      <c r="B1514" s="1" t="s">
        <v>1657</v>
      </c>
      <c r="C1514" s="1" t="s">
        <v>1658</v>
      </c>
      <c r="D1514" s="3" t="s">
        <v>7</v>
      </c>
      <c r="E1514" s="1" t="s">
        <v>14</v>
      </c>
      <c r="F1514" s="5">
        <v>46195.400416666664</v>
      </c>
      <c r="G1514" t="s">
        <v>943</v>
      </c>
      <c r="H1514" t="s">
        <v>646</v>
      </c>
    </row>
    <row r="1515" spans="1:8">
      <c r="A1515" s="4" t="s">
        <v>1805</v>
      </c>
      <c r="B1515" s="2" t="s">
        <v>1657</v>
      </c>
      <c r="C1515" s="2" t="s">
        <v>1658</v>
      </c>
      <c r="D1515" s="4" t="s">
        <v>7</v>
      </c>
      <c r="E1515" s="2" t="s">
        <v>14</v>
      </c>
      <c r="F1515" s="6">
        <v>46196.563969907409</v>
      </c>
      <c r="G1515" t="s">
        <v>943</v>
      </c>
      <c r="H1515" t="s">
        <v>646</v>
      </c>
    </row>
    <row r="1516" spans="1:8">
      <c r="A1516" s="3" t="s">
        <v>1806</v>
      </c>
      <c r="B1516" s="1" t="s">
        <v>1657</v>
      </c>
      <c r="C1516" s="1" t="s">
        <v>1658</v>
      </c>
      <c r="D1516" s="3" t="s">
        <v>7</v>
      </c>
      <c r="E1516" s="1" t="s">
        <v>14</v>
      </c>
      <c r="F1516" s="5">
        <v>46197.584664351853</v>
      </c>
      <c r="G1516" t="s">
        <v>943</v>
      </c>
      <c r="H1516" t="s">
        <v>646</v>
      </c>
    </row>
    <row r="1517" spans="1:8">
      <c r="A1517" s="4" t="s">
        <v>1807</v>
      </c>
      <c r="B1517" s="2" t="s">
        <v>6</v>
      </c>
      <c r="C1517" s="2" t="s">
        <v>6</v>
      </c>
      <c r="D1517" s="4" t="s">
        <v>7</v>
      </c>
      <c r="E1517" s="2" t="s">
        <v>8</v>
      </c>
      <c r="F1517" s="6">
        <v>46196.663368055553</v>
      </c>
      <c r="G1517" t="s">
        <v>943</v>
      </c>
      <c r="H1517" t="s">
        <v>646</v>
      </c>
    </row>
    <row r="1518" spans="1:8">
      <c r="A1518" s="3" t="s">
        <v>1808</v>
      </c>
      <c r="B1518" s="1" t="s">
        <v>1657</v>
      </c>
      <c r="C1518" s="1" t="s">
        <v>1658</v>
      </c>
      <c r="D1518" s="3" t="s">
        <v>7</v>
      </c>
      <c r="E1518" s="1" t="s">
        <v>14</v>
      </c>
      <c r="F1518" s="5">
        <v>46196.507418981484</v>
      </c>
      <c r="G1518" t="s">
        <v>943</v>
      </c>
      <c r="H1518" t="s">
        <v>646</v>
      </c>
    </row>
    <row r="1519" spans="1:8">
      <c r="A1519" s="4" t="s">
        <v>1809</v>
      </c>
      <c r="B1519" s="2" t="s">
        <v>1657</v>
      </c>
      <c r="C1519" s="2" t="s">
        <v>1658</v>
      </c>
      <c r="D1519" s="4" t="s">
        <v>7</v>
      </c>
      <c r="E1519" s="2" t="s">
        <v>14</v>
      </c>
      <c r="F1519" s="6">
        <v>46197.469861111109</v>
      </c>
      <c r="G1519" t="s">
        <v>943</v>
      </c>
      <c r="H1519" t="s">
        <v>646</v>
      </c>
    </row>
    <row r="1520" spans="1:8">
      <c r="A1520" s="3" t="s">
        <v>1810</v>
      </c>
      <c r="B1520" s="1" t="s">
        <v>1657</v>
      </c>
      <c r="C1520" s="1" t="s">
        <v>1658</v>
      </c>
      <c r="D1520" s="3" t="s">
        <v>7</v>
      </c>
      <c r="E1520" s="1" t="s">
        <v>14</v>
      </c>
      <c r="F1520" s="5">
        <v>46196.405624999999</v>
      </c>
      <c r="G1520" t="s">
        <v>943</v>
      </c>
      <c r="H1520" t="s">
        <v>646</v>
      </c>
    </row>
    <row r="1521" spans="1:8">
      <c r="A1521" s="3" t="s">
        <v>123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46085.504027777781</v>
      </c>
      <c r="G1521" t="s">
        <v>147</v>
      </c>
      <c r="H1521" t="s">
        <v>153</v>
      </c>
    </row>
    <row r="1522" spans="1:8">
      <c r="A1522" s="4" t="s">
        <v>124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46084.566979166666</v>
      </c>
      <c r="G1522" t="s">
        <v>147</v>
      </c>
      <c r="H1522" t="s">
        <v>153</v>
      </c>
    </row>
    <row r="1523" spans="1:8">
      <c r="A1523" s="3" t="s">
        <v>125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46098.269861111112</v>
      </c>
      <c r="G1523" t="s">
        <v>147</v>
      </c>
      <c r="H1523" t="s">
        <v>153</v>
      </c>
    </row>
    <row r="1524" spans="1:8">
      <c r="A1524" s="4" t="s">
        <v>126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46098.415717592594</v>
      </c>
      <c r="G1524" t="s">
        <v>147</v>
      </c>
      <c r="H1524" t="s">
        <v>153</v>
      </c>
    </row>
    <row r="1525" spans="1:8">
      <c r="A1525" s="3" t="s">
        <v>127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46085.320393518516</v>
      </c>
      <c r="G1525" t="s">
        <v>147</v>
      </c>
      <c r="H1525" t="s">
        <v>153</v>
      </c>
    </row>
    <row r="1526" spans="1:8">
      <c r="A1526" s="4" t="s">
        <v>129</v>
      </c>
      <c r="B1526" s="2" t="s">
        <v>98</v>
      </c>
      <c r="C1526" s="2" t="s">
        <v>99</v>
      </c>
      <c r="D1526" s="4" t="s">
        <v>7</v>
      </c>
      <c r="E1526" s="2" t="s">
        <v>100</v>
      </c>
      <c r="F1526" s="6">
        <v>46134.260034722225</v>
      </c>
      <c r="G1526" t="s">
        <v>147</v>
      </c>
      <c r="H1526" t="s">
        <v>153</v>
      </c>
    </row>
    <row r="1527" spans="1:8">
      <c r="A1527" s="3" t="s">
        <v>130</v>
      </c>
      <c r="B1527" s="1" t="s">
        <v>98</v>
      </c>
      <c r="C1527" s="1" t="s">
        <v>99</v>
      </c>
      <c r="D1527" s="3" t="s">
        <v>7</v>
      </c>
      <c r="E1527" s="1" t="s">
        <v>100</v>
      </c>
      <c r="F1527" s="5">
        <v>46085.503321759257</v>
      </c>
      <c r="G1527" t="s">
        <v>147</v>
      </c>
      <c r="H1527" t="s">
        <v>153</v>
      </c>
    </row>
    <row r="1528" spans="1:8">
      <c r="A1528" s="4" t="s">
        <v>131</v>
      </c>
      <c r="B1528" s="2" t="s">
        <v>98</v>
      </c>
      <c r="C1528" s="2" t="s">
        <v>99</v>
      </c>
      <c r="D1528" s="4" t="s">
        <v>7</v>
      </c>
      <c r="E1528" s="2" t="s">
        <v>100</v>
      </c>
      <c r="F1528" s="6">
        <v>46080.518611111111</v>
      </c>
      <c r="G1528" t="s">
        <v>147</v>
      </c>
      <c r="H1528" t="s">
        <v>153</v>
      </c>
    </row>
    <row r="1529" spans="1:8">
      <c r="A1529" s="3" t="s">
        <v>132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46134.260752314818</v>
      </c>
      <c r="G1529" t="s">
        <v>147</v>
      </c>
      <c r="H1529" t="s">
        <v>153</v>
      </c>
    </row>
    <row r="1530" spans="1:8">
      <c r="A1530" s="4" t="s">
        <v>133</v>
      </c>
      <c r="B1530" s="2" t="s">
        <v>98</v>
      </c>
      <c r="C1530" s="2" t="s">
        <v>99</v>
      </c>
      <c r="D1530" s="4" t="s">
        <v>7</v>
      </c>
      <c r="E1530" s="2" t="s">
        <v>100</v>
      </c>
      <c r="F1530" s="6">
        <v>46080.520381944443</v>
      </c>
      <c r="G1530" t="s">
        <v>147</v>
      </c>
      <c r="H1530" t="s">
        <v>153</v>
      </c>
    </row>
    <row r="1531" spans="1:8">
      <c r="A1531" s="3" t="s">
        <v>134</v>
      </c>
      <c r="B1531" s="1" t="s">
        <v>98</v>
      </c>
      <c r="C1531" s="1" t="s">
        <v>99</v>
      </c>
      <c r="D1531" s="3" t="s">
        <v>7</v>
      </c>
      <c r="E1531" s="1" t="s">
        <v>100</v>
      </c>
      <c r="F1531" s="5">
        <v>46085.504965277774</v>
      </c>
      <c r="G1531" t="s">
        <v>147</v>
      </c>
      <c r="H1531" t="s">
        <v>153</v>
      </c>
    </row>
    <row r="1532" spans="1:8">
      <c r="A1532" s="4" t="s">
        <v>135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46080.552210648151</v>
      </c>
      <c r="G1532" t="s">
        <v>147</v>
      </c>
      <c r="H1532" t="s">
        <v>153</v>
      </c>
    </row>
    <row r="1533" spans="1:8">
      <c r="A1533" s="3" t="s">
        <v>136</v>
      </c>
      <c r="B1533" s="1" t="s">
        <v>98</v>
      </c>
      <c r="C1533" s="1" t="s">
        <v>99</v>
      </c>
      <c r="D1533" s="3" t="s">
        <v>7</v>
      </c>
      <c r="E1533" s="1" t="s">
        <v>100</v>
      </c>
      <c r="F1533" s="5">
        <v>46080.521469907406</v>
      </c>
      <c r="G1533" t="s">
        <v>147</v>
      </c>
      <c r="H1533" t="s">
        <v>153</v>
      </c>
    </row>
    <row r="1534" spans="1:8">
      <c r="A1534" s="4" t="s">
        <v>137</v>
      </c>
      <c r="B1534" s="2" t="s">
        <v>98</v>
      </c>
      <c r="C1534" s="2" t="s">
        <v>99</v>
      </c>
      <c r="D1534" s="4" t="s">
        <v>7</v>
      </c>
      <c r="E1534" s="2" t="s">
        <v>100</v>
      </c>
      <c r="F1534" s="6">
        <v>46134.261747685188</v>
      </c>
      <c r="G1534" t="s">
        <v>147</v>
      </c>
      <c r="H1534" t="s">
        <v>153</v>
      </c>
    </row>
    <row r="1535" spans="1:8">
      <c r="A1535" s="3" t="s">
        <v>138</v>
      </c>
      <c r="B1535" s="1" t="s">
        <v>98</v>
      </c>
      <c r="C1535" s="1" t="s">
        <v>99</v>
      </c>
      <c r="D1535" s="3" t="s">
        <v>7</v>
      </c>
      <c r="E1535" s="1" t="s">
        <v>100</v>
      </c>
      <c r="F1535" s="5">
        <v>46098.309884259259</v>
      </c>
      <c r="G1535" t="s">
        <v>147</v>
      </c>
      <c r="H1535" t="s">
        <v>153</v>
      </c>
    </row>
    <row r="1536" spans="1:8">
      <c r="A1536" s="4" t="s">
        <v>139</v>
      </c>
      <c r="B1536" s="2" t="s">
        <v>98</v>
      </c>
      <c r="C1536" s="2" t="s">
        <v>99</v>
      </c>
      <c r="D1536" s="4" t="s">
        <v>7</v>
      </c>
      <c r="E1536" s="2" t="s">
        <v>100</v>
      </c>
      <c r="F1536" s="6">
        <v>46134.26121527778</v>
      </c>
      <c r="G1536" t="s">
        <v>147</v>
      </c>
      <c r="H1536" t="s">
        <v>153</v>
      </c>
    </row>
    <row r="1537" spans="1:8">
      <c r="A1537" s="3" t="s">
        <v>140</v>
      </c>
      <c r="B1537" s="1" t="s">
        <v>98</v>
      </c>
      <c r="C1537" s="1" t="s">
        <v>99</v>
      </c>
      <c r="D1537" s="3" t="s">
        <v>7</v>
      </c>
      <c r="E1537" s="1" t="s">
        <v>100</v>
      </c>
      <c r="F1537" s="5">
        <v>46097.368449074071</v>
      </c>
      <c r="G1537" t="s">
        <v>147</v>
      </c>
      <c r="H1537" t="s">
        <v>153</v>
      </c>
    </row>
    <row r="1538" spans="1:8">
      <c r="A1538" s="4" t="s">
        <v>141</v>
      </c>
      <c r="B1538" s="2" t="s">
        <v>98</v>
      </c>
      <c r="C1538" s="2" t="s">
        <v>99</v>
      </c>
      <c r="D1538" s="4" t="s">
        <v>7</v>
      </c>
      <c r="E1538" s="2" t="s">
        <v>100</v>
      </c>
      <c r="F1538" s="6">
        <v>46111.557569444441</v>
      </c>
      <c r="G1538" t="s">
        <v>147</v>
      </c>
      <c r="H1538" t="s">
        <v>153</v>
      </c>
    </row>
    <row r="1539" spans="1:8">
      <c r="A1539" s="3" t="s">
        <v>142</v>
      </c>
      <c r="B1539" s="1" t="s">
        <v>98</v>
      </c>
      <c r="C1539" s="1" t="s">
        <v>99</v>
      </c>
      <c r="D1539" s="3" t="s">
        <v>7</v>
      </c>
      <c r="E1539" s="1" t="s">
        <v>100</v>
      </c>
      <c r="F1539" s="5">
        <v>46111.559004629627</v>
      </c>
      <c r="G1539" t="s">
        <v>147</v>
      </c>
      <c r="H1539" t="s">
        <v>153</v>
      </c>
    </row>
    <row r="1540" spans="1:8">
      <c r="A1540" s="4" t="s">
        <v>143</v>
      </c>
      <c r="B1540" s="2" t="s">
        <v>98</v>
      </c>
      <c r="C1540" s="2" t="s">
        <v>99</v>
      </c>
      <c r="D1540" s="4" t="s">
        <v>7</v>
      </c>
      <c r="E1540" s="2" t="s">
        <v>100</v>
      </c>
      <c r="F1540" s="6">
        <v>46111.560324074075</v>
      </c>
      <c r="G1540" t="s">
        <v>147</v>
      </c>
      <c r="H1540" t="s">
        <v>153</v>
      </c>
    </row>
    <row r="1541" spans="1:8">
      <c r="A1541" s="3" t="s">
        <v>351</v>
      </c>
      <c r="B1541" s="1" t="s">
        <v>948</v>
      </c>
      <c r="C1541" s="1" t="s">
        <v>949</v>
      </c>
      <c r="D1541" s="3" t="s">
        <v>7</v>
      </c>
      <c r="E1541" s="1" t="s">
        <v>14</v>
      </c>
      <c r="F1541" s="5">
        <v>46160.319953703707</v>
      </c>
      <c r="G1541" t="s">
        <v>318</v>
      </c>
      <c r="H1541" t="s">
        <v>320</v>
      </c>
    </row>
    <row r="1542" spans="1:8">
      <c r="A1542" s="4" t="s">
        <v>352</v>
      </c>
      <c r="B1542" s="2" t="s">
        <v>98</v>
      </c>
      <c r="C1542" s="2" t="s">
        <v>99</v>
      </c>
      <c r="D1542" s="4" t="s">
        <v>7</v>
      </c>
      <c r="E1542" s="2" t="s">
        <v>100</v>
      </c>
      <c r="F1542" s="6">
        <v>46155.258032407408</v>
      </c>
      <c r="G1542" t="s">
        <v>318</v>
      </c>
      <c r="H1542" t="s">
        <v>320</v>
      </c>
    </row>
    <row r="1543" spans="1:8">
      <c r="A1543" s="3" t="s">
        <v>353</v>
      </c>
      <c r="B1543" s="1" t="s">
        <v>98</v>
      </c>
      <c r="C1543" s="1" t="s">
        <v>99</v>
      </c>
      <c r="D1543" s="3" t="s">
        <v>7</v>
      </c>
      <c r="E1543" s="1" t="s">
        <v>100</v>
      </c>
      <c r="F1543" s="5">
        <v>46155.27652777778</v>
      </c>
      <c r="G1543" t="s">
        <v>318</v>
      </c>
      <c r="H1543" t="s">
        <v>320</v>
      </c>
    </row>
    <row r="1544" spans="1:8">
      <c r="A1544" s="4" t="s">
        <v>354</v>
      </c>
      <c r="B1544" s="2" t="s">
        <v>948</v>
      </c>
      <c r="C1544" s="2" t="s">
        <v>949</v>
      </c>
      <c r="D1544" s="4" t="s">
        <v>7</v>
      </c>
      <c r="E1544" s="2" t="s">
        <v>14</v>
      </c>
      <c r="F1544" s="6">
        <v>46160.412141203706</v>
      </c>
      <c r="G1544" t="s">
        <v>318</v>
      </c>
      <c r="H1544" t="s">
        <v>320</v>
      </c>
    </row>
    <row r="1545" spans="1:8">
      <c r="A1545" s="3" t="s">
        <v>355</v>
      </c>
      <c r="B1545" s="1" t="s">
        <v>98</v>
      </c>
      <c r="C1545" s="1" t="s">
        <v>99</v>
      </c>
      <c r="D1545" s="3" t="s">
        <v>7</v>
      </c>
      <c r="E1545" s="1" t="s">
        <v>100</v>
      </c>
      <c r="F1545" s="5">
        <v>46155.280347222222</v>
      </c>
      <c r="G1545" t="s">
        <v>318</v>
      </c>
      <c r="H1545" t="s">
        <v>320</v>
      </c>
    </row>
    <row r="1546" spans="1:8">
      <c r="A1546" s="4" t="s">
        <v>356</v>
      </c>
      <c r="B1546" s="2" t="s">
        <v>98</v>
      </c>
      <c r="C1546" s="2" t="s">
        <v>99</v>
      </c>
      <c r="D1546" s="4" t="s">
        <v>7</v>
      </c>
      <c r="E1546" s="2" t="s">
        <v>100</v>
      </c>
      <c r="F1546" s="6">
        <v>46155.280856481484</v>
      </c>
      <c r="G1546" t="s">
        <v>318</v>
      </c>
      <c r="H1546" t="s">
        <v>320</v>
      </c>
    </row>
    <row r="1547" spans="1:8">
      <c r="A1547" s="3" t="s">
        <v>357</v>
      </c>
      <c r="B1547" s="1" t="s">
        <v>98</v>
      </c>
      <c r="C1547" s="1" t="s">
        <v>99</v>
      </c>
      <c r="D1547" s="3" t="s">
        <v>7</v>
      </c>
      <c r="E1547" s="1" t="s">
        <v>100</v>
      </c>
      <c r="F1547" s="5">
        <v>46155.281192129631</v>
      </c>
      <c r="G1547" t="s">
        <v>318</v>
      </c>
      <c r="H1547" t="s">
        <v>320</v>
      </c>
    </row>
    <row r="1548" spans="1:8">
      <c r="A1548" s="4" t="s">
        <v>358</v>
      </c>
      <c r="B1548" s="2" t="s">
        <v>98</v>
      </c>
      <c r="C1548" s="2" t="s">
        <v>99</v>
      </c>
      <c r="D1548" s="4" t="s">
        <v>7</v>
      </c>
      <c r="E1548" s="2" t="s">
        <v>100</v>
      </c>
      <c r="F1548" s="6">
        <v>46155.2815162037</v>
      </c>
      <c r="G1548" t="s">
        <v>318</v>
      </c>
      <c r="H1548" t="s">
        <v>320</v>
      </c>
    </row>
    <row r="1549" spans="1:8">
      <c r="A1549" s="3" t="s">
        <v>359</v>
      </c>
      <c r="B1549" s="1" t="s">
        <v>948</v>
      </c>
      <c r="C1549" s="1" t="s">
        <v>949</v>
      </c>
      <c r="D1549" s="3" t="s">
        <v>7</v>
      </c>
      <c r="E1549" s="1" t="s">
        <v>14</v>
      </c>
      <c r="F1549" s="5">
        <v>46160.403090277781</v>
      </c>
      <c r="G1549" t="s">
        <v>318</v>
      </c>
      <c r="H1549" t="s">
        <v>320</v>
      </c>
    </row>
    <row r="1550" spans="1:8">
      <c r="A1550" s="4" t="s">
        <v>360</v>
      </c>
      <c r="B1550" s="2" t="s">
        <v>98</v>
      </c>
      <c r="C1550" s="2" t="s">
        <v>99</v>
      </c>
      <c r="D1550" s="4" t="s">
        <v>7</v>
      </c>
      <c r="E1550" s="2" t="s">
        <v>100</v>
      </c>
      <c r="F1550" s="6">
        <v>46174.486446759256</v>
      </c>
      <c r="G1550" t="s">
        <v>318</v>
      </c>
      <c r="H1550" t="s">
        <v>320</v>
      </c>
    </row>
    <row r="1551" spans="1:8">
      <c r="A1551" s="3" t="s">
        <v>361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46155.27915509259</v>
      </c>
      <c r="G1551" t="s">
        <v>318</v>
      </c>
      <c r="H1551" t="s">
        <v>320</v>
      </c>
    </row>
    <row r="1552" spans="1:8">
      <c r="A1552" s="4" t="s">
        <v>362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46174.487083333333</v>
      </c>
      <c r="G1552" t="s">
        <v>318</v>
      </c>
      <c r="H1552" t="s">
        <v>320</v>
      </c>
    </row>
    <row r="1553" spans="1:8">
      <c r="A1553" s="3" t="s">
        <v>363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46155.279768518521</v>
      </c>
      <c r="G1553" t="s">
        <v>318</v>
      </c>
      <c r="H1553" t="s">
        <v>320</v>
      </c>
    </row>
    <row r="1554" spans="1:8">
      <c r="A1554" s="4" t="s">
        <v>364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46174.487685185188</v>
      </c>
      <c r="G1554" t="s">
        <v>318</v>
      </c>
      <c r="H1554" t="s">
        <v>320</v>
      </c>
    </row>
    <row r="1555" spans="1:8">
      <c r="A1555" s="3" t="s">
        <v>365</v>
      </c>
      <c r="B1555" s="1" t="s">
        <v>948</v>
      </c>
      <c r="C1555" s="1" t="s">
        <v>949</v>
      </c>
      <c r="D1555" s="3" t="s">
        <v>7</v>
      </c>
      <c r="E1555" s="1" t="s">
        <v>14</v>
      </c>
      <c r="F1555" s="5">
        <v>46160.328935185185</v>
      </c>
      <c r="G1555" t="s">
        <v>318</v>
      </c>
      <c r="H1555" t="s">
        <v>320</v>
      </c>
    </row>
    <row r="1556" spans="1:8">
      <c r="A1556" s="3" t="s">
        <v>1661</v>
      </c>
      <c r="B1556" s="1" t="s">
        <v>98</v>
      </c>
      <c r="C1556" s="1" t="s">
        <v>99</v>
      </c>
      <c r="D1556" s="3" t="s">
        <v>7</v>
      </c>
      <c r="E1556" s="1" t="s">
        <v>100</v>
      </c>
      <c r="F1556" s="5">
        <v>46181.597280092596</v>
      </c>
      <c r="G1556" t="s">
        <v>509</v>
      </c>
      <c r="H1556" t="s">
        <v>941</v>
      </c>
    </row>
    <row r="1557" spans="1:8">
      <c r="A1557" s="4" t="s">
        <v>1662</v>
      </c>
      <c r="B1557" s="2" t="s">
        <v>98</v>
      </c>
      <c r="C1557" s="2" t="s">
        <v>99</v>
      </c>
      <c r="D1557" s="4" t="s">
        <v>7</v>
      </c>
      <c r="E1557" s="2" t="s">
        <v>100</v>
      </c>
      <c r="F1557" s="6">
        <v>46185.436018518521</v>
      </c>
      <c r="G1557" t="s">
        <v>509</v>
      </c>
      <c r="H1557" t="s">
        <v>941</v>
      </c>
    </row>
    <row r="1558" spans="1:8">
      <c r="A1558" s="3" t="s">
        <v>1663</v>
      </c>
      <c r="B1558" s="1" t="s">
        <v>98</v>
      </c>
      <c r="C1558" s="1" t="s">
        <v>99</v>
      </c>
      <c r="D1558" s="3" t="s">
        <v>7</v>
      </c>
      <c r="E1558" s="1" t="s">
        <v>100</v>
      </c>
      <c r="F1558" s="5">
        <v>46181.596944444442</v>
      </c>
      <c r="G1558" t="s">
        <v>509</v>
      </c>
      <c r="H1558" t="s">
        <v>941</v>
      </c>
    </row>
    <row r="1559" spans="1:8">
      <c r="A1559" s="4" t="s">
        <v>1664</v>
      </c>
      <c r="B1559" s="2" t="s">
        <v>98</v>
      </c>
      <c r="C1559" s="2" t="s">
        <v>99</v>
      </c>
      <c r="D1559" s="4" t="s">
        <v>7</v>
      </c>
      <c r="E1559" s="2" t="s">
        <v>100</v>
      </c>
      <c r="F1559" s="6">
        <v>46185.435671296298</v>
      </c>
      <c r="G1559" t="s">
        <v>509</v>
      </c>
      <c r="H1559" t="s">
        <v>941</v>
      </c>
    </row>
    <row r="1560" spans="1:8">
      <c r="A1560" s="3" t="s">
        <v>1665</v>
      </c>
      <c r="B1560" s="1" t="s">
        <v>98</v>
      </c>
      <c r="C1560" s="1" t="s">
        <v>99</v>
      </c>
      <c r="D1560" s="3" t="s">
        <v>7</v>
      </c>
      <c r="E1560" s="1" t="s">
        <v>100</v>
      </c>
      <c r="F1560" s="5">
        <v>46185.435300925928</v>
      </c>
      <c r="G1560" t="s">
        <v>509</v>
      </c>
      <c r="H1560" t="s">
        <v>941</v>
      </c>
    </row>
    <row r="1561" spans="1:8">
      <c r="A1561" s="4" t="s">
        <v>1666</v>
      </c>
      <c r="B1561" s="2" t="s">
        <v>98</v>
      </c>
      <c r="C1561" s="2" t="s">
        <v>99</v>
      </c>
      <c r="D1561" s="4" t="s">
        <v>7</v>
      </c>
      <c r="E1561" s="2" t="s">
        <v>100</v>
      </c>
      <c r="F1561" s="6">
        <v>46191.321516203701</v>
      </c>
      <c r="G1561" t="s">
        <v>509</v>
      </c>
      <c r="H1561" t="s">
        <v>941</v>
      </c>
    </row>
    <row r="1562" spans="1:8">
      <c r="A1562" s="3" t="s">
        <v>1667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46197.511006944442</v>
      </c>
      <c r="G1562" t="s">
        <v>509</v>
      </c>
      <c r="H1562" t="s">
        <v>941</v>
      </c>
    </row>
    <row r="1563" spans="1:8">
      <c r="A1563" s="4" t="s">
        <v>1668</v>
      </c>
      <c r="B1563" s="2" t="s">
        <v>643</v>
      </c>
      <c r="C1563" s="2" t="s">
        <v>644</v>
      </c>
      <c r="D1563" s="4" t="s">
        <v>7</v>
      </c>
      <c r="E1563" s="2" t="s">
        <v>14</v>
      </c>
      <c r="F1563" s="6">
        <v>46197.656724537039</v>
      </c>
      <c r="G1563" t="s">
        <v>509</v>
      </c>
      <c r="H1563" t="s">
        <v>941</v>
      </c>
    </row>
    <row r="1564" spans="1:8">
      <c r="A1564" s="3" t="s">
        <v>1669</v>
      </c>
      <c r="B1564" s="1" t="s">
        <v>98</v>
      </c>
      <c r="C1564" s="1" t="s">
        <v>99</v>
      </c>
      <c r="D1564" s="3" t="s">
        <v>7</v>
      </c>
      <c r="E1564" s="1" t="s">
        <v>100</v>
      </c>
      <c r="F1564" s="5">
        <v>46185.434791666667</v>
      </c>
      <c r="G1564" t="s">
        <v>509</v>
      </c>
      <c r="H1564" t="s">
        <v>941</v>
      </c>
    </row>
    <row r="1565" spans="1:8">
      <c r="A1565" s="4" t="s">
        <v>1670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46197.511423611111</v>
      </c>
      <c r="G1565" t="s">
        <v>509</v>
      </c>
      <c r="H1565" t="s">
        <v>941</v>
      </c>
    </row>
    <row r="1566" spans="1:8">
      <c r="A1566" s="3" t="s">
        <v>1671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46191.32234953704</v>
      </c>
      <c r="G1566" t="s">
        <v>509</v>
      </c>
      <c r="H1566" t="s">
        <v>941</v>
      </c>
    </row>
    <row r="1567" spans="1:8">
      <c r="A1567" s="4" t="s">
        <v>1672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46189.363993055558</v>
      </c>
      <c r="G1567" t="s">
        <v>509</v>
      </c>
      <c r="H1567" t="s">
        <v>941</v>
      </c>
    </row>
    <row r="1568" spans="1:8">
      <c r="A1568" s="3" t="s">
        <v>1673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46191.32267361111</v>
      </c>
      <c r="G1568" t="s">
        <v>509</v>
      </c>
      <c r="H1568" t="s">
        <v>941</v>
      </c>
    </row>
    <row r="1569" spans="1:8">
      <c r="A1569" s="4" t="s">
        <v>1674</v>
      </c>
      <c r="B1569" s="2" t="s">
        <v>98</v>
      </c>
      <c r="C1569" s="2" t="s">
        <v>99</v>
      </c>
      <c r="D1569" s="4" t="s">
        <v>7</v>
      </c>
      <c r="E1569" s="2" t="s">
        <v>100</v>
      </c>
      <c r="F1569" s="6">
        <v>46197.511793981481</v>
      </c>
      <c r="G1569" t="s">
        <v>509</v>
      </c>
      <c r="H1569" t="s">
        <v>941</v>
      </c>
    </row>
    <row r="1570" spans="1:8">
      <c r="A1570" s="3" t="s">
        <v>1675</v>
      </c>
      <c r="B1570" s="1" t="s">
        <v>1884</v>
      </c>
      <c r="C1570" s="1" t="s">
        <v>1885</v>
      </c>
      <c r="D1570" s="3" t="s">
        <v>7</v>
      </c>
      <c r="E1570" s="1" t="s">
        <v>647</v>
      </c>
      <c r="F1570" s="5">
        <v>46190.566134259258</v>
      </c>
      <c r="G1570" t="s">
        <v>509</v>
      </c>
      <c r="H1570" t="s">
        <v>941</v>
      </c>
    </row>
    <row r="1571" spans="1:8">
      <c r="A1571" s="4" t="s">
        <v>1676</v>
      </c>
      <c r="B1571" s="2" t="s">
        <v>98</v>
      </c>
      <c r="C1571" s="2" t="s">
        <v>99</v>
      </c>
      <c r="D1571" s="4" t="s">
        <v>7</v>
      </c>
      <c r="E1571" s="2" t="s">
        <v>100</v>
      </c>
      <c r="F1571" s="6">
        <v>46191.323136574072</v>
      </c>
      <c r="G1571" t="s">
        <v>509</v>
      </c>
      <c r="H1571" t="s">
        <v>941</v>
      </c>
    </row>
    <row r="1572" spans="1:8">
      <c r="A1572" s="3" t="s">
        <v>1677</v>
      </c>
      <c r="B1572" s="1" t="s">
        <v>98</v>
      </c>
      <c r="C1572" s="1" t="s">
        <v>99</v>
      </c>
      <c r="D1572" s="3" t="s">
        <v>7</v>
      </c>
      <c r="E1572" s="1" t="s">
        <v>100</v>
      </c>
      <c r="F1572" s="5">
        <v>46191.324201388888</v>
      </c>
      <c r="G1572" t="s">
        <v>509</v>
      </c>
      <c r="H1572" t="s">
        <v>941</v>
      </c>
    </row>
    <row r="1573" spans="1:8">
      <c r="A1573" s="4" t="s">
        <v>1678</v>
      </c>
      <c r="B1573" s="2" t="s">
        <v>98</v>
      </c>
      <c r="C1573" s="2" t="s">
        <v>99</v>
      </c>
      <c r="D1573" s="4" t="s">
        <v>7</v>
      </c>
      <c r="E1573" s="2" t="s">
        <v>100</v>
      </c>
      <c r="F1573" s="6">
        <v>46196.521874999999</v>
      </c>
      <c r="G1573" t="s">
        <v>509</v>
      </c>
      <c r="H1573" t="s">
        <v>941</v>
      </c>
    </row>
    <row r="1574" spans="1:8">
      <c r="A1574" s="3" t="s">
        <v>1679</v>
      </c>
      <c r="B1574" s="1" t="s">
        <v>98</v>
      </c>
      <c r="C1574" s="1" t="s">
        <v>99</v>
      </c>
      <c r="D1574" s="3" t="s">
        <v>7</v>
      </c>
      <c r="E1574" s="1" t="s">
        <v>100</v>
      </c>
      <c r="F1574" s="5">
        <v>46197.508287037039</v>
      </c>
      <c r="G1574" t="s">
        <v>509</v>
      </c>
      <c r="H1574" t="s">
        <v>941</v>
      </c>
    </row>
    <row r="1575" spans="1:8">
      <c r="A1575" s="4" t="s">
        <v>1680</v>
      </c>
      <c r="B1575" s="2" t="s">
        <v>98</v>
      </c>
      <c r="C1575" s="2" t="s">
        <v>99</v>
      </c>
      <c r="D1575" s="4" t="s">
        <v>7</v>
      </c>
      <c r="E1575" s="2" t="s">
        <v>100</v>
      </c>
      <c r="F1575" s="6">
        <v>46197.508784722224</v>
      </c>
      <c r="G1575" t="s">
        <v>509</v>
      </c>
      <c r="H1575" t="s">
        <v>941</v>
      </c>
    </row>
    <row r="1576" spans="1:8">
      <c r="A1576" s="3" t="s">
        <v>1681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46197.507928240739</v>
      </c>
      <c r="G1576" t="s">
        <v>509</v>
      </c>
      <c r="H1576" t="s">
        <v>941</v>
      </c>
    </row>
    <row r="1577" spans="1:8">
      <c r="A1577" s="4" t="s">
        <v>1682</v>
      </c>
      <c r="B1577" s="2" t="s">
        <v>643</v>
      </c>
      <c r="C1577" s="2" t="s">
        <v>644</v>
      </c>
      <c r="D1577" s="4" t="s">
        <v>7</v>
      </c>
      <c r="E1577" s="2" t="s">
        <v>14</v>
      </c>
      <c r="F1577" s="6">
        <v>46198.297881944447</v>
      </c>
      <c r="G1577" t="s">
        <v>509</v>
      </c>
      <c r="H1577" t="s">
        <v>941</v>
      </c>
    </row>
    <row r="1578" spans="1:8">
      <c r="A1578" s="3" t="s">
        <v>1683</v>
      </c>
      <c r="B1578" s="1" t="s">
        <v>643</v>
      </c>
      <c r="C1578" s="1" t="s">
        <v>644</v>
      </c>
      <c r="D1578" s="3" t="s">
        <v>7</v>
      </c>
      <c r="E1578" s="1" t="s">
        <v>14</v>
      </c>
      <c r="F1578" s="5">
        <v>46196.693368055552</v>
      </c>
      <c r="G1578" t="s">
        <v>509</v>
      </c>
      <c r="H1578" t="s">
        <v>941</v>
      </c>
    </row>
    <row r="1579" spans="1:8">
      <c r="A1579" s="4" t="s">
        <v>1684</v>
      </c>
      <c r="B1579" s="2" t="s">
        <v>643</v>
      </c>
      <c r="C1579" s="2" t="s">
        <v>644</v>
      </c>
      <c r="D1579" s="4" t="s">
        <v>7</v>
      </c>
      <c r="E1579" s="2" t="s">
        <v>14</v>
      </c>
      <c r="F1579" s="6">
        <v>46198.305844907409</v>
      </c>
      <c r="G1579" t="s">
        <v>509</v>
      </c>
      <c r="H1579" t="s">
        <v>941</v>
      </c>
    </row>
    <row r="1580" spans="1:8">
      <c r="A1580" s="3" t="s">
        <v>1685</v>
      </c>
      <c r="B1580" s="1" t="s">
        <v>1884</v>
      </c>
      <c r="C1580" s="1" t="s">
        <v>1885</v>
      </c>
      <c r="D1580" s="3" t="s">
        <v>7</v>
      </c>
      <c r="E1580" s="1" t="s">
        <v>647</v>
      </c>
      <c r="F1580" s="5">
        <v>46198.305162037039</v>
      </c>
      <c r="G1580" t="s">
        <v>509</v>
      </c>
      <c r="H1580" t="s">
        <v>941</v>
      </c>
    </row>
    <row r="1581" spans="1:8">
      <c r="A1581" s="4" t="s">
        <v>1686</v>
      </c>
      <c r="B1581" s="2" t="s">
        <v>1997</v>
      </c>
      <c r="C1581" s="2" t="s">
        <v>1998</v>
      </c>
      <c r="D1581" s="4" t="s">
        <v>7</v>
      </c>
      <c r="E1581" s="2" t="s">
        <v>157</v>
      </c>
      <c r="F1581" s="6">
        <v>46198.312939814816</v>
      </c>
      <c r="G1581" t="s">
        <v>509</v>
      </c>
      <c r="H1581" t="s">
        <v>941</v>
      </c>
    </row>
    <row r="1582" spans="1:8">
      <c r="A1582" s="3" t="s">
        <v>1687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46174.553715277776</v>
      </c>
      <c r="G1582" t="s">
        <v>509</v>
      </c>
      <c r="H1582" t="s">
        <v>941</v>
      </c>
    </row>
    <row r="1583" spans="1:8">
      <c r="A1583" s="4" t="s">
        <v>1688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46174.553715277776</v>
      </c>
      <c r="G1583" t="s">
        <v>509</v>
      </c>
      <c r="H1583" t="s">
        <v>941</v>
      </c>
    </row>
    <row r="1584" spans="1:8">
      <c r="A1584" s="3" t="s">
        <v>1689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46174.553715277776</v>
      </c>
      <c r="G1584" t="s">
        <v>509</v>
      </c>
      <c r="H1584" t="s">
        <v>941</v>
      </c>
    </row>
    <row r="1585" spans="1:8">
      <c r="A1585" s="4" t="s">
        <v>1690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46174.553715277776</v>
      </c>
      <c r="G1585" t="s">
        <v>509</v>
      </c>
      <c r="H1585" t="s">
        <v>941</v>
      </c>
    </row>
    <row r="1586" spans="1:8">
      <c r="A1586" s="3" t="s">
        <v>1920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46189.601875</v>
      </c>
      <c r="G1586" t="s">
        <v>966</v>
      </c>
      <c r="H1586" t="s">
        <v>941</v>
      </c>
    </row>
    <row r="1587" spans="1:8">
      <c r="A1587" s="4" t="s">
        <v>1921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46189.601875</v>
      </c>
      <c r="G1587" t="s">
        <v>966</v>
      </c>
      <c r="H1587" t="s">
        <v>941</v>
      </c>
    </row>
    <row r="1588" spans="1:8">
      <c r="A1588" s="3" t="s">
        <v>1922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46189.601875</v>
      </c>
      <c r="G1588" t="s">
        <v>966</v>
      </c>
      <c r="H1588" t="s">
        <v>941</v>
      </c>
    </row>
    <row r="1589" spans="1:8">
      <c r="A1589" s="4" t="s">
        <v>1923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46189.601875</v>
      </c>
      <c r="G1589" t="s">
        <v>966</v>
      </c>
      <c r="H1589" t="s">
        <v>941</v>
      </c>
    </row>
    <row r="1590" spans="1:8">
      <c r="A1590" s="3" t="s">
        <v>1924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46189.601875</v>
      </c>
      <c r="G1590" t="s">
        <v>966</v>
      </c>
      <c r="H1590" t="s">
        <v>941</v>
      </c>
    </row>
    <row r="1591" spans="1:8">
      <c r="A1591" s="4" t="s">
        <v>1925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46189.601875</v>
      </c>
      <c r="G1591" t="s">
        <v>966</v>
      </c>
      <c r="H1591" t="s">
        <v>941</v>
      </c>
    </row>
    <row r="1592" spans="1:8">
      <c r="A1592" s="3" t="s">
        <v>1926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46189.601875</v>
      </c>
      <c r="G1592" t="s">
        <v>966</v>
      </c>
      <c r="H1592" t="s">
        <v>941</v>
      </c>
    </row>
    <row r="1593" spans="1:8">
      <c r="A1593" s="4" t="s">
        <v>1927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46189.601875</v>
      </c>
      <c r="G1593" t="s">
        <v>966</v>
      </c>
      <c r="H1593" t="s">
        <v>941</v>
      </c>
    </row>
    <row r="1594" spans="1:8">
      <c r="A1594" s="3" t="s">
        <v>1928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46189.601875</v>
      </c>
      <c r="G1594" t="s">
        <v>966</v>
      </c>
      <c r="H1594" t="s">
        <v>941</v>
      </c>
    </row>
    <row r="1595" spans="1:8">
      <c r="A1595" s="4" t="s">
        <v>1929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46189.601875</v>
      </c>
      <c r="G1595" t="s">
        <v>966</v>
      </c>
      <c r="H1595" t="s">
        <v>941</v>
      </c>
    </row>
    <row r="1596" spans="1:8">
      <c r="A1596" s="3" t="s">
        <v>1930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46189.601875</v>
      </c>
      <c r="G1596" t="s">
        <v>966</v>
      </c>
      <c r="H1596" t="s">
        <v>941</v>
      </c>
    </row>
    <row r="1597" spans="1:8">
      <c r="A1597" s="4" t="s">
        <v>1931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46189.601875</v>
      </c>
      <c r="G1597" t="s">
        <v>966</v>
      </c>
      <c r="H1597" t="s">
        <v>941</v>
      </c>
    </row>
    <row r="1598" spans="1:8">
      <c r="A1598" s="3" t="s">
        <v>1932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46189.601875</v>
      </c>
      <c r="G1598" t="s">
        <v>966</v>
      </c>
      <c r="H1598" t="s">
        <v>941</v>
      </c>
    </row>
    <row r="1599" spans="1:8">
      <c r="A1599" s="4" t="s">
        <v>1933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46189.601875</v>
      </c>
      <c r="G1599" t="s">
        <v>966</v>
      </c>
      <c r="H1599" t="s">
        <v>941</v>
      </c>
    </row>
    <row r="1600" spans="1:8">
      <c r="A1600" s="3" t="s">
        <v>1934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46189.601875</v>
      </c>
      <c r="G1600" t="s">
        <v>966</v>
      </c>
      <c r="H1600" t="s">
        <v>941</v>
      </c>
    </row>
    <row r="1601" spans="1:8">
      <c r="A1601" s="4" t="s">
        <v>1935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46189.601875</v>
      </c>
      <c r="G1601" t="s">
        <v>966</v>
      </c>
      <c r="H1601" t="s">
        <v>941</v>
      </c>
    </row>
    <row r="1602" spans="1:8">
      <c r="A1602" s="3" t="s">
        <v>1936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46189.601875</v>
      </c>
      <c r="G1602" t="s">
        <v>966</v>
      </c>
      <c r="H1602" t="s">
        <v>941</v>
      </c>
    </row>
    <row r="1603" spans="1:8">
      <c r="A1603" s="4" t="s">
        <v>1937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46189.601875</v>
      </c>
      <c r="G1603" t="s">
        <v>966</v>
      </c>
      <c r="H1603" t="s">
        <v>941</v>
      </c>
    </row>
    <row r="1604" spans="1:8">
      <c r="A1604" s="3" t="s">
        <v>1938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46189.601875</v>
      </c>
      <c r="G1604" t="s">
        <v>966</v>
      </c>
      <c r="H1604" t="s">
        <v>941</v>
      </c>
    </row>
    <row r="1605" spans="1:8">
      <c r="A1605" s="4" t="s">
        <v>1939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46189.601875</v>
      </c>
      <c r="G1605" t="s">
        <v>966</v>
      </c>
      <c r="H1605" t="s">
        <v>941</v>
      </c>
    </row>
    <row r="1606" spans="1:8">
      <c r="A1606" s="3" t="s">
        <v>1940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46189.601875</v>
      </c>
      <c r="G1606" t="s">
        <v>966</v>
      </c>
      <c r="H1606" t="s">
        <v>941</v>
      </c>
    </row>
    <row r="1607" spans="1:8">
      <c r="A1607" s="4" t="s">
        <v>1941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46189.601875</v>
      </c>
      <c r="G1607" t="s">
        <v>966</v>
      </c>
      <c r="H1607" t="s">
        <v>941</v>
      </c>
    </row>
    <row r="1608" spans="1:8">
      <c r="A1608" s="3" t="s">
        <v>1942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46189.601875</v>
      </c>
      <c r="G1608" t="s">
        <v>966</v>
      </c>
      <c r="H1608" t="s">
        <v>941</v>
      </c>
    </row>
    <row r="1609" spans="1:8">
      <c r="A1609" s="4" t="s">
        <v>1943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46189.601875</v>
      </c>
      <c r="G1609" t="s">
        <v>966</v>
      </c>
      <c r="H1609" t="s">
        <v>941</v>
      </c>
    </row>
    <row r="1610" spans="1:8">
      <c r="A1610" s="3" t="s">
        <v>1944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46189.601875</v>
      </c>
      <c r="G1610" t="s">
        <v>966</v>
      </c>
      <c r="H1610" t="s">
        <v>941</v>
      </c>
    </row>
    <row r="1611" spans="1:8">
      <c r="A1611" s="4" t="s">
        <v>1945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46189.601875</v>
      </c>
      <c r="G1611" t="s">
        <v>966</v>
      </c>
      <c r="H1611" t="s">
        <v>941</v>
      </c>
    </row>
    <row r="1612" spans="1:8">
      <c r="A1612" s="3" t="s">
        <v>1946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46189.601875</v>
      </c>
      <c r="G1612" t="s">
        <v>966</v>
      </c>
      <c r="H1612" t="s">
        <v>941</v>
      </c>
    </row>
    <row r="1613" spans="1:8">
      <c r="A1613" s="4" t="s">
        <v>1947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46189.601875</v>
      </c>
      <c r="G1613" t="s">
        <v>966</v>
      </c>
      <c r="H1613" t="s">
        <v>941</v>
      </c>
    </row>
    <row r="1614" spans="1:8">
      <c r="A1614" s="3" t="s">
        <v>1948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46189.601875</v>
      </c>
      <c r="G1614" t="s">
        <v>966</v>
      </c>
      <c r="H1614" t="s">
        <v>941</v>
      </c>
    </row>
    <row r="1615" spans="1:8">
      <c r="A1615" s="4" t="s">
        <v>1949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46189.601875</v>
      </c>
      <c r="G1615" t="s">
        <v>966</v>
      </c>
      <c r="H1615" t="s">
        <v>941</v>
      </c>
    </row>
    <row r="1616" spans="1:8">
      <c r="A1616" s="3" t="s">
        <v>1950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46189.601875</v>
      </c>
      <c r="G1616" t="s">
        <v>966</v>
      </c>
      <c r="H1616" t="s">
        <v>941</v>
      </c>
    </row>
    <row r="1617" spans="1:8">
      <c r="A1617" s="4" t="s">
        <v>1951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46189.601875</v>
      </c>
      <c r="G1617" t="s">
        <v>966</v>
      </c>
      <c r="H1617" t="s">
        <v>941</v>
      </c>
    </row>
    <row r="1618" spans="1:8">
      <c r="A1618" s="3" t="s">
        <v>1952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46189.601875</v>
      </c>
      <c r="G1618" t="s">
        <v>966</v>
      </c>
      <c r="H1618" t="s">
        <v>941</v>
      </c>
    </row>
    <row r="1619" spans="1:8">
      <c r="A1619" s="4" t="s">
        <v>1953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46189.601875</v>
      </c>
      <c r="G1619" t="s">
        <v>966</v>
      </c>
      <c r="H1619" t="s">
        <v>941</v>
      </c>
    </row>
    <row r="1620" spans="1:8">
      <c r="A1620" s="3" t="s">
        <v>1954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46189.601875</v>
      </c>
      <c r="G1620" t="s">
        <v>966</v>
      </c>
      <c r="H1620" t="s">
        <v>941</v>
      </c>
    </row>
    <row r="1621" spans="1:8">
      <c r="A1621" s="4" t="s">
        <v>1955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46189.601875</v>
      </c>
      <c r="G1621" t="s">
        <v>966</v>
      </c>
      <c r="H1621" t="s">
        <v>941</v>
      </c>
    </row>
    <row r="1622" spans="1:8">
      <c r="A1622" s="3" t="s">
        <v>1956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46189.601875</v>
      </c>
      <c r="G1622" t="s">
        <v>966</v>
      </c>
      <c r="H1622" t="s">
        <v>941</v>
      </c>
    </row>
    <row r="1623" spans="1:8">
      <c r="A1623" s="4" t="s">
        <v>1957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46189.601875</v>
      </c>
      <c r="G1623" t="s">
        <v>966</v>
      </c>
      <c r="H1623" t="s">
        <v>941</v>
      </c>
    </row>
    <row r="1624" spans="1:8">
      <c r="A1624" s="3" t="s">
        <v>1958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46189.601875</v>
      </c>
      <c r="G1624" t="s">
        <v>966</v>
      </c>
      <c r="H1624" t="s">
        <v>941</v>
      </c>
    </row>
    <row r="1625" spans="1:8">
      <c r="A1625" s="4" t="s">
        <v>1959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46189.601875</v>
      </c>
      <c r="G1625" t="s">
        <v>966</v>
      </c>
      <c r="H1625" t="s">
        <v>941</v>
      </c>
    </row>
    <row r="1626" spans="1:8">
      <c r="A1626" s="3" t="s">
        <v>1960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46189.601875</v>
      </c>
      <c r="G1626" t="s">
        <v>966</v>
      </c>
      <c r="H1626" t="s">
        <v>941</v>
      </c>
    </row>
    <row r="1627" spans="1:8">
      <c r="A1627" s="4" t="s">
        <v>1961</v>
      </c>
      <c r="B1627" s="2" t="s">
        <v>6</v>
      </c>
      <c r="C1627" s="2" t="s">
        <v>6</v>
      </c>
      <c r="D1627" s="4" t="s">
        <v>7</v>
      </c>
      <c r="E1627" s="2" t="s">
        <v>128</v>
      </c>
      <c r="F1627" s="6">
        <v>46189.601875</v>
      </c>
      <c r="G1627" t="s">
        <v>966</v>
      </c>
      <c r="H1627" t="s">
        <v>941</v>
      </c>
    </row>
    <row r="1628" spans="1:8">
      <c r="A1628" s="3" t="s">
        <v>1962</v>
      </c>
      <c r="B1628" s="1" t="s">
        <v>6</v>
      </c>
      <c r="C1628" s="1" t="s">
        <v>6</v>
      </c>
      <c r="D1628" s="3" t="s">
        <v>7</v>
      </c>
      <c r="E1628" s="1" t="s">
        <v>128</v>
      </c>
      <c r="F1628" s="5">
        <v>46189.601875</v>
      </c>
      <c r="G1628" t="s">
        <v>966</v>
      </c>
      <c r="H1628" t="s">
        <v>941</v>
      </c>
    </row>
    <row r="1629" spans="1:8">
      <c r="A1629" s="4" t="s">
        <v>1963</v>
      </c>
      <c r="B1629" s="2" t="s">
        <v>6</v>
      </c>
      <c r="C1629" s="2" t="s">
        <v>6</v>
      </c>
      <c r="D1629" s="4" t="s">
        <v>7</v>
      </c>
      <c r="E1629" s="2" t="s">
        <v>128</v>
      </c>
      <c r="F1629" s="6">
        <v>46189.601875</v>
      </c>
      <c r="G1629" t="s">
        <v>966</v>
      </c>
      <c r="H1629" t="s">
        <v>941</v>
      </c>
    </row>
    <row r="1630" spans="1:8">
      <c r="A1630" s="3" t="s">
        <v>1964</v>
      </c>
      <c r="B1630" s="1" t="s">
        <v>6</v>
      </c>
      <c r="C1630" s="1" t="s">
        <v>6</v>
      </c>
      <c r="D1630" s="3" t="s">
        <v>7</v>
      </c>
      <c r="E1630" s="1" t="s">
        <v>128</v>
      </c>
      <c r="F1630" s="5">
        <v>46189.601875</v>
      </c>
      <c r="G1630" t="s">
        <v>966</v>
      </c>
      <c r="H1630" t="s">
        <v>941</v>
      </c>
    </row>
    <row r="1631" spans="1:8">
      <c r="A1631" s="4" t="s">
        <v>1965</v>
      </c>
      <c r="B1631" s="2" t="s">
        <v>6</v>
      </c>
      <c r="C1631" s="2" t="s">
        <v>6</v>
      </c>
      <c r="D1631" s="4" t="s">
        <v>7</v>
      </c>
      <c r="E1631" s="2" t="s">
        <v>128</v>
      </c>
      <c r="F1631" s="6">
        <v>46189.601875</v>
      </c>
      <c r="G1631" t="s">
        <v>966</v>
      </c>
      <c r="H1631" t="s">
        <v>941</v>
      </c>
    </row>
    <row r="1632" spans="1:8">
      <c r="A1632" s="3" t="s">
        <v>1966</v>
      </c>
      <c r="B1632" s="1" t="s">
        <v>6</v>
      </c>
      <c r="C1632" s="1" t="s">
        <v>6</v>
      </c>
      <c r="D1632" s="3" t="s">
        <v>7</v>
      </c>
      <c r="E1632" s="1" t="s">
        <v>128</v>
      </c>
      <c r="F1632" s="5">
        <v>46189.601875</v>
      </c>
      <c r="G1632" t="s">
        <v>966</v>
      </c>
      <c r="H1632" t="s">
        <v>941</v>
      </c>
    </row>
    <row r="1633" spans="1:8">
      <c r="A1633" s="3" t="s">
        <v>1248</v>
      </c>
      <c r="B1633" s="1" t="s">
        <v>98</v>
      </c>
      <c r="C1633" s="1" t="s">
        <v>99</v>
      </c>
      <c r="D1633" s="3" t="s">
        <v>7</v>
      </c>
      <c r="E1633" s="1" t="s">
        <v>100</v>
      </c>
      <c r="F1633" s="5">
        <v>46171.296516203707</v>
      </c>
      <c r="G1633" t="s">
        <v>960</v>
      </c>
      <c r="H1633" t="s">
        <v>941</v>
      </c>
    </row>
    <row r="1634" spans="1:8">
      <c r="A1634" s="4" t="s">
        <v>1249</v>
      </c>
      <c r="B1634" s="2" t="s">
        <v>98</v>
      </c>
      <c r="C1634" s="2" t="s">
        <v>99</v>
      </c>
      <c r="D1634" s="4" t="s">
        <v>7</v>
      </c>
      <c r="E1634" s="2" t="s">
        <v>100</v>
      </c>
      <c r="F1634" s="6">
        <v>46174.462164351855</v>
      </c>
      <c r="G1634" t="s">
        <v>960</v>
      </c>
      <c r="H1634" t="s">
        <v>941</v>
      </c>
    </row>
    <row r="1635" spans="1:8">
      <c r="A1635" s="3" t="s">
        <v>1250</v>
      </c>
      <c r="B1635" s="1" t="s">
        <v>98</v>
      </c>
      <c r="C1635" s="1" t="s">
        <v>99</v>
      </c>
      <c r="D1635" s="3" t="s">
        <v>7</v>
      </c>
      <c r="E1635" s="1" t="s">
        <v>100</v>
      </c>
      <c r="F1635" s="5">
        <v>46171.296817129631</v>
      </c>
      <c r="G1635" t="s">
        <v>960</v>
      </c>
      <c r="H1635" t="s">
        <v>941</v>
      </c>
    </row>
    <row r="1636" spans="1:8">
      <c r="A1636" s="4" t="s">
        <v>1251</v>
      </c>
      <c r="B1636" s="2" t="s">
        <v>98</v>
      </c>
      <c r="C1636" s="2" t="s">
        <v>99</v>
      </c>
      <c r="D1636" s="4" t="s">
        <v>7</v>
      </c>
      <c r="E1636" s="2" t="s">
        <v>100</v>
      </c>
      <c r="F1636" s="6">
        <v>46171.297071759262</v>
      </c>
      <c r="G1636" t="s">
        <v>960</v>
      </c>
      <c r="H1636" t="s">
        <v>941</v>
      </c>
    </row>
    <row r="1637" spans="1:8">
      <c r="A1637" s="3" t="s">
        <v>1252</v>
      </c>
      <c r="B1637" s="1" t="s">
        <v>98</v>
      </c>
      <c r="C1637" s="1" t="s">
        <v>99</v>
      </c>
      <c r="D1637" s="3" t="s">
        <v>7</v>
      </c>
      <c r="E1637" s="1" t="s">
        <v>100</v>
      </c>
      <c r="F1637" s="5">
        <v>46174.463356481479</v>
      </c>
      <c r="G1637" t="s">
        <v>960</v>
      </c>
      <c r="H1637" t="s">
        <v>941</v>
      </c>
    </row>
    <row r="1638" spans="1:8">
      <c r="A1638" s="4" t="s">
        <v>1253</v>
      </c>
      <c r="B1638" s="2" t="s">
        <v>98</v>
      </c>
      <c r="C1638" s="2" t="s">
        <v>99</v>
      </c>
      <c r="D1638" s="4" t="s">
        <v>7</v>
      </c>
      <c r="E1638" s="2" t="s">
        <v>100</v>
      </c>
      <c r="F1638" s="6">
        <v>46174.456157407411</v>
      </c>
      <c r="G1638" t="s">
        <v>960</v>
      </c>
      <c r="H1638" t="s">
        <v>941</v>
      </c>
    </row>
    <row r="1639" spans="1:8">
      <c r="A1639" s="3" t="s">
        <v>1254</v>
      </c>
      <c r="B1639" s="1" t="s">
        <v>98</v>
      </c>
      <c r="C1639" s="1" t="s">
        <v>99</v>
      </c>
      <c r="D1639" s="3" t="s">
        <v>7</v>
      </c>
      <c r="E1639" s="1" t="s">
        <v>100</v>
      </c>
      <c r="F1639" s="5">
        <v>46174.465891203705</v>
      </c>
      <c r="G1639" t="s">
        <v>960</v>
      </c>
      <c r="H1639" t="s">
        <v>941</v>
      </c>
    </row>
    <row r="1640" spans="1:8">
      <c r="A1640" s="4" t="s">
        <v>1255</v>
      </c>
      <c r="B1640" s="2" t="s">
        <v>98</v>
      </c>
      <c r="C1640" s="2" t="s">
        <v>99</v>
      </c>
      <c r="D1640" s="4" t="s">
        <v>7</v>
      </c>
      <c r="E1640" s="2" t="s">
        <v>100</v>
      </c>
      <c r="F1640" s="6">
        <v>46171.29409722222</v>
      </c>
      <c r="G1640" t="s">
        <v>960</v>
      </c>
      <c r="H1640" t="s">
        <v>941</v>
      </c>
    </row>
    <row r="1641" spans="1:8">
      <c r="A1641" s="3" t="s">
        <v>1256</v>
      </c>
      <c r="B1641" s="1" t="s">
        <v>98</v>
      </c>
      <c r="C1641" s="1" t="s">
        <v>99</v>
      </c>
      <c r="D1641" s="3" t="s">
        <v>7</v>
      </c>
      <c r="E1641" s="1" t="s">
        <v>100</v>
      </c>
      <c r="F1641" s="5">
        <v>46174.466435185182</v>
      </c>
      <c r="G1641" t="s">
        <v>960</v>
      </c>
      <c r="H1641" t="s">
        <v>941</v>
      </c>
    </row>
    <row r="1642" spans="1:8">
      <c r="A1642" s="4" t="s">
        <v>1257</v>
      </c>
      <c r="B1642" s="2" t="s">
        <v>98</v>
      </c>
      <c r="C1642" s="2" t="s">
        <v>99</v>
      </c>
      <c r="D1642" s="4" t="s">
        <v>7</v>
      </c>
      <c r="E1642" s="2" t="s">
        <v>100</v>
      </c>
      <c r="F1642" s="6">
        <v>46174.467326388891</v>
      </c>
      <c r="G1642" t="s">
        <v>960</v>
      </c>
      <c r="H1642" t="s">
        <v>941</v>
      </c>
    </row>
    <row r="1643" spans="1:8">
      <c r="A1643" s="3" t="s">
        <v>1258</v>
      </c>
      <c r="B1643" s="1" t="s">
        <v>98</v>
      </c>
      <c r="C1643" s="1" t="s">
        <v>99</v>
      </c>
      <c r="D1643" s="3" t="s">
        <v>7</v>
      </c>
      <c r="E1643" s="1" t="s">
        <v>100</v>
      </c>
      <c r="F1643" s="5">
        <v>46189.359837962962</v>
      </c>
      <c r="G1643" t="s">
        <v>960</v>
      </c>
      <c r="H1643" t="s">
        <v>941</v>
      </c>
    </row>
    <row r="1644" spans="1:8">
      <c r="A1644" s="3" t="s">
        <v>907</v>
      </c>
      <c r="B1644" s="1" t="s">
        <v>98</v>
      </c>
      <c r="C1644" s="1" t="s">
        <v>99</v>
      </c>
      <c r="D1644" s="3" t="s">
        <v>7</v>
      </c>
      <c r="E1644" s="1" t="s">
        <v>100</v>
      </c>
      <c r="F1644" s="5">
        <v>46176.411412037036</v>
      </c>
      <c r="G1644" t="s">
        <v>705</v>
      </c>
      <c r="H1644" t="s">
        <v>703</v>
      </c>
    </row>
    <row r="1645" spans="1:8">
      <c r="A1645" s="4" t="s">
        <v>908</v>
      </c>
      <c r="B1645" s="2" t="s">
        <v>98</v>
      </c>
      <c r="C1645" s="2" t="s">
        <v>99</v>
      </c>
      <c r="D1645" s="4" t="s">
        <v>7</v>
      </c>
      <c r="E1645" s="2" t="s">
        <v>100</v>
      </c>
      <c r="F1645" s="6">
        <v>46183.39503472222</v>
      </c>
      <c r="G1645" t="s">
        <v>705</v>
      </c>
      <c r="H1645" t="s">
        <v>703</v>
      </c>
    </row>
    <row r="1646" spans="1:8">
      <c r="A1646" s="3" t="s">
        <v>909</v>
      </c>
      <c r="B1646" s="1" t="s">
        <v>98</v>
      </c>
      <c r="C1646" s="1" t="s">
        <v>99</v>
      </c>
      <c r="D1646" s="3" t="s">
        <v>7</v>
      </c>
      <c r="E1646" s="1" t="s">
        <v>100</v>
      </c>
      <c r="F1646" s="5">
        <v>46183.387731481482</v>
      </c>
      <c r="G1646" t="s">
        <v>705</v>
      </c>
      <c r="H1646" t="s">
        <v>703</v>
      </c>
    </row>
    <row r="1647" spans="1:8">
      <c r="A1647" s="4" t="s">
        <v>910</v>
      </c>
      <c r="B1647" s="2" t="s">
        <v>98</v>
      </c>
      <c r="C1647" s="2" t="s">
        <v>99</v>
      </c>
      <c r="D1647" s="4" t="s">
        <v>7</v>
      </c>
      <c r="E1647" s="2" t="s">
        <v>100</v>
      </c>
      <c r="F1647" s="6">
        <v>46176.412314814814</v>
      </c>
      <c r="G1647" t="s">
        <v>705</v>
      </c>
      <c r="H1647" t="s">
        <v>703</v>
      </c>
    </row>
    <row r="1648" spans="1:8">
      <c r="A1648" s="3" t="s">
        <v>911</v>
      </c>
      <c r="B1648" s="1" t="s">
        <v>98</v>
      </c>
      <c r="C1648" s="1" t="s">
        <v>99</v>
      </c>
      <c r="D1648" s="3" t="s">
        <v>7</v>
      </c>
      <c r="E1648" s="1" t="s">
        <v>100</v>
      </c>
      <c r="F1648" s="5">
        <v>46176.412974537037</v>
      </c>
      <c r="G1648" t="s">
        <v>705</v>
      </c>
      <c r="H1648" t="s">
        <v>703</v>
      </c>
    </row>
    <row r="1649" spans="1:8">
      <c r="A1649" s="4" t="s">
        <v>912</v>
      </c>
      <c r="B1649" s="2" t="s">
        <v>98</v>
      </c>
      <c r="C1649" s="2" t="s">
        <v>99</v>
      </c>
      <c r="D1649" s="4" t="s">
        <v>7</v>
      </c>
      <c r="E1649" s="2" t="s">
        <v>100</v>
      </c>
      <c r="F1649" s="6">
        <v>46176.413645833331</v>
      </c>
      <c r="G1649" t="s">
        <v>705</v>
      </c>
      <c r="H1649" t="s">
        <v>703</v>
      </c>
    </row>
    <row r="1650" spans="1:8">
      <c r="A1650" s="3" t="s">
        <v>913</v>
      </c>
      <c r="B1650" s="1" t="s">
        <v>98</v>
      </c>
      <c r="C1650" s="1" t="s">
        <v>99</v>
      </c>
      <c r="D1650" s="3" t="s">
        <v>7</v>
      </c>
      <c r="E1650" s="1" t="s">
        <v>100</v>
      </c>
      <c r="F1650" s="5">
        <v>46176.414212962962</v>
      </c>
      <c r="G1650" t="s">
        <v>705</v>
      </c>
      <c r="H1650" t="s">
        <v>703</v>
      </c>
    </row>
    <row r="1651" spans="1:8">
      <c r="A1651" s="4" t="s">
        <v>914</v>
      </c>
      <c r="B1651" s="2" t="s">
        <v>98</v>
      </c>
      <c r="C1651" s="2" t="s">
        <v>99</v>
      </c>
      <c r="D1651" s="4" t="s">
        <v>7</v>
      </c>
      <c r="E1651" s="2" t="s">
        <v>100</v>
      </c>
      <c r="F1651" s="6">
        <v>46183.395520833335</v>
      </c>
      <c r="G1651" t="s">
        <v>705</v>
      </c>
      <c r="H1651" t="s">
        <v>703</v>
      </c>
    </row>
    <row r="1652" spans="1:8">
      <c r="A1652" s="3" t="s">
        <v>915</v>
      </c>
      <c r="B1652" s="1" t="s">
        <v>98</v>
      </c>
      <c r="C1652" s="1" t="s">
        <v>99</v>
      </c>
      <c r="D1652" s="3" t="s">
        <v>7</v>
      </c>
      <c r="E1652" s="1" t="s">
        <v>100</v>
      </c>
      <c r="F1652" s="5">
        <v>46183.386921296296</v>
      </c>
      <c r="G1652" t="s">
        <v>705</v>
      </c>
      <c r="H1652" t="s">
        <v>703</v>
      </c>
    </row>
    <row r="1653" spans="1:8">
      <c r="A1653" s="4" t="s">
        <v>916</v>
      </c>
      <c r="B1653" s="2" t="s">
        <v>98</v>
      </c>
      <c r="C1653" s="2" t="s">
        <v>99</v>
      </c>
      <c r="D1653" s="4" t="s">
        <v>7</v>
      </c>
      <c r="E1653" s="2" t="s">
        <v>100</v>
      </c>
      <c r="F1653" s="6">
        <v>46183.396145833336</v>
      </c>
      <c r="G1653" t="s">
        <v>705</v>
      </c>
      <c r="H1653" t="s">
        <v>703</v>
      </c>
    </row>
    <row r="1654" spans="1:8">
      <c r="A1654" s="3" t="s">
        <v>917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46183.400254629632</v>
      </c>
      <c r="G1654" t="s">
        <v>705</v>
      </c>
      <c r="H1654" t="s">
        <v>703</v>
      </c>
    </row>
    <row r="1655" spans="1:8">
      <c r="A1655" s="4" t="s">
        <v>918</v>
      </c>
      <c r="B1655" s="2" t="s">
        <v>98</v>
      </c>
      <c r="C1655" s="2" t="s">
        <v>99</v>
      </c>
      <c r="D1655" s="4" t="s">
        <v>7</v>
      </c>
      <c r="E1655" s="2" t="s">
        <v>100</v>
      </c>
      <c r="F1655" s="6">
        <v>46183.404143518521</v>
      </c>
      <c r="G1655" t="s">
        <v>705</v>
      </c>
      <c r="H1655" t="s">
        <v>703</v>
      </c>
    </row>
    <row r="1656" spans="1:8">
      <c r="A1656" s="3" t="s">
        <v>919</v>
      </c>
      <c r="B1656" s="1" t="s">
        <v>98</v>
      </c>
      <c r="C1656" s="1" t="s">
        <v>99</v>
      </c>
      <c r="D1656" s="3" t="s">
        <v>7</v>
      </c>
      <c r="E1656" s="1" t="s">
        <v>100</v>
      </c>
      <c r="F1656" s="5">
        <v>46183.40452546296</v>
      </c>
      <c r="G1656" t="s">
        <v>705</v>
      </c>
      <c r="H1656" t="s">
        <v>703</v>
      </c>
    </row>
    <row r="1657" spans="1:8">
      <c r="A1657" s="4" t="s">
        <v>920</v>
      </c>
      <c r="B1657" s="2" t="s">
        <v>98</v>
      </c>
      <c r="C1657" s="2" t="s">
        <v>99</v>
      </c>
      <c r="D1657" s="4" t="s">
        <v>7</v>
      </c>
      <c r="E1657" s="2" t="s">
        <v>100</v>
      </c>
      <c r="F1657" s="6">
        <v>46183.405034722222</v>
      </c>
      <c r="G1657" t="s">
        <v>705</v>
      </c>
      <c r="H1657" t="s">
        <v>703</v>
      </c>
    </row>
    <row r="1658" spans="1:8">
      <c r="A1658" s="3" t="s">
        <v>921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46176.279849537037</v>
      </c>
      <c r="G1658" t="s">
        <v>706</v>
      </c>
      <c r="H1658" t="s">
        <v>704</v>
      </c>
    </row>
    <row r="1659" spans="1:8">
      <c r="A1659" s="4" t="s">
        <v>922</v>
      </c>
      <c r="B1659" s="2" t="s">
        <v>98</v>
      </c>
      <c r="C1659" s="2" t="s">
        <v>99</v>
      </c>
      <c r="D1659" s="4" t="s">
        <v>7</v>
      </c>
      <c r="E1659" s="2" t="s">
        <v>100</v>
      </c>
      <c r="F1659" s="6">
        <v>46183.410902777781</v>
      </c>
      <c r="G1659" t="s">
        <v>706</v>
      </c>
      <c r="H1659" t="s">
        <v>704</v>
      </c>
    </row>
    <row r="1660" spans="1:8">
      <c r="A1660" s="3" t="s">
        <v>923</v>
      </c>
      <c r="B1660" s="1" t="s">
        <v>98</v>
      </c>
      <c r="C1660" s="1" t="s">
        <v>99</v>
      </c>
      <c r="D1660" s="3" t="s">
        <v>7</v>
      </c>
      <c r="E1660" s="1" t="s">
        <v>100</v>
      </c>
      <c r="F1660" s="5">
        <v>46183.41134259259</v>
      </c>
      <c r="G1660" t="s">
        <v>706</v>
      </c>
      <c r="H1660" t="s">
        <v>704</v>
      </c>
    </row>
    <row r="1661" spans="1:8">
      <c r="A1661" s="4" t="s">
        <v>924</v>
      </c>
      <c r="B1661" s="2" t="s">
        <v>98</v>
      </c>
      <c r="C1661" s="2" t="s">
        <v>99</v>
      </c>
      <c r="D1661" s="4" t="s">
        <v>7</v>
      </c>
      <c r="E1661" s="2" t="s">
        <v>100</v>
      </c>
      <c r="F1661" s="6">
        <v>46183.411759259259</v>
      </c>
      <c r="G1661" t="s">
        <v>706</v>
      </c>
      <c r="H1661" t="s">
        <v>704</v>
      </c>
    </row>
    <row r="1662" spans="1:8">
      <c r="A1662" s="3" t="s">
        <v>925</v>
      </c>
      <c r="B1662" s="1" t="s">
        <v>98</v>
      </c>
      <c r="C1662" s="1" t="s">
        <v>99</v>
      </c>
      <c r="D1662" s="3" t="s">
        <v>7</v>
      </c>
      <c r="E1662" s="1" t="s">
        <v>100</v>
      </c>
      <c r="F1662" s="5">
        <v>46183.412175925929</v>
      </c>
      <c r="G1662" t="s">
        <v>706</v>
      </c>
      <c r="H1662" t="s">
        <v>704</v>
      </c>
    </row>
    <row r="1663" spans="1:8">
      <c r="A1663" s="4" t="s">
        <v>926</v>
      </c>
      <c r="B1663" s="2" t="s">
        <v>98</v>
      </c>
      <c r="C1663" s="2" t="s">
        <v>99</v>
      </c>
      <c r="D1663" s="4" t="s">
        <v>7</v>
      </c>
      <c r="E1663" s="2" t="s">
        <v>100</v>
      </c>
      <c r="F1663" s="6">
        <v>46183.406215277777</v>
      </c>
      <c r="G1663" t="s">
        <v>706</v>
      </c>
      <c r="H1663" t="s">
        <v>704</v>
      </c>
    </row>
    <row r="1664" spans="1:8">
      <c r="A1664" s="3" t="s">
        <v>927</v>
      </c>
      <c r="B1664" s="1" t="s">
        <v>98</v>
      </c>
      <c r="C1664" s="1" t="s">
        <v>99</v>
      </c>
      <c r="D1664" s="3" t="s">
        <v>7</v>
      </c>
      <c r="E1664" s="1" t="s">
        <v>100</v>
      </c>
      <c r="F1664" s="5">
        <v>46183.412592592591</v>
      </c>
      <c r="G1664" t="s">
        <v>706</v>
      </c>
      <c r="H1664" t="s">
        <v>704</v>
      </c>
    </row>
    <row r="1665" spans="1:8">
      <c r="A1665" s="4" t="s">
        <v>928</v>
      </c>
      <c r="B1665" s="2" t="s">
        <v>98</v>
      </c>
      <c r="C1665" s="2" t="s">
        <v>99</v>
      </c>
      <c r="D1665" s="4" t="s">
        <v>7</v>
      </c>
      <c r="E1665" s="2" t="s">
        <v>100</v>
      </c>
      <c r="F1665" s="6">
        <v>46183.406631944446</v>
      </c>
      <c r="G1665" t="s">
        <v>706</v>
      </c>
      <c r="H1665" t="s">
        <v>704</v>
      </c>
    </row>
    <row r="1666" spans="1:8">
      <c r="A1666" s="3" t="s">
        <v>929</v>
      </c>
      <c r="B1666" s="1" t="s">
        <v>98</v>
      </c>
      <c r="C1666" s="1" t="s">
        <v>99</v>
      </c>
      <c r="D1666" s="3" t="s">
        <v>7</v>
      </c>
      <c r="E1666" s="1" t="s">
        <v>100</v>
      </c>
      <c r="F1666" s="5">
        <v>46183.407152777778</v>
      </c>
      <c r="G1666" t="s">
        <v>706</v>
      </c>
      <c r="H1666" t="s">
        <v>704</v>
      </c>
    </row>
    <row r="1667" spans="1:8">
      <c r="A1667" s="4" t="s">
        <v>930</v>
      </c>
      <c r="B1667" s="2" t="s">
        <v>98</v>
      </c>
      <c r="C1667" s="2" t="s">
        <v>99</v>
      </c>
      <c r="D1667" s="4" t="s">
        <v>7</v>
      </c>
      <c r="E1667" s="2" t="s">
        <v>100</v>
      </c>
      <c r="F1667" s="6">
        <v>46183.407557870371</v>
      </c>
      <c r="G1667" t="s">
        <v>706</v>
      </c>
      <c r="H1667" t="s">
        <v>704</v>
      </c>
    </row>
    <row r="1668" spans="1:8">
      <c r="A1668" s="3" t="s">
        <v>931</v>
      </c>
      <c r="B1668" s="1" t="s">
        <v>98</v>
      </c>
      <c r="C1668" s="1" t="s">
        <v>99</v>
      </c>
      <c r="D1668" s="3" t="s">
        <v>7</v>
      </c>
      <c r="E1668" s="1" t="s">
        <v>100</v>
      </c>
      <c r="F1668" s="5">
        <v>46183.408101851855</v>
      </c>
      <c r="G1668" t="s">
        <v>706</v>
      </c>
      <c r="H1668" t="s">
        <v>704</v>
      </c>
    </row>
    <row r="1669" spans="1:8">
      <c r="A1669" s="4" t="s">
        <v>932</v>
      </c>
      <c r="B1669" s="2" t="s">
        <v>98</v>
      </c>
      <c r="C1669" s="2" t="s">
        <v>99</v>
      </c>
      <c r="D1669" s="4" t="s">
        <v>7</v>
      </c>
      <c r="E1669" s="2" t="s">
        <v>100</v>
      </c>
      <c r="F1669" s="6">
        <v>46183.408483796295</v>
      </c>
      <c r="G1669" t="s">
        <v>706</v>
      </c>
      <c r="H1669" t="s">
        <v>704</v>
      </c>
    </row>
    <row r="1670" spans="1:8">
      <c r="A1670" s="3" t="s">
        <v>933</v>
      </c>
      <c r="B1670" s="1" t="s">
        <v>98</v>
      </c>
      <c r="C1670" s="1" t="s">
        <v>99</v>
      </c>
      <c r="D1670" s="3" t="s">
        <v>7</v>
      </c>
      <c r="E1670" s="1" t="s">
        <v>100</v>
      </c>
      <c r="F1670" s="5">
        <v>46183.40896990741</v>
      </c>
      <c r="G1670" t="s">
        <v>706</v>
      </c>
      <c r="H1670" t="s">
        <v>704</v>
      </c>
    </row>
    <row r="1671" spans="1:8">
      <c r="A1671" s="4" t="s">
        <v>934</v>
      </c>
      <c r="B1671" s="2" t="s">
        <v>98</v>
      </c>
      <c r="C1671" s="2" t="s">
        <v>99</v>
      </c>
      <c r="D1671" s="4" t="s">
        <v>7</v>
      </c>
      <c r="E1671" s="2" t="s">
        <v>100</v>
      </c>
      <c r="F1671" s="6">
        <v>46183.413101851853</v>
      </c>
      <c r="G1671" t="s">
        <v>706</v>
      </c>
      <c r="H1671" t="s">
        <v>704</v>
      </c>
    </row>
    <row r="1672" spans="1:8">
      <c r="A1672" s="3" t="s">
        <v>1691</v>
      </c>
      <c r="B1672" s="1" t="s">
        <v>1657</v>
      </c>
      <c r="C1672" s="1" t="s">
        <v>1658</v>
      </c>
      <c r="D1672" s="3" t="s">
        <v>7</v>
      </c>
      <c r="E1672" s="1" t="s">
        <v>14</v>
      </c>
      <c r="F1672" s="5">
        <v>46179.241840277777</v>
      </c>
      <c r="G1672" s="1" t="s">
        <v>963</v>
      </c>
      <c r="H1672" t="s">
        <v>703</v>
      </c>
    </row>
    <row r="1673" spans="1:8">
      <c r="A1673" s="4" t="s">
        <v>1692</v>
      </c>
      <c r="B1673" s="2" t="s">
        <v>937</v>
      </c>
      <c r="C1673" s="2" t="s">
        <v>938</v>
      </c>
      <c r="D1673" s="4" t="s">
        <v>7</v>
      </c>
      <c r="E1673" s="2" t="s">
        <v>14</v>
      </c>
      <c r="F1673" s="6">
        <v>46184.241828703707</v>
      </c>
      <c r="G1673" s="1" t="s">
        <v>963</v>
      </c>
      <c r="H1673" t="s">
        <v>703</v>
      </c>
    </row>
    <row r="1674" spans="1:8">
      <c r="A1674" s="3" t="s">
        <v>1693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46184.228425925925</v>
      </c>
      <c r="G1674" s="1" t="s">
        <v>963</v>
      </c>
      <c r="H1674" t="s">
        <v>703</v>
      </c>
    </row>
    <row r="1675" spans="1:8">
      <c r="A1675" s="4" t="s">
        <v>1694</v>
      </c>
      <c r="B1675" s="2" t="s">
        <v>9</v>
      </c>
      <c r="C1675" s="2" t="s">
        <v>10</v>
      </c>
      <c r="D1675" s="4" t="s">
        <v>7</v>
      </c>
      <c r="E1675" s="2" t="s">
        <v>11</v>
      </c>
      <c r="F1675" s="6">
        <v>46197.44730324074</v>
      </c>
      <c r="G1675" s="1" t="s">
        <v>963</v>
      </c>
      <c r="H1675" t="s">
        <v>703</v>
      </c>
    </row>
    <row r="1676" spans="1:8">
      <c r="A1676" s="3" t="s">
        <v>1695</v>
      </c>
      <c r="B1676" s="1" t="s">
        <v>9</v>
      </c>
      <c r="C1676" s="1" t="s">
        <v>10</v>
      </c>
      <c r="D1676" s="3" t="s">
        <v>7</v>
      </c>
      <c r="E1676" s="1" t="s">
        <v>11</v>
      </c>
      <c r="F1676" s="5">
        <v>46197.857060185182</v>
      </c>
      <c r="G1676" s="1" t="s">
        <v>963</v>
      </c>
      <c r="H1676" t="s">
        <v>703</v>
      </c>
    </row>
    <row r="1677" spans="1:8">
      <c r="A1677" s="4" t="s">
        <v>1696</v>
      </c>
      <c r="B1677" s="2" t="s">
        <v>9</v>
      </c>
      <c r="C1677" s="2" t="s">
        <v>10</v>
      </c>
      <c r="D1677" s="4" t="s">
        <v>7</v>
      </c>
      <c r="E1677" s="2" t="s">
        <v>11</v>
      </c>
      <c r="F1677" s="6">
        <v>46197.321018518516</v>
      </c>
      <c r="G1677" s="1" t="s">
        <v>963</v>
      </c>
      <c r="H1677" t="s">
        <v>703</v>
      </c>
    </row>
    <row r="1678" spans="1:8">
      <c r="A1678" s="3" t="s">
        <v>1697</v>
      </c>
      <c r="B1678" s="1" t="s">
        <v>9</v>
      </c>
      <c r="C1678" s="1" t="s">
        <v>10</v>
      </c>
      <c r="D1678" s="3" t="s">
        <v>7</v>
      </c>
      <c r="E1678" s="1" t="s">
        <v>11</v>
      </c>
      <c r="F1678" s="5">
        <v>46197.314004629632</v>
      </c>
      <c r="G1678" s="1" t="s">
        <v>963</v>
      </c>
      <c r="H1678" t="s">
        <v>703</v>
      </c>
    </row>
    <row r="1679" spans="1:8">
      <c r="A1679" s="4" t="s">
        <v>1698</v>
      </c>
      <c r="B1679" s="2" t="s">
        <v>9</v>
      </c>
      <c r="C1679" s="2" t="s">
        <v>10</v>
      </c>
      <c r="D1679" s="4" t="s">
        <v>7</v>
      </c>
      <c r="E1679" s="2" t="s">
        <v>11</v>
      </c>
      <c r="F1679" s="6">
        <v>46197.430567129632</v>
      </c>
      <c r="G1679" s="1" t="s">
        <v>963</v>
      </c>
      <c r="H1679" t="s">
        <v>703</v>
      </c>
    </row>
    <row r="1680" spans="1:8">
      <c r="A1680" s="3" t="s">
        <v>1699</v>
      </c>
      <c r="B1680" s="1" t="s">
        <v>9</v>
      </c>
      <c r="C1680" s="1" t="s">
        <v>10</v>
      </c>
      <c r="D1680" s="3" t="s">
        <v>7</v>
      </c>
      <c r="E1680" s="1" t="s">
        <v>11</v>
      </c>
      <c r="F1680" s="5">
        <v>46197.849108796298</v>
      </c>
      <c r="G1680" s="1" t="s">
        <v>963</v>
      </c>
      <c r="H1680" t="s">
        <v>703</v>
      </c>
    </row>
    <row r="1681" spans="1:8">
      <c r="A1681" s="4" t="s">
        <v>1700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46184.316631944443</v>
      </c>
      <c r="G1681" s="1" t="s">
        <v>963</v>
      </c>
      <c r="H1681" t="s">
        <v>703</v>
      </c>
    </row>
    <row r="1682" spans="1:8">
      <c r="A1682" s="3" t="s">
        <v>1701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46184.316296296296</v>
      </c>
      <c r="G1682" s="1" t="s">
        <v>963</v>
      </c>
      <c r="H1682" t="s">
        <v>703</v>
      </c>
    </row>
    <row r="1683" spans="1:8">
      <c r="A1683" s="4" t="s">
        <v>1702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46184.31591435185</v>
      </c>
      <c r="G1683" s="1" t="s">
        <v>963</v>
      </c>
      <c r="H1683" t="s">
        <v>703</v>
      </c>
    </row>
    <row r="1684" spans="1:8">
      <c r="A1684" s="3" t="s">
        <v>1703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46184.239189814813</v>
      </c>
      <c r="G1684" s="1" t="s">
        <v>963</v>
      </c>
      <c r="H1684" t="s">
        <v>703</v>
      </c>
    </row>
    <row r="1685" spans="1:8">
      <c r="A1685" s="4" t="s">
        <v>1704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46184.315000000002</v>
      </c>
      <c r="G1685" s="1" t="s">
        <v>963</v>
      </c>
      <c r="H1685" t="s">
        <v>703</v>
      </c>
    </row>
    <row r="1686" spans="1:8">
      <c r="A1686" s="3" t="s">
        <v>1705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46184.314513888887</v>
      </c>
      <c r="G1686" s="1" t="s">
        <v>963</v>
      </c>
      <c r="H1686" t="s">
        <v>703</v>
      </c>
    </row>
    <row r="1687" spans="1:8">
      <c r="A1687" s="4" t="s">
        <v>1706</v>
      </c>
      <c r="B1687" s="2" t="s">
        <v>9</v>
      </c>
      <c r="C1687" s="2" t="s">
        <v>10</v>
      </c>
      <c r="D1687" s="4" t="s">
        <v>7</v>
      </c>
      <c r="E1687" s="2" t="s">
        <v>11</v>
      </c>
      <c r="F1687" s="6">
        <v>46197.440567129626</v>
      </c>
      <c r="G1687" s="1" t="s">
        <v>963</v>
      </c>
      <c r="H1687" t="s">
        <v>703</v>
      </c>
    </row>
    <row r="1688" spans="1:8">
      <c r="A1688" s="3" t="s">
        <v>1707</v>
      </c>
      <c r="B1688" s="1" t="s">
        <v>937</v>
      </c>
      <c r="C1688" s="1" t="s">
        <v>938</v>
      </c>
      <c r="D1688" s="3" t="s">
        <v>7</v>
      </c>
      <c r="E1688" s="1" t="s">
        <v>14</v>
      </c>
      <c r="F1688" s="5">
        <v>46184.230763888889</v>
      </c>
      <c r="G1688" s="1" t="s">
        <v>963</v>
      </c>
      <c r="H1688" t="s">
        <v>703</v>
      </c>
    </row>
    <row r="1689" spans="1:8">
      <c r="A1689" s="4" t="s">
        <v>1708</v>
      </c>
      <c r="B1689" s="2" t="s">
        <v>9</v>
      </c>
      <c r="C1689" s="2" t="s">
        <v>10</v>
      </c>
      <c r="D1689" s="4" t="s">
        <v>7</v>
      </c>
      <c r="E1689" s="2" t="s">
        <v>11</v>
      </c>
      <c r="F1689" s="6">
        <v>46197.31722222222</v>
      </c>
      <c r="G1689" s="1" t="s">
        <v>963</v>
      </c>
      <c r="H1689" t="s">
        <v>703</v>
      </c>
    </row>
    <row r="1690" spans="1:8">
      <c r="A1690" s="3" t="s">
        <v>1709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46184.229930555557</v>
      </c>
      <c r="G1690" s="1" t="s">
        <v>963</v>
      </c>
      <c r="H1690" t="s">
        <v>703</v>
      </c>
    </row>
    <row r="1691" spans="1:8">
      <c r="A1691" s="4" t="s">
        <v>1710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46184.231446759259</v>
      </c>
      <c r="G1691" s="1" t="s">
        <v>963</v>
      </c>
      <c r="H1691" t="s">
        <v>703</v>
      </c>
    </row>
    <row r="1692" spans="1:8">
      <c r="A1692" s="3" t="s">
        <v>1711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46184.217881944445</v>
      </c>
      <c r="G1692" s="1" t="s">
        <v>963</v>
      </c>
      <c r="H1692" t="s">
        <v>703</v>
      </c>
    </row>
    <row r="1693" spans="1:8">
      <c r="A1693" s="4" t="s">
        <v>1712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46184.227430555555</v>
      </c>
      <c r="G1693" s="1" t="s">
        <v>963</v>
      </c>
      <c r="H1693" t="s">
        <v>703</v>
      </c>
    </row>
    <row r="1694" spans="1:8">
      <c r="A1694" s="3" t="s">
        <v>1713</v>
      </c>
      <c r="B1694" s="1" t="s">
        <v>9</v>
      </c>
      <c r="C1694" s="1" t="s">
        <v>10</v>
      </c>
      <c r="D1694" s="3" t="s">
        <v>7</v>
      </c>
      <c r="E1694" s="1" t="s">
        <v>11</v>
      </c>
      <c r="F1694" s="5">
        <v>46197.423680555556</v>
      </c>
      <c r="G1694" s="1" t="s">
        <v>963</v>
      </c>
      <c r="H1694" t="s">
        <v>703</v>
      </c>
    </row>
    <row r="1695" spans="1:8">
      <c r="A1695" s="4" t="s">
        <v>1714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46184.240856481483</v>
      </c>
      <c r="G1695" s="1" t="s">
        <v>963</v>
      </c>
      <c r="H1695" t="s">
        <v>703</v>
      </c>
    </row>
    <row r="1696" spans="1:8">
      <c r="A1696" s="3" t="s">
        <v>1715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46184.236481481479</v>
      </c>
      <c r="G1696" s="1" t="s">
        <v>963</v>
      </c>
      <c r="H1696" t="s">
        <v>703</v>
      </c>
    </row>
    <row r="1697" spans="1:8">
      <c r="A1697" s="4" t="s">
        <v>1716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46184.235717592594</v>
      </c>
      <c r="G1697" s="1" t="s">
        <v>963</v>
      </c>
      <c r="H1697" t="s">
        <v>703</v>
      </c>
    </row>
    <row r="1698" spans="1:8">
      <c r="A1698" s="3" t="s">
        <v>1717</v>
      </c>
      <c r="B1698" s="1" t="s">
        <v>937</v>
      </c>
      <c r="C1698" s="1" t="s">
        <v>938</v>
      </c>
      <c r="D1698" s="3" t="s">
        <v>7</v>
      </c>
      <c r="E1698" s="1" t="s">
        <v>14</v>
      </c>
      <c r="F1698" s="5">
        <v>46184.234976851854</v>
      </c>
      <c r="G1698" s="1" t="s">
        <v>963</v>
      </c>
      <c r="H1698" t="s">
        <v>703</v>
      </c>
    </row>
    <row r="1699" spans="1:8">
      <c r="A1699" s="4" t="s">
        <v>1718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46184.237754629627</v>
      </c>
      <c r="G1699" s="1" t="s">
        <v>963</v>
      </c>
      <c r="H1699" t="s">
        <v>703</v>
      </c>
    </row>
    <row r="1700" spans="1:8">
      <c r="A1700" s="3" t="s">
        <v>1719</v>
      </c>
      <c r="B1700" s="1" t="s">
        <v>9</v>
      </c>
      <c r="C1700" s="1" t="s">
        <v>10</v>
      </c>
      <c r="D1700" s="3" t="s">
        <v>7</v>
      </c>
      <c r="E1700" s="1" t="s">
        <v>11</v>
      </c>
      <c r="F1700" s="5">
        <v>46197.443842592591</v>
      </c>
      <c r="G1700" s="1" t="s">
        <v>963</v>
      </c>
      <c r="H1700" t="s">
        <v>703</v>
      </c>
    </row>
    <row r="1701" spans="1:8">
      <c r="A1701" s="4" t="s">
        <v>1720</v>
      </c>
      <c r="B1701" s="2" t="s">
        <v>937</v>
      </c>
      <c r="C1701" s="2" t="s">
        <v>938</v>
      </c>
      <c r="D1701" s="4" t="s">
        <v>7</v>
      </c>
      <c r="E1701" s="2" t="s">
        <v>14</v>
      </c>
      <c r="F1701" s="6">
        <v>46184.23238425926</v>
      </c>
      <c r="G1701" s="1" t="s">
        <v>963</v>
      </c>
      <c r="H1701" t="s">
        <v>703</v>
      </c>
    </row>
    <row r="1702" spans="1:8">
      <c r="A1702" s="3" t="s">
        <v>1721</v>
      </c>
      <c r="B1702" s="1" t="s">
        <v>937</v>
      </c>
      <c r="C1702" s="1" t="s">
        <v>938</v>
      </c>
      <c r="D1702" s="3" t="s">
        <v>7</v>
      </c>
      <c r="E1702" s="1" t="s">
        <v>14</v>
      </c>
      <c r="F1702" s="5">
        <v>46184.233275462961</v>
      </c>
      <c r="G1702" s="1" t="s">
        <v>963</v>
      </c>
      <c r="H1702" t="s">
        <v>703</v>
      </c>
    </row>
    <row r="1703" spans="1:8">
      <c r="A1703" s="4" t="s">
        <v>1722</v>
      </c>
      <c r="B1703" s="2" t="s">
        <v>9</v>
      </c>
      <c r="C1703" s="2" t="s">
        <v>10</v>
      </c>
      <c r="D1703" s="4" t="s">
        <v>7</v>
      </c>
      <c r="E1703" s="2" t="s">
        <v>11</v>
      </c>
      <c r="F1703" s="6">
        <v>46197.294062499997</v>
      </c>
      <c r="G1703" s="1" t="s">
        <v>963</v>
      </c>
      <c r="H1703" t="s">
        <v>703</v>
      </c>
    </row>
    <row r="1704" spans="1:8">
      <c r="A1704" s="3" t="s">
        <v>1815</v>
      </c>
      <c r="B1704" s="1" t="s">
        <v>9</v>
      </c>
      <c r="C1704" s="1" t="s">
        <v>10</v>
      </c>
      <c r="D1704" s="3" t="s">
        <v>7</v>
      </c>
      <c r="E1704" s="1" t="s">
        <v>11</v>
      </c>
      <c r="F1704" s="5">
        <v>46197.317418981482</v>
      </c>
      <c r="G1704" s="1" t="s">
        <v>963</v>
      </c>
      <c r="H1704" t="s">
        <v>703</v>
      </c>
    </row>
    <row r="1705" spans="1:8">
      <c r="A1705" s="4" t="s">
        <v>1816</v>
      </c>
      <c r="B1705" s="2" t="s">
        <v>275</v>
      </c>
      <c r="C1705" s="2" t="s">
        <v>276</v>
      </c>
      <c r="D1705" s="4" t="s">
        <v>7</v>
      </c>
      <c r="E1705" s="2" t="s">
        <v>277</v>
      </c>
      <c r="F1705" s="6">
        <v>46197.323321759257</v>
      </c>
      <c r="G1705" s="1" t="s">
        <v>963</v>
      </c>
      <c r="H1705" t="s">
        <v>703</v>
      </c>
    </row>
    <row r="1706" spans="1:8">
      <c r="A1706" s="3" t="s">
        <v>1817</v>
      </c>
      <c r="B1706" s="1" t="s">
        <v>275</v>
      </c>
      <c r="C1706" s="1" t="s">
        <v>276</v>
      </c>
      <c r="D1706" s="3" t="s">
        <v>7</v>
      </c>
      <c r="E1706" s="1" t="s">
        <v>277</v>
      </c>
      <c r="F1706" s="5">
        <v>46191.822928240741</v>
      </c>
      <c r="G1706" s="1" t="s">
        <v>963</v>
      </c>
      <c r="H1706" t="s">
        <v>703</v>
      </c>
    </row>
    <row r="1707" spans="1:8">
      <c r="A1707" s="4" t="s">
        <v>1818</v>
      </c>
      <c r="B1707" s="2" t="s">
        <v>9</v>
      </c>
      <c r="C1707" s="2" t="s">
        <v>10</v>
      </c>
      <c r="D1707" s="4" t="s">
        <v>7</v>
      </c>
      <c r="E1707" s="2" t="s">
        <v>11</v>
      </c>
      <c r="F1707" s="6">
        <v>46197.317546296297</v>
      </c>
      <c r="G1707" s="1" t="s">
        <v>963</v>
      </c>
      <c r="H1707" t="s">
        <v>703</v>
      </c>
    </row>
    <row r="1708" spans="1:8">
      <c r="A1708" s="3" t="s">
        <v>1819</v>
      </c>
      <c r="B1708" s="1" t="s">
        <v>9</v>
      </c>
      <c r="C1708" s="1" t="s">
        <v>10</v>
      </c>
      <c r="D1708" s="3" t="s">
        <v>7</v>
      </c>
      <c r="E1708" s="1" t="s">
        <v>11</v>
      </c>
      <c r="F1708" s="5">
        <v>46197.351875</v>
      </c>
      <c r="G1708" s="1" t="s">
        <v>963</v>
      </c>
      <c r="H1708" t="s">
        <v>703</v>
      </c>
    </row>
    <row r="1709" spans="1:8">
      <c r="A1709" s="4" t="s">
        <v>1820</v>
      </c>
      <c r="B1709" s="2" t="s">
        <v>9</v>
      </c>
      <c r="C1709" s="2" t="s">
        <v>10</v>
      </c>
      <c r="D1709" s="4" t="s">
        <v>7</v>
      </c>
      <c r="E1709" s="2" t="s">
        <v>11</v>
      </c>
      <c r="F1709" s="6">
        <v>46197.433749999997</v>
      </c>
      <c r="G1709" s="1" t="s">
        <v>963</v>
      </c>
      <c r="H1709" t="s">
        <v>703</v>
      </c>
    </row>
    <row r="1710" spans="1:8">
      <c r="A1710" s="3" t="s">
        <v>1821</v>
      </c>
      <c r="B1710" s="1" t="s">
        <v>9</v>
      </c>
      <c r="C1710" s="1" t="s">
        <v>10</v>
      </c>
      <c r="D1710" s="3" t="s">
        <v>7</v>
      </c>
      <c r="E1710" s="1" t="s">
        <v>11</v>
      </c>
      <c r="F1710" s="5">
        <v>46197.279108796298</v>
      </c>
      <c r="G1710" s="1" t="s">
        <v>963</v>
      </c>
      <c r="H1710" t="s">
        <v>703</v>
      </c>
    </row>
    <row r="1711" spans="1:8">
      <c r="A1711" s="4" t="s">
        <v>1822</v>
      </c>
      <c r="B1711" s="2" t="s">
        <v>9</v>
      </c>
      <c r="C1711" s="2" t="s">
        <v>10</v>
      </c>
      <c r="D1711" s="4" t="s">
        <v>7</v>
      </c>
      <c r="E1711" s="2" t="s">
        <v>11</v>
      </c>
      <c r="F1711" s="6">
        <v>46197.309201388889</v>
      </c>
      <c r="G1711" s="1" t="s">
        <v>963</v>
      </c>
      <c r="H1711" t="s">
        <v>703</v>
      </c>
    </row>
    <row r="1712" spans="1:8">
      <c r="A1712" s="3" t="s">
        <v>1823</v>
      </c>
      <c r="B1712" s="1" t="s">
        <v>6</v>
      </c>
      <c r="C1712" s="1" t="s">
        <v>6</v>
      </c>
      <c r="D1712" s="3" t="s">
        <v>7</v>
      </c>
      <c r="E1712" s="1" t="s">
        <v>8</v>
      </c>
      <c r="F1712" s="5">
        <v>46191.577615740738</v>
      </c>
      <c r="G1712" s="1" t="s">
        <v>963</v>
      </c>
      <c r="H1712" t="s">
        <v>703</v>
      </c>
    </row>
    <row r="1713" spans="1:8">
      <c r="A1713" s="4" t="s">
        <v>1824</v>
      </c>
      <c r="B1713" s="2" t="s">
        <v>9</v>
      </c>
      <c r="C1713" s="2" t="s">
        <v>10</v>
      </c>
      <c r="D1713" s="4" t="s">
        <v>7</v>
      </c>
      <c r="E1713" s="2" t="s">
        <v>11</v>
      </c>
      <c r="F1713" s="6">
        <v>46197.317708333336</v>
      </c>
      <c r="G1713" s="1" t="s">
        <v>963</v>
      </c>
      <c r="H1713" t="s">
        <v>703</v>
      </c>
    </row>
    <row r="1714" spans="1:8">
      <c r="A1714" s="3" t="s">
        <v>1825</v>
      </c>
      <c r="B1714" s="1" t="s">
        <v>9</v>
      </c>
      <c r="C1714" s="1" t="s">
        <v>10</v>
      </c>
      <c r="D1714" s="3" t="s">
        <v>7</v>
      </c>
      <c r="E1714" s="1" t="s">
        <v>11</v>
      </c>
      <c r="F1714" s="5">
        <v>46197.297500000001</v>
      </c>
      <c r="G1714" s="1" t="s">
        <v>963</v>
      </c>
      <c r="H1714" t="s">
        <v>703</v>
      </c>
    </row>
    <row r="1715" spans="1:8">
      <c r="A1715" s="4" t="s">
        <v>1826</v>
      </c>
      <c r="B1715" s="2" t="s">
        <v>9</v>
      </c>
      <c r="C1715" s="2" t="s">
        <v>10</v>
      </c>
      <c r="D1715" s="4" t="s">
        <v>7</v>
      </c>
      <c r="E1715" s="2" t="s">
        <v>11</v>
      </c>
      <c r="F1715" s="6">
        <v>46197.368622685186</v>
      </c>
      <c r="G1715" s="1" t="s">
        <v>963</v>
      </c>
      <c r="H1715" t="s">
        <v>703</v>
      </c>
    </row>
    <row r="1716" spans="1:8">
      <c r="A1716" s="3" t="s">
        <v>1827</v>
      </c>
      <c r="B1716" s="1" t="s">
        <v>9</v>
      </c>
      <c r="C1716" s="1" t="s">
        <v>10</v>
      </c>
      <c r="D1716" s="3" t="s">
        <v>7</v>
      </c>
      <c r="E1716" s="1" t="s">
        <v>11</v>
      </c>
      <c r="F1716" s="5">
        <v>46197.290081018517</v>
      </c>
      <c r="G1716" s="1" t="s">
        <v>963</v>
      </c>
      <c r="H1716" t="s">
        <v>703</v>
      </c>
    </row>
    <row r="1717" spans="1:8">
      <c r="A1717" s="4" t="s">
        <v>1828</v>
      </c>
      <c r="B1717" s="2" t="s">
        <v>6</v>
      </c>
      <c r="C1717" s="2" t="s">
        <v>6</v>
      </c>
      <c r="D1717" s="4" t="s">
        <v>7</v>
      </c>
      <c r="E1717" s="2" t="s">
        <v>8</v>
      </c>
      <c r="F1717" s="6">
        <v>46192.595578703702</v>
      </c>
      <c r="G1717" s="1" t="s">
        <v>963</v>
      </c>
      <c r="H1717" t="s">
        <v>703</v>
      </c>
    </row>
    <row r="1718" spans="1:8">
      <c r="A1718" s="3" t="s">
        <v>1829</v>
      </c>
      <c r="B1718" s="1" t="s">
        <v>6</v>
      </c>
      <c r="C1718" s="1" t="s">
        <v>6</v>
      </c>
      <c r="D1718" s="3" t="s">
        <v>7</v>
      </c>
      <c r="E1718" s="1" t="s">
        <v>8</v>
      </c>
      <c r="F1718" s="5">
        <v>46192.595138888886</v>
      </c>
      <c r="G1718" s="1" t="s">
        <v>963</v>
      </c>
      <c r="H1718" t="s">
        <v>703</v>
      </c>
    </row>
    <row r="1719" spans="1:8">
      <c r="A1719" s="4" t="s">
        <v>1830</v>
      </c>
      <c r="B1719" s="2" t="s">
        <v>6</v>
      </c>
      <c r="C1719" s="2" t="s">
        <v>6</v>
      </c>
      <c r="D1719" s="4" t="s">
        <v>7</v>
      </c>
      <c r="E1719" s="2" t="s">
        <v>8</v>
      </c>
      <c r="F1719" s="6">
        <v>46191.545763888891</v>
      </c>
      <c r="G1719" s="1" t="s">
        <v>963</v>
      </c>
      <c r="H1719" t="s">
        <v>703</v>
      </c>
    </row>
    <row r="1720" spans="1:8">
      <c r="A1720" s="3" t="s">
        <v>1831</v>
      </c>
      <c r="B1720" s="1" t="s">
        <v>6</v>
      </c>
      <c r="C1720" s="1" t="s">
        <v>6</v>
      </c>
      <c r="D1720" s="3" t="s">
        <v>7</v>
      </c>
      <c r="E1720" s="1" t="s">
        <v>8</v>
      </c>
      <c r="F1720" s="5">
        <v>46191.545289351852</v>
      </c>
      <c r="G1720" s="1" t="s">
        <v>963</v>
      </c>
      <c r="H1720" t="s">
        <v>703</v>
      </c>
    </row>
    <row r="1721" spans="1:8">
      <c r="A1721" s="4" t="s">
        <v>1832</v>
      </c>
      <c r="B1721" s="2" t="s">
        <v>9</v>
      </c>
      <c r="C1721" s="2" t="s">
        <v>10</v>
      </c>
      <c r="D1721" s="4" t="s">
        <v>7</v>
      </c>
      <c r="E1721" s="2" t="s">
        <v>11</v>
      </c>
      <c r="F1721" s="6">
        <v>46197.302060185182</v>
      </c>
      <c r="G1721" s="1" t="s">
        <v>963</v>
      </c>
      <c r="H1721" t="s">
        <v>703</v>
      </c>
    </row>
    <row r="1722" spans="1:8">
      <c r="A1722" s="3" t="s">
        <v>1833</v>
      </c>
      <c r="B1722" s="1" t="s">
        <v>275</v>
      </c>
      <c r="C1722" s="1" t="s">
        <v>276</v>
      </c>
      <c r="D1722" s="3" t="s">
        <v>7</v>
      </c>
      <c r="E1722" s="1" t="s">
        <v>277</v>
      </c>
      <c r="F1722" s="5">
        <v>46197.364027777781</v>
      </c>
      <c r="G1722" s="1" t="s">
        <v>963</v>
      </c>
      <c r="H1722" t="s">
        <v>703</v>
      </c>
    </row>
    <row r="1723" spans="1:8">
      <c r="A1723" s="4" t="s">
        <v>1834</v>
      </c>
      <c r="B1723" s="2" t="s">
        <v>275</v>
      </c>
      <c r="C1723" s="2" t="s">
        <v>276</v>
      </c>
      <c r="D1723" s="4" t="s">
        <v>7</v>
      </c>
      <c r="E1723" s="2" t="s">
        <v>277</v>
      </c>
      <c r="F1723" s="6">
        <v>46197.370219907411</v>
      </c>
      <c r="G1723" s="1" t="s">
        <v>963</v>
      </c>
      <c r="H1723" t="s">
        <v>703</v>
      </c>
    </row>
    <row r="1724" spans="1:8">
      <c r="A1724" s="3" t="s">
        <v>1835</v>
      </c>
      <c r="B1724" s="1" t="s">
        <v>9</v>
      </c>
      <c r="C1724" s="1" t="s">
        <v>10</v>
      </c>
      <c r="D1724" s="3" t="s">
        <v>7</v>
      </c>
      <c r="E1724" s="1" t="s">
        <v>11</v>
      </c>
      <c r="F1724" s="5">
        <v>46192.620532407411</v>
      </c>
      <c r="G1724" s="1" t="s">
        <v>963</v>
      </c>
      <c r="H1724" t="s">
        <v>703</v>
      </c>
    </row>
    <row r="1725" spans="1:8">
      <c r="A1725" s="4" t="s">
        <v>1836</v>
      </c>
      <c r="B1725" s="2" t="s">
        <v>9</v>
      </c>
      <c r="C1725" s="2" t="s">
        <v>10</v>
      </c>
      <c r="D1725" s="4" t="s">
        <v>7</v>
      </c>
      <c r="E1725" s="2" t="s">
        <v>11</v>
      </c>
      <c r="F1725" s="6">
        <v>46197.42728009259</v>
      </c>
      <c r="G1725" s="1" t="s">
        <v>963</v>
      </c>
      <c r="H1725" t="s">
        <v>703</v>
      </c>
    </row>
    <row r="1726" spans="1:8">
      <c r="A1726" s="3" t="s">
        <v>1837</v>
      </c>
      <c r="B1726" s="1" t="s">
        <v>9</v>
      </c>
      <c r="C1726" s="1" t="s">
        <v>10</v>
      </c>
      <c r="D1726" s="3" t="s">
        <v>7</v>
      </c>
      <c r="E1726" s="1" t="s">
        <v>11</v>
      </c>
      <c r="F1726" s="5">
        <v>46197.28533564815</v>
      </c>
      <c r="G1726" s="1" t="s">
        <v>963</v>
      </c>
      <c r="H1726" t="s">
        <v>703</v>
      </c>
    </row>
    <row r="1727" spans="1:8">
      <c r="A1727" s="4" t="s">
        <v>1838</v>
      </c>
      <c r="B1727" s="2" t="s">
        <v>275</v>
      </c>
      <c r="C1727" s="2" t="s">
        <v>276</v>
      </c>
      <c r="D1727" s="4" t="s">
        <v>7</v>
      </c>
      <c r="E1727" s="2" t="s">
        <v>277</v>
      </c>
      <c r="F1727" s="6">
        <v>46197.268773148149</v>
      </c>
      <c r="G1727" s="1" t="s">
        <v>963</v>
      </c>
      <c r="H1727" t="s">
        <v>703</v>
      </c>
    </row>
    <row r="1728" spans="1:8">
      <c r="A1728" s="3" t="s">
        <v>1839</v>
      </c>
      <c r="B1728" s="1" t="s">
        <v>9</v>
      </c>
      <c r="C1728" s="1" t="s">
        <v>10</v>
      </c>
      <c r="D1728" s="3" t="s">
        <v>7</v>
      </c>
      <c r="E1728" s="1" t="s">
        <v>11</v>
      </c>
      <c r="F1728" s="5">
        <v>46197.330069444448</v>
      </c>
      <c r="G1728" s="1" t="s">
        <v>963</v>
      </c>
      <c r="H1728" t="s">
        <v>703</v>
      </c>
    </row>
    <row r="1729" spans="1:8">
      <c r="A1729" s="4" t="s">
        <v>1840</v>
      </c>
      <c r="B1729" s="2" t="s">
        <v>275</v>
      </c>
      <c r="C1729" s="2" t="s">
        <v>276</v>
      </c>
      <c r="D1729" s="4" t="s">
        <v>7</v>
      </c>
      <c r="E1729" s="2" t="s">
        <v>277</v>
      </c>
      <c r="F1729" s="6">
        <v>46191.655833333331</v>
      </c>
      <c r="G1729" s="1" t="s">
        <v>963</v>
      </c>
      <c r="H1729" t="s">
        <v>703</v>
      </c>
    </row>
    <row r="1730" spans="1:8">
      <c r="A1730" s="3" t="s">
        <v>1841</v>
      </c>
      <c r="B1730" s="1" t="s">
        <v>9</v>
      </c>
      <c r="C1730" s="1" t="s">
        <v>10</v>
      </c>
      <c r="D1730" s="3" t="s">
        <v>7</v>
      </c>
      <c r="E1730" s="1" t="s">
        <v>11</v>
      </c>
      <c r="F1730" s="5">
        <v>46197.419768518521</v>
      </c>
      <c r="G1730" s="1" t="s">
        <v>963</v>
      </c>
      <c r="H1730" t="s">
        <v>703</v>
      </c>
    </row>
    <row r="1731" spans="1:8">
      <c r="A1731" s="4" t="s">
        <v>1842</v>
      </c>
      <c r="B1731" s="2" t="s">
        <v>9</v>
      </c>
      <c r="C1731" s="2" t="s">
        <v>10</v>
      </c>
      <c r="D1731" s="4" t="s">
        <v>7</v>
      </c>
      <c r="E1731" s="2" t="s">
        <v>11</v>
      </c>
      <c r="F1731" s="6">
        <v>46197.360555555555</v>
      </c>
      <c r="G1731" s="1" t="s">
        <v>963</v>
      </c>
      <c r="H1731" t="s">
        <v>703</v>
      </c>
    </row>
    <row r="1732" spans="1:8">
      <c r="A1732" s="3" t="s">
        <v>1843</v>
      </c>
      <c r="B1732" s="1" t="s">
        <v>275</v>
      </c>
      <c r="C1732" s="1" t="s">
        <v>276</v>
      </c>
      <c r="D1732" s="3" t="s">
        <v>7</v>
      </c>
      <c r="E1732" s="1" t="s">
        <v>277</v>
      </c>
      <c r="F1732" s="5">
        <v>46197.353703703702</v>
      </c>
      <c r="G1732" s="1" t="s">
        <v>963</v>
      </c>
      <c r="H1732" t="s">
        <v>703</v>
      </c>
    </row>
    <row r="1733" spans="1:8">
      <c r="A1733" s="4" t="s">
        <v>1844</v>
      </c>
      <c r="B1733" s="2" t="s">
        <v>6</v>
      </c>
      <c r="C1733" s="2" t="s">
        <v>6</v>
      </c>
      <c r="D1733" s="4" t="s">
        <v>7</v>
      </c>
      <c r="E1733" s="2" t="s">
        <v>8</v>
      </c>
      <c r="F1733" s="6">
        <v>46192.595520833333</v>
      </c>
      <c r="G1733" s="1" t="s">
        <v>963</v>
      </c>
      <c r="H1733" t="s">
        <v>703</v>
      </c>
    </row>
    <row r="1734" spans="1:8">
      <c r="A1734" s="3" t="s">
        <v>1845</v>
      </c>
      <c r="B1734" s="1" t="s">
        <v>6</v>
      </c>
      <c r="C1734" s="1" t="s">
        <v>6</v>
      </c>
      <c r="D1734" s="3" t="s">
        <v>7</v>
      </c>
      <c r="E1734" s="1" t="s">
        <v>8</v>
      </c>
      <c r="F1734" s="5">
        <v>46192.608784722222</v>
      </c>
      <c r="G1734" s="1" t="s">
        <v>963</v>
      </c>
      <c r="H1734" t="s">
        <v>703</v>
      </c>
    </row>
    <row r="1735" spans="1:8">
      <c r="A1735" s="4" t="s">
        <v>1846</v>
      </c>
      <c r="B1735" s="2" t="s">
        <v>6</v>
      </c>
      <c r="C1735" s="2" t="s">
        <v>6</v>
      </c>
      <c r="D1735" s="4" t="s">
        <v>7</v>
      </c>
      <c r="E1735" s="2" t="s">
        <v>8</v>
      </c>
      <c r="F1735" s="6">
        <v>46191.54546296296</v>
      </c>
      <c r="G1735" s="1" t="s">
        <v>963</v>
      </c>
      <c r="H1735" t="s">
        <v>703</v>
      </c>
    </row>
    <row r="1736" spans="1:8">
      <c r="A1736" s="3" t="s">
        <v>1723</v>
      </c>
      <c r="B1736" s="1" t="s">
        <v>9</v>
      </c>
      <c r="C1736" s="1" t="s">
        <v>10</v>
      </c>
      <c r="D1736" s="3" t="s">
        <v>7</v>
      </c>
      <c r="E1736" s="1" t="s">
        <v>11</v>
      </c>
      <c r="F1736" s="5">
        <v>46197.533009259256</v>
      </c>
      <c r="G1736" t="s">
        <v>964</v>
      </c>
      <c r="H1736" t="s">
        <v>704</v>
      </c>
    </row>
    <row r="1737" spans="1:8">
      <c r="A1737" s="4" t="s">
        <v>1724</v>
      </c>
      <c r="B1737" s="2" t="s">
        <v>6</v>
      </c>
      <c r="C1737" s="2" t="s">
        <v>6</v>
      </c>
      <c r="D1737" s="4" t="s">
        <v>7</v>
      </c>
      <c r="E1737" s="2" t="s">
        <v>8</v>
      </c>
      <c r="F1737" s="6">
        <v>46191.545578703706</v>
      </c>
      <c r="G1737" t="s">
        <v>964</v>
      </c>
      <c r="H1737" t="s">
        <v>704</v>
      </c>
    </row>
    <row r="1738" spans="1:8">
      <c r="A1738" s="3" t="s">
        <v>1725</v>
      </c>
      <c r="B1738" s="1" t="s">
        <v>9</v>
      </c>
      <c r="C1738" s="1" t="s">
        <v>10</v>
      </c>
      <c r="D1738" s="3" t="s">
        <v>7</v>
      </c>
      <c r="E1738" s="1" t="s">
        <v>11</v>
      </c>
      <c r="F1738" s="5">
        <v>46197.476666666669</v>
      </c>
      <c r="G1738" t="s">
        <v>964</v>
      </c>
      <c r="H1738" t="s">
        <v>704</v>
      </c>
    </row>
    <row r="1739" spans="1:8">
      <c r="A1739" s="4" t="s">
        <v>1726</v>
      </c>
      <c r="B1739" s="2" t="s">
        <v>937</v>
      </c>
      <c r="C1739" s="2" t="s">
        <v>938</v>
      </c>
      <c r="D1739" s="4" t="s">
        <v>7</v>
      </c>
      <c r="E1739" s="2" t="s">
        <v>14</v>
      </c>
      <c r="F1739" s="6">
        <v>46184.45076388889</v>
      </c>
      <c r="G1739" t="s">
        <v>964</v>
      </c>
      <c r="H1739" t="s">
        <v>704</v>
      </c>
    </row>
    <row r="1740" spans="1:8">
      <c r="A1740" s="3" t="s">
        <v>1727</v>
      </c>
      <c r="B1740" s="1" t="s">
        <v>937</v>
      </c>
      <c r="C1740" s="1" t="s">
        <v>938</v>
      </c>
      <c r="D1740" s="3" t="s">
        <v>7</v>
      </c>
      <c r="E1740" s="1" t="s">
        <v>14</v>
      </c>
      <c r="F1740" s="5">
        <v>46184.454618055555</v>
      </c>
      <c r="G1740" t="s">
        <v>964</v>
      </c>
      <c r="H1740" t="s">
        <v>704</v>
      </c>
    </row>
    <row r="1741" spans="1:8">
      <c r="A1741" s="4" t="s">
        <v>1728</v>
      </c>
      <c r="B1741" s="2" t="s">
        <v>9</v>
      </c>
      <c r="C1741" s="2" t="s">
        <v>10</v>
      </c>
      <c r="D1741" s="4" t="s">
        <v>7</v>
      </c>
      <c r="E1741" s="2" t="s">
        <v>11</v>
      </c>
      <c r="F1741" s="6">
        <v>46197.549618055556</v>
      </c>
      <c r="G1741" t="s">
        <v>964</v>
      </c>
      <c r="H1741" t="s">
        <v>704</v>
      </c>
    </row>
    <row r="1742" spans="1:8">
      <c r="A1742" s="3" t="s">
        <v>1729</v>
      </c>
      <c r="B1742" s="1" t="s">
        <v>9</v>
      </c>
      <c r="C1742" s="1" t="s">
        <v>10</v>
      </c>
      <c r="D1742" s="3" t="s">
        <v>7</v>
      </c>
      <c r="E1742" s="1" t="s">
        <v>11</v>
      </c>
      <c r="F1742" s="5">
        <v>46196.901678240742</v>
      </c>
      <c r="G1742" t="s">
        <v>964</v>
      </c>
      <c r="H1742" t="s">
        <v>704</v>
      </c>
    </row>
    <row r="1743" spans="1:8">
      <c r="A1743" s="4" t="s">
        <v>1730</v>
      </c>
      <c r="B1743" s="2" t="s">
        <v>6</v>
      </c>
      <c r="C1743" s="2" t="s">
        <v>6</v>
      </c>
      <c r="D1743" s="4" t="s">
        <v>7</v>
      </c>
      <c r="E1743" s="2" t="s">
        <v>8</v>
      </c>
      <c r="F1743" s="6">
        <v>46191.54550925926</v>
      </c>
      <c r="G1743" t="s">
        <v>964</v>
      </c>
      <c r="H1743" t="s">
        <v>704</v>
      </c>
    </row>
    <row r="1744" spans="1:8">
      <c r="A1744" s="3" t="s">
        <v>1731</v>
      </c>
      <c r="B1744" s="1" t="s">
        <v>6</v>
      </c>
      <c r="C1744" s="1" t="s">
        <v>6</v>
      </c>
      <c r="D1744" s="3" t="s">
        <v>7</v>
      </c>
      <c r="E1744" s="1" t="s">
        <v>8</v>
      </c>
      <c r="F1744" s="5">
        <v>46192.595358796294</v>
      </c>
      <c r="G1744" t="s">
        <v>964</v>
      </c>
      <c r="H1744" t="s">
        <v>704</v>
      </c>
    </row>
    <row r="1745" spans="1:8">
      <c r="A1745" s="4" t="s">
        <v>1732</v>
      </c>
      <c r="B1745" s="2" t="s">
        <v>937</v>
      </c>
      <c r="C1745" s="2" t="s">
        <v>938</v>
      </c>
      <c r="D1745" s="4" t="s">
        <v>7</v>
      </c>
      <c r="E1745" s="2" t="s">
        <v>14</v>
      </c>
      <c r="F1745" s="6">
        <v>46184.400995370372</v>
      </c>
      <c r="G1745" t="s">
        <v>964</v>
      </c>
      <c r="H1745" t="s">
        <v>704</v>
      </c>
    </row>
    <row r="1746" spans="1:8">
      <c r="A1746" s="3" t="s">
        <v>1733</v>
      </c>
      <c r="B1746" s="1" t="s">
        <v>9</v>
      </c>
      <c r="C1746" s="1" t="s">
        <v>10</v>
      </c>
      <c r="D1746" s="3" t="s">
        <v>7</v>
      </c>
      <c r="E1746" s="1" t="s">
        <v>11</v>
      </c>
      <c r="F1746" s="5">
        <v>46196.897013888891</v>
      </c>
      <c r="G1746" t="s">
        <v>964</v>
      </c>
      <c r="H1746" t="s">
        <v>704</v>
      </c>
    </row>
    <row r="1747" spans="1:8">
      <c r="A1747" s="4" t="s">
        <v>1734</v>
      </c>
      <c r="B1747" s="2" t="s">
        <v>1657</v>
      </c>
      <c r="C1747" s="2" t="s">
        <v>1658</v>
      </c>
      <c r="D1747" s="4" t="s">
        <v>7</v>
      </c>
      <c r="E1747" s="2" t="s">
        <v>14</v>
      </c>
      <c r="F1747" s="6">
        <v>46181.59584490741</v>
      </c>
      <c r="G1747" t="s">
        <v>964</v>
      </c>
      <c r="H1747" t="s">
        <v>704</v>
      </c>
    </row>
    <row r="1748" spans="1:8">
      <c r="A1748" s="3" t="s">
        <v>1735</v>
      </c>
      <c r="B1748" s="1" t="s">
        <v>9</v>
      </c>
      <c r="C1748" s="1" t="s">
        <v>10</v>
      </c>
      <c r="D1748" s="3" t="s">
        <v>7</v>
      </c>
      <c r="E1748" s="1" t="s">
        <v>11</v>
      </c>
      <c r="F1748" s="5">
        <v>46196.910300925927</v>
      </c>
      <c r="G1748" t="s">
        <v>964</v>
      </c>
      <c r="H1748" t="s">
        <v>704</v>
      </c>
    </row>
    <row r="1749" spans="1:8">
      <c r="A1749" s="4" t="s">
        <v>1736</v>
      </c>
      <c r="B1749" s="2" t="s">
        <v>6</v>
      </c>
      <c r="C1749" s="2" t="s">
        <v>6</v>
      </c>
      <c r="D1749" s="4" t="s">
        <v>7</v>
      </c>
      <c r="E1749" s="2" t="s">
        <v>8</v>
      </c>
      <c r="F1749" s="6">
        <v>46191.545601851853</v>
      </c>
      <c r="G1749" t="s">
        <v>964</v>
      </c>
      <c r="H1749" t="s">
        <v>704</v>
      </c>
    </row>
    <row r="1750" spans="1:8">
      <c r="A1750" s="3" t="s">
        <v>1737</v>
      </c>
      <c r="B1750" s="1" t="s">
        <v>9</v>
      </c>
      <c r="C1750" s="1" t="s">
        <v>10</v>
      </c>
      <c r="D1750" s="3" t="s">
        <v>7</v>
      </c>
      <c r="E1750" s="1" t="s">
        <v>11</v>
      </c>
      <c r="F1750" s="5">
        <v>46197.812511574077</v>
      </c>
      <c r="G1750" t="s">
        <v>964</v>
      </c>
      <c r="H1750" t="s">
        <v>704</v>
      </c>
    </row>
    <row r="1751" spans="1:8">
      <c r="A1751" s="4" t="s">
        <v>1738</v>
      </c>
      <c r="B1751" s="2" t="s">
        <v>6</v>
      </c>
      <c r="C1751" s="2" t="s">
        <v>6</v>
      </c>
      <c r="D1751" s="4" t="s">
        <v>7</v>
      </c>
      <c r="E1751" s="2" t="s">
        <v>8</v>
      </c>
      <c r="F1751" s="6">
        <v>46191.545543981483</v>
      </c>
      <c r="G1751" t="s">
        <v>964</v>
      </c>
      <c r="H1751" t="s">
        <v>704</v>
      </c>
    </row>
    <row r="1752" spans="1:8">
      <c r="A1752" s="3" t="s">
        <v>1739</v>
      </c>
      <c r="B1752" s="1" t="s">
        <v>937</v>
      </c>
      <c r="C1752" s="1" t="s">
        <v>938</v>
      </c>
      <c r="D1752" s="3" t="s">
        <v>7</v>
      </c>
      <c r="E1752" s="1" t="s">
        <v>14</v>
      </c>
      <c r="F1752" s="5">
        <v>46184.400405092594</v>
      </c>
      <c r="G1752" t="s">
        <v>964</v>
      </c>
      <c r="H1752" t="s">
        <v>704</v>
      </c>
    </row>
    <row r="1753" spans="1:8">
      <c r="A1753" s="4" t="s">
        <v>1740</v>
      </c>
      <c r="B1753" s="2" t="s">
        <v>6</v>
      </c>
      <c r="C1753" s="2" t="s">
        <v>6</v>
      </c>
      <c r="D1753" s="4" t="s">
        <v>7</v>
      </c>
      <c r="E1753" s="2" t="s">
        <v>8</v>
      </c>
      <c r="F1753" s="6">
        <v>46192.595451388886</v>
      </c>
      <c r="G1753" t="s">
        <v>964</v>
      </c>
      <c r="H1753" t="s">
        <v>704</v>
      </c>
    </row>
    <row r="1754" spans="1:8">
      <c r="A1754" s="3" t="s">
        <v>1741</v>
      </c>
      <c r="B1754" s="1" t="s">
        <v>6</v>
      </c>
      <c r="C1754" s="1" t="s">
        <v>6</v>
      </c>
      <c r="D1754" s="3" t="s">
        <v>7</v>
      </c>
      <c r="E1754" s="1" t="s">
        <v>8</v>
      </c>
      <c r="F1754" s="5">
        <v>46192.595300925925</v>
      </c>
      <c r="G1754" t="s">
        <v>964</v>
      </c>
      <c r="H1754" t="s">
        <v>704</v>
      </c>
    </row>
    <row r="1755" spans="1:8">
      <c r="A1755" s="4" t="s">
        <v>1742</v>
      </c>
      <c r="B1755" s="2" t="s">
        <v>275</v>
      </c>
      <c r="C1755" s="2" t="s">
        <v>276</v>
      </c>
      <c r="D1755" s="4" t="s">
        <v>7</v>
      </c>
      <c r="E1755" s="2" t="s">
        <v>277</v>
      </c>
      <c r="F1755" s="6">
        <v>46191.905324074076</v>
      </c>
      <c r="G1755" t="s">
        <v>964</v>
      </c>
      <c r="H1755" t="s">
        <v>704</v>
      </c>
    </row>
    <row r="1756" spans="1:8">
      <c r="A1756" s="3" t="s">
        <v>1743</v>
      </c>
      <c r="B1756" s="1" t="s">
        <v>937</v>
      </c>
      <c r="C1756" s="1" t="s">
        <v>938</v>
      </c>
      <c r="D1756" s="3" t="s">
        <v>7</v>
      </c>
      <c r="E1756" s="1" t="s">
        <v>14</v>
      </c>
      <c r="F1756" s="5">
        <v>46184.490115740744</v>
      </c>
      <c r="G1756" t="s">
        <v>964</v>
      </c>
      <c r="H1756" t="s">
        <v>704</v>
      </c>
    </row>
    <row r="1757" spans="1:8">
      <c r="A1757" s="4" t="s">
        <v>1744</v>
      </c>
      <c r="B1757" s="2" t="s">
        <v>648</v>
      </c>
      <c r="C1757" s="2" t="s">
        <v>649</v>
      </c>
      <c r="D1757" s="4" t="s">
        <v>7</v>
      </c>
      <c r="E1757" s="2" t="s">
        <v>14</v>
      </c>
      <c r="F1757" s="6">
        <v>46197.382245370369</v>
      </c>
      <c r="G1757" t="s">
        <v>964</v>
      </c>
      <c r="H1757" t="s">
        <v>704</v>
      </c>
    </row>
    <row r="1758" spans="1:8">
      <c r="A1758" s="3" t="s">
        <v>1745</v>
      </c>
      <c r="B1758" s="1" t="s">
        <v>937</v>
      </c>
      <c r="C1758" s="1" t="s">
        <v>938</v>
      </c>
      <c r="D1758" s="3" t="s">
        <v>7</v>
      </c>
      <c r="E1758" s="1" t="s">
        <v>14</v>
      </c>
      <c r="F1758" s="5">
        <v>46184.491203703707</v>
      </c>
      <c r="G1758" t="s">
        <v>964</v>
      </c>
      <c r="H1758" t="s">
        <v>704</v>
      </c>
    </row>
    <row r="1759" spans="1:8">
      <c r="A1759" s="4" t="s">
        <v>1746</v>
      </c>
      <c r="B1759" s="2" t="s">
        <v>937</v>
      </c>
      <c r="C1759" s="2" t="s">
        <v>938</v>
      </c>
      <c r="D1759" s="4" t="s">
        <v>7</v>
      </c>
      <c r="E1759" s="2" t="s">
        <v>14</v>
      </c>
      <c r="F1759" s="6">
        <v>46184.494062500002</v>
      </c>
      <c r="G1759" t="s">
        <v>964</v>
      </c>
      <c r="H1759" t="s">
        <v>704</v>
      </c>
    </row>
    <row r="1760" spans="1:8">
      <c r="A1760" s="3" t="s">
        <v>1747</v>
      </c>
      <c r="B1760" s="1" t="s">
        <v>9</v>
      </c>
      <c r="C1760" s="1" t="s">
        <v>10</v>
      </c>
      <c r="D1760" s="3" t="s">
        <v>7</v>
      </c>
      <c r="E1760" s="1" t="s">
        <v>11</v>
      </c>
      <c r="F1760" s="5">
        <v>46196.905925925923</v>
      </c>
      <c r="G1760" t="s">
        <v>964</v>
      </c>
      <c r="H1760" t="s">
        <v>704</v>
      </c>
    </row>
    <row r="1761" spans="1:8">
      <c r="A1761" s="4" t="s">
        <v>1748</v>
      </c>
      <c r="B1761" s="2" t="s">
        <v>9</v>
      </c>
      <c r="C1761" s="2" t="s">
        <v>10</v>
      </c>
      <c r="D1761" s="4" t="s">
        <v>7</v>
      </c>
      <c r="E1761" s="2" t="s">
        <v>11</v>
      </c>
      <c r="F1761" s="6">
        <v>46197.465960648151</v>
      </c>
      <c r="G1761" t="s">
        <v>964</v>
      </c>
      <c r="H1761" t="s">
        <v>704</v>
      </c>
    </row>
    <row r="1762" spans="1:8">
      <c r="A1762" s="3" t="s">
        <v>1749</v>
      </c>
      <c r="B1762" s="1" t="s">
        <v>9</v>
      </c>
      <c r="C1762" s="1" t="s">
        <v>10</v>
      </c>
      <c r="D1762" s="3" t="s">
        <v>7</v>
      </c>
      <c r="E1762" s="1" t="s">
        <v>11</v>
      </c>
      <c r="F1762" s="5">
        <v>46196.348680555559</v>
      </c>
      <c r="G1762" t="s">
        <v>964</v>
      </c>
      <c r="H1762" t="s">
        <v>704</v>
      </c>
    </row>
    <row r="1763" spans="1:8">
      <c r="A1763" s="4" t="s">
        <v>1750</v>
      </c>
      <c r="B1763" s="2" t="s">
        <v>9</v>
      </c>
      <c r="C1763" s="2" t="s">
        <v>10</v>
      </c>
      <c r="D1763" s="4" t="s">
        <v>7</v>
      </c>
      <c r="E1763" s="2" t="s">
        <v>11</v>
      </c>
      <c r="F1763" s="6">
        <v>46197.300011574072</v>
      </c>
      <c r="G1763" t="s">
        <v>964</v>
      </c>
      <c r="H1763" t="s">
        <v>704</v>
      </c>
    </row>
    <row r="1764" spans="1:8">
      <c r="A1764" s="3" t="s">
        <v>1751</v>
      </c>
      <c r="B1764" s="1" t="s">
        <v>937</v>
      </c>
      <c r="C1764" s="1" t="s">
        <v>938</v>
      </c>
      <c r="D1764" s="3" t="s">
        <v>7</v>
      </c>
      <c r="E1764" s="1" t="s">
        <v>14</v>
      </c>
      <c r="F1764" s="5">
        <v>46184.491342592592</v>
      </c>
      <c r="G1764" t="s">
        <v>964</v>
      </c>
      <c r="H1764" t="s">
        <v>704</v>
      </c>
    </row>
    <row r="1765" spans="1:8">
      <c r="A1765" s="4" t="s">
        <v>1752</v>
      </c>
      <c r="B1765" s="2" t="s">
        <v>9</v>
      </c>
      <c r="C1765" s="2" t="s">
        <v>10</v>
      </c>
      <c r="D1765" s="4" t="s">
        <v>7</v>
      </c>
      <c r="E1765" s="2" t="s">
        <v>11</v>
      </c>
      <c r="F1765" s="6">
        <v>46197.483240740738</v>
      </c>
      <c r="G1765" t="s">
        <v>964</v>
      </c>
      <c r="H1765" t="s">
        <v>704</v>
      </c>
    </row>
    <row r="1766" spans="1:8">
      <c r="A1766" s="3" t="s">
        <v>1753</v>
      </c>
      <c r="B1766" s="1" t="s">
        <v>9</v>
      </c>
      <c r="C1766" s="1" t="s">
        <v>10</v>
      </c>
      <c r="D1766" s="3" t="s">
        <v>7</v>
      </c>
      <c r="E1766" s="1" t="s">
        <v>11</v>
      </c>
      <c r="F1766" s="5">
        <v>46197.539479166669</v>
      </c>
      <c r="G1766" t="s">
        <v>964</v>
      </c>
      <c r="H1766" t="s">
        <v>704</v>
      </c>
    </row>
    <row r="1767" spans="1:8">
      <c r="A1767" s="4" t="s">
        <v>1754</v>
      </c>
      <c r="B1767" s="2" t="s">
        <v>9</v>
      </c>
      <c r="C1767" s="2" t="s">
        <v>10</v>
      </c>
      <c r="D1767" s="4" t="s">
        <v>7</v>
      </c>
      <c r="E1767" s="2" t="s">
        <v>11</v>
      </c>
      <c r="F1767" s="6">
        <v>46196.355763888889</v>
      </c>
      <c r="G1767" t="s">
        <v>964</v>
      </c>
      <c r="H1767" t="s">
        <v>704</v>
      </c>
    </row>
    <row r="1768" spans="1:8">
      <c r="A1768" s="3" t="s">
        <v>1847</v>
      </c>
      <c r="B1768" s="1" t="s">
        <v>937</v>
      </c>
      <c r="C1768" s="1" t="s">
        <v>938</v>
      </c>
      <c r="D1768" s="3" t="s">
        <v>7</v>
      </c>
      <c r="E1768" s="1" t="s">
        <v>14</v>
      </c>
      <c r="F1768" s="5">
        <v>46184.493391203701</v>
      </c>
      <c r="G1768" t="s">
        <v>964</v>
      </c>
      <c r="H1768" t="s">
        <v>704</v>
      </c>
    </row>
    <row r="1769" spans="1:8">
      <c r="A1769" s="4" t="s">
        <v>1848</v>
      </c>
      <c r="B1769" s="2" t="s">
        <v>650</v>
      </c>
      <c r="C1769" s="2" t="s">
        <v>651</v>
      </c>
      <c r="D1769" s="4" t="s">
        <v>7</v>
      </c>
      <c r="E1769" s="2" t="s">
        <v>647</v>
      </c>
      <c r="F1769" s="6">
        <v>46197.382685185185</v>
      </c>
      <c r="G1769" t="s">
        <v>964</v>
      </c>
      <c r="H1769" t="s">
        <v>704</v>
      </c>
    </row>
    <row r="1770" spans="1:8">
      <c r="A1770" s="3" t="s">
        <v>1849</v>
      </c>
      <c r="B1770" s="1" t="s">
        <v>650</v>
      </c>
      <c r="C1770" s="1" t="s">
        <v>651</v>
      </c>
      <c r="D1770" s="3" t="s">
        <v>7</v>
      </c>
      <c r="E1770" s="1" t="s">
        <v>647</v>
      </c>
      <c r="F1770" s="5">
        <v>46197.382465277777</v>
      </c>
      <c r="G1770" t="s">
        <v>964</v>
      </c>
      <c r="H1770" t="s">
        <v>704</v>
      </c>
    </row>
    <row r="1771" spans="1:8">
      <c r="A1771" s="4" t="s">
        <v>1850</v>
      </c>
      <c r="B1771" s="2" t="s">
        <v>937</v>
      </c>
      <c r="C1771" s="2" t="s">
        <v>938</v>
      </c>
      <c r="D1771" s="4" t="s">
        <v>7</v>
      </c>
      <c r="E1771" s="2" t="s">
        <v>14</v>
      </c>
      <c r="F1771" s="6">
        <v>46184.462025462963</v>
      </c>
      <c r="G1771" t="s">
        <v>964</v>
      </c>
      <c r="H1771" t="s">
        <v>704</v>
      </c>
    </row>
    <row r="1772" spans="1:8">
      <c r="A1772" s="3" t="s">
        <v>1851</v>
      </c>
      <c r="B1772" s="1" t="s">
        <v>9</v>
      </c>
      <c r="C1772" s="1" t="s">
        <v>10</v>
      </c>
      <c r="D1772" s="3" t="s">
        <v>7</v>
      </c>
      <c r="E1772" s="1" t="s">
        <v>11</v>
      </c>
      <c r="F1772" s="5">
        <v>46197.479907407411</v>
      </c>
      <c r="G1772" t="s">
        <v>964</v>
      </c>
      <c r="H1772" t="s">
        <v>704</v>
      </c>
    </row>
    <row r="1773" spans="1:8">
      <c r="A1773" s="4" t="s">
        <v>1852</v>
      </c>
      <c r="B1773" s="2" t="s">
        <v>275</v>
      </c>
      <c r="C1773" s="2" t="s">
        <v>276</v>
      </c>
      <c r="D1773" s="4" t="s">
        <v>7</v>
      </c>
      <c r="E1773" s="2" t="s">
        <v>277</v>
      </c>
      <c r="F1773" s="6">
        <v>46196.36136574074</v>
      </c>
      <c r="G1773" t="s">
        <v>964</v>
      </c>
      <c r="H1773" t="s">
        <v>704</v>
      </c>
    </row>
    <row r="1774" spans="1:8">
      <c r="A1774" s="3" t="s">
        <v>1853</v>
      </c>
      <c r="B1774" s="1" t="s">
        <v>9</v>
      </c>
      <c r="C1774" s="1" t="s">
        <v>10</v>
      </c>
      <c r="D1774" s="3" t="s">
        <v>7</v>
      </c>
      <c r="E1774" s="1" t="s">
        <v>11</v>
      </c>
      <c r="F1774" s="5">
        <v>46197.542731481481</v>
      </c>
      <c r="G1774" t="s">
        <v>964</v>
      </c>
      <c r="H1774" t="s">
        <v>704</v>
      </c>
    </row>
    <row r="1775" spans="1:8">
      <c r="A1775" s="4" t="s">
        <v>1854</v>
      </c>
      <c r="B1775" s="2" t="s">
        <v>9</v>
      </c>
      <c r="C1775" s="2" t="s">
        <v>10</v>
      </c>
      <c r="D1775" s="4" t="s">
        <v>7</v>
      </c>
      <c r="E1775" s="2" t="s">
        <v>11</v>
      </c>
      <c r="F1775" s="6">
        <v>46196.364317129628</v>
      </c>
      <c r="G1775" t="s">
        <v>964</v>
      </c>
      <c r="H1775" t="s">
        <v>704</v>
      </c>
    </row>
    <row r="1776" spans="1:8">
      <c r="A1776" s="3" t="s">
        <v>1855</v>
      </c>
      <c r="B1776" s="1" t="s">
        <v>9</v>
      </c>
      <c r="C1776" s="1" t="s">
        <v>10</v>
      </c>
      <c r="D1776" s="3" t="s">
        <v>7</v>
      </c>
      <c r="E1776" s="1" t="s">
        <v>11</v>
      </c>
      <c r="F1776" s="5">
        <v>46197.553182870368</v>
      </c>
      <c r="G1776" t="s">
        <v>964</v>
      </c>
      <c r="H1776" t="s">
        <v>704</v>
      </c>
    </row>
    <row r="1777" spans="1:8">
      <c r="A1777" s="4" t="s">
        <v>1856</v>
      </c>
      <c r="B1777" s="2" t="s">
        <v>9</v>
      </c>
      <c r="C1777" s="2" t="s">
        <v>10</v>
      </c>
      <c r="D1777" s="4" t="s">
        <v>7</v>
      </c>
      <c r="E1777" s="2" t="s">
        <v>11</v>
      </c>
      <c r="F1777" s="6">
        <v>46197.546550925923</v>
      </c>
      <c r="G1777" t="s">
        <v>964</v>
      </c>
      <c r="H1777" t="s">
        <v>704</v>
      </c>
    </row>
    <row r="1778" spans="1:8">
      <c r="A1778" s="3" t="s">
        <v>1857</v>
      </c>
      <c r="B1778" s="1" t="s">
        <v>9</v>
      </c>
      <c r="C1778" s="1" t="s">
        <v>10</v>
      </c>
      <c r="D1778" s="3" t="s">
        <v>7</v>
      </c>
      <c r="E1778" s="1" t="s">
        <v>11</v>
      </c>
      <c r="F1778" s="5">
        <v>46197.470011574071</v>
      </c>
      <c r="G1778" t="s">
        <v>964</v>
      </c>
      <c r="H1778" t="s">
        <v>704</v>
      </c>
    </row>
    <row r="1779" spans="1:8">
      <c r="A1779" s="4" t="s">
        <v>1858</v>
      </c>
      <c r="B1779" s="2" t="s">
        <v>9</v>
      </c>
      <c r="C1779" s="2" t="s">
        <v>10</v>
      </c>
      <c r="D1779" s="4" t="s">
        <v>7</v>
      </c>
      <c r="E1779" s="2" t="s">
        <v>11</v>
      </c>
      <c r="F1779" s="6">
        <v>46197.473692129628</v>
      </c>
      <c r="G1779" t="s">
        <v>964</v>
      </c>
      <c r="H1779" t="s">
        <v>704</v>
      </c>
    </row>
    <row r="1780" spans="1:8">
      <c r="A1780" s="3" t="s">
        <v>1859</v>
      </c>
      <c r="B1780" s="1" t="s">
        <v>937</v>
      </c>
      <c r="C1780" s="1" t="s">
        <v>938</v>
      </c>
      <c r="D1780" s="3" t="s">
        <v>7</v>
      </c>
      <c r="E1780" s="1" t="s">
        <v>14</v>
      </c>
      <c r="F1780" s="5">
        <v>46184.466597222221</v>
      </c>
      <c r="G1780" t="s">
        <v>964</v>
      </c>
      <c r="H1780" t="s">
        <v>704</v>
      </c>
    </row>
    <row r="1781" spans="1:8">
      <c r="A1781" s="4" t="s">
        <v>1860</v>
      </c>
      <c r="B1781" s="2" t="s">
        <v>9</v>
      </c>
      <c r="C1781" s="2" t="s">
        <v>10</v>
      </c>
      <c r="D1781" s="4" t="s">
        <v>7</v>
      </c>
      <c r="E1781" s="2" t="s">
        <v>11</v>
      </c>
      <c r="F1781" s="6">
        <v>46197.772465277776</v>
      </c>
      <c r="G1781" t="s">
        <v>964</v>
      </c>
      <c r="H1781" t="s">
        <v>704</v>
      </c>
    </row>
    <row r="1782" spans="1:8">
      <c r="A1782" s="3" t="s">
        <v>1861</v>
      </c>
      <c r="B1782" s="1" t="s">
        <v>937</v>
      </c>
      <c r="C1782" s="1" t="s">
        <v>938</v>
      </c>
      <c r="D1782" s="3" t="s">
        <v>7</v>
      </c>
      <c r="E1782" s="1" t="s">
        <v>14</v>
      </c>
      <c r="F1782" s="5">
        <v>46184.46770833333</v>
      </c>
      <c r="G1782" t="s">
        <v>964</v>
      </c>
      <c r="H1782" t="s">
        <v>704</v>
      </c>
    </row>
    <row r="1783" spans="1:8">
      <c r="A1783" s="4" t="s">
        <v>1862</v>
      </c>
      <c r="B1783" s="2" t="s">
        <v>937</v>
      </c>
      <c r="C1783" s="2" t="s">
        <v>938</v>
      </c>
      <c r="D1783" s="4" t="s">
        <v>7</v>
      </c>
      <c r="E1783" s="2" t="s">
        <v>14</v>
      </c>
      <c r="F1783" s="6">
        <v>46184.492268518516</v>
      </c>
      <c r="G1783" t="s">
        <v>964</v>
      </c>
      <c r="H1783" t="s">
        <v>704</v>
      </c>
    </row>
    <row r="1784" spans="1:8">
      <c r="A1784" s="3" t="s">
        <v>1863</v>
      </c>
      <c r="B1784" s="1" t="s">
        <v>9</v>
      </c>
      <c r="C1784" s="1" t="s">
        <v>10</v>
      </c>
      <c r="D1784" s="3" t="s">
        <v>7</v>
      </c>
      <c r="E1784" s="1" t="s">
        <v>11</v>
      </c>
      <c r="F1784" s="5">
        <v>46197.536203703705</v>
      </c>
      <c r="G1784" t="s">
        <v>964</v>
      </c>
      <c r="H1784" t="s">
        <v>704</v>
      </c>
    </row>
    <row r="1785" spans="1:8">
      <c r="A1785" s="4" t="s">
        <v>1864</v>
      </c>
      <c r="B1785" s="2" t="s">
        <v>1657</v>
      </c>
      <c r="C1785" s="2" t="s">
        <v>1658</v>
      </c>
      <c r="D1785" s="4" t="s">
        <v>7</v>
      </c>
      <c r="E1785" s="2" t="s">
        <v>14</v>
      </c>
      <c r="F1785" s="6">
        <v>46190.381863425922</v>
      </c>
      <c r="G1785" t="s">
        <v>964</v>
      </c>
      <c r="H1785" t="s">
        <v>704</v>
      </c>
    </row>
    <row r="1786" spans="1:8">
      <c r="A1786" s="3" t="s">
        <v>1865</v>
      </c>
      <c r="B1786" s="1" t="s">
        <v>9</v>
      </c>
      <c r="C1786" s="1" t="s">
        <v>10</v>
      </c>
      <c r="D1786" s="3" t="s">
        <v>7</v>
      </c>
      <c r="E1786" s="1" t="s">
        <v>11</v>
      </c>
      <c r="F1786" s="5">
        <v>46197.801319444443</v>
      </c>
      <c r="G1786" t="s">
        <v>964</v>
      </c>
      <c r="H1786" t="s">
        <v>704</v>
      </c>
    </row>
    <row r="1787" spans="1:8">
      <c r="A1787" s="4" t="s">
        <v>1866</v>
      </c>
      <c r="B1787" s="2" t="s">
        <v>6</v>
      </c>
      <c r="C1787" s="2" t="s">
        <v>6</v>
      </c>
      <c r="D1787" s="4" t="s">
        <v>7</v>
      </c>
      <c r="E1787" s="2" t="s">
        <v>8</v>
      </c>
      <c r="F1787" s="6">
        <v>46192.595243055555</v>
      </c>
      <c r="G1787" t="s">
        <v>964</v>
      </c>
      <c r="H1787" t="s">
        <v>704</v>
      </c>
    </row>
    <row r="1788" spans="1:8">
      <c r="A1788" s="3" t="s">
        <v>1867</v>
      </c>
      <c r="B1788" s="1" t="s">
        <v>937</v>
      </c>
      <c r="C1788" s="1" t="s">
        <v>938</v>
      </c>
      <c r="D1788" s="3" t="s">
        <v>7</v>
      </c>
      <c r="E1788" s="1" t="s">
        <v>14</v>
      </c>
      <c r="F1788" s="5">
        <v>46184.488020833334</v>
      </c>
      <c r="G1788" t="s">
        <v>964</v>
      </c>
      <c r="H1788" t="s">
        <v>704</v>
      </c>
    </row>
    <row r="1789" spans="1:8">
      <c r="A1789" s="4" t="s">
        <v>1868</v>
      </c>
      <c r="B1789" s="2" t="s">
        <v>275</v>
      </c>
      <c r="C1789" s="2" t="s">
        <v>276</v>
      </c>
      <c r="D1789" s="4" t="s">
        <v>7</v>
      </c>
      <c r="E1789" s="2" t="s">
        <v>277</v>
      </c>
      <c r="F1789" s="6">
        <v>46197.518414351849</v>
      </c>
      <c r="G1789" t="s">
        <v>964</v>
      </c>
      <c r="H1789" t="s">
        <v>704</v>
      </c>
    </row>
    <row r="1790" spans="1:8">
      <c r="A1790" s="3" t="s">
        <v>1869</v>
      </c>
      <c r="B1790" s="1" t="s">
        <v>937</v>
      </c>
      <c r="C1790" s="1" t="s">
        <v>938</v>
      </c>
      <c r="D1790" s="3" t="s">
        <v>7</v>
      </c>
      <c r="E1790" s="1" t="s">
        <v>14</v>
      </c>
      <c r="F1790" s="5">
        <v>46184.485775462963</v>
      </c>
      <c r="G1790" t="s">
        <v>964</v>
      </c>
      <c r="H1790" t="s">
        <v>704</v>
      </c>
    </row>
    <row r="1791" spans="1:8">
      <c r="A1791" s="4" t="s">
        <v>1870</v>
      </c>
      <c r="B1791" s="2" t="s">
        <v>1813</v>
      </c>
      <c r="C1791" s="2" t="s">
        <v>1814</v>
      </c>
      <c r="D1791" s="4" t="s">
        <v>7</v>
      </c>
      <c r="E1791" s="2" t="s">
        <v>647</v>
      </c>
      <c r="F1791" s="6">
        <v>46188.399247685185</v>
      </c>
      <c r="G1791" t="s">
        <v>964</v>
      </c>
      <c r="H1791" t="s">
        <v>704</v>
      </c>
    </row>
    <row r="1792" spans="1:8">
      <c r="A1792" s="3" t="s">
        <v>1871</v>
      </c>
      <c r="B1792" s="1" t="s">
        <v>1657</v>
      </c>
      <c r="C1792" s="1" t="s">
        <v>1658</v>
      </c>
      <c r="D1792" s="3" t="s">
        <v>7</v>
      </c>
      <c r="E1792" s="1" t="s">
        <v>14</v>
      </c>
      <c r="F1792" s="5">
        <v>46190.38077546296</v>
      </c>
      <c r="G1792" t="s">
        <v>964</v>
      </c>
      <c r="H1792" t="s">
        <v>704</v>
      </c>
    </row>
    <row r="1793" spans="1:8">
      <c r="A1793" s="4" t="s">
        <v>1872</v>
      </c>
      <c r="B1793" s="2" t="s">
        <v>9</v>
      </c>
      <c r="C1793" s="2" t="s">
        <v>10</v>
      </c>
      <c r="D1793" s="4" t="s">
        <v>7</v>
      </c>
      <c r="E1793" s="2" t="s">
        <v>11</v>
      </c>
      <c r="F1793" s="6">
        <v>46196.352314814816</v>
      </c>
      <c r="G1793" t="s">
        <v>964</v>
      </c>
      <c r="H1793" t="s">
        <v>704</v>
      </c>
    </row>
    <row r="1794" spans="1:8">
      <c r="A1794" s="3" t="s">
        <v>1873</v>
      </c>
      <c r="B1794" s="1" t="s">
        <v>9</v>
      </c>
      <c r="C1794" s="1" t="s">
        <v>10</v>
      </c>
      <c r="D1794" s="3" t="s">
        <v>7</v>
      </c>
      <c r="E1794" s="1" t="s">
        <v>11</v>
      </c>
      <c r="F1794" s="5">
        <v>46197.836678240739</v>
      </c>
      <c r="G1794" t="s">
        <v>964</v>
      </c>
      <c r="H1794" t="s">
        <v>704</v>
      </c>
    </row>
    <row r="1795" spans="1:8">
      <c r="A1795" s="4" t="s">
        <v>1874</v>
      </c>
      <c r="B1795" s="2" t="s">
        <v>1657</v>
      </c>
      <c r="C1795" s="2" t="s">
        <v>1658</v>
      </c>
      <c r="D1795" s="4" t="s">
        <v>7</v>
      </c>
      <c r="E1795" s="2" t="s">
        <v>14</v>
      </c>
      <c r="F1795" s="6">
        <v>46190.380486111113</v>
      </c>
      <c r="G1795" t="s">
        <v>964</v>
      </c>
      <c r="H1795" t="s">
        <v>704</v>
      </c>
    </row>
    <row r="1796" spans="1:8">
      <c r="A1796" s="3" t="s">
        <v>1875</v>
      </c>
      <c r="B1796" s="1" t="s">
        <v>1657</v>
      </c>
      <c r="C1796" s="1" t="s">
        <v>1658</v>
      </c>
      <c r="D1796" s="3" t="s">
        <v>7</v>
      </c>
      <c r="E1796" s="1" t="s">
        <v>14</v>
      </c>
      <c r="F1796" s="5">
        <v>46190.380949074075</v>
      </c>
      <c r="G1796" t="s">
        <v>964</v>
      </c>
      <c r="H1796" t="s">
        <v>704</v>
      </c>
    </row>
    <row r="1797" spans="1:8">
      <c r="A1797" s="4" t="s">
        <v>1876</v>
      </c>
      <c r="B1797" s="2" t="s">
        <v>9</v>
      </c>
      <c r="C1797" s="2" t="s">
        <v>10</v>
      </c>
      <c r="D1797" s="4" t="s">
        <v>7</v>
      </c>
      <c r="E1797" s="2" t="s">
        <v>11</v>
      </c>
      <c r="F1797" s="6">
        <v>46197.529560185183</v>
      </c>
      <c r="G1797" t="s">
        <v>964</v>
      </c>
      <c r="H1797" t="s">
        <v>704</v>
      </c>
    </row>
    <row r="1798" spans="1:8">
      <c r="A1798" s="3" t="s">
        <v>1877</v>
      </c>
      <c r="B1798" s="1" t="s">
        <v>1657</v>
      </c>
      <c r="C1798" s="1" t="s">
        <v>1658</v>
      </c>
      <c r="D1798" s="3" t="s">
        <v>7</v>
      </c>
      <c r="E1798" s="1" t="s">
        <v>14</v>
      </c>
      <c r="F1798" s="5">
        <v>46190.381458333337</v>
      </c>
      <c r="G1798" t="s">
        <v>964</v>
      </c>
      <c r="H1798" t="s">
        <v>704</v>
      </c>
    </row>
    <row r="1799" spans="1:8">
      <c r="A1799" s="4" t="s">
        <v>1878</v>
      </c>
      <c r="B1799" s="2" t="s">
        <v>1657</v>
      </c>
      <c r="C1799" s="2" t="s">
        <v>1658</v>
      </c>
      <c r="D1799" s="4" t="s">
        <v>7</v>
      </c>
      <c r="E1799" s="2" t="s">
        <v>14</v>
      </c>
      <c r="F1799" s="6">
        <v>46190.380636574075</v>
      </c>
      <c r="G1799" t="s">
        <v>964</v>
      </c>
      <c r="H1799" t="s">
        <v>704</v>
      </c>
    </row>
    <row r="1800" spans="1:8">
      <c r="A1800" s="3" t="s">
        <v>950</v>
      </c>
      <c r="B1800" s="1" t="s">
        <v>98</v>
      </c>
      <c r="C1800" s="1" t="s">
        <v>99</v>
      </c>
      <c r="D1800" s="3" t="s">
        <v>7</v>
      </c>
      <c r="E1800" s="1" t="s">
        <v>100</v>
      </c>
      <c r="F1800" s="5">
        <v>46169.375775462962</v>
      </c>
      <c r="G1800" t="s">
        <v>939</v>
      </c>
      <c r="H1800" t="s">
        <v>940</v>
      </c>
    </row>
    <row r="1801" spans="1:8">
      <c r="A1801" s="4" t="s">
        <v>951</v>
      </c>
      <c r="B1801" s="2" t="s">
        <v>9</v>
      </c>
      <c r="C1801" s="2" t="s">
        <v>10</v>
      </c>
      <c r="D1801" s="4" t="s">
        <v>7</v>
      </c>
      <c r="E1801" s="2" t="s">
        <v>11</v>
      </c>
      <c r="F1801" s="6">
        <v>46191.405104166668</v>
      </c>
      <c r="G1801" t="s">
        <v>939</v>
      </c>
      <c r="H1801" t="s">
        <v>940</v>
      </c>
    </row>
    <row r="1802" spans="1:8">
      <c r="A1802" s="3" t="s">
        <v>952</v>
      </c>
      <c r="B1802" s="1" t="s">
        <v>6</v>
      </c>
      <c r="C1802" s="1" t="s">
        <v>6</v>
      </c>
      <c r="D1802" s="3" t="s">
        <v>7</v>
      </c>
      <c r="E1802" s="1" t="s">
        <v>8</v>
      </c>
      <c r="F1802" s="5">
        <v>46191.596817129626</v>
      </c>
      <c r="G1802" t="s">
        <v>939</v>
      </c>
      <c r="H1802" t="s">
        <v>940</v>
      </c>
    </row>
    <row r="1803" spans="1:8">
      <c r="A1803" s="4" t="s">
        <v>953</v>
      </c>
      <c r="B1803" s="2" t="s">
        <v>12</v>
      </c>
      <c r="C1803" s="2" t="s">
        <v>13</v>
      </c>
      <c r="D1803" s="4" t="s">
        <v>7</v>
      </c>
      <c r="E1803" s="2" t="s">
        <v>14</v>
      </c>
      <c r="F1803" s="6">
        <v>46168.587719907409</v>
      </c>
      <c r="G1803" t="s">
        <v>939</v>
      </c>
      <c r="H1803" t="s">
        <v>940</v>
      </c>
    </row>
    <row r="1804" spans="1:8">
      <c r="A1804" s="3" t="s">
        <v>954</v>
      </c>
      <c r="B1804" s="1" t="s">
        <v>98</v>
      </c>
      <c r="C1804" s="1" t="s">
        <v>99</v>
      </c>
      <c r="D1804" s="3" t="s">
        <v>7</v>
      </c>
      <c r="E1804" s="1" t="s">
        <v>100</v>
      </c>
      <c r="F1804" s="5">
        <v>46169.373541666668</v>
      </c>
      <c r="G1804" t="s">
        <v>939</v>
      </c>
      <c r="H1804" t="s">
        <v>940</v>
      </c>
    </row>
    <row r="1805" spans="1:8">
      <c r="A1805" s="4" t="s">
        <v>955</v>
      </c>
      <c r="B1805" s="2" t="s">
        <v>9</v>
      </c>
      <c r="C1805" s="2" t="s">
        <v>10</v>
      </c>
      <c r="D1805" s="4" t="s">
        <v>7</v>
      </c>
      <c r="E1805" s="2" t="s">
        <v>11</v>
      </c>
      <c r="F1805" s="6">
        <v>46196.285370370373</v>
      </c>
      <c r="G1805" t="s">
        <v>939</v>
      </c>
      <c r="H1805" t="s">
        <v>940</v>
      </c>
    </row>
    <row r="1806" spans="1:8">
      <c r="A1806" s="3" t="s">
        <v>956</v>
      </c>
      <c r="B1806" s="1" t="s">
        <v>6</v>
      </c>
      <c r="C1806" s="1" t="s">
        <v>6</v>
      </c>
      <c r="D1806" s="3" t="s">
        <v>7</v>
      </c>
      <c r="E1806" s="1" t="s">
        <v>8</v>
      </c>
      <c r="F1806" s="5">
        <v>46192.6409375</v>
      </c>
      <c r="G1806" t="s">
        <v>939</v>
      </c>
      <c r="H1806" t="s">
        <v>940</v>
      </c>
    </row>
    <row r="1807" spans="1:8">
      <c r="A1807" s="4" t="s">
        <v>957</v>
      </c>
      <c r="B1807" s="2" t="s">
        <v>9</v>
      </c>
      <c r="C1807" s="2" t="s">
        <v>10</v>
      </c>
      <c r="D1807" s="4" t="s">
        <v>7</v>
      </c>
      <c r="E1807" s="2" t="s">
        <v>11</v>
      </c>
      <c r="F1807" s="6">
        <v>46196.544849537036</v>
      </c>
      <c r="G1807" t="s">
        <v>939</v>
      </c>
      <c r="H1807" t="s">
        <v>940</v>
      </c>
    </row>
    <row r="1808" spans="1:8">
      <c r="A1808" s="3" t="s">
        <v>958</v>
      </c>
      <c r="B1808" s="1" t="s">
        <v>9</v>
      </c>
      <c r="C1808" s="1" t="s">
        <v>10</v>
      </c>
      <c r="D1808" s="3" t="s">
        <v>7</v>
      </c>
      <c r="E1808" s="1" t="s">
        <v>11</v>
      </c>
      <c r="F1808" s="5">
        <v>46196.284224537034</v>
      </c>
      <c r="G1808" t="s">
        <v>939</v>
      </c>
      <c r="H1808" t="s">
        <v>940</v>
      </c>
    </row>
    <row r="1809" spans="1:8">
      <c r="A1809" s="4" t="s">
        <v>959</v>
      </c>
      <c r="B1809" s="2" t="s">
        <v>9</v>
      </c>
      <c r="C1809" s="2" t="s">
        <v>10</v>
      </c>
      <c r="D1809" s="4" t="s">
        <v>7</v>
      </c>
      <c r="E1809" s="2" t="s">
        <v>11</v>
      </c>
      <c r="F1809" s="6">
        <v>46196.284745370373</v>
      </c>
      <c r="G1809" t="s">
        <v>939</v>
      </c>
      <c r="H1809" t="s">
        <v>940</v>
      </c>
    </row>
    <row r="1810" spans="1:8">
      <c r="A1810" s="3" t="s">
        <v>1967</v>
      </c>
      <c r="B1810" s="1" t="s">
        <v>643</v>
      </c>
      <c r="C1810" s="1" t="s">
        <v>644</v>
      </c>
      <c r="D1810" s="3" t="s">
        <v>7</v>
      </c>
      <c r="E1810" s="1" t="s">
        <v>14</v>
      </c>
      <c r="F1810" s="5">
        <v>46191.691967592589</v>
      </c>
      <c r="G1810" t="s">
        <v>965</v>
      </c>
      <c r="H1810" t="s">
        <v>1259</v>
      </c>
    </row>
    <row r="1811" spans="1:8">
      <c r="A1811" s="4" t="s">
        <v>1968</v>
      </c>
      <c r="B1811" s="2" t="s">
        <v>9</v>
      </c>
      <c r="C1811" s="2" t="s">
        <v>10</v>
      </c>
      <c r="D1811" s="4" t="s">
        <v>7</v>
      </c>
      <c r="E1811" s="2" t="s">
        <v>11</v>
      </c>
      <c r="F1811" s="6">
        <v>46192.714120370372</v>
      </c>
      <c r="G1811" t="s">
        <v>965</v>
      </c>
      <c r="H1811" t="s">
        <v>1259</v>
      </c>
    </row>
    <row r="1812" spans="1:8">
      <c r="A1812" s="3" t="s">
        <v>1969</v>
      </c>
      <c r="B1812" s="1" t="s">
        <v>6</v>
      </c>
      <c r="C1812" s="1" t="s">
        <v>6</v>
      </c>
      <c r="D1812" s="3" t="s">
        <v>7</v>
      </c>
      <c r="E1812" s="1" t="s">
        <v>128</v>
      </c>
      <c r="F1812" s="5">
        <v>46190.499618055554</v>
      </c>
      <c r="G1812" t="s">
        <v>965</v>
      </c>
      <c r="H1812" t="s">
        <v>1259</v>
      </c>
    </row>
    <row r="1813" spans="1:8">
      <c r="A1813" s="4" t="s">
        <v>1970</v>
      </c>
      <c r="B1813" s="2" t="s">
        <v>6</v>
      </c>
      <c r="C1813" s="2" t="s">
        <v>6</v>
      </c>
      <c r="D1813" s="4" t="s">
        <v>7</v>
      </c>
      <c r="E1813" s="2" t="s">
        <v>128</v>
      </c>
      <c r="F1813" s="6">
        <v>46190.499618055554</v>
      </c>
      <c r="G1813" t="s">
        <v>965</v>
      </c>
      <c r="H1813" t="s">
        <v>1259</v>
      </c>
    </row>
    <row r="1814" spans="1:8">
      <c r="A1814" s="3" t="s">
        <v>1971</v>
      </c>
      <c r="B1814" s="1" t="s">
        <v>6</v>
      </c>
      <c r="C1814" s="1" t="s">
        <v>6</v>
      </c>
      <c r="D1814" s="3" t="s">
        <v>7</v>
      </c>
      <c r="E1814" s="1" t="s">
        <v>128</v>
      </c>
      <c r="F1814" s="5">
        <v>46190.499618055554</v>
      </c>
      <c r="G1814" t="s">
        <v>965</v>
      </c>
      <c r="H1814" t="s">
        <v>1259</v>
      </c>
    </row>
    <row r="1815" spans="1:8">
      <c r="A1815" s="4" t="s">
        <v>1972</v>
      </c>
      <c r="B1815" s="2" t="s">
        <v>6</v>
      </c>
      <c r="C1815" s="2" t="s">
        <v>6</v>
      </c>
      <c r="D1815" s="4" t="s">
        <v>7</v>
      </c>
      <c r="E1815" s="2" t="s">
        <v>128</v>
      </c>
      <c r="F1815" s="6">
        <v>46190.499618055554</v>
      </c>
      <c r="G1815" t="s">
        <v>965</v>
      </c>
      <c r="H1815" t="s">
        <v>1259</v>
      </c>
    </row>
    <row r="1816" spans="1:8">
      <c r="A1816" s="3" t="s">
        <v>1973</v>
      </c>
      <c r="B1816" s="1" t="s">
        <v>6</v>
      </c>
      <c r="C1816" s="1" t="s">
        <v>6</v>
      </c>
      <c r="D1816" s="3" t="s">
        <v>7</v>
      </c>
      <c r="E1816" s="1" t="s">
        <v>128</v>
      </c>
      <c r="F1816" s="5">
        <v>46190.499618055554</v>
      </c>
      <c r="G1816" t="s">
        <v>965</v>
      </c>
      <c r="H1816" t="s">
        <v>1259</v>
      </c>
    </row>
    <row r="1817" spans="1:8">
      <c r="A1817" s="4" t="s">
        <v>1974</v>
      </c>
      <c r="B1817" s="2" t="s">
        <v>6</v>
      </c>
      <c r="C1817" s="2" t="s">
        <v>6</v>
      </c>
      <c r="D1817" s="4" t="s">
        <v>7</v>
      </c>
      <c r="E1817" s="2" t="s">
        <v>128</v>
      </c>
      <c r="F1817" s="6">
        <v>46190.499618055554</v>
      </c>
      <c r="G1817" t="s">
        <v>965</v>
      </c>
      <c r="H1817" t="s">
        <v>1259</v>
      </c>
    </row>
  </sheetData>
  <mergeCells count="10">
    <mergeCell ref="A4:C4"/>
    <mergeCell ref="D4:F4"/>
    <mergeCell ref="A5:C5"/>
    <mergeCell ref="A6:F6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Sheet15</vt:lpstr>
      <vt:lpstr>Sheet17</vt:lpstr>
      <vt:lpstr>Sheet18</vt:lpstr>
      <vt:lpstr>Summary</vt:lpstr>
      <vt:lpstr>Sheet2</vt:lpstr>
      <vt:lpstr>Sheet14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2026-06-26T21:49:42Z</dcterms:modified>
</cp:coreProperties>
</file>
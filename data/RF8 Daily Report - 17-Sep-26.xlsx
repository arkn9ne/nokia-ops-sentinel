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91C74475-2BD5-45F8-B238-0C05ABCB3C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Order'!$A$1:$P$3764</definedName>
    <definedName name="_xlnm._FilterDatabase" localSheetId="4" hidden="1">WO!$A$1:$R$1</definedName>
  </definedNames>
  <calcPr calcId="191029"/>
  <pivotCaches>
    <pivotCache cacheId="4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2" i="1"/>
  <c r="K681" i="1"/>
  <c r="K1510" i="1"/>
  <c r="K1833" i="1"/>
  <c r="K1881" i="1"/>
  <c r="K220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L24" i="1" s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L261" i="1" s="1"/>
  <c r="J262" i="1"/>
  <c r="L262" i="1" s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L424" i="1" s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L448" i="1" s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L524" i="1" s="1"/>
  <c r="J525" i="1"/>
  <c r="L525" i="1" s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L597" i="1" s="1"/>
  <c r="J598" i="1"/>
  <c r="L598" i="1" s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L634" i="1" s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L647" i="1" s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L681" i="1" s="1"/>
  <c r="J682" i="1"/>
  <c r="J683" i="1"/>
  <c r="J684" i="1"/>
  <c r="J685" i="1"/>
  <c r="J686" i="1"/>
  <c r="L686" i="1" s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L732" i="1" s="1"/>
  <c r="J733" i="1"/>
  <c r="L733" i="1" s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L769" i="1" s="1"/>
  <c r="J770" i="1"/>
  <c r="J771" i="1"/>
  <c r="J772" i="1"/>
  <c r="J773" i="1"/>
  <c r="J774" i="1"/>
  <c r="J775" i="1"/>
  <c r="J776" i="1"/>
  <c r="J777" i="1"/>
  <c r="J778" i="1"/>
  <c r="J779" i="1"/>
  <c r="J780" i="1"/>
  <c r="J781" i="1"/>
  <c r="L781" i="1" s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L816" i="1" s="1"/>
  <c r="J817" i="1"/>
  <c r="L817" i="1" s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L864" i="1" s="1"/>
  <c r="J865" i="1"/>
  <c r="J866" i="1"/>
  <c r="L866" i="1" s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L901" i="1" s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L916" i="1" s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L951" i="1" s="1"/>
  <c r="J952" i="1"/>
  <c r="L952" i="1" s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L999" i="1" s="1"/>
  <c r="J1000" i="1"/>
  <c r="L1000" i="1" s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L1036" i="1" s="1"/>
  <c r="J1037" i="1"/>
  <c r="J1038" i="1"/>
  <c r="J1039" i="1"/>
  <c r="J1040" i="1"/>
  <c r="J1041" i="1"/>
  <c r="J1042" i="1"/>
  <c r="J1043" i="1"/>
  <c r="J1044" i="1"/>
  <c r="J1045" i="1"/>
  <c r="J1046" i="1"/>
  <c r="J1047" i="1"/>
  <c r="L1047" i="1" s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L1084" i="1" s="1"/>
  <c r="J1085" i="1"/>
  <c r="J1086" i="1"/>
  <c r="L1086" i="1" s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L1130" i="1" s="1"/>
  <c r="J1131" i="1"/>
  <c r="J1132" i="1"/>
  <c r="J1133" i="1"/>
  <c r="J1134" i="1"/>
  <c r="J1135" i="1"/>
  <c r="L1135" i="1" s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L1170" i="1" s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L1182" i="1" s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L1217" i="1" s="1"/>
  <c r="J1218" i="1"/>
  <c r="L1218" i="1" s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L1256" i="1" s="1"/>
  <c r="J1257" i="1"/>
  <c r="J1258" i="1"/>
  <c r="L1258" i="1" s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L1285" i="1" s="1"/>
  <c r="J1286" i="1"/>
  <c r="L1286" i="1" s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L1312" i="1" s="1"/>
  <c r="J1313" i="1"/>
  <c r="L1313" i="1" s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L1340" i="1" s="1"/>
  <c r="J1341" i="1"/>
  <c r="J1342" i="1"/>
  <c r="L1342" i="1" s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L1362" i="1" s="1"/>
  <c r="J1363" i="1"/>
  <c r="J1364" i="1"/>
  <c r="L1364" i="1" s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L1383" i="1" s="1"/>
  <c r="J1384" i="1"/>
  <c r="L1384" i="1" s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L1404" i="1" s="1"/>
  <c r="J1405" i="1"/>
  <c r="J1406" i="1"/>
  <c r="L1406" i="1" s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L1425" i="1" s="1"/>
  <c r="J1426" i="1"/>
  <c r="L1426" i="1" s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L1446" i="1" s="1"/>
  <c r="J1447" i="1"/>
  <c r="L1447" i="1" s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L1466" i="1" s="1"/>
  <c r="J1467" i="1"/>
  <c r="J1468" i="1"/>
  <c r="L1468" i="1" s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L1488" i="1" s="1"/>
  <c r="J1489" i="1"/>
  <c r="L1489" i="1" s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L1509" i="1" s="1"/>
  <c r="J1510" i="1"/>
  <c r="L1510" i="1" s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L1529" i="1" s="1"/>
  <c r="J1530" i="1"/>
  <c r="L1530" i="1" s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L1550" i="1" s="1"/>
  <c r="J1551" i="1"/>
  <c r="J1552" i="1"/>
  <c r="L1552" i="1" s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L1572" i="1" s="1"/>
  <c r="J1573" i="1"/>
  <c r="L1573" i="1" s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L1592" i="1" s="1"/>
  <c r="J1593" i="1"/>
  <c r="L1593" i="1" s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L1613" i="1" s="1"/>
  <c r="J1614" i="1"/>
  <c r="L1614" i="1" s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L1634" i="1" s="1"/>
  <c r="J1635" i="1"/>
  <c r="J1636" i="1"/>
  <c r="L1636" i="1" s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L1655" i="1" s="1"/>
  <c r="J1656" i="1"/>
  <c r="L1656" i="1" s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L1676" i="1" s="1"/>
  <c r="J1677" i="1"/>
  <c r="L1677" i="1" s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L1696" i="1" s="1"/>
  <c r="J1697" i="1"/>
  <c r="J1698" i="1"/>
  <c r="L1698" i="1" s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L1718" i="1" s="1"/>
  <c r="J1719" i="1"/>
  <c r="L1719" i="1" s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L1738" i="1" s="1"/>
  <c r="J1739" i="1"/>
  <c r="J1740" i="1"/>
  <c r="L1740" i="1" s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L1759" i="1" s="1"/>
  <c r="J1760" i="1"/>
  <c r="L1760" i="1" s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L1781" i="1" s="1"/>
  <c r="J1782" i="1"/>
  <c r="L1782" i="1" s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L1800" i="1" s="1"/>
  <c r="J1801" i="1"/>
  <c r="L1801" i="1" s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L1818" i="1" s="1"/>
  <c r="J1819" i="1"/>
  <c r="J1820" i="1"/>
  <c r="L1820" i="1" s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L1833" i="1" s="1"/>
  <c r="J1834" i="1"/>
  <c r="L1834" i="1" s="1"/>
  <c r="J1835" i="1"/>
  <c r="J1836" i="1"/>
  <c r="J1837" i="1"/>
  <c r="J1838" i="1"/>
  <c r="J1839" i="1"/>
  <c r="J1840" i="1"/>
  <c r="J1841" i="1"/>
  <c r="J1842" i="1"/>
  <c r="J1843" i="1"/>
  <c r="J1844" i="1"/>
  <c r="J1845" i="1"/>
  <c r="L1845" i="1" s="1"/>
  <c r="J1846" i="1"/>
  <c r="L1846" i="1" s="1"/>
  <c r="J1847" i="1"/>
  <c r="J1848" i="1"/>
  <c r="J1849" i="1"/>
  <c r="J1850" i="1"/>
  <c r="J1851" i="1"/>
  <c r="J1852" i="1"/>
  <c r="J1853" i="1"/>
  <c r="J1854" i="1"/>
  <c r="J1855" i="1"/>
  <c r="J1856" i="1"/>
  <c r="L1856" i="1" s="1"/>
  <c r="J1857" i="1"/>
  <c r="L1857" i="1" s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L1870" i="1" s="1"/>
  <c r="J1871" i="1"/>
  <c r="L1871" i="1" s="1"/>
  <c r="J1872" i="1"/>
  <c r="J1873" i="1"/>
  <c r="J1874" i="1"/>
  <c r="J1875" i="1"/>
  <c r="J1876" i="1"/>
  <c r="J1877" i="1"/>
  <c r="J1878" i="1"/>
  <c r="J1879" i="1"/>
  <c r="J1880" i="1"/>
  <c r="J1881" i="1"/>
  <c r="L1881" i="1" s="1"/>
  <c r="J1882" i="1"/>
  <c r="L1882" i="1" s="1"/>
  <c r="J1883" i="1"/>
  <c r="J1884" i="1"/>
  <c r="J1885" i="1"/>
  <c r="J1886" i="1"/>
  <c r="J1887" i="1"/>
  <c r="J1888" i="1"/>
  <c r="J1889" i="1"/>
  <c r="J1890" i="1"/>
  <c r="J1891" i="1"/>
  <c r="J1892" i="1"/>
  <c r="J1893" i="1"/>
  <c r="L1893" i="1" s="1"/>
  <c r="J1894" i="1"/>
  <c r="L1894" i="1" s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L1906" i="1" s="1"/>
  <c r="J1907" i="1"/>
  <c r="J1908" i="1"/>
  <c r="L1908" i="1" s="1"/>
  <c r="J1909" i="1"/>
  <c r="J1910" i="1"/>
  <c r="J1911" i="1"/>
  <c r="J1912" i="1"/>
  <c r="J1913" i="1"/>
  <c r="J1914" i="1"/>
  <c r="J1915" i="1"/>
  <c r="J1916" i="1"/>
  <c r="J1917" i="1"/>
  <c r="J1918" i="1"/>
  <c r="L1918" i="1" s="1"/>
  <c r="J1919" i="1"/>
  <c r="L1919" i="1" s="1"/>
  <c r="J1920" i="1"/>
  <c r="J1921" i="1"/>
  <c r="J1922" i="1"/>
  <c r="J1923" i="1"/>
  <c r="J1924" i="1"/>
  <c r="J1925" i="1"/>
  <c r="J1926" i="1"/>
  <c r="J1927" i="1"/>
  <c r="J1928" i="1"/>
  <c r="J1929" i="1"/>
  <c r="L1929" i="1" s="1"/>
  <c r="J1930" i="1"/>
  <c r="L1930" i="1" s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L1943" i="1" s="1"/>
  <c r="J1944" i="1"/>
  <c r="L1944" i="1" s="1"/>
  <c r="J1945" i="1"/>
  <c r="J1946" i="1"/>
  <c r="J1947" i="1"/>
  <c r="J1948" i="1"/>
  <c r="J1949" i="1"/>
  <c r="J1950" i="1"/>
  <c r="J1951" i="1"/>
  <c r="J1952" i="1"/>
  <c r="J1953" i="1"/>
  <c r="J1954" i="1"/>
  <c r="L1954" i="1" s="1"/>
  <c r="J1955" i="1"/>
  <c r="J1956" i="1"/>
  <c r="L1956" i="1" s="1"/>
  <c r="J1957" i="1"/>
  <c r="J1958" i="1"/>
  <c r="J1959" i="1"/>
  <c r="J1960" i="1"/>
  <c r="J1961" i="1"/>
  <c r="J1962" i="1"/>
  <c r="J1963" i="1"/>
  <c r="J1964" i="1"/>
  <c r="J1965" i="1"/>
  <c r="J1966" i="1"/>
  <c r="L1966" i="1" s="1"/>
  <c r="J1967" i="1"/>
  <c r="L1967" i="1" s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L1980" i="1" s="1"/>
  <c r="J1981" i="1"/>
  <c r="L1981" i="1" s="1"/>
  <c r="J1982" i="1"/>
  <c r="J1983" i="1"/>
  <c r="J1984" i="1"/>
  <c r="J1985" i="1"/>
  <c r="J1986" i="1"/>
  <c r="J1987" i="1"/>
  <c r="J1988" i="1"/>
  <c r="J1989" i="1"/>
  <c r="J1990" i="1"/>
  <c r="J1991" i="1"/>
  <c r="L1991" i="1" s="1"/>
  <c r="J1992" i="1"/>
  <c r="L1992" i="1" s="1"/>
  <c r="J1993" i="1"/>
  <c r="J1994" i="1"/>
  <c r="J1995" i="1"/>
  <c r="J1996" i="1"/>
  <c r="J1997" i="1"/>
  <c r="J1998" i="1"/>
  <c r="J1999" i="1"/>
  <c r="J2000" i="1"/>
  <c r="J2001" i="1"/>
  <c r="J2002" i="1"/>
  <c r="L2002" i="1" s="1"/>
  <c r="J2003" i="1"/>
  <c r="J2004" i="1"/>
  <c r="L2004" i="1" s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L2016" i="1" s="1"/>
  <c r="J2017" i="1"/>
  <c r="L2017" i="1" s="1"/>
  <c r="J2018" i="1"/>
  <c r="J2019" i="1"/>
  <c r="J2020" i="1"/>
  <c r="J2021" i="1"/>
  <c r="J2022" i="1"/>
  <c r="J2023" i="1"/>
  <c r="J2024" i="1"/>
  <c r="J2025" i="1"/>
  <c r="J2026" i="1"/>
  <c r="J2027" i="1"/>
  <c r="J2028" i="1"/>
  <c r="L2028" i="1" s="1"/>
  <c r="J2029" i="1"/>
  <c r="L2029" i="1" s="1"/>
  <c r="J2030" i="1"/>
  <c r="J2031" i="1"/>
  <c r="J2032" i="1"/>
  <c r="J2033" i="1"/>
  <c r="J2034" i="1"/>
  <c r="J2035" i="1"/>
  <c r="J2036" i="1"/>
  <c r="J2037" i="1"/>
  <c r="J2038" i="1"/>
  <c r="J2039" i="1"/>
  <c r="L2039" i="1" s="1"/>
  <c r="J2040" i="1"/>
  <c r="L2040" i="1" s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L2053" i="1" s="1"/>
  <c r="J2054" i="1"/>
  <c r="L2054" i="1" s="1"/>
  <c r="J2055" i="1"/>
  <c r="J2056" i="1"/>
  <c r="J2057" i="1"/>
  <c r="J2058" i="1"/>
  <c r="J2059" i="1"/>
  <c r="J2060" i="1"/>
  <c r="J2061" i="1"/>
  <c r="J2062" i="1"/>
  <c r="J2063" i="1"/>
  <c r="J2064" i="1"/>
  <c r="L2064" i="1" s="1"/>
  <c r="J2065" i="1"/>
  <c r="L2065" i="1" s="1"/>
  <c r="J2066" i="1"/>
  <c r="J2067" i="1"/>
  <c r="J2068" i="1"/>
  <c r="J2069" i="1"/>
  <c r="J2070" i="1"/>
  <c r="J2071" i="1"/>
  <c r="J2072" i="1"/>
  <c r="J2073" i="1"/>
  <c r="J2074" i="1"/>
  <c r="J2075" i="1"/>
  <c r="J2076" i="1"/>
  <c r="L2076" i="1" s="1"/>
  <c r="J2077" i="1"/>
  <c r="L2077" i="1" s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L2089" i="1" s="1"/>
  <c r="J2090" i="1"/>
  <c r="L2090" i="1" s="1"/>
  <c r="J2091" i="1"/>
  <c r="J2092" i="1"/>
  <c r="J2093" i="1"/>
  <c r="J2094" i="1"/>
  <c r="J2095" i="1"/>
  <c r="J2096" i="1"/>
  <c r="J2097" i="1"/>
  <c r="J2098" i="1"/>
  <c r="J2099" i="1"/>
  <c r="J2100" i="1"/>
  <c r="L2100" i="1" s="1"/>
  <c r="J2101" i="1"/>
  <c r="L2101" i="1" s="1"/>
  <c r="J2102" i="1"/>
  <c r="J2103" i="1"/>
  <c r="J2104" i="1"/>
  <c r="J2105" i="1"/>
  <c r="J2106" i="1"/>
  <c r="J2107" i="1"/>
  <c r="J2108" i="1"/>
  <c r="J2109" i="1"/>
  <c r="J2110" i="1"/>
  <c r="L2110" i="1" s="1"/>
  <c r="J2111" i="1"/>
  <c r="L2111" i="1" s="1"/>
  <c r="J2112" i="1"/>
  <c r="J2113" i="1"/>
  <c r="J2114" i="1"/>
  <c r="J2115" i="1"/>
  <c r="J2116" i="1"/>
  <c r="J2117" i="1"/>
  <c r="J2118" i="1"/>
  <c r="J2119" i="1"/>
  <c r="J2120" i="1"/>
  <c r="J2121" i="1"/>
  <c r="J2122" i="1"/>
  <c r="L2122" i="1" s="1"/>
  <c r="J2123" i="1"/>
  <c r="L2123" i="1" s="1"/>
  <c r="J2124" i="1"/>
  <c r="J2125" i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J2141" i="1"/>
  <c r="J2142" i="1"/>
  <c r="L2142" i="1" s="1"/>
  <c r="J2143" i="1"/>
  <c r="L2143" i="1" s="1"/>
  <c r="J2144" i="1"/>
  <c r="J2145" i="1"/>
  <c r="J2146" i="1"/>
  <c r="J2147" i="1"/>
  <c r="J2148" i="1"/>
  <c r="J2149" i="1"/>
  <c r="J2150" i="1"/>
  <c r="J2151" i="1"/>
  <c r="J2152" i="1"/>
  <c r="J2153" i="1"/>
  <c r="J2154" i="1"/>
  <c r="L2154" i="1" s="1"/>
  <c r="J2155" i="1"/>
  <c r="L2155" i="1" s="1"/>
  <c r="J2156" i="1"/>
  <c r="J2157" i="1"/>
  <c r="J2158" i="1"/>
  <c r="J2159" i="1"/>
  <c r="J2160" i="1"/>
  <c r="J2161" i="1"/>
  <c r="J2162" i="1"/>
  <c r="J2163" i="1"/>
  <c r="J2164" i="1"/>
  <c r="L2164" i="1" s="1"/>
  <c r="J2165" i="1"/>
  <c r="L2165" i="1" s="1"/>
  <c r="J2166" i="1"/>
  <c r="J2167" i="1"/>
  <c r="J2168" i="1"/>
  <c r="J2169" i="1"/>
  <c r="J2170" i="1"/>
  <c r="J2171" i="1"/>
  <c r="J2172" i="1"/>
  <c r="J2173" i="1"/>
  <c r="J2174" i="1"/>
  <c r="L2174" i="1" s="1"/>
  <c r="J2175" i="1"/>
  <c r="L2175" i="1" s="1"/>
  <c r="J2176" i="1"/>
  <c r="J2177" i="1"/>
  <c r="J2178" i="1"/>
  <c r="J2179" i="1"/>
  <c r="J2180" i="1"/>
  <c r="J2181" i="1"/>
  <c r="J2182" i="1"/>
  <c r="J2183" i="1"/>
  <c r="J2184" i="1"/>
  <c r="J2185" i="1"/>
  <c r="J2186" i="1"/>
  <c r="L2186" i="1" s="1"/>
  <c r="J2187" i="1"/>
  <c r="L2187" i="1" s="1"/>
  <c r="J2188" i="1"/>
  <c r="J2189" i="1"/>
  <c r="J2190" i="1"/>
  <c r="J2191" i="1"/>
  <c r="J2192" i="1"/>
  <c r="J2193" i="1"/>
  <c r="J2194" i="1"/>
  <c r="J2195" i="1"/>
  <c r="J2196" i="1"/>
  <c r="L2196" i="1" s="1"/>
  <c r="J2197" i="1"/>
  <c r="L2197" i="1" s="1"/>
  <c r="J2198" i="1"/>
  <c r="J2199" i="1"/>
  <c r="J2200" i="1"/>
  <c r="J2201" i="1"/>
  <c r="J2202" i="1"/>
  <c r="J2203" i="1"/>
  <c r="J2204" i="1"/>
  <c r="J2205" i="1"/>
  <c r="J2206" i="1"/>
  <c r="L2206" i="1" s="1"/>
  <c r="J2207" i="1"/>
  <c r="L2207" i="1" s="1"/>
  <c r="J2208" i="1"/>
  <c r="J2209" i="1"/>
  <c r="J2210" i="1"/>
  <c r="J2211" i="1"/>
  <c r="J2212" i="1"/>
  <c r="J2213" i="1"/>
  <c r="J2214" i="1"/>
  <c r="J2215" i="1"/>
  <c r="J2216" i="1"/>
  <c r="J2217" i="1"/>
  <c r="J2218" i="1"/>
  <c r="L2218" i="1" s="1"/>
  <c r="J2219" i="1"/>
  <c r="L2219" i="1" s="1"/>
  <c r="J2220" i="1"/>
  <c r="J2221" i="1"/>
  <c r="J2222" i="1"/>
  <c r="J2223" i="1"/>
  <c r="J2224" i="1"/>
  <c r="J2225" i="1"/>
  <c r="J2226" i="1"/>
  <c r="J2227" i="1"/>
  <c r="J2228" i="1"/>
  <c r="L2228" i="1" s="1"/>
  <c r="J2229" i="1"/>
  <c r="L2229" i="1" s="1"/>
  <c r="J2230" i="1"/>
  <c r="J2231" i="1"/>
  <c r="J2232" i="1"/>
  <c r="J2233" i="1"/>
  <c r="J2234" i="1"/>
  <c r="J2235" i="1"/>
  <c r="J2236" i="1"/>
  <c r="J2237" i="1"/>
  <c r="J2238" i="1"/>
  <c r="L2238" i="1" s="1"/>
  <c r="J2239" i="1"/>
  <c r="L2239" i="1" s="1"/>
  <c r="J2240" i="1"/>
  <c r="J2241" i="1"/>
  <c r="J2242" i="1"/>
  <c r="L2242" i="1" s="1"/>
  <c r="J2243" i="1"/>
  <c r="J2244" i="1"/>
  <c r="L2244" i="1" s="1"/>
  <c r="J2245" i="1"/>
  <c r="L2245" i="1" s="1"/>
  <c r="J2246" i="1"/>
  <c r="J2247" i="1"/>
  <c r="J2248" i="1"/>
  <c r="J2249" i="1"/>
  <c r="J2250" i="1"/>
  <c r="L2250" i="1" s="1"/>
  <c r="J2251" i="1"/>
  <c r="L2251" i="1" s="1"/>
  <c r="J2252" i="1"/>
  <c r="L2252" i="1" s="1"/>
  <c r="J2253" i="1"/>
  <c r="J2254" i="1"/>
  <c r="L2254" i="1" s="1"/>
  <c r="J2255" i="1"/>
  <c r="L2255" i="1" s="1"/>
  <c r="J2256" i="1"/>
  <c r="J2257" i="1"/>
  <c r="J2258" i="1"/>
  <c r="J2259" i="1"/>
  <c r="J2260" i="1"/>
  <c r="L2260" i="1" s="1"/>
  <c r="J2261" i="1"/>
  <c r="L2261" i="1" s="1"/>
  <c r="J2262" i="1"/>
  <c r="L2262" i="1" s="1"/>
  <c r="J2263" i="1"/>
  <c r="J2264" i="1"/>
  <c r="J2265" i="1"/>
  <c r="J2266" i="1"/>
  <c r="L2266" i="1" s="1"/>
  <c r="J2267" i="1"/>
  <c r="L2267" i="1" s="1"/>
  <c r="J2268" i="1"/>
  <c r="J2269" i="1"/>
  <c r="J2270" i="1"/>
  <c r="L2270" i="1" s="1"/>
  <c r="J2271" i="1"/>
  <c r="L2271" i="1" s="1"/>
  <c r="J2272" i="1"/>
  <c r="J2273" i="1"/>
  <c r="J2274" i="1"/>
  <c r="L2274" i="1" s="1"/>
  <c r="J2275" i="1"/>
  <c r="J2276" i="1"/>
  <c r="L2276" i="1" s="1"/>
  <c r="J2277" i="1"/>
  <c r="L2277" i="1" s="1"/>
  <c r="J2278" i="1"/>
  <c r="J2279" i="1"/>
  <c r="J2280" i="1"/>
  <c r="J2281" i="1"/>
  <c r="J2282" i="1"/>
  <c r="L2282" i="1" s="1"/>
  <c r="J2283" i="1"/>
  <c r="L2283" i="1" s="1"/>
  <c r="J2284" i="1"/>
  <c r="L2284" i="1" s="1"/>
  <c r="J2285" i="1"/>
  <c r="J2286" i="1"/>
  <c r="L2286" i="1" s="1"/>
  <c r="J2287" i="1"/>
  <c r="L2287" i="1" s="1"/>
  <c r="J2288" i="1"/>
  <c r="J2289" i="1"/>
  <c r="J2290" i="1"/>
  <c r="J2291" i="1"/>
  <c r="J2292" i="1"/>
  <c r="L2292" i="1" s="1"/>
  <c r="J2293" i="1"/>
  <c r="L2293" i="1" s="1"/>
  <c r="J2294" i="1"/>
  <c r="L2294" i="1" s="1"/>
  <c r="J2295" i="1"/>
  <c r="J2296" i="1"/>
  <c r="J2297" i="1"/>
  <c r="J2298" i="1"/>
  <c r="L2298" i="1" s="1"/>
  <c r="J2299" i="1"/>
  <c r="L2299" i="1" s="1"/>
  <c r="J2300" i="1"/>
  <c r="J2301" i="1"/>
  <c r="J2302" i="1"/>
  <c r="L2302" i="1" s="1"/>
  <c r="J2303" i="1"/>
  <c r="L2303" i="1" s="1"/>
  <c r="J2304" i="1"/>
  <c r="J2305" i="1"/>
  <c r="J2306" i="1"/>
  <c r="L2306" i="1" s="1"/>
  <c r="J2307" i="1"/>
  <c r="J2308" i="1"/>
  <c r="L2308" i="1" s="1"/>
  <c r="J2309" i="1"/>
  <c r="L2309" i="1" s="1"/>
  <c r="J2310" i="1"/>
  <c r="J2311" i="1"/>
  <c r="J2312" i="1"/>
  <c r="J2313" i="1"/>
  <c r="J2314" i="1"/>
  <c r="L2314" i="1" s="1"/>
  <c r="J2315" i="1"/>
  <c r="L2315" i="1" s="1"/>
  <c r="J2316" i="1"/>
  <c r="L2316" i="1" s="1"/>
  <c r="J2317" i="1"/>
  <c r="J2318" i="1"/>
  <c r="L2318" i="1" s="1"/>
  <c r="J2319" i="1"/>
  <c r="L2319" i="1" s="1"/>
  <c r="J2320" i="1"/>
  <c r="J2321" i="1"/>
  <c r="J2322" i="1"/>
  <c r="J2323" i="1"/>
  <c r="J2324" i="1"/>
  <c r="L2324" i="1" s="1"/>
  <c r="J2325" i="1"/>
  <c r="L2325" i="1" s="1"/>
  <c r="J2326" i="1"/>
  <c r="L2326" i="1" s="1"/>
  <c r="J2327" i="1"/>
  <c r="J2328" i="1"/>
  <c r="J2329" i="1"/>
  <c r="J2330" i="1"/>
  <c r="L2330" i="1" s="1"/>
  <c r="J2331" i="1"/>
  <c r="L2331" i="1" s="1"/>
  <c r="J2332" i="1"/>
  <c r="J2333" i="1"/>
  <c r="J2334" i="1"/>
  <c r="L2334" i="1" s="1"/>
  <c r="J2335" i="1"/>
  <c r="L2335" i="1" s="1"/>
  <c r="J2336" i="1"/>
  <c r="J2337" i="1"/>
  <c r="J2338" i="1"/>
  <c r="L2338" i="1" s="1"/>
  <c r="J2339" i="1"/>
  <c r="J2340" i="1"/>
  <c r="L2340" i="1" s="1"/>
  <c r="J2341" i="1"/>
  <c r="L2341" i="1" s="1"/>
  <c r="J2342" i="1"/>
  <c r="J2343" i="1"/>
  <c r="J2344" i="1"/>
  <c r="J2345" i="1"/>
  <c r="J2346" i="1"/>
  <c r="L2346" i="1" s="1"/>
  <c r="J2347" i="1"/>
  <c r="L2347" i="1" s="1"/>
  <c r="J2348" i="1"/>
  <c r="L2348" i="1" s="1"/>
  <c r="J2349" i="1"/>
  <c r="J2350" i="1"/>
  <c r="L2350" i="1" s="1"/>
  <c r="J2351" i="1"/>
  <c r="L2351" i="1" s="1"/>
  <c r="J2352" i="1"/>
  <c r="J2353" i="1"/>
  <c r="J2354" i="1"/>
  <c r="J2355" i="1"/>
  <c r="J2356" i="1"/>
  <c r="L2356" i="1" s="1"/>
  <c r="J2357" i="1"/>
  <c r="L2357" i="1" s="1"/>
  <c r="J2358" i="1"/>
  <c r="L2358" i="1" s="1"/>
  <c r="J2359" i="1"/>
  <c r="J2360" i="1"/>
  <c r="J2361" i="1"/>
  <c r="J2362" i="1"/>
  <c r="L2362" i="1" s="1"/>
  <c r="J2363" i="1"/>
  <c r="L2363" i="1" s="1"/>
  <c r="J2364" i="1"/>
  <c r="J2365" i="1"/>
  <c r="J2366" i="1"/>
  <c r="L2366" i="1" s="1"/>
  <c r="J2367" i="1"/>
  <c r="L2367" i="1" s="1"/>
  <c r="J2368" i="1"/>
  <c r="J2369" i="1"/>
  <c r="J2370" i="1"/>
  <c r="L2370" i="1" s="1"/>
  <c r="J2371" i="1"/>
  <c r="J2372" i="1"/>
  <c r="L2372" i="1" s="1"/>
  <c r="J2373" i="1"/>
  <c r="L2373" i="1" s="1"/>
  <c r="J2374" i="1"/>
  <c r="J2375" i="1"/>
  <c r="J2376" i="1"/>
  <c r="J2377" i="1"/>
  <c r="J2378" i="1"/>
  <c r="L2378" i="1" s="1"/>
  <c r="J2379" i="1"/>
  <c r="L2379" i="1" s="1"/>
  <c r="J2380" i="1"/>
  <c r="L2380" i="1" s="1"/>
  <c r="J2381" i="1"/>
  <c r="J2382" i="1"/>
  <c r="L2382" i="1" s="1"/>
  <c r="J2383" i="1"/>
  <c r="L2383" i="1" s="1"/>
  <c r="J2384" i="1"/>
  <c r="J2385" i="1"/>
  <c r="J2386" i="1"/>
  <c r="J2387" i="1"/>
  <c r="J2388" i="1"/>
  <c r="L2388" i="1" s="1"/>
  <c r="J2389" i="1"/>
  <c r="L2389" i="1" s="1"/>
  <c r="J2390" i="1"/>
  <c r="L2390" i="1" s="1"/>
  <c r="J2391" i="1"/>
  <c r="J2392" i="1"/>
  <c r="J2393" i="1"/>
  <c r="J2394" i="1"/>
  <c r="L2394" i="1" s="1"/>
  <c r="J2395" i="1"/>
  <c r="L2395" i="1" s="1"/>
  <c r="J2396" i="1"/>
  <c r="J2397" i="1"/>
  <c r="J2398" i="1"/>
  <c r="L2398" i="1" s="1"/>
  <c r="J2399" i="1"/>
  <c r="L2399" i="1" s="1"/>
  <c r="J2400" i="1"/>
  <c r="J2401" i="1"/>
  <c r="J2402" i="1"/>
  <c r="L2402" i="1" s="1"/>
  <c r="J2403" i="1"/>
  <c r="J2404" i="1"/>
  <c r="L2404" i="1" s="1"/>
  <c r="J2405" i="1"/>
  <c r="L2405" i="1" s="1"/>
  <c r="J2406" i="1"/>
  <c r="J2407" i="1"/>
  <c r="J2408" i="1"/>
  <c r="J2409" i="1"/>
  <c r="J2410" i="1"/>
  <c r="L2410" i="1" s="1"/>
  <c r="J2411" i="1"/>
  <c r="L2411" i="1" s="1"/>
  <c r="J2412" i="1"/>
  <c r="L2412" i="1" s="1"/>
  <c r="J2413" i="1"/>
  <c r="J2414" i="1"/>
  <c r="L2414" i="1" s="1"/>
  <c r="J2415" i="1"/>
  <c r="L2415" i="1" s="1"/>
  <c r="J2416" i="1"/>
  <c r="J2417" i="1"/>
  <c r="J2418" i="1"/>
  <c r="J2419" i="1"/>
  <c r="J2420" i="1"/>
  <c r="L2420" i="1" s="1"/>
  <c r="J2421" i="1"/>
  <c r="L2421" i="1" s="1"/>
  <c r="J2422" i="1"/>
  <c r="L2422" i="1" s="1"/>
  <c r="J2423" i="1"/>
  <c r="J2424" i="1"/>
  <c r="J2425" i="1"/>
  <c r="J2426" i="1"/>
  <c r="L2426" i="1" s="1"/>
  <c r="J2427" i="1"/>
  <c r="L2427" i="1" s="1"/>
  <c r="J2428" i="1"/>
  <c r="J2429" i="1"/>
  <c r="J2430" i="1"/>
  <c r="L2430" i="1" s="1"/>
  <c r="J2431" i="1"/>
  <c r="L2431" i="1" s="1"/>
  <c r="J2432" i="1"/>
  <c r="J2433" i="1"/>
  <c r="J2434" i="1"/>
  <c r="L2434" i="1" s="1"/>
  <c r="J2435" i="1"/>
  <c r="J2436" i="1"/>
  <c r="L2436" i="1" s="1"/>
  <c r="J2437" i="1"/>
  <c r="L2437" i="1" s="1"/>
  <c r="J2438" i="1"/>
  <c r="J2439" i="1"/>
  <c r="J2440" i="1"/>
  <c r="J2441" i="1"/>
  <c r="J2442" i="1"/>
  <c r="L2442" i="1" s="1"/>
  <c r="J2443" i="1"/>
  <c r="L2443" i="1" s="1"/>
  <c r="J2444" i="1"/>
  <c r="L2444" i="1" s="1"/>
  <c r="J2445" i="1"/>
  <c r="J2446" i="1"/>
  <c r="L2446" i="1" s="1"/>
  <c r="J2447" i="1"/>
  <c r="L2447" i="1" s="1"/>
  <c r="J2448" i="1"/>
  <c r="J2449" i="1"/>
  <c r="J2450" i="1"/>
  <c r="J2451" i="1"/>
  <c r="J2452" i="1"/>
  <c r="L2452" i="1" s="1"/>
  <c r="J2453" i="1"/>
  <c r="L2453" i="1" s="1"/>
  <c r="J2454" i="1"/>
  <c r="L2454" i="1" s="1"/>
  <c r="J2455" i="1"/>
  <c r="J2456" i="1"/>
  <c r="J2457" i="1"/>
  <c r="J2458" i="1"/>
  <c r="L2458" i="1" s="1"/>
  <c r="J2459" i="1"/>
  <c r="L2459" i="1" s="1"/>
  <c r="J2460" i="1"/>
  <c r="J2461" i="1"/>
  <c r="J2462" i="1"/>
  <c r="L2462" i="1" s="1"/>
  <c r="J2463" i="1"/>
  <c r="L2463" i="1" s="1"/>
  <c r="J2464" i="1"/>
  <c r="J2465" i="1"/>
  <c r="J2466" i="1"/>
  <c r="L2466" i="1" s="1"/>
  <c r="J2467" i="1"/>
  <c r="J2468" i="1"/>
  <c r="L2468" i="1" s="1"/>
  <c r="J2469" i="1"/>
  <c r="L2469" i="1" s="1"/>
  <c r="J2470" i="1"/>
  <c r="J2471" i="1"/>
  <c r="J2472" i="1"/>
  <c r="J2473" i="1"/>
  <c r="J2474" i="1"/>
  <c r="L2474" i="1" s="1"/>
  <c r="J2475" i="1"/>
  <c r="L2475" i="1" s="1"/>
  <c r="J2476" i="1"/>
  <c r="L2476" i="1" s="1"/>
  <c r="J2477" i="1"/>
  <c r="J2478" i="1"/>
  <c r="L2478" i="1" s="1"/>
  <c r="J2479" i="1"/>
  <c r="L2479" i="1" s="1"/>
  <c r="J2480" i="1"/>
  <c r="J2481" i="1"/>
  <c r="J2482" i="1"/>
  <c r="J2483" i="1"/>
  <c r="J2484" i="1"/>
  <c r="L2484" i="1" s="1"/>
  <c r="J2485" i="1"/>
  <c r="L2485" i="1" s="1"/>
  <c r="J2486" i="1"/>
  <c r="L2486" i="1" s="1"/>
  <c r="J2487" i="1"/>
  <c r="J2488" i="1"/>
  <c r="J2489" i="1"/>
  <c r="J2490" i="1"/>
  <c r="L2490" i="1" s="1"/>
  <c r="J2491" i="1"/>
  <c r="L2491" i="1" s="1"/>
  <c r="J2492" i="1"/>
  <c r="J2493" i="1"/>
  <c r="J2494" i="1"/>
  <c r="L2494" i="1" s="1"/>
  <c r="J2495" i="1"/>
  <c r="L2495" i="1" s="1"/>
  <c r="J2496" i="1"/>
  <c r="J2497" i="1"/>
  <c r="J2498" i="1"/>
  <c r="L2498" i="1" s="1"/>
  <c r="J2499" i="1"/>
  <c r="J2500" i="1"/>
  <c r="L2500" i="1" s="1"/>
  <c r="J2501" i="1"/>
  <c r="L2501" i="1" s="1"/>
  <c r="J2502" i="1"/>
  <c r="J2503" i="1"/>
  <c r="J2504" i="1"/>
  <c r="J2505" i="1"/>
  <c r="J2506" i="1"/>
  <c r="L2506" i="1" s="1"/>
  <c r="J2507" i="1"/>
  <c r="L2507" i="1" s="1"/>
  <c r="J2508" i="1"/>
  <c r="L2508" i="1" s="1"/>
  <c r="J2509" i="1"/>
  <c r="J2510" i="1"/>
  <c r="L2510" i="1" s="1"/>
  <c r="J2511" i="1"/>
  <c r="L2511" i="1" s="1"/>
  <c r="J2512" i="1"/>
  <c r="J2513" i="1"/>
  <c r="J2514" i="1"/>
  <c r="J2515" i="1"/>
  <c r="J2516" i="1"/>
  <c r="L2516" i="1" s="1"/>
  <c r="J2517" i="1"/>
  <c r="L2517" i="1" s="1"/>
  <c r="J2518" i="1"/>
  <c r="L2518" i="1" s="1"/>
  <c r="J2519" i="1"/>
  <c r="J2520" i="1"/>
  <c r="J2521" i="1"/>
  <c r="J2522" i="1"/>
  <c r="L2522" i="1" s="1"/>
  <c r="J2523" i="1"/>
  <c r="L2523" i="1" s="1"/>
  <c r="J2524" i="1"/>
  <c r="J2525" i="1"/>
  <c r="J2526" i="1"/>
  <c r="L2526" i="1" s="1"/>
  <c r="J2527" i="1"/>
  <c r="L2527" i="1" s="1"/>
  <c r="J2528" i="1"/>
  <c r="J2529" i="1"/>
  <c r="J2530" i="1"/>
  <c r="L2530" i="1" s="1"/>
  <c r="J2531" i="1"/>
  <c r="J2532" i="1"/>
  <c r="L2532" i="1" s="1"/>
  <c r="J2533" i="1"/>
  <c r="L2533" i="1" s="1"/>
  <c r="J2534" i="1"/>
  <c r="J2535" i="1"/>
  <c r="J2536" i="1"/>
  <c r="J2537" i="1"/>
  <c r="J2538" i="1"/>
  <c r="L2538" i="1" s="1"/>
  <c r="J2539" i="1"/>
  <c r="L2539" i="1" s="1"/>
  <c r="J2540" i="1"/>
  <c r="L2540" i="1" s="1"/>
  <c r="J2541" i="1"/>
  <c r="J2542" i="1"/>
  <c r="L2542" i="1" s="1"/>
  <c r="J2543" i="1"/>
  <c r="L2543" i="1" s="1"/>
  <c r="J2544" i="1"/>
  <c r="J2545" i="1"/>
  <c r="J2546" i="1"/>
  <c r="J2547" i="1"/>
  <c r="J2548" i="1"/>
  <c r="L2548" i="1" s="1"/>
  <c r="J2549" i="1"/>
  <c r="L2549" i="1" s="1"/>
  <c r="J2550" i="1"/>
  <c r="L2550" i="1" s="1"/>
  <c r="J2551" i="1"/>
  <c r="J2552" i="1"/>
  <c r="J2553" i="1"/>
  <c r="J2554" i="1"/>
  <c r="L2554" i="1" s="1"/>
  <c r="J2555" i="1"/>
  <c r="L2555" i="1" s="1"/>
  <c r="J2556" i="1"/>
  <c r="J2557" i="1"/>
  <c r="J2558" i="1"/>
  <c r="L2558" i="1" s="1"/>
  <c r="J2559" i="1"/>
  <c r="L2559" i="1" s="1"/>
  <c r="J2560" i="1"/>
  <c r="J2561" i="1"/>
  <c r="J2562" i="1"/>
  <c r="L2562" i="1" s="1"/>
  <c r="J2563" i="1"/>
  <c r="J2564" i="1"/>
  <c r="L2564" i="1" s="1"/>
  <c r="J2565" i="1"/>
  <c r="L2565" i="1" s="1"/>
  <c r="J2566" i="1"/>
  <c r="J2567" i="1"/>
  <c r="J2568" i="1"/>
  <c r="J2569" i="1"/>
  <c r="J2570" i="1"/>
  <c r="L2570" i="1" s="1"/>
  <c r="J2571" i="1"/>
  <c r="L2571" i="1" s="1"/>
  <c r="J2572" i="1"/>
  <c r="L2572" i="1" s="1"/>
  <c r="J2573" i="1"/>
  <c r="J2574" i="1"/>
  <c r="L2574" i="1" s="1"/>
  <c r="J2575" i="1"/>
  <c r="L2575" i="1" s="1"/>
  <c r="J2576" i="1"/>
  <c r="J2577" i="1"/>
  <c r="J2578" i="1"/>
  <c r="J2579" i="1"/>
  <c r="J2580" i="1"/>
  <c r="L2580" i="1" s="1"/>
  <c r="J2581" i="1"/>
  <c r="L2581" i="1" s="1"/>
  <c r="J2582" i="1"/>
  <c r="L2582" i="1" s="1"/>
  <c r="J2583" i="1"/>
  <c r="J2584" i="1"/>
  <c r="J2585" i="1"/>
  <c r="J2586" i="1"/>
  <c r="L2586" i="1" s="1"/>
  <c r="J2587" i="1"/>
  <c r="L2587" i="1" s="1"/>
  <c r="J2588" i="1"/>
  <c r="J2589" i="1"/>
  <c r="J2590" i="1"/>
  <c r="L2590" i="1" s="1"/>
  <c r="J2591" i="1"/>
  <c r="L2591" i="1" s="1"/>
  <c r="J2592" i="1"/>
  <c r="J2593" i="1"/>
  <c r="J2594" i="1"/>
  <c r="L2594" i="1" s="1"/>
  <c r="J2595" i="1"/>
  <c r="J2596" i="1"/>
  <c r="L2596" i="1" s="1"/>
  <c r="J2597" i="1"/>
  <c r="L2597" i="1" s="1"/>
  <c r="J2598" i="1"/>
  <c r="J2599" i="1"/>
  <c r="J2600" i="1"/>
  <c r="J2601" i="1"/>
  <c r="J2602" i="1"/>
  <c r="L2602" i="1" s="1"/>
  <c r="J2603" i="1"/>
  <c r="L2603" i="1" s="1"/>
  <c r="J2604" i="1"/>
  <c r="L2604" i="1" s="1"/>
  <c r="J2605" i="1"/>
  <c r="J2606" i="1"/>
  <c r="L2606" i="1" s="1"/>
  <c r="J2607" i="1"/>
  <c r="L2607" i="1" s="1"/>
  <c r="J2608" i="1"/>
  <c r="J2609" i="1"/>
  <c r="J2610" i="1"/>
  <c r="J2611" i="1"/>
  <c r="J2612" i="1"/>
  <c r="L2612" i="1" s="1"/>
  <c r="J2613" i="1"/>
  <c r="L2613" i="1" s="1"/>
  <c r="J2614" i="1"/>
  <c r="L2614" i="1" s="1"/>
  <c r="J2615" i="1"/>
  <c r="J2616" i="1"/>
  <c r="J2617" i="1"/>
  <c r="J2618" i="1"/>
  <c r="L2618" i="1" s="1"/>
  <c r="J2619" i="1"/>
  <c r="L2619" i="1" s="1"/>
  <c r="J2620" i="1"/>
  <c r="J2621" i="1"/>
  <c r="J2622" i="1"/>
  <c r="L2622" i="1" s="1"/>
  <c r="J2623" i="1"/>
  <c r="L2623" i="1" s="1"/>
  <c r="J2624" i="1"/>
  <c r="J2625" i="1"/>
  <c r="J2626" i="1"/>
  <c r="L2626" i="1" s="1"/>
  <c r="J2627" i="1"/>
  <c r="J2628" i="1"/>
  <c r="L2628" i="1" s="1"/>
  <c r="J2629" i="1"/>
  <c r="L2629" i="1" s="1"/>
  <c r="J2630" i="1"/>
  <c r="J2631" i="1"/>
  <c r="J2632" i="1"/>
  <c r="J2633" i="1"/>
  <c r="J2634" i="1"/>
  <c r="L2634" i="1" s="1"/>
  <c r="J2635" i="1"/>
  <c r="L2635" i="1" s="1"/>
  <c r="J2636" i="1"/>
  <c r="L2636" i="1" s="1"/>
  <c r="J2637" i="1"/>
  <c r="J2638" i="1"/>
  <c r="L2638" i="1" s="1"/>
  <c r="J2639" i="1"/>
  <c r="L2639" i="1" s="1"/>
  <c r="J2640" i="1"/>
  <c r="J2641" i="1"/>
  <c r="J2642" i="1"/>
  <c r="J2643" i="1"/>
  <c r="J2644" i="1"/>
  <c r="L2644" i="1" s="1"/>
  <c r="J2645" i="1"/>
  <c r="L2645" i="1" s="1"/>
  <c r="J2646" i="1"/>
  <c r="L2646" i="1" s="1"/>
  <c r="J2647" i="1"/>
  <c r="J2648" i="1"/>
  <c r="J2649" i="1"/>
  <c r="J2650" i="1"/>
  <c r="L2650" i="1" s="1"/>
  <c r="J2651" i="1"/>
  <c r="L2651" i="1" s="1"/>
  <c r="J2652" i="1"/>
  <c r="J2653" i="1"/>
  <c r="J2654" i="1"/>
  <c r="L2654" i="1" s="1"/>
  <c r="J2655" i="1"/>
  <c r="L2655" i="1" s="1"/>
  <c r="J2656" i="1"/>
  <c r="J2657" i="1"/>
  <c r="J2658" i="1"/>
  <c r="L2658" i="1" s="1"/>
  <c r="J2659" i="1"/>
  <c r="J2660" i="1"/>
  <c r="L2660" i="1" s="1"/>
  <c r="J2661" i="1"/>
  <c r="L2661" i="1" s="1"/>
  <c r="J2662" i="1"/>
  <c r="J2663" i="1"/>
  <c r="J2664" i="1"/>
  <c r="J2665" i="1"/>
  <c r="J2666" i="1"/>
  <c r="L2666" i="1" s="1"/>
  <c r="J2667" i="1"/>
  <c r="L2667" i="1" s="1"/>
  <c r="J2668" i="1"/>
  <c r="L2668" i="1" s="1"/>
  <c r="J2669" i="1"/>
  <c r="J2670" i="1"/>
  <c r="L2670" i="1" s="1"/>
  <c r="J2671" i="1"/>
  <c r="L2671" i="1" s="1"/>
  <c r="J2672" i="1"/>
  <c r="J2673" i="1"/>
  <c r="J2674" i="1"/>
  <c r="J2675" i="1"/>
  <c r="J2676" i="1"/>
  <c r="L2676" i="1" s="1"/>
  <c r="J2677" i="1"/>
  <c r="L2677" i="1" s="1"/>
  <c r="J2678" i="1"/>
  <c r="L2678" i="1" s="1"/>
  <c r="J2679" i="1"/>
  <c r="J2680" i="1"/>
  <c r="J2681" i="1"/>
  <c r="J2682" i="1"/>
  <c r="L2682" i="1" s="1"/>
  <c r="J2683" i="1"/>
  <c r="L2683" i="1" s="1"/>
  <c r="J2684" i="1"/>
  <c r="J2685" i="1"/>
  <c r="J2686" i="1"/>
  <c r="L2686" i="1" s="1"/>
  <c r="J2687" i="1"/>
  <c r="L2687" i="1" s="1"/>
  <c r="J2688" i="1"/>
  <c r="J2689" i="1"/>
  <c r="J2690" i="1"/>
  <c r="L2690" i="1" s="1"/>
  <c r="J2691" i="1"/>
  <c r="J2692" i="1"/>
  <c r="L2692" i="1" s="1"/>
  <c r="J2693" i="1"/>
  <c r="L2693" i="1" s="1"/>
  <c r="J2694" i="1"/>
  <c r="J2695" i="1"/>
  <c r="J2696" i="1"/>
  <c r="J2697" i="1"/>
  <c r="J2698" i="1"/>
  <c r="L2698" i="1" s="1"/>
  <c r="J2699" i="1"/>
  <c r="L2699" i="1" s="1"/>
  <c r="J2700" i="1"/>
  <c r="L2700" i="1" s="1"/>
  <c r="J2701" i="1"/>
  <c r="J2702" i="1"/>
  <c r="L2702" i="1" s="1"/>
  <c r="J2703" i="1"/>
  <c r="L2703" i="1" s="1"/>
  <c r="J2704" i="1"/>
  <c r="J2705" i="1"/>
  <c r="J2706" i="1"/>
  <c r="J2707" i="1"/>
  <c r="J2708" i="1"/>
  <c r="L2708" i="1" s="1"/>
  <c r="J2709" i="1"/>
  <c r="L2709" i="1" s="1"/>
  <c r="J2710" i="1"/>
  <c r="L2710" i="1" s="1"/>
  <c r="J2711" i="1"/>
  <c r="J2712" i="1"/>
  <c r="J2713" i="1"/>
  <c r="J2714" i="1"/>
  <c r="L2714" i="1" s="1"/>
  <c r="J2715" i="1"/>
  <c r="L2715" i="1" s="1"/>
  <c r="J2716" i="1"/>
  <c r="J2717" i="1"/>
  <c r="J2718" i="1"/>
  <c r="L2718" i="1" s="1"/>
  <c r="J2719" i="1"/>
  <c r="L2719" i="1" s="1"/>
  <c r="J2720" i="1"/>
  <c r="J2721" i="1"/>
  <c r="J2722" i="1"/>
  <c r="L2722" i="1" s="1"/>
  <c r="J2723" i="1"/>
  <c r="J2724" i="1"/>
  <c r="L2724" i="1" s="1"/>
  <c r="J2725" i="1"/>
  <c r="L2725" i="1" s="1"/>
  <c r="J2726" i="1"/>
  <c r="J2727" i="1"/>
  <c r="J2728" i="1"/>
  <c r="J2729" i="1"/>
  <c r="J2730" i="1"/>
  <c r="L2730" i="1" s="1"/>
  <c r="J2731" i="1"/>
  <c r="L2731" i="1" s="1"/>
  <c r="J2732" i="1"/>
  <c r="L2732" i="1" s="1"/>
  <c r="J2733" i="1"/>
  <c r="J2734" i="1"/>
  <c r="L2734" i="1" s="1"/>
  <c r="J2735" i="1"/>
  <c r="L2735" i="1" s="1"/>
  <c r="J2736" i="1"/>
  <c r="J2737" i="1"/>
  <c r="J2738" i="1"/>
  <c r="J2739" i="1"/>
  <c r="J2740" i="1"/>
  <c r="L2740" i="1" s="1"/>
  <c r="J2741" i="1"/>
  <c r="L2741" i="1" s="1"/>
  <c r="J2742" i="1"/>
  <c r="L2742" i="1" s="1"/>
  <c r="J2743" i="1"/>
  <c r="J2744" i="1"/>
  <c r="J2745" i="1"/>
  <c r="J2746" i="1"/>
  <c r="L2746" i="1" s="1"/>
  <c r="J2747" i="1"/>
  <c r="L2747" i="1" s="1"/>
  <c r="J2748" i="1"/>
  <c r="J2749" i="1"/>
  <c r="J2750" i="1"/>
  <c r="L2750" i="1" s="1"/>
  <c r="J2751" i="1"/>
  <c r="L2751" i="1" s="1"/>
  <c r="J2752" i="1"/>
  <c r="J2753" i="1"/>
  <c r="J2754" i="1"/>
  <c r="L2754" i="1" s="1"/>
  <c r="J2755" i="1"/>
  <c r="J2756" i="1"/>
  <c r="L2756" i="1" s="1"/>
  <c r="J2757" i="1"/>
  <c r="L2757" i="1" s="1"/>
  <c r="J2758" i="1"/>
  <c r="J2759" i="1"/>
  <c r="J2760" i="1"/>
  <c r="J2761" i="1"/>
  <c r="J2762" i="1"/>
  <c r="L2762" i="1" s="1"/>
  <c r="J2763" i="1"/>
  <c r="L2763" i="1" s="1"/>
  <c r="J2764" i="1"/>
  <c r="L2764" i="1" s="1"/>
  <c r="J2765" i="1"/>
  <c r="J2766" i="1"/>
  <c r="L2766" i="1" s="1"/>
  <c r="J2767" i="1"/>
  <c r="L2767" i="1" s="1"/>
  <c r="J2768" i="1"/>
  <c r="J2769" i="1"/>
  <c r="J2770" i="1"/>
  <c r="J2771" i="1"/>
  <c r="J2772" i="1"/>
  <c r="L2772" i="1" s="1"/>
  <c r="J2773" i="1"/>
  <c r="L2773" i="1" s="1"/>
  <c r="J2774" i="1"/>
  <c r="L2774" i="1" s="1"/>
  <c r="J2775" i="1"/>
  <c r="J2776" i="1"/>
  <c r="J2777" i="1"/>
  <c r="J2778" i="1"/>
  <c r="L2778" i="1" s="1"/>
  <c r="J2779" i="1"/>
  <c r="L2779" i="1" s="1"/>
  <c r="J2780" i="1"/>
  <c r="J2781" i="1"/>
  <c r="J2782" i="1"/>
  <c r="L2782" i="1" s="1"/>
  <c r="J2783" i="1"/>
  <c r="L2783" i="1" s="1"/>
  <c r="J2784" i="1"/>
  <c r="J2785" i="1"/>
  <c r="J2786" i="1"/>
  <c r="L2786" i="1" s="1"/>
  <c r="J2787" i="1"/>
  <c r="J2788" i="1"/>
  <c r="L2788" i="1" s="1"/>
  <c r="J2789" i="1"/>
  <c r="L2789" i="1" s="1"/>
  <c r="J2790" i="1"/>
  <c r="J2791" i="1"/>
  <c r="J2792" i="1"/>
  <c r="J2793" i="1"/>
  <c r="J2794" i="1"/>
  <c r="L2794" i="1" s="1"/>
  <c r="J2795" i="1"/>
  <c r="L2795" i="1" s="1"/>
  <c r="J2796" i="1"/>
  <c r="L2796" i="1" s="1"/>
  <c r="J2797" i="1"/>
  <c r="J2798" i="1"/>
  <c r="L2798" i="1" s="1"/>
  <c r="J2799" i="1"/>
  <c r="L2799" i="1" s="1"/>
  <c r="J2800" i="1"/>
  <c r="J2801" i="1"/>
  <c r="J2802" i="1"/>
  <c r="J2803" i="1"/>
  <c r="J2804" i="1"/>
  <c r="L2804" i="1" s="1"/>
  <c r="J2805" i="1"/>
  <c r="L2805" i="1" s="1"/>
  <c r="J2806" i="1"/>
  <c r="L2806" i="1" s="1"/>
  <c r="J2807" i="1"/>
  <c r="J2808" i="1"/>
  <c r="J2809" i="1"/>
  <c r="J2810" i="1"/>
  <c r="L2810" i="1" s="1"/>
  <c r="J2811" i="1"/>
  <c r="L2811" i="1" s="1"/>
  <c r="J2812" i="1"/>
  <c r="J2813" i="1"/>
  <c r="J2814" i="1"/>
  <c r="L2814" i="1" s="1"/>
  <c r="J2815" i="1"/>
  <c r="L2815" i="1" s="1"/>
  <c r="J2816" i="1"/>
  <c r="J2817" i="1"/>
  <c r="J2818" i="1"/>
  <c r="L2818" i="1" s="1"/>
  <c r="J2819" i="1"/>
  <c r="J2820" i="1"/>
  <c r="L2820" i="1" s="1"/>
  <c r="J2821" i="1"/>
  <c r="L2821" i="1" s="1"/>
  <c r="J2822" i="1"/>
  <c r="J2823" i="1"/>
  <c r="J2824" i="1"/>
  <c r="J2825" i="1"/>
  <c r="J2826" i="1"/>
  <c r="L2826" i="1" s="1"/>
  <c r="J2827" i="1"/>
  <c r="L2827" i="1" s="1"/>
  <c r="J2828" i="1"/>
  <c r="L2828" i="1" s="1"/>
  <c r="J2829" i="1"/>
  <c r="J2830" i="1"/>
  <c r="L2830" i="1" s="1"/>
  <c r="J2831" i="1"/>
  <c r="L2831" i="1" s="1"/>
  <c r="J2832" i="1"/>
  <c r="J2833" i="1"/>
  <c r="J2834" i="1"/>
  <c r="J2835" i="1"/>
  <c r="J2836" i="1"/>
  <c r="L2836" i="1" s="1"/>
  <c r="J2837" i="1"/>
  <c r="L2837" i="1" s="1"/>
  <c r="J2838" i="1"/>
  <c r="L2838" i="1" s="1"/>
  <c r="J2839" i="1"/>
  <c r="J2840" i="1"/>
  <c r="J2841" i="1"/>
  <c r="J2842" i="1"/>
  <c r="L2842" i="1" s="1"/>
  <c r="J2843" i="1"/>
  <c r="L2843" i="1" s="1"/>
  <c r="J2844" i="1"/>
  <c r="J2845" i="1"/>
  <c r="J2846" i="1"/>
  <c r="L2846" i="1" s="1"/>
  <c r="J2847" i="1"/>
  <c r="L2847" i="1" s="1"/>
  <c r="J2848" i="1"/>
  <c r="J2849" i="1"/>
  <c r="J2850" i="1"/>
  <c r="L2850" i="1" s="1"/>
  <c r="J2851" i="1"/>
  <c r="J2852" i="1"/>
  <c r="L2852" i="1" s="1"/>
  <c r="J2853" i="1"/>
  <c r="L2853" i="1" s="1"/>
  <c r="J2854" i="1"/>
  <c r="J2855" i="1"/>
  <c r="J2856" i="1"/>
  <c r="J2857" i="1"/>
  <c r="J2858" i="1"/>
  <c r="L2858" i="1" s="1"/>
  <c r="J2859" i="1"/>
  <c r="L2859" i="1" s="1"/>
  <c r="J2860" i="1"/>
  <c r="L2860" i="1" s="1"/>
  <c r="J2861" i="1"/>
  <c r="J2862" i="1"/>
  <c r="L2862" i="1" s="1"/>
  <c r="J2863" i="1"/>
  <c r="L2863" i="1" s="1"/>
  <c r="J2864" i="1"/>
  <c r="J2865" i="1"/>
  <c r="J2866" i="1"/>
  <c r="J2867" i="1"/>
  <c r="J2868" i="1"/>
  <c r="L2868" i="1" s="1"/>
  <c r="J2869" i="1"/>
  <c r="L2869" i="1" s="1"/>
  <c r="J2870" i="1"/>
  <c r="L2870" i="1" s="1"/>
  <c r="J2871" i="1"/>
  <c r="J2872" i="1"/>
  <c r="J2873" i="1"/>
  <c r="J2874" i="1"/>
  <c r="L2874" i="1" s="1"/>
  <c r="J2875" i="1"/>
  <c r="L2875" i="1" s="1"/>
  <c r="J2876" i="1"/>
  <c r="J2877" i="1"/>
  <c r="J2878" i="1"/>
  <c r="L2878" i="1" s="1"/>
  <c r="J2879" i="1"/>
  <c r="L2879" i="1" s="1"/>
  <c r="J2880" i="1"/>
  <c r="J2881" i="1"/>
  <c r="J2882" i="1"/>
  <c r="L2882" i="1" s="1"/>
  <c r="J2883" i="1"/>
  <c r="J2884" i="1"/>
  <c r="L2884" i="1" s="1"/>
  <c r="J2885" i="1"/>
  <c r="L2885" i="1" s="1"/>
  <c r="J2886" i="1"/>
  <c r="J2887" i="1"/>
  <c r="J2888" i="1"/>
  <c r="J2889" i="1"/>
  <c r="J2890" i="1"/>
  <c r="L2890" i="1" s="1"/>
  <c r="J2891" i="1"/>
  <c r="L2891" i="1" s="1"/>
  <c r="J2892" i="1"/>
  <c r="L2892" i="1" s="1"/>
  <c r="J2893" i="1"/>
  <c r="J2894" i="1"/>
  <c r="L2894" i="1" s="1"/>
  <c r="J2895" i="1"/>
  <c r="L2895" i="1" s="1"/>
  <c r="J2896" i="1"/>
  <c r="J2897" i="1"/>
  <c r="J2898" i="1"/>
  <c r="J2899" i="1"/>
  <c r="J2900" i="1"/>
  <c r="L2900" i="1" s="1"/>
  <c r="J2901" i="1"/>
  <c r="L2901" i="1" s="1"/>
  <c r="J2902" i="1"/>
  <c r="L2902" i="1" s="1"/>
  <c r="J2903" i="1"/>
  <c r="J2904" i="1"/>
  <c r="J2905" i="1"/>
  <c r="J2906" i="1"/>
  <c r="L2906" i="1" s="1"/>
  <c r="J2907" i="1"/>
  <c r="L2907" i="1" s="1"/>
  <c r="J2908" i="1"/>
  <c r="J2909" i="1"/>
  <c r="J2910" i="1"/>
  <c r="L2910" i="1" s="1"/>
  <c r="J2911" i="1"/>
  <c r="L2911" i="1" s="1"/>
  <c r="J2912" i="1"/>
  <c r="J2913" i="1"/>
  <c r="J2914" i="1"/>
  <c r="L2914" i="1" s="1"/>
  <c r="J2915" i="1"/>
  <c r="J2916" i="1"/>
  <c r="L2916" i="1" s="1"/>
  <c r="J2917" i="1"/>
  <c r="L2917" i="1" s="1"/>
  <c r="J2918" i="1"/>
  <c r="J2919" i="1"/>
  <c r="J2920" i="1"/>
  <c r="J2921" i="1"/>
  <c r="J2922" i="1"/>
  <c r="L2922" i="1" s="1"/>
  <c r="J2923" i="1"/>
  <c r="L2923" i="1" s="1"/>
  <c r="J2924" i="1"/>
  <c r="L2924" i="1" s="1"/>
  <c r="J2925" i="1"/>
  <c r="J2926" i="1"/>
  <c r="L2926" i="1" s="1"/>
  <c r="J2927" i="1"/>
  <c r="L2927" i="1" s="1"/>
  <c r="J2928" i="1"/>
  <c r="J2929" i="1"/>
  <c r="J2930" i="1"/>
  <c r="J2931" i="1"/>
  <c r="J2932" i="1"/>
  <c r="L2932" i="1" s="1"/>
  <c r="J2933" i="1"/>
  <c r="L2933" i="1" s="1"/>
  <c r="J2934" i="1"/>
  <c r="L2934" i="1" s="1"/>
  <c r="J2935" i="1"/>
  <c r="J2936" i="1"/>
  <c r="J2937" i="1"/>
  <c r="J2938" i="1"/>
  <c r="L2938" i="1" s="1"/>
  <c r="J2939" i="1"/>
  <c r="L2939" i="1" s="1"/>
  <c r="J2940" i="1"/>
  <c r="J2941" i="1"/>
  <c r="J2942" i="1"/>
  <c r="L2942" i="1" s="1"/>
  <c r="J2943" i="1"/>
  <c r="L2943" i="1" s="1"/>
  <c r="J2944" i="1"/>
  <c r="J2945" i="1"/>
  <c r="J2946" i="1"/>
  <c r="L2946" i="1" s="1"/>
  <c r="J2947" i="1"/>
  <c r="J2948" i="1"/>
  <c r="L2948" i="1" s="1"/>
  <c r="J2949" i="1"/>
  <c r="L2949" i="1" s="1"/>
  <c r="J2950" i="1"/>
  <c r="J2951" i="1"/>
  <c r="J2952" i="1"/>
  <c r="J2953" i="1"/>
  <c r="J2954" i="1"/>
  <c r="L2954" i="1" s="1"/>
  <c r="J2955" i="1"/>
  <c r="L2955" i="1" s="1"/>
  <c r="J2956" i="1"/>
  <c r="L2956" i="1" s="1"/>
  <c r="J2957" i="1"/>
  <c r="J2958" i="1"/>
  <c r="L2958" i="1" s="1"/>
  <c r="J2959" i="1"/>
  <c r="L2959" i="1" s="1"/>
  <c r="J2960" i="1"/>
  <c r="J2961" i="1"/>
  <c r="J2962" i="1"/>
  <c r="J2963" i="1"/>
  <c r="J2964" i="1"/>
  <c r="L2964" i="1" s="1"/>
  <c r="J2965" i="1"/>
  <c r="L2965" i="1" s="1"/>
  <c r="J2966" i="1"/>
  <c r="L2966" i="1" s="1"/>
  <c r="J2967" i="1"/>
  <c r="J2968" i="1"/>
  <c r="J2969" i="1"/>
  <c r="J2970" i="1"/>
  <c r="L2970" i="1" s="1"/>
  <c r="J2971" i="1"/>
  <c r="L2971" i="1" s="1"/>
  <c r="J2972" i="1"/>
  <c r="J2973" i="1"/>
  <c r="J2974" i="1"/>
  <c r="L2974" i="1" s="1"/>
  <c r="J2975" i="1"/>
  <c r="L2975" i="1" s="1"/>
  <c r="J2976" i="1"/>
  <c r="J2977" i="1"/>
  <c r="J2978" i="1"/>
  <c r="L2978" i="1" s="1"/>
  <c r="J2979" i="1"/>
  <c r="J2980" i="1"/>
  <c r="L2980" i="1" s="1"/>
  <c r="J2981" i="1"/>
  <c r="L2981" i="1" s="1"/>
  <c r="J2982" i="1"/>
  <c r="J2983" i="1"/>
  <c r="J2984" i="1"/>
  <c r="J2985" i="1"/>
  <c r="J2986" i="1"/>
  <c r="L2986" i="1" s="1"/>
  <c r="J2987" i="1"/>
  <c r="L2987" i="1" s="1"/>
  <c r="J2988" i="1"/>
  <c r="L2988" i="1" s="1"/>
  <c r="J2989" i="1"/>
  <c r="J2990" i="1"/>
  <c r="L2990" i="1" s="1"/>
  <c r="J2991" i="1"/>
  <c r="L2991" i="1" s="1"/>
  <c r="J2992" i="1"/>
  <c r="J2993" i="1"/>
  <c r="J2994" i="1"/>
  <c r="J2995" i="1"/>
  <c r="J2996" i="1"/>
  <c r="L2996" i="1" s="1"/>
  <c r="J2997" i="1"/>
  <c r="L2997" i="1" s="1"/>
  <c r="J2998" i="1"/>
  <c r="L2998" i="1" s="1"/>
  <c r="J2999" i="1"/>
  <c r="J3000" i="1"/>
  <c r="J3001" i="1"/>
  <c r="J3002" i="1"/>
  <c r="L3002" i="1" s="1"/>
  <c r="J3003" i="1"/>
  <c r="L3003" i="1" s="1"/>
  <c r="J3004" i="1"/>
  <c r="J3005" i="1"/>
  <c r="J3006" i="1"/>
  <c r="L3006" i="1" s="1"/>
  <c r="J3007" i="1"/>
  <c r="L3007" i="1" s="1"/>
  <c r="J3008" i="1"/>
  <c r="J3009" i="1"/>
  <c r="J3010" i="1"/>
  <c r="L3010" i="1" s="1"/>
  <c r="J3011" i="1"/>
  <c r="J3012" i="1"/>
  <c r="L3012" i="1" s="1"/>
  <c r="J3013" i="1"/>
  <c r="L3013" i="1" s="1"/>
  <c r="J3014" i="1"/>
  <c r="J3015" i="1"/>
  <c r="J3016" i="1"/>
  <c r="J3017" i="1"/>
  <c r="J3018" i="1"/>
  <c r="L3018" i="1" s="1"/>
  <c r="J3019" i="1"/>
  <c r="L3019" i="1" s="1"/>
  <c r="J3020" i="1"/>
  <c r="L3020" i="1" s="1"/>
  <c r="J3021" i="1"/>
  <c r="J3022" i="1"/>
  <c r="L3022" i="1" s="1"/>
  <c r="J3023" i="1"/>
  <c r="L3023" i="1" s="1"/>
  <c r="J3024" i="1"/>
  <c r="J3025" i="1"/>
  <c r="J3026" i="1"/>
  <c r="J3027" i="1"/>
  <c r="J3028" i="1"/>
  <c r="L3028" i="1" s="1"/>
  <c r="J3029" i="1"/>
  <c r="L3029" i="1" s="1"/>
  <c r="J3030" i="1"/>
  <c r="L3030" i="1" s="1"/>
  <c r="J3031" i="1"/>
  <c r="J3032" i="1"/>
  <c r="J3033" i="1"/>
  <c r="J3034" i="1"/>
  <c r="L3034" i="1" s="1"/>
  <c r="J3035" i="1"/>
  <c r="L3035" i="1" s="1"/>
  <c r="J3036" i="1"/>
  <c r="J3037" i="1"/>
  <c r="J3038" i="1"/>
  <c r="L3038" i="1" s="1"/>
  <c r="J3039" i="1"/>
  <c r="L3039" i="1" s="1"/>
  <c r="J3040" i="1"/>
  <c r="J3041" i="1"/>
  <c r="J3042" i="1"/>
  <c r="L3042" i="1" s="1"/>
  <c r="J3043" i="1"/>
  <c r="J3044" i="1"/>
  <c r="L3044" i="1" s="1"/>
  <c r="J3045" i="1"/>
  <c r="L3045" i="1" s="1"/>
  <c r="J3046" i="1"/>
  <c r="J3047" i="1"/>
  <c r="J3048" i="1"/>
  <c r="J3049" i="1"/>
  <c r="J3050" i="1"/>
  <c r="L3050" i="1" s="1"/>
  <c r="J3051" i="1"/>
  <c r="L3051" i="1" s="1"/>
  <c r="J3052" i="1"/>
  <c r="L3052" i="1" s="1"/>
  <c r="J3053" i="1"/>
  <c r="J3054" i="1"/>
  <c r="L3054" i="1" s="1"/>
  <c r="J3055" i="1"/>
  <c r="L3055" i="1" s="1"/>
  <c r="J3056" i="1"/>
  <c r="J3057" i="1"/>
  <c r="J3058" i="1"/>
  <c r="J3059" i="1"/>
  <c r="J3060" i="1"/>
  <c r="L3060" i="1" s="1"/>
  <c r="J3061" i="1"/>
  <c r="L3061" i="1" s="1"/>
  <c r="J3062" i="1"/>
  <c r="L3062" i="1" s="1"/>
  <c r="J3063" i="1"/>
  <c r="J3064" i="1"/>
  <c r="J3065" i="1"/>
  <c r="J3066" i="1"/>
  <c r="L3066" i="1" s="1"/>
  <c r="J3067" i="1"/>
  <c r="L3067" i="1" s="1"/>
  <c r="J3068" i="1"/>
  <c r="J3069" i="1"/>
  <c r="J3070" i="1"/>
  <c r="L3070" i="1" s="1"/>
  <c r="J3071" i="1"/>
  <c r="L3071" i="1" s="1"/>
  <c r="J3072" i="1"/>
  <c r="J3073" i="1"/>
  <c r="J3074" i="1"/>
  <c r="L3074" i="1" s="1"/>
  <c r="J3075" i="1"/>
  <c r="J3076" i="1"/>
  <c r="L3076" i="1" s="1"/>
  <c r="J3077" i="1"/>
  <c r="L3077" i="1" s="1"/>
  <c r="J3078" i="1"/>
  <c r="J3079" i="1"/>
  <c r="J3080" i="1"/>
  <c r="J3081" i="1"/>
  <c r="J3082" i="1"/>
  <c r="L3082" i="1" s="1"/>
  <c r="J3083" i="1"/>
  <c r="L3083" i="1" s="1"/>
  <c r="J3084" i="1"/>
  <c r="L3084" i="1" s="1"/>
  <c r="J3085" i="1"/>
  <c r="J3086" i="1"/>
  <c r="L3086" i="1" s="1"/>
  <c r="J3087" i="1"/>
  <c r="L3087" i="1" s="1"/>
  <c r="J3088" i="1"/>
  <c r="J3089" i="1"/>
  <c r="J3090" i="1"/>
  <c r="J3091" i="1"/>
  <c r="J3092" i="1"/>
  <c r="L3092" i="1" s="1"/>
  <c r="J3093" i="1"/>
  <c r="L3093" i="1" s="1"/>
  <c r="J3094" i="1"/>
  <c r="L3094" i="1" s="1"/>
  <c r="J3095" i="1"/>
  <c r="J3096" i="1"/>
  <c r="J3097" i="1"/>
  <c r="J3098" i="1"/>
  <c r="L3098" i="1" s="1"/>
  <c r="J3099" i="1"/>
  <c r="L3099" i="1" s="1"/>
  <c r="J3100" i="1"/>
  <c r="J3101" i="1"/>
  <c r="J3102" i="1"/>
  <c r="L3102" i="1" s="1"/>
  <c r="J3103" i="1"/>
  <c r="L3103" i="1" s="1"/>
  <c r="J3104" i="1"/>
  <c r="J3105" i="1"/>
  <c r="J3106" i="1"/>
  <c r="L3106" i="1" s="1"/>
  <c r="J3107" i="1"/>
  <c r="J3108" i="1"/>
  <c r="L3108" i="1" s="1"/>
  <c r="J3109" i="1"/>
  <c r="L3109" i="1" s="1"/>
  <c r="J3110" i="1"/>
  <c r="J3111" i="1"/>
  <c r="J3112" i="1"/>
  <c r="J3113" i="1"/>
  <c r="J3114" i="1"/>
  <c r="L3114" i="1" s="1"/>
  <c r="J3115" i="1"/>
  <c r="L3115" i="1" s="1"/>
  <c r="J3116" i="1"/>
  <c r="L3116" i="1" s="1"/>
  <c r="J3117" i="1"/>
  <c r="J3118" i="1"/>
  <c r="L3118" i="1" s="1"/>
  <c r="J3119" i="1"/>
  <c r="L3119" i="1" s="1"/>
  <c r="J3120" i="1"/>
  <c r="J3121" i="1"/>
  <c r="J3122" i="1"/>
  <c r="J3123" i="1"/>
  <c r="J3124" i="1"/>
  <c r="L3124" i="1" s="1"/>
  <c r="J3125" i="1"/>
  <c r="L3125" i="1" s="1"/>
  <c r="J3126" i="1"/>
  <c r="L3126" i="1" s="1"/>
  <c r="J3127" i="1"/>
  <c r="J3128" i="1"/>
  <c r="J3129" i="1"/>
  <c r="J3130" i="1"/>
  <c r="L3130" i="1" s="1"/>
  <c r="J3131" i="1"/>
  <c r="L3131" i="1" s="1"/>
  <c r="J3132" i="1"/>
  <c r="J3133" i="1"/>
  <c r="J3134" i="1"/>
  <c r="L3134" i="1" s="1"/>
  <c r="J3135" i="1"/>
  <c r="L3135" i="1" s="1"/>
  <c r="J3136" i="1"/>
  <c r="J3137" i="1"/>
  <c r="J3138" i="1"/>
  <c r="L3138" i="1" s="1"/>
  <c r="J3139" i="1"/>
  <c r="J3140" i="1"/>
  <c r="L3140" i="1" s="1"/>
  <c r="J3141" i="1"/>
  <c r="L3141" i="1" s="1"/>
  <c r="J3142" i="1"/>
  <c r="J3143" i="1"/>
  <c r="J3144" i="1"/>
  <c r="J3145" i="1"/>
  <c r="J3146" i="1"/>
  <c r="L3146" i="1" s="1"/>
  <c r="J3147" i="1"/>
  <c r="L3147" i="1" s="1"/>
  <c r="J3148" i="1"/>
  <c r="L3148" i="1" s="1"/>
  <c r="J3149" i="1"/>
  <c r="J3150" i="1"/>
  <c r="L3150" i="1" s="1"/>
  <c r="J3151" i="1"/>
  <c r="L3151" i="1" s="1"/>
  <c r="J3152" i="1"/>
  <c r="J3153" i="1"/>
  <c r="J3154" i="1"/>
  <c r="J3155" i="1"/>
  <c r="J3156" i="1"/>
  <c r="L3156" i="1" s="1"/>
  <c r="J3157" i="1"/>
  <c r="L3157" i="1" s="1"/>
  <c r="J3158" i="1"/>
  <c r="L3158" i="1" s="1"/>
  <c r="J3159" i="1"/>
  <c r="J3160" i="1"/>
  <c r="J3161" i="1"/>
  <c r="J3162" i="1"/>
  <c r="L3162" i="1" s="1"/>
  <c r="J3163" i="1"/>
  <c r="L3163" i="1" s="1"/>
  <c r="J3164" i="1"/>
  <c r="J3165" i="1"/>
  <c r="J3166" i="1"/>
  <c r="L3166" i="1" s="1"/>
  <c r="J3167" i="1"/>
  <c r="L3167" i="1" s="1"/>
  <c r="J3168" i="1"/>
  <c r="J3169" i="1"/>
  <c r="J3170" i="1"/>
  <c r="L3170" i="1" s="1"/>
  <c r="J3171" i="1"/>
  <c r="J3172" i="1"/>
  <c r="L3172" i="1" s="1"/>
  <c r="J3173" i="1"/>
  <c r="L3173" i="1" s="1"/>
  <c r="J3174" i="1"/>
  <c r="L3174" i="1" s="1"/>
  <c r="J3175" i="1"/>
  <c r="L3175" i="1" s="1"/>
  <c r="J3176" i="1"/>
  <c r="J3177" i="1"/>
  <c r="J3178" i="1"/>
  <c r="L3178" i="1" s="1"/>
  <c r="J3179" i="1"/>
  <c r="L3179" i="1" s="1"/>
  <c r="J3180" i="1"/>
  <c r="L3180" i="1" s="1"/>
  <c r="J3181" i="1"/>
  <c r="J3182" i="1"/>
  <c r="L3182" i="1" s="1"/>
  <c r="J3183" i="1"/>
  <c r="L3183" i="1" s="1"/>
  <c r="J3184" i="1"/>
  <c r="J3185" i="1"/>
  <c r="J3186" i="1"/>
  <c r="L3186" i="1" s="1"/>
  <c r="J3187" i="1"/>
  <c r="L3187" i="1" s="1"/>
  <c r="J3188" i="1"/>
  <c r="L3188" i="1" s="1"/>
  <c r="J3189" i="1"/>
  <c r="L3189" i="1" s="1"/>
  <c r="J3190" i="1"/>
  <c r="L3190" i="1" s="1"/>
  <c r="J3191" i="1"/>
  <c r="L3191" i="1" s="1"/>
  <c r="J3192" i="1"/>
  <c r="J3193" i="1"/>
  <c r="J3194" i="1"/>
  <c r="L3194" i="1" s="1"/>
  <c r="J3195" i="1"/>
  <c r="L3195" i="1" s="1"/>
  <c r="J3196" i="1"/>
  <c r="L3196" i="1" s="1"/>
  <c r="J3197" i="1"/>
  <c r="L3197" i="1" s="1"/>
  <c r="J3198" i="1"/>
  <c r="L3198" i="1" s="1"/>
  <c r="J3199" i="1"/>
  <c r="L3199" i="1" s="1"/>
  <c r="J3200" i="1"/>
  <c r="J3201" i="1"/>
  <c r="J3202" i="1"/>
  <c r="L3202" i="1" s="1"/>
  <c r="J3203" i="1"/>
  <c r="L3203" i="1" s="1"/>
  <c r="J3204" i="1"/>
  <c r="L3204" i="1" s="1"/>
  <c r="J3205" i="1"/>
  <c r="L3205" i="1" s="1"/>
  <c r="J3206" i="1"/>
  <c r="L3206" i="1" s="1"/>
  <c r="J3207" i="1"/>
  <c r="L3207" i="1" s="1"/>
  <c r="J3208" i="1"/>
  <c r="J3209" i="1"/>
  <c r="J3210" i="1"/>
  <c r="L3210" i="1" s="1"/>
  <c r="J3211" i="1"/>
  <c r="L3211" i="1" s="1"/>
  <c r="J3212" i="1"/>
  <c r="L3212" i="1" s="1"/>
  <c r="J3213" i="1"/>
  <c r="L3213" i="1" s="1"/>
  <c r="J3214" i="1"/>
  <c r="L3214" i="1" s="1"/>
  <c r="J3215" i="1"/>
  <c r="L3215" i="1" s="1"/>
  <c r="J3216" i="1"/>
  <c r="J3217" i="1"/>
  <c r="J3218" i="1"/>
  <c r="L3218" i="1" s="1"/>
  <c r="J3219" i="1"/>
  <c r="L3219" i="1" s="1"/>
  <c r="J3220" i="1"/>
  <c r="L3220" i="1" s="1"/>
  <c r="J3221" i="1"/>
  <c r="L3221" i="1" s="1"/>
  <c r="J3222" i="1"/>
  <c r="L3222" i="1" s="1"/>
  <c r="J3223" i="1"/>
  <c r="L3223" i="1" s="1"/>
  <c r="J3224" i="1"/>
  <c r="J3225" i="1"/>
  <c r="J3226" i="1"/>
  <c r="L3226" i="1" s="1"/>
  <c r="J3227" i="1"/>
  <c r="L3227" i="1" s="1"/>
  <c r="J3228" i="1"/>
  <c r="L3228" i="1" s="1"/>
  <c r="J3229" i="1"/>
  <c r="L3229" i="1" s="1"/>
  <c r="J3230" i="1"/>
  <c r="L3230" i="1" s="1"/>
  <c r="J3231" i="1"/>
  <c r="L3231" i="1" s="1"/>
  <c r="J3232" i="1"/>
  <c r="J3233" i="1"/>
  <c r="J3234" i="1"/>
  <c r="L3234" i="1" s="1"/>
  <c r="J3235" i="1"/>
  <c r="L3235" i="1" s="1"/>
  <c r="J3236" i="1"/>
  <c r="L3236" i="1" s="1"/>
  <c r="J3237" i="1"/>
  <c r="L3237" i="1" s="1"/>
  <c r="J3238" i="1"/>
  <c r="L3238" i="1" s="1"/>
  <c r="J3239" i="1"/>
  <c r="L3239" i="1" s="1"/>
  <c r="J3240" i="1"/>
  <c r="J3241" i="1"/>
  <c r="J3242" i="1"/>
  <c r="L3242" i="1" s="1"/>
  <c r="J3243" i="1"/>
  <c r="L3243" i="1" s="1"/>
  <c r="J3244" i="1"/>
  <c r="L3244" i="1" s="1"/>
  <c r="J3245" i="1"/>
  <c r="L3245" i="1" s="1"/>
  <c r="J3246" i="1"/>
  <c r="L3246" i="1" s="1"/>
  <c r="J3247" i="1"/>
  <c r="L3247" i="1" s="1"/>
  <c r="J3248" i="1"/>
  <c r="J3249" i="1"/>
  <c r="J3250" i="1"/>
  <c r="L3250" i="1" s="1"/>
  <c r="J3251" i="1"/>
  <c r="L3251" i="1" s="1"/>
  <c r="J3252" i="1"/>
  <c r="L3252" i="1" s="1"/>
  <c r="J3253" i="1"/>
  <c r="L3253" i="1" s="1"/>
  <c r="J3254" i="1"/>
  <c r="L3254" i="1" s="1"/>
  <c r="J3255" i="1"/>
  <c r="L3255" i="1" s="1"/>
  <c r="J3256" i="1"/>
  <c r="J3257" i="1"/>
  <c r="J3258" i="1"/>
  <c r="L3258" i="1" s="1"/>
  <c r="J3259" i="1"/>
  <c r="L3259" i="1" s="1"/>
  <c r="J3260" i="1"/>
  <c r="L3260" i="1" s="1"/>
  <c r="J3261" i="1"/>
  <c r="L3261" i="1" s="1"/>
  <c r="J3262" i="1"/>
  <c r="L3262" i="1" s="1"/>
  <c r="J3263" i="1"/>
  <c r="L3263" i="1" s="1"/>
  <c r="J3264" i="1"/>
  <c r="J3265" i="1"/>
  <c r="J3266" i="1"/>
  <c r="L3266" i="1" s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J3273" i="1"/>
  <c r="J3274" i="1"/>
  <c r="L3274" i="1" s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J3281" i="1"/>
  <c r="J3282" i="1"/>
  <c r="L3282" i="1" s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J3289" i="1"/>
  <c r="J3290" i="1"/>
  <c r="L3290" i="1" s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J3297" i="1"/>
  <c r="J3298" i="1"/>
  <c r="L3298" i="1" s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J3305" i="1"/>
  <c r="J3306" i="1"/>
  <c r="L3306" i="1" s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J3313" i="1"/>
  <c r="J3314" i="1"/>
  <c r="L3314" i="1" s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J3321" i="1"/>
  <c r="J3322" i="1"/>
  <c r="L3322" i="1" s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J3329" i="1"/>
  <c r="J3330" i="1"/>
  <c r="L3330" i="1" s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J3337" i="1"/>
  <c r="J3338" i="1"/>
  <c r="L3338" i="1" s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J3345" i="1"/>
  <c r="J3346" i="1"/>
  <c r="L3346" i="1" s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J3353" i="1"/>
  <c r="J3354" i="1"/>
  <c r="L3354" i="1" s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J3361" i="1"/>
  <c r="J3362" i="1"/>
  <c r="L3362" i="1" s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J3369" i="1"/>
  <c r="J3370" i="1"/>
  <c r="L3370" i="1" s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J3377" i="1"/>
  <c r="J3378" i="1"/>
  <c r="L3378" i="1" s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J3385" i="1"/>
  <c r="J3386" i="1"/>
  <c r="L3386" i="1" s="1"/>
  <c r="J3387" i="1"/>
  <c r="L3387" i="1" s="1"/>
  <c r="J3388" i="1"/>
  <c r="L3388" i="1" s="1"/>
  <c r="J3389" i="1"/>
  <c r="L3389" i="1" s="1"/>
  <c r="J3390" i="1"/>
  <c r="L3390" i="1" s="1"/>
  <c r="J3391" i="1"/>
  <c r="L3391" i="1" s="1"/>
  <c r="J3392" i="1"/>
  <c r="J3393" i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L3399" i="1" s="1"/>
  <c r="J3400" i="1"/>
  <c r="J3401" i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L3407" i="1" s="1"/>
  <c r="J3408" i="1"/>
  <c r="J3409" i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L3415" i="1" s="1"/>
  <c r="J3416" i="1"/>
  <c r="J3417" i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L3423" i="1" s="1"/>
  <c r="J3424" i="1"/>
  <c r="J3425" i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L3431" i="1" s="1"/>
  <c r="J3432" i="1"/>
  <c r="J3433" i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L3439" i="1" s="1"/>
  <c r="J3440" i="1"/>
  <c r="J3441" i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L3447" i="1" s="1"/>
  <c r="J3448" i="1"/>
  <c r="J3449" i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L3455" i="1" s="1"/>
  <c r="J3456" i="1"/>
  <c r="J3457" i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L3463" i="1" s="1"/>
  <c r="J3464" i="1"/>
  <c r="J3465" i="1"/>
  <c r="J3466" i="1"/>
  <c r="L3466" i="1" s="1"/>
  <c r="J3467" i="1"/>
  <c r="L3467" i="1" s="1"/>
  <c r="J3468" i="1"/>
  <c r="L3468" i="1" s="1"/>
  <c r="J3469" i="1"/>
  <c r="L3469" i="1" s="1"/>
  <c r="J3470" i="1"/>
  <c r="L3470" i="1" s="1"/>
  <c r="J3471" i="1"/>
  <c r="L3471" i="1" s="1"/>
  <c r="J3472" i="1"/>
  <c r="K3472" i="1" s="1"/>
  <c r="J3473" i="1"/>
  <c r="K3473" i="1" s="1"/>
  <c r="J3474" i="1"/>
  <c r="L3474" i="1" s="1"/>
  <c r="J3475" i="1"/>
  <c r="L3475" i="1" s="1"/>
  <c r="J3476" i="1"/>
  <c r="L3476" i="1" s="1"/>
  <c r="J3477" i="1"/>
  <c r="L3477" i="1" s="1"/>
  <c r="J3478" i="1"/>
  <c r="L3478" i="1" s="1"/>
  <c r="J3479" i="1"/>
  <c r="L3479" i="1" s="1"/>
  <c r="J3480" i="1"/>
  <c r="J3481" i="1"/>
  <c r="J3482" i="1"/>
  <c r="L3482" i="1" s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J3489" i="1"/>
  <c r="J3490" i="1"/>
  <c r="L3490" i="1" s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J3497" i="1"/>
  <c r="J3498" i="1"/>
  <c r="L3498" i="1" s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J3505" i="1"/>
  <c r="J3506" i="1"/>
  <c r="L3506" i="1" s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J3513" i="1"/>
  <c r="J3514" i="1"/>
  <c r="L3514" i="1" s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J3521" i="1"/>
  <c r="J3522" i="1"/>
  <c r="L3522" i="1" s="1"/>
  <c r="J3523" i="1"/>
  <c r="L3523" i="1" s="1"/>
  <c r="J3524" i="1"/>
  <c r="L3524" i="1" s="1"/>
  <c r="J3525" i="1"/>
  <c r="L3525" i="1" s="1"/>
  <c r="J3526" i="1"/>
  <c r="L3526" i="1" s="1"/>
  <c r="J3527" i="1"/>
  <c r="L3527" i="1" s="1"/>
  <c r="J3528" i="1"/>
  <c r="J3529" i="1"/>
  <c r="J3530" i="1"/>
  <c r="L3530" i="1" s="1"/>
  <c r="J3531" i="1"/>
  <c r="L3531" i="1" s="1"/>
  <c r="J3532" i="1"/>
  <c r="L3532" i="1" s="1"/>
  <c r="J3533" i="1"/>
  <c r="L3533" i="1" s="1"/>
  <c r="J3534" i="1"/>
  <c r="L3534" i="1" s="1"/>
  <c r="J3535" i="1"/>
  <c r="L3535" i="1" s="1"/>
  <c r="J3536" i="1"/>
  <c r="J3537" i="1"/>
  <c r="J3538" i="1"/>
  <c r="L3538" i="1" s="1"/>
  <c r="J3539" i="1"/>
  <c r="L3539" i="1" s="1"/>
  <c r="J3540" i="1"/>
  <c r="L3540" i="1" s="1"/>
  <c r="J3541" i="1"/>
  <c r="L3541" i="1" s="1"/>
  <c r="J3542" i="1"/>
  <c r="L3542" i="1" s="1"/>
  <c r="J3543" i="1"/>
  <c r="L3543" i="1" s="1"/>
  <c r="J3544" i="1"/>
  <c r="J3545" i="1"/>
  <c r="J3546" i="1"/>
  <c r="L3546" i="1" s="1"/>
  <c r="J3547" i="1"/>
  <c r="L3547" i="1" s="1"/>
  <c r="J3548" i="1"/>
  <c r="L3548" i="1" s="1"/>
  <c r="J3549" i="1"/>
  <c r="L3549" i="1" s="1"/>
  <c r="J3550" i="1"/>
  <c r="L3550" i="1" s="1"/>
  <c r="J3551" i="1"/>
  <c r="L3551" i="1" s="1"/>
  <c r="J3552" i="1"/>
  <c r="J3553" i="1"/>
  <c r="J3554" i="1"/>
  <c r="L3554" i="1" s="1"/>
  <c r="J3555" i="1"/>
  <c r="L3555" i="1" s="1"/>
  <c r="J3556" i="1"/>
  <c r="L3556" i="1" s="1"/>
  <c r="J3557" i="1"/>
  <c r="L3557" i="1" s="1"/>
  <c r="J3558" i="1"/>
  <c r="L3558" i="1" s="1"/>
  <c r="J3559" i="1"/>
  <c r="L3559" i="1" s="1"/>
  <c r="J3560" i="1"/>
  <c r="J3561" i="1"/>
  <c r="J3562" i="1"/>
  <c r="L3562" i="1" s="1"/>
  <c r="J3563" i="1"/>
  <c r="L3563" i="1" s="1"/>
  <c r="J3564" i="1"/>
  <c r="L3564" i="1" s="1"/>
  <c r="J3565" i="1"/>
  <c r="L3565" i="1" s="1"/>
  <c r="J3566" i="1"/>
  <c r="L3566" i="1" s="1"/>
  <c r="J3567" i="1"/>
  <c r="L3567" i="1" s="1"/>
  <c r="J3568" i="1"/>
  <c r="J3569" i="1"/>
  <c r="J3570" i="1"/>
  <c r="L3570" i="1" s="1"/>
  <c r="J3571" i="1"/>
  <c r="L3571" i="1" s="1"/>
  <c r="J3572" i="1"/>
  <c r="L3572" i="1" s="1"/>
  <c r="J3573" i="1"/>
  <c r="L3573" i="1" s="1"/>
  <c r="J3574" i="1"/>
  <c r="L3574" i="1" s="1"/>
  <c r="J3575" i="1"/>
  <c r="L3575" i="1" s="1"/>
  <c r="J3576" i="1"/>
  <c r="J3577" i="1"/>
  <c r="J3578" i="1"/>
  <c r="L3578" i="1" s="1"/>
  <c r="J3579" i="1"/>
  <c r="L3579" i="1" s="1"/>
  <c r="J3580" i="1"/>
  <c r="L3580" i="1" s="1"/>
  <c r="J3581" i="1"/>
  <c r="L3581" i="1" s="1"/>
  <c r="J3582" i="1"/>
  <c r="L3582" i="1" s="1"/>
  <c r="J3583" i="1"/>
  <c r="L3583" i="1" s="1"/>
  <c r="J3584" i="1"/>
  <c r="J3585" i="1"/>
  <c r="J3586" i="1"/>
  <c r="L3586" i="1" s="1"/>
  <c r="J3587" i="1"/>
  <c r="L3587" i="1" s="1"/>
  <c r="J3588" i="1"/>
  <c r="L3588" i="1" s="1"/>
  <c r="J3589" i="1"/>
  <c r="L3589" i="1" s="1"/>
  <c r="J3590" i="1"/>
  <c r="L3590" i="1" s="1"/>
  <c r="J3591" i="1"/>
  <c r="L3591" i="1" s="1"/>
  <c r="J3592" i="1"/>
  <c r="J3593" i="1"/>
  <c r="J3594" i="1"/>
  <c r="L3594" i="1" s="1"/>
  <c r="J3595" i="1"/>
  <c r="L3595" i="1" s="1"/>
  <c r="J3596" i="1"/>
  <c r="L3596" i="1" s="1"/>
  <c r="J3597" i="1"/>
  <c r="L3597" i="1" s="1"/>
  <c r="J3598" i="1"/>
  <c r="L3598" i="1" s="1"/>
  <c r="J3599" i="1"/>
  <c r="L3599" i="1" s="1"/>
  <c r="J3600" i="1"/>
  <c r="J3601" i="1"/>
  <c r="J3602" i="1"/>
  <c r="L3602" i="1" s="1"/>
  <c r="J3603" i="1"/>
  <c r="L3603" i="1" s="1"/>
  <c r="J3604" i="1"/>
  <c r="L3604" i="1" s="1"/>
  <c r="J3605" i="1"/>
  <c r="L3605" i="1" s="1"/>
  <c r="J3606" i="1"/>
  <c r="L3606" i="1" s="1"/>
  <c r="J3607" i="1"/>
  <c r="L3607" i="1" s="1"/>
  <c r="J3608" i="1"/>
  <c r="J3609" i="1"/>
  <c r="J3610" i="1"/>
  <c r="L3610" i="1" s="1"/>
  <c r="J3611" i="1"/>
  <c r="L3611" i="1" s="1"/>
  <c r="J3612" i="1"/>
  <c r="L3612" i="1" s="1"/>
  <c r="J3613" i="1"/>
  <c r="L3613" i="1" s="1"/>
  <c r="J3614" i="1"/>
  <c r="L3614" i="1" s="1"/>
  <c r="J3615" i="1"/>
  <c r="L3615" i="1" s="1"/>
  <c r="J3616" i="1"/>
  <c r="J3617" i="1"/>
  <c r="J3618" i="1"/>
  <c r="L3618" i="1" s="1"/>
  <c r="J3619" i="1"/>
  <c r="L3619" i="1" s="1"/>
  <c r="J3620" i="1"/>
  <c r="L3620" i="1" s="1"/>
  <c r="J3621" i="1"/>
  <c r="L3621" i="1" s="1"/>
  <c r="J3622" i="1"/>
  <c r="L3622" i="1" s="1"/>
  <c r="J3623" i="1"/>
  <c r="L3623" i="1" s="1"/>
  <c r="J3624" i="1"/>
  <c r="J3625" i="1"/>
  <c r="J3626" i="1"/>
  <c r="L3626" i="1" s="1"/>
  <c r="J3627" i="1"/>
  <c r="L3627" i="1" s="1"/>
  <c r="J3628" i="1"/>
  <c r="L3628" i="1" s="1"/>
  <c r="J3629" i="1"/>
  <c r="L3629" i="1" s="1"/>
  <c r="J3630" i="1"/>
  <c r="L3630" i="1" s="1"/>
  <c r="J3631" i="1"/>
  <c r="L3631" i="1" s="1"/>
  <c r="J3632" i="1"/>
  <c r="J3633" i="1"/>
  <c r="J3634" i="1"/>
  <c r="L3634" i="1" s="1"/>
  <c r="J3635" i="1"/>
  <c r="L3635" i="1" s="1"/>
  <c r="J3636" i="1"/>
  <c r="L3636" i="1" s="1"/>
  <c r="J3637" i="1"/>
  <c r="L3637" i="1" s="1"/>
  <c r="J3638" i="1"/>
  <c r="L3638" i="1" s="1"/>
  <c r="J3639" i="1"/>
  <c r="L3639" i="1" s="1"/>
  <c r="J3640" i="1"/>
  <c r="J3641" i="1"/>
  <c r="J3642" i="1"/>
  <c r="L3642" i="1" s="1"/>
  <c r="J3643" i="1"/>
  <c r="L3643" i="1" s="1"/>
  <c r="J3644" i="1"/>
  <c r="L3644" i="1" s="1"/>
  <c r="J3645" i="1"/>
  <c r="L3645" i="1" s="1"/>
  <c r="J3646" i="1"/>
  <c r="L3646" i="1" s="1"/>
  <c r="J3647" i="1"/>
  <c r="L3647" i="1" s="1"/>
  <c r="J3648" i="1"/>
  <c r="J3649" i="1"/>
  <c r="J3650" i="1"/>
  <c r="L3650" i="1" s="1"/>
  <c r="J3651" i="1"/>
  <c r="L3651" i="1" s="1"/>
  <c r="J3652" i="1"/>
  <c r="L3652" i="1" s="1"/>
  <c r="J3653" i="1"/>
  <c r="L3653" i="1" s="1"/>
  <c r="J3654" i="1"/>
  <c r="L3654" i="1" s="1"/>
  <c r="J3655" i="1"/>
  <c r="L3655" i="1" s="1"/>
  <c r="J3656" i="1"/>
  <c r="J3657" i="1"/>
  <c r="J3658" i="1"/>
  <c r="L3658" i="1" s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J3665" i="1"/>
  <c r="J3666" i="1"/>
  <c r="L3666" i="1" s="1"/>
  <c r="J3667" i="1"/>
  <c r="L3667" i="1" s="1"/>
  <c r="J3668" i="1"/>
  <c r="L3668" i="1" s="1"/>
  <c r="J3669" i="1"/>
  <c r="L3669" i="1" s="1"/>
  <c r="J3670" i="1"/>
  <c r="L3670" i="1" s="1"/>
  <c r="J3671" i="1"/>
  <c r="L3671" i="1" s="1"/>
  <c r="J3672" i="1"/>
  <c r="J3673" i="1"/>
  <c r="J3674" i="1"/>
  <c r="L3674" i="1" s="1"/>
  <c r="J3675" i="1"/>
  <c r="L3675" i="1" s="1"/>
  <c r="J3676" i="1"/>
  <c r="L3676" i="1" s="1"/>
  <c r="J3677" i="1"/>
  <c r="L3677" i="1" s="1"/>
  <c r="J3678" i="1"/>
  <c r="L3678" i="1" s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L3685" i="1" s="1"/>
  <c r="J3686" i="1"/>
  <c r="L3686" i="1" s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3715" i="1"/>
  <c r="L3715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723" i="1"/>
  <c r="L3723" i="1" s="1"/>
  <c r="J3724" i="1"/>
  <c r="L3724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2" i="1"/>
  <c r="L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2" i="1"/>
  <c r="B59" i="31"/>
  <c r="B60" i="31"/>
  <c r="K2430" i="1" l="1"/>
  <c r="K2414" i="1"/>
  <c r="K3743" i="1"/>
  <c r="K3696" i="1"/>
  <c r="K3583" i="1"/>
  <c r="K3423" i="1"/>
  <c r="K3295" i="1"/>
  <c r="K3062" i="1"/>
  <c r="K2735" i="1"/>
  <c r="K2479" i="1"/>
  <c r="K2207" i="1"/>
  <c r="K1342" i="1"/>
  <c r="K3736" i="1"/>
  <c r="K3695" i="1"/>
  <c r="K3574" i="1"/>
  <c r="K3414" i="1"/>
  <c r="K3266" i="1"/>
  <c r="K2975" i="1"/>
  <c r="K2719" i="1"/>
  <c r="K2447" i="1"/>
  <c r="K864" i="1"/>
  <c r="K3735" i="1"/>
  <c r="K3679" i="1"/>
  <c r="K3551" i="1"/>
  <c r="K3391" i="1"/>
  <c r="K3263" i="1"/>
  <c r="K2959" i="1"/>
  <c r="K2703" i="1"/>
  <c r="K2446" i="1"/>
  <c r="K1882" i="1"/>
  <c r="K686" i="1"/>
  <c r="K3728" i="1"/>
  <c r="K3670" i="1"/>
  <c r="K3522" i="1"/>
  <c r="K3371" i="1"/>
  <c r="K3254" i="1"/>
  <c r="K2958" i="1"/>
  <c r="K2702" i="1"/>
  <c r="K2431" i="1"/>
  <c r="K3727" i="1"/>
  <c r="K3647" i="1"/>
  <c r="K3519" i="1"/>
  <c r="K3359" i="1"/>
  <c r="K3212" i="1"/>
  <c r="K2943" i="1"/>
  <c r="K2687" i="1"/>
  <c r="K448" i="1"/>
  <c r="K3711" i="1"/>
  <c r="K3627" i="1"/>
  <c r="K3510" i="1"/>
  <c r="K3350" i="1"/>
  <c r="K3199" i="1"/>
  <c r="K2892" i="1"/>
  <c r="K2686" i="1"/>
  <c r="K1759" i="1"/>
  <c r="K3760" i="1"/>
  <c r="K3704" i="1"/>
  <c r="K3615" i="1"/>
  <c r="K3468" i="1"/>
  <c r="K3327" i="1"/>
  <c r="K3163" i="1"/>
  <c r="K2826" i="1"/>
  <c r="K2635" i="1"/>
  <c r="K2363" i="1"/>
  <c r="K3759" i="1"/>
  <c r="K3703" i="1"/>
  <c r="K3606" i="1"/>
  <c r="K3455" i="1"/>
  <c r="K3318" i="1"/>
  <c r="K3094" i="1"/>
  <c r="K2806" i="1"/>
  <c r="K2550" i="1"/>
  <c r="K2244" i="1"/>
  <c r="K1425" i="1"/>
  <c r="K3618" i="1"/>
  <c r="K3564" i="1"/>
  <c r="K3467" i="1"/>
  <c r="K3362" i="1"/>
  <c r="K3308" i="1"/>
  <c r="K3211" i="1"/>
  <c r="K3148" i="1"/>
  <c r="K3082" i="1"/>
  <c r="K2891" i="1"/>
  <c r="K2619" i="1"/>
  <c r="K2500" i="1"/>
  <c r="K2362" i="1"/>
  <c r="K2242" i="1"/>
  <c r="K1426" i="1"/>
  <c r="K3660" i="1"/>
  <c r="K3563" i="1"/>
  <c r="K3458" i="1"/>
  <c r="K3404" i="1"/>
  <c r="K3307" i="1"/>
  <c r="K3202" i="1"/>
  <c r="K3147" i="1"/>
  <c r="K2875" i="1"/>
  <c r="K2756" i="1"/>
  <c r="K2618" i="1"/>
  <c r="K2498" i="1"/>
  <c r="K2347" i="1"/>
  <c r="K1834" i="1"/>
  <c r="K2346" i="1"/>
  <c r="K3650" i="1"/>
  <c r="K3596" i="1"/>
  <c r="K3499" i="1"/>
  <c r="K3446" i="1"/>
  <c r="K3394" i="1"/>
  <c r="K3340" i="1"/>
  <c r="K3243" i="1"/>
  <c r="K3190" i="1"/>
  <c r="K3130" i="1"/>
  <c r="K3010" i="1"/>
  <c r="K2942" i="1"/>
  <c r="K2859" i="1"/>
  <c r="K2740" i="1"/>
  <c r="K2670" i="1"/>
  <c r="K2602" i="1"/>
  <c r="K2398" i="1"/>
  <c r="K2330" i="1"/>
  <c r="K2123" i="1"/>
  <c r="K1760" i="1"/>
  <c r="K1218" i="1"/>
  <c r="K424" i="1"/>
  <c r="K3500" i="1"/>
  <c r="K3131" i="1"/>
  <c r="K3012" i="1"/>
  <c r="K2874" i="1"/>
  <c r="K2603" i="1"/>
  <c r="K2484" i="1"/>
  <c r="K3752" i="1"/>
  <c r="K3720" i="1"/>
  <c r="K3688" i="1"/>
  <c r="K3595" i="1"/>
  <c r="K3542" i="1"/>
  <c r="K3490" i="1"/>
  <c r="K3436" i="1"/>
  <c r="K3339" i="1"/>
  <c r="K3286" i="1"/>
  <c r="K3234" i="1"/>
  <c r="K3179" i="1"/>
  <c r="K3115" i="1"/>
  <c r="K2996" i="1"/>
  <c r="K2926" i="1"/>
  <c r="K2858" i="1"/>
  <c r="K2654" i="1"/>
  <c r="K2586" i="1"/>
  <c r="K2466" i="1"/>
  <c r="K2395" i="1"/>
  <c r="K2326" i="1"/>
  <c r="K2122" i="1"/>
  <c r="K1217" i="1"/>
  <c r="K3659" i="1"/>
  <c r="K3554" i="1"/>
  <c r="K3403" i="1"/>
  <c r="K3298" i="1"/>
  <c r="K3244" i="1"/>
  <c r="K2754" i="1"/>
  <c r="K3751" i="1"/>
  <c r="K3719" i="1"/>
  <c r="K3687" i="1"/>
  <c r="K3638" i="1"/>
  <c r="K3586" i="1"/>
  <c r="K3532" i="1"/>
  <c r="K3487" i="1"/>
  <c r="K3435" i="1"/>
  <c r="K3382" i="1"/>
  <c r="K3330" i="1"/>
  <c r="K3276" i="1"/>
  <c r="K3231" i="1"/>
  <c r="K3178" i="1"/>
  <c r="K3114" i="1"/>
  <c r="K2991" i="1"/>
  <c r="K2910" i="1"/>
  <c r="K2842" i="1"/>
  <c r="K2722" i="1"/>
  <c r="K2651" i="1"/>
  <c r="K2582" i="1"/>
  <c r="K2463" i="1"/>
  <c r="K2380" i="1"/>
  <c r="K2314" i="1"/>
  <c r="K1930" i="1"/>
  <c r="K1593" i="1"/>
  <c r="K1047" i="1"/>
  <c r="K3744" i="1"/>
  <c r="K3712" i="1"/>
  <c r="K3680" i="1"/>
  <c r="K3628" i="1"/>
  <c r="K3531" i="1"/>
  <c r="K3478" i="1"/>
  <c r="K3426" i="1"/>
  <c r="K3372" i="1"/>
  <c r="K3275" i="1"/>
  <c r="K3222" i="1"/>
  <c r="K3166" i="1"/>
  <c r="K3098" i="1"/>
  <c r="K2978" i="1"/>
  <c r="K2907" i="1"/>
  <c r="K2838" i="1"/>
  <c r="K2636" i="1"/>
  <c r="K2570" i="1"/>
  <c r="K2379" i="1"/>
  <c r="K2294" i="1"/>
  <c r="K1929" i="1"/>
  <c r="K1592" i="1"/>
  <c r="K866" i="1"/>
  <c r="L3181" i="1"/>
  <c r="K3181" i="1"/>
  <c r="L3165" i="1"/>
  <c r="K3165" i="1"/>
  <c r="L3117" i="1"/>
  <c r="K3117" i="1"/>
  <c r="L3021" i="1"/>
  <c r="K3021" i="1"/>
  <c r="L2941" i="1"/>
  <c r="K2941" i="1"/>
  <c r="L2909" i="1"/>
  <c r="K2909" i="1"/>
  <c r="L2605" i="1"/>
  <c r="K2605" i="1"/>
  <c r="L2429" i="1"/>
  <c r="K2429" i="1"/>
  <c r="L2301" i="1"/>
  <c r="K2301" i="1"/>
  <c r="L2221" i="1"/>
  <c r="K2221" i="1"/>
  <c r="L2181" i="1"/>
  <c r="K2181" i="1"/>
  <c r="L2141" i="1"/>
  <c r="K2141" i="1"/>
  <c r="L2125" i="1"/>
  <c r="K2125" i="1"/>
  <c r="L2093" i="1"/>
  <c r="K2093" i="1"/>
  <c r="L2061" i="1"/>
  <c r="K2061" i="1"/>
  <c r="L1989" i="1"/>
  <c r="K1989" i="1"/>
  <c r="L1837" i="1"/>
  <c r="K1837" i="1"/>
  <c r="L1789" i="1"/>
  <c r="K1789" i="1"/>
  <c r="L1741" i="1"/>
  <c r="K1741" i="1"/>
  <c r="L1685" i="1"/>
  <c r="K1685" i="1"/>
  <c r="L1533" i="1"/>
  <c r="K1533" i="1"/>
  <c r="L1477" i="1"/>
  <c r="K1477" i="1"/>
  <c r="L1453" i="1"/>
  <c r="K1453" i="1"/>
  <c r="L1413" i="1"/>
  <c r="K1413" i="1"/>
  <c r="L1357" i="1"/>
  <c r="K1357" i="1"/>
  <c r="L1317" i="1"/>
  <c r="K1317" i="1"/>
  <c r="L1229" i="1"/>
  <c r="K1229" i="1"/>
  <c r="L1165" i="1"/>
  <c r="K1165" i="1"/>
  <c r="L1109" i="1"/>
  <c r="K1109" i="1"/>
  <c r="L1053" i="1"/>
  <c r="K1053" i="1"/>
  <c r="L1005" i="1"/>
  <c r="K1005" i="1"/>
  <c r="L981" i="1"/>
  <c r="K981" i="1"/>
  <c r="L933" i="1"/>
  <c r="K933" i="1"/>
  <c r="L869" i="1"/>
  <c r="K869" i="1"/>
  <c r="L717" i="1"/>
  <c r="K717" i="1"/>
  <c r="L613" i="1"/>
  <c r="K613" i="1"/>
  <c r="L565" i="1"/>
  <c r="K565" i="1"/>
  <c r="L493" i="1"/>
  <c r="K493" i="1"/>
  <c r="L445" i="1"/>
  <c r="K445" i="1"/>
  <c r="L405" i="1"/>
  <c r="K405" i="1"/>
  <c r="L365" i="1"/>
  <c r="K365" i="1"/>
  <c r="L309" i="1"/>
  <c r="K309" i="1"/>
  <c r="L253" i="1"/>
  <c r="K253" i="1"/>
  <c r="L229" i="1"/>
  <c r="K229" i="1"/>
  <c r="L173" i="1"/>
  <c r="K173" i="1"/>
  <c r="L141" i="1"/>
  <c r="K141" i="1"/>
  <c r="L109" i="1"/>
  <c r="K109" i="1"/>
  <c r="L61" i="1"/>
  <c r="K61" i="1"/>
  <c r="L37" i="1"/>
  <c r="K37" i="1"/>
  <c r="K3045" i="1"/>
  <c r="K2533" i="1"/>
  <c r="K2517" i="1"/>
  <c r="K2261" i="1"/>
  <c r="K2077" i="1"/>
  <c r="K1981" i="1"/>
  <c r="L3053" i="1"/>
  <c r="K3053" i="1"/>
  <c r="L3005" i="1"/>
  <c r="K3005" i="1"/>
  <c r="L2829" i="1"/>
  <c r="K2829" i="1"/>
  <c r="L2733" i="1"/>
  <c r="K2733" i="1"/>
  <c r="L2669" i="1"/>
  <c r="K2669" i="1"/>
  <c r="L2445" i="1"/>
  <c r="K2445" i="1"/>
  <c r="L2413" i="1"/>
  <c r="K2413" i="1"/>
  <c r="L2317" i="1"/>
  <c r="K2317" i="1"/>
  <c r="L2205" i="1"/>
  <c r="K2205" i="1"/>
  <c r="L2173" i="1"/>
  <c r="K2173" i="1"/>
  <c r="L2117" i="1"/>
  <c r="K2117" i="1"/>
  <c r="L1797" i="1"/>
  <c r="K1797" i="1"/>
  <c r="L1749" i="1"/>
  <c r="K1749" i="1"/>
  <c r="L1717" i="1"/>
  <c r="K1717" i="1"/>
  <c r="L1669" i="1"/>
  <c r="K1669" i="1"/>
  <c r="L1621" i="1"/>
  <c r="K1621" i="1"/>
  <c r="L1581" i="1"/>
  <c r="K1581" i="1"/>
  <c r="L1517" i="1"/>
  <c r="K1517" i="1"/>
  <c r="L1469" i="1"/>
  <c r="K1469" i="1"/>
  <c r="L1421" i="1"/>
  <c r="K1421" i="1"/>
  <c r="L1365" i="1"/>
  <c r="K1365" i="1"/>
  <c r="L1309" i="1"/>
  <c r="K1309" i="1"/>
  <c r="L1253" i="1"/>
  <c r="K1253" i="1"/>
  <c r="L1197" i="1"/>
  <c r="K1197" i="1"/>
  <c r="L1141" i="1"/>
  <c r="K1141" i="1"/>
  <c r="L1085" i="1"/>
  <c r="K1085" i="1"/>
  <c r="L1037" i="1"/>
  <c r="K1037" i="1"/>
  <c r="L989" i="1"/>
  <c r="K989" i="1"/>
  <c r="L941" i="1"/>
  <c r="K941" i="1"/>
  <c r="L861" i="1"/>
  <c r="K861" i="1"/>
  <c r="L829" i="1"/>
  <c r="K829" i="1"/>
  <c r="L797" i="1"/>
  <c r="K797" i="1"/>
  <c r="L741" i="1"/>
  <c r="K741" i="1"/>
  <c r="L701" i="1"/>
  <c r="K701" i="1"/>
  <c r="L661" i="1"/>
  <c r="K661" i="1"/>
  <c r="L645" i="1"/>
  <c r="K645" i="1"/>
  <c r="L605" i="1"/>
  <c r="K605" i="1"/>
  <c r="L549" i="1"/>
  <c r="K549" i="1"/>
  <c r="L477" i="1"/>
  <c r="K477" i="1"/>
  <c r="L413" i="1"/>
  <c r="K413" i="1"/>
  <c r="L349" i="1"/>
  <c r="K349" i="1"/>
  <c r="L293" i="1"/>
  <c r="K293" i="1"/>
  <c r="L245" i="1"/>
  <c r="K245" i="1"/>
  <c r="L197" i="1"/>
  <c r="K197" i="1"/>
  <c r="L165" i="1"/>
  <c r="K165" i="1"/>
  <c r="L117" i="1"/>
  <c r="K117" i="1"/>
  <c r="L69" i="1"/>
  <c r="K69" i="1"/>
  <c r="L21" i="1"/>
  <c r="K21" i="1"/>
  <c r="K2789" i="1"/>
  <c r="K2773" i="1"/>
  <c r="K2029" i="1"/>
  <c r="L3036" i="1"/>
  <c r="K3036" i="1"/>
  <c r="L2908" i="1"/>
  <c r="K2908" i="1"/>
  <c r="L2748" i="1"/>
  <c r="K2748" i="1"/>
  <c r="L2684" i="1"/>
  <c r="K2684" i="1"/>
  <c r="L2620" i="1"/>
  <c r="K2620" i="1"/>
  <c r="L2172" i="1"/>
  <c r="K2172" i="1"/>
  <c r="L2156" i="1"/>
  <c r="K2156" i="1"/>
  <c r="L2124" i="1"/>
  <c r="K2124" i="1"/>
  <c r="L2092" i="1"/>
  <c r="K2092" i="1"/>
  <c r="L2044" i="1"/>
  <c r="K2044" i="1"/>
  <c r="L1924" i="1"/>
  <c r="K1924" i="1"/>
  <c r="L1868" i="1"/>
  <c r="K1868" i="1"/>
  <c r="L1828" i="1"/>
  <c r="K1828" i="1"/>
  <c r="L1780" i="1"/>
  <c r="K1780" i="1"/>
  <c r="L1748" i="1"/>
  <c r="K1748" i="1"/>
  <c r="L1700" i="1"/>
  <c r="K1700" i="1"/>
  <c r="L1660" i="1"/>
  <c r="K1660" i="1"/>
  <c r="L1628" i="1"/>
  <c r="K1628" i="1"/>
  <c r="L1596" i="1"/>
  <c r="K1596" i="1"/>
  <c r="L1548" i="1"/>
  <c r="K1548" i="1"/>
  <c r="L1508" i="1"/>
  <c r="K1508" i="1"/>
  <c r="L1476" i="1"/>
  <c r="K1476" i="1"/>
  <c r="L1444" i="1"/>
  <c r="K1444" i="1"/>
  <c r="L1276" i="1"/>
  <c r="K1276" i="1"/>
  <c r="L1228" i="1"/>
  <c r="K1228" i="1"/>
  <c r="L1196" i="1"/>
  <c r="K1196" i="1"/>
  <c r="L1172" i="1"/>
  <c r="K1172" i="1"/>
  <c r="L1132" i="1"/>
  <c r="K1132" i="1"/>
  <c r="L1108" i="1"/>
  <c r="K1108" i="1"/>
  <c r="L1060" i="1"/>
  <c r="K1060" i="1"/>
  <c r="L1012" i="1"/>
  <c r="K1012" i="1"/>
  <c r="L964" i="1"/>
  <c r="K964" i="1"/>
  <c r="L924" i="1"/>
  <c r="K924" i="1"/>
  <c r="L892" i="1"/>
  <c r="K892" i="1"/>
  <c r="L860" i="1"/>
  <c r="K860" i="1"/>
  <c r="L836" i="1"/>
  <c r="K836" i="1"/>
  <c r="L820" i="1"/>
  <c r="K820" i="1"/>
  <c r="L812" i="1"/>
  <c r="K812" i="1"/>
  <c r="L780" i="1"/>
  <c r="K780" i="1"/>
  <c r="L764" i="1"/>
  <c r="K764" i="1"/>
  <c r="L756" i="1"/>
  <c r="K756" i="1"/>
  <c r="L748" i="1"/>
  <c r="K748" i="1"/>
  <c r="L740" i="1"/>
  <c r="K740" i="1"/>
  <c r="L724" i="1"/>
  <c r="K724" i="1"/>
  <c r="L700" i="1"/>
  <c r="K700" i="1"/>
  <c r="L684" i="1"/>
  <c r="K684" i="1"/>
  <c r="L660" i="1"/>
  <c r="K660" i="1"/>
  <c r="L644" i="1"/>
  <c r="K644" i="1"/>
  <c r="L628" i="1"/>
  <c r="K628" i="1"/>
  <c r="L588" i="1"/>
  <c r="K588" i="1"/>
  <c r="L572" i="1"/>
  <c r="K572" i="1"/>
  <c r="L556" i="1"/>
  <c r="K556" i="1"/>
  <c r="L540" i="1"/>
  <c r="K540" i="1"/>
  <c r="L516" i="1"/>
  <c r="K516" i="1"/>
  <c r="L500" i="1"/>
  <c r="K500" i="1"/>
  <c r="L484" i="1"/>
  <c r="K484" i="1"/>
  <c r="L460" i="1"/>
  <c r="K460" i="1"/>
  <c r="L444" i="1"/>
  <c r="K444" i="1"/>
  <c r="L428" i="1"/>
  <c r="K428" i="1"/>
  <c r="L404" i="1"/>
  <c r="K404" i="1"/>
  <c r="L388" i="1"/>
  <c r="K388" i="1"/>
  <c r="L372" i="1"/>
  <c r="K372" i="1"/>
  <c r="L356" i="1"/>
  <c r="K356" i="1"/>
  <c r="L340" i="1"/>
  <c r="K340" i="1"/>
  <c r="L316" i="1"/>
  <c r="K316" i="1"/>
  <c r="L292" i="1"/>
  <c r="K292" i="1"/>
  <c r="L276" i="1"/>
  <c r="K276" i="1"/>
  <c r="L260" i="1"/>
  <c r="K260" i="1"/>
  <c r="L236" i="1"/>
  <c r="K236" i="1"/>
  <c r="L220" i="1"/>
  <c r="K220" i="1"/>
  <c r="L196" i="1"/>
  <c r="K196" i="1"/>
  <c r="L180" i="1"/>
  <c r="K180" i="1"/>
  <c r="L156" i="1"/>
  <c r="K156" i="1"/>
  <c r="L132" i="1"/>
  <c r="K132" i="1"/>
  <c r="L116" i="1"/>
  <c r="K116" i="1"/>
  <c r="L92" i="1"/>
  <c r="K92" i="1"/>
  <c r="L68" i="1"/>
  <c r="K68" i="1"/>
  <c r="L52" i="1"/>
  <c r="K52" i="1"/>
  <c r="L20" i="1"/>
  <c r="K20" i="1"/>
  <c r="K3669" i="1"/>
  <c r="K3605" i="1"/>
  <c r="K3381" i="1"/>
  <c r="K3349" i="1"/>
  <c r="K3317" i="1"/>
  <c r="K3285" i="1"/>
  <c r="K3253" i="1"/>
  <c r="K3221" i="1"/>
  <c r="K3189" i="1"/>
  <c r="K3077" i="1"/>
  <c r="K3061" i="1"/>
  <c r="K3044" i="1"/>
  <c r="K3028" i="1"/>
  <c r="K2821" i="1"/>
  <c r="K2805" i="1"/>
  <c r="K2788" i="1"/>
  <c r="K2772" i="1"/>
  <c r="K2668" i="1"/>
  <c r="K2565" i="1"/>
  <c r="K2549" i="1"/>
  <c r="K2532" i="1"/>
  <c r="K2516" i="1"/>
  <c r="K2412" i="1"/>
  <c r="K2309" i="1"/>
  <c r="K2293" i="1"/>
  <c r="K2276" i="1"/>
  <c r="K2260" i="1"/>
  <c r="K2164" i="1"/>
  <c r="K2076" i="1"/>
  <c r="K2028" i="1"/>
  <c r="K1980" i="1"/>
  <c r="K1676" i="1"/>
  <c r="K1509" i="1"/>
  <c r="K1340" i="1"/>
  <c r="K1036" i="1"/>
  <c r="L3171" i="1"/>
  <c r="K3171" i="1"/>
  <c r="L3155" i="1"/>
  <c r="K3155" i="1"/>
  <c r="L3139" i="1"/>
  <c r="K3139" i="1"/>
  <c r="L3123" i="1"/>
  <c r="K3123" i="1"/>
  <c r="L3107" i="1"/>
  <c r="K3107" i="1"/>
  <c r="L3091" i="1"/>
  <c r="K3091" i="1"/>
  <c r="L3075" i="1"/>
  <c r="K3075" i="1"/>
  <c r="L3059" i="1"/>
  <c r="K3059" i="1"/>
  <c r="L3043" i="1"/>
  <c r="K3043" i="1"/>
  <c r="L3027" i="1"/>
  <c r="K3027" i="1"/>
  <c r="L3011" i="1"/>
  <c r="K3011" i="1"/>
  <c r="L2995" i="1"/>
  <c r="K2995" i="1"/>
  <c r="L2979" i="1"/>
  <c r="K2979" i="1"/>
  <c r="L2963" i="1"/>
  <c r="K2963" i="1"/>
  <c r="L2947" i="1"/>
  <c r="K2947" i="1"/>
  <c r="L2931" i="1"/>
  <c r="K2931" i="1"/>
  <c r="L2915" i="1"/>
  <c r="K2915" i="1"/>
  <c r="L2899" i="1"/>
  <c r="K2899" i="1"/>
  <c r="L2883" i="1"/>
  <c r="K2883" i="1"/>
  <c r="L2867" i="1"/>
  <c r="K2867" i="1"/>
  <c r="L2851" i="1"/>
  <c r="K2851" i="1"/>
  <c r="L2835" i="1"/>
  <c r="K2835" i="1"/>
  <c r="L2819" i="1"/>
  <c r="K2819" i="1"/>
  <c r="L2803" i="1"/>
  <c r="K2803" i="1"/>
  <c r="L2787" i="1"/>
  <c r="K2787" i="1"/>
  <c r="L2771" i="1"/>
  <c r="K2771" i="1"/>
  <c r="L2755" i="1"/>
  <c r="K2755" i="1"/>
  <c r="L2739" i="1"/>
  <c r="K2739" i="1"/>
  <c r="L2723" i="1"/>
  <c r="K2723" i="1"/>
  <c r="L2707" i="1"/>
  <c r="K2707" i="1"/>
  <c r="L2691" i="1"/>
  <c r="K2691" i="1"/>
  <c r="L2675" i="1"/>
  <c r="K2675" i="1"/>
  <c r="L2659" i="1"/>
  <c r="K2659" i="1"/>
  <c r="L2643" i="1"/>
  <c r="K2643" i="1"/>
  <c r="L2627" i="1"/>
  <c r="K2627" i="1"/>
  <c r="L2611" i="1"/>
  <c r="K2611" i="1"/>
  <c r="L2595" i="1"/>
  <c r="K2595" i="1"/>
  <c r="L2579" i="1"/>
  <c r="K2579" i="1"/>
  <c r="L2563" i="1"/>
  <c r="K2563" i="1"/>
  <c r="L2547" i="1"/>
  <c r="K2547" i="1"/>
  <c r="L2531" i="1"/>
  <c r="K2531" i="1"/>
  <c r="L2515" i="1"/>
  <c r="K2515" i="1"/>
  <c r="L2499" i="1"/>
  <c r="K2499" i="1"/>
  <c r="L2483" i="1"/>
  <c r="K2483" i="1"/>
  <c r="L2467" i="1"/>
  <c r="K2467" i="1"/>
  <c r="L2451" i="1"/>
  <c r="K2451" i="1"/>
  <c r="L2435" i="1"/>
  <c r="K2435" i="1"/>
  <c r="L2419" i="1"/>
  <c r="K2419" i="1"/>
  <c r="L2403" i="1"/>
  <c r="K2403" i="1"/>
  <c r="L2387" i="1"/>
  <c r="K2387" i="1"/>
  <c r="L2371" i="1"/>
  <c r="K2371" i="1"/>
  <c r="L2355" i="1"/>
  <c r="K2355" i="1"/>
  <c r="L2339" i="1"/>
  <c r="K2339" i="1"/>
  <c r="L2323" i="1"/>
  <c r="K2323" i="1"/>
  <c r="L2307" i="1"/>
  <c r="K2307" i="1"/>
  <c r="L2291" i="1"/>
  <c r="K2291" i="1"/>
  <c r="L2275" i="1"/>
  <c r="K2275" i="1"/>
  <c r="L2259" i="1"/>
  <c r="K2259" i="1"/>
  <c r="L2243" i="1"/>
  <c r="K2243" i="1"/>
  <c r="L2235" i="1"/>
  <c r="K2235" i="1"/>
  <c r="L2227" i="1"/>
  <c r="K2227" i="1"/>
  <c r="L2211" i="1"/>
  <c r="K2211" i="1"/>
  <c r="L2203" i="1"/>
  <c r="K2203" i="1"/>
  <c r="L2195" i="1"/>
  <c r="K2195" i="1"/>
  <c r="L2179" i="1"/>
  <c r="K2179" i="1"/>
  <c r="L2171" i="1"/>
  <c r="K2171" i="1"/>
  <c r="L2163" i="1"/>
  <c r="K2163" i="1"/>
  <c r="L2147" i="1"/>
  <c r="K2147" i="1"/>
  <c r="L2139" i="1"/>
  <c r="K2139" i="1"/>
  <c r="L2131" i="1"/>
  <c r="K2131" i="1"/>
  <c r="L2115" i="1"/>
  <c r="K2115" i="1"/>
  <c r="L2107" i="1"/>
  <c r="K2107" i="1"/>
  <c r="L2099" i="1"/>
  <c r="K2099" i="1"/>
  <c r="L2091" i="1"/>
  <c r="K2091" i="1"/>
  <c r="L2083" i="1"/>
  <c r="K2083" i="1"/>
  <c r="L2075" i="1"/>
  <c r="K2075" i="1"/>
  <c r="L2067" i="1"/>
  <c r="K2067" i="1"/>
  <c r="L2059" i="1"/>
  <c r="K2059" i="1"/>
  <c r="L2051" i="1"/>
  <c r="K2051" i="1"/>
  <c r="L2043" i="1"/>
  <c r="K2043" i="1"/>
  <c r="L2035" i="1"/>
  <c r="K2035" i="1"/>
  <c r="L2027" i="1"/>
  <c r="K2027" i="1"/>
  <c r="L2019" i="1"/>
  <c r="K2019" i="1"/>
  <c r="L2011" i="1"/>
  <c r="K2011" i="1"/>
  <c r="L2003" i="1"/>
  <c r="K2003" i="1"/>
  <c r="L1995" i="1"/>
  <c r="K1995" i="1"/>
  <c r="L1987" i="1"/>
  <c r="K1987" i="1"/>
  <c r="L1979" i="1"/>
  <c r="K1979" i="1"/>
  <c r="L1971" i="1"/>
  <c r="K1971" i="1"/>
  <c r="L1963" i="1"/>
  <c r="K1963" i="1"/>
  <c r="L1955" i="1"/>
  <c r="K1955" i="1"/>
  <c r="L1947" i="1"/>
  <c r="K1947" i="1"/>
  <c r="L1939" i="1"/>
  <c r="K1939" i="1"/>
  <c r="L1931" i="1"/>
  <c r="K1931" i="1"/>
  <c r="L1923" i="1"/>
  <c r="K1923" i="1"/>
  <c r="L1915" i="1"/>
  <c r="K1915" i="1"/>
  <c r="L1907" i="1"/>
  <c r="K1907" i="1"/>
  <c r="L1899" i="1"/>
  <c r="K1899" i="1"/>
  <c r="L1891" i="1"/>
  <c r="K1891" i="1"/>
  <c r="L1883" i="1"/>
  <c r="K1883" i="1"/>
  <c r="L1875" i="1"/>
  <c r="K1875" i="1"/>
  <c r="L1867" i="1"/>
  <c r="K1867" i="1"/>
  <c r="L1859" i="1"/>
  <c r="K1859" i="1"/>
  <c r="L1851" i="1"/>
  <c r="K1851" i="1"/>
  <c r="L1843" i="1"/>
  <c r="K1843" i="1"/>
  <c r="L1835" i="1"/>
  <c r="K1835" i="1"/>
  <c r="L1827" i="1"/>
  <c r="K1827" i="1"/>
  <c r="L1819" i="1"/>
  <c r="K1819" i="1"/>
  <c r="L1811" i="1"/>
  <c r="K1811" i="1"/>
  <c r="L1803" i="1"/>
  <c r="K1803" i="1"/>
  <c r="L1795" i="1"/>
  <c r="K1795" i="1"/>
  <c r="L1787" i="1"/>
  <c r="K1787" i="1"/>
  <c r="L1779" i="1"/>
  <c r="K1779" i="1"/>
  <c r="L1771" i="1"/>
  <c r="K1771" i="1"/>
  <c r="L1763" i="1"/>
  <c r="K1763" i="1"/>
  <c r="L1755" i="1"/>
  <c r="K1755" i="1"/>
  <c r="L1747" i="1"/>
  <c r="K1747" i="1"/>
  <c r="L1739" i="1"/>
  <c r="K1739" i="1"/>
  <c r="L1731" i="1"/>
  <c r="K1731" i="1"/>
  <c r="L1723" i="1"/>
  <c r="K1723" i="1"/>
  <c r="L1715" i="1"/>
  <c r="K1715" i="1"/>
  <c r="L1707" i="1"/>
  <c r="K1707" i="1"/>
  <c r="L1699" i="1"/>
  <c r="K1699" i="1"/>
  <c r="L1691" i="1"/>
  <c r="K1691" i="1"/>
  <c r="L1683" i="1"/>
  <c r="K1683" i="1"/>
  <c r="L1675" i="1"/>
  <c r="K1675" i="1"/>
  <c r="L1667" i="1"/>
  <c r="K1667" i="1"/>
  <c r="L1659" i="1"/>
  <c r="K1659" i="1"/>
  <c r="L1651" i="1"/>
  <c r="K1651" i="1"/>
  <c r="L1643" i="1"/>
  <c r="K1643" i="1"/>
  <c r="L1635" i="1"/>
  <c r="K1635" i="1"/>
  <c r="L1627" i="1"/>
  <c r="K1627" i="1"/>
  <c r="L1619" i="1"/>
  <c r="K1619" i="1"/>
  <c r="L1611" i="1"/>
  <c r="K1611" i="1"/>
  <c r="L1603" i="1"/>
  <c r="K1603" i="1"/>
  <c r="L1595" i="1"/>
  <c r="K1595" i="1"/>
  <c r="L1587" i="1"/>
  <c r="K1587" i="1"/>
  <c r="L1579" i="1"/>
  <c r="K1579" i="1"/>
  <c r="L1571" i="1"/>
  <c r="K1571" i="1"/>
  <c r="L1563" i="1"/>
  <c r="K1563" i="1"/>
  <c r="L1555" i="1"/>
  <c r="K1555" i="1"/>
  <c r="L1547" i="1"/>
  <c r="K1547" i="1"/>
  <c r="L1539" i="1"/>
  <c r="K1539" i="1"/>
  <c r="L1531" i="1"/>
  <c r="K1531" i="1"/>
  <c r="L1523" i="1"/>
  <c r="K1523" i="1"/>
  <c r="L1515" i="1"/>
  <c r="K1515" i="1"/>
  <c r="L1507" i="1"/>
  <c r="K1507" i="1"/>
  <c r="L1499" i="1"/>
  <c r="K1499" i="1"/>
  <c r="L1491" i="1"/>
  <c r="K1491" i="1"/>
  <c r="L1483" i="1"/>
  <c r="K1483" i="1"/>
  <c r="L1475" i="1"/>
  <c r="K1475" i="1"/>
  <c r="L1467" i="1"/>
  <c r="K1467" i="1"/>
  <c r="L1459" i="1"/>
  <c r="K1459" i="1"/>
  <c r="L1451" i="1"/>
  <c r="K1451" i="1"/>
  <c r="L1443" i="1"/>
  <c r="K1443" i="1"/>
  <c r="L1435" i="1"/>
  <c r="K1435" i="1"/>
  <c r="L1427" i="1"/>
  <c r="K1427" i="1"/>
  <c r="L1419" i="1"/>
  <c r="K1419" i="1"/>
  <c r="L1411" i="1"/>
  <c r="K1411" i="1"/>
  <c r="L1403" i="1"/>
  <c r="K1403" i="1"/>
  <c r="L1395" i="1"/>
  <c r="K1395" i="1"/>
  <c r="L1387" i="1"/>
  <c r="K1387" i="1"/>
  <c r="L1379" i="1"/>
  <c r="K1379" i="1"/>
  <c r="L1371" i="1"/>
  <c r="K1371" i="1"/>
  <c r="L1363" i="1"/>
  <c r="K1363" i="1"/>
  <c r="L1355" i="1"/>
  <c r="K1355" i="1"/>
  <c r="L1347" i="1"/>
  <c r="K1347" i="1"/>
  <c r="L1339" i="1"/>
  <c r="K1339" i="1"/>
  <c r="L1331" i="1"/>
  <c r="K1331" i="1"/>
  <c r="L1323" i="1"/>
  <c r="K1323" i="1"/>
  <c r="L1315" i="1"/>
  <c r="K1315" i="1"/>
  <c r="L1307" i="1"/>
  <c r="K1307" i="1"/>
  <c r="L1299" i="1"/>
  <c r="K1299" i="1"/>
  <c r="L1291" i="1"/>
  <c r="K1291" i="1"/>
  <c r="L1283" i="1"/>
  <c r="K1283" i="1"/>
  <c r="L1275" i="1"/>
  <c r="K1275" i="1"/>
  <c r="L1267" i="1"/>
  <c r="K1267" i="1"/>
  <c r="L1259" i="1"/>
  <c r="K1259" i="1"/>
  <c r="L1251" i="1"/>
  <c r="K1251" i="1"/>
  <c r="L1243" i="1"/>
  <c r="K1243" i="1"/>
  <c r="L1235" i="1"/>
  <c r="K1235" i="1"/>
  <c r="L1227" i="1"/>
  <c r="K1227" i="1"/>
  <c r="L1219" i="1"/>
  <c r="K1219" i="1"/>
  <c r="L1211" i="1"/>
  <c r="K1211" i="1"/>
  <c r="L1203" i="1"/>
  <c r="K1203" i="1"/>
  <c r="L1195" i="1"/>
  <c r="K1195" i="1"/>
  <c r="L1187" i="1"/>
  <c r="K1187" i="1"/>
  <c r="L1179" i="1"/>
  <c r="K1179" i="1"/>
  <c r="L1171" i="1"/>
  <c r="K1171" i="1"/>
  <c r="L1163" i="1"/>
  <c r="K1163" i="1"/>
  <c r="L1155" i="1"/>
  <c r="K1155" i="1"/>
  <c r="L1147" i="1"/>
  <c r="K1147" i="1"/>
  <c r="L1139" i="1"/>
  <c r="K1139" i="1"/>
  <c r="L1131" i="1"/>
  <c r="K1131" i="1"/>
  <c r="L1123" i="1"/>
  <c r="K1123" i="1"/>
  <c r="L1115" i="1"/>
  <c r="K1115" i="1"/>
  <c r="L1107" i="1"/>
  <c r="K1107" i="1"/>
  <c r="L1099" i="1"/>
  <c r="K1099" i="1"/>
  <c r="L1091" i="1"/>
  <c r="K1091" i="1"/>
  <c r="L1083" i="1"/>
  <c r="K1083" i="1"/>
  <c r="L1075" i="1"/>
  <c r="K1075" i="1"/>
  <c r="L1067" i="1"/>
  <c r="K1067" i="1"/>
  <c r="L1059" i="1"/>
  <c r="K1059" i="1"/>
  <c r="L1051" i="1"/>
  <c r="K1051" i="1"/>
  <c r="L1043" i="1"/>
  <c r="K1043" i="1"/>
  <c r="L1035" i="1"/>
  <c r="K1035" i="1"/>
  <c r="L1027" i="1"/>
  <c r="K1027" i="1"/>
  <c r="L1019" i="1"/>
  <c r="K1019" i="1"/>
  <c r="L1011" i="1"/>
  <c r="K1011" i="1"/>
  <c r="L1003" i="1"/>
  <c r="K1003" i="1"/>
  <c r="L995" i="1"/>
  <c r="K995" i="1"/>
  <c r="L987" i="1"/>
  <c r="K987" i="1"/>
  <c r="L979" i="1"/>
  <c r="K979" i="1"/>
  <c r="L971" i="1"/>
  <c r="K971" i="1"/>
  <c r="L963" i="1"/>
  <c r="K963" i="1"/>
  <c r="L955" i="1"/>
  <c r="K955" i="1"/>
  <c r="L947" i="1"/>
  <c r="K947" i="1"/>
  <c r="L939" i="1"/>
  <c r="K939" i="1"/>
  <c r="L931" i="1"/>
  <c r="K931" i="1"/>
  <c r="L923" i="1"/>
  <c r="K923" i="1"/>
  <c r="L915" i="1"/>
  <c r="K915" i="1"/>
  <c r="L907" i="1"/>
  <c r="K907" i="1"/>
  <c r="L899" i="1"/>
  <c r="K899" i="1"/>
  <c r="L891" i="1"/>
  <c r="K891" i="1"/>
  <c r="L883" i="1"/>
  <c r="K883" i="1"/>
  <c r="L875" i="1"/>
  <c r="K875" i="1"/>
  <c r="L867" i="1"/>
  <c r="K867" i="1"/>
  <c r="L859" i="1"/>
  <c r="K859" i="1"/>
  <c r="L851" i="1"/>
  <c r="K851" i="1"/>
  <c r="L843" i="1"/>
  <c r="K843" i="1"/>
  <c r="L835" i="1"/>
  <c r="K835" i="1"/>
  <c r="L827" i="1"/>
  <c r="K827" i="1"/>
  <c r="L819" i="1"/>
  <c r="K819" i="1"/>
  <c r="L811" i="1"/>
  <c r="K811" i="1"/>
  <c r="L803" i="1"/>
  <c r="K803" i="1"/>
  <c r="L795" i="1"/>
  <c r="K795" i="1"/>
  <c r="L787" i="1"/>
  <c r="K787" i="1"/>
  <c r="L779" i="1"/>
  <c r="K779" i="1"/>
  <c r="L771" i="1"/>
  <c r="K771" i="1"/>
  <c r="L763" i="1"/>
  <c r="K763" i="1"/>
  <c r="L755" i="1"/>
  <c r="K755" i="1"/>
  <c r="L747" i="1"/>
  <c r="K747" i="1"/>
  <c r="L739" i="1"/>
  <c r="K739" i="1"/>
  <c r="L731" i="1"/>
  <c r="K731" i="1"/>
  <c r="L723" i="1"/>
  <c r="K723" i="1"/>
  <c r="L715" i="1"/>
  <c r="K715" i="1"/>
  <c r="L707" i="1"/>
  <c r="K707" i="1"/>
  <c r="L699" i="1"/>
  <c r="K699" i="1"/>
  <c r="L691" i="1"/>
  <c r="K691" i="1"/>
  <c r="L683" i="1"/>
  <c r="K683" i="1"/>
  <c r="L675" i="1"/>
  <c r="K675" i="1"/>
  <c r="L667" i="1"/>
  <c r="K667" i="1"/>
  <c r="L659" i="1"/>
  <c r="K659" i="1"/>
  <c r="L651" i="1"/>
  <c r="K651" i="1"/>
  <c r="L643" i="1"/>
  <c r="K643" i="1"/>
  <c r="L635" i="1"/>
  <c r="K635" i="1"/>
  <c r="L627" i="1"/>
  <c r="K627" i="1"/>
  <c r="L619" i="1"/>
  <c r="K619" i="1"/>
  <c r="L611" i="1"/>
  <c r="K611" i="1"/>
  <c r="L603" i="1"/>
  <c r="K603" i="1"/>
  <c r="L595" i="1"/>
  <c r="K595" i="1"/>
  <c r="L587" i="1"/>
  <c r="K587" i="1"/>
  <c r="L579" i="1"/>
  <c r="K579" i="1"/>
  <c r="L571" i="1"/>
  <c r="K571" i="1"/>
  <c r="L563" i="1"/>
  <c r="K563" i="1"/>
  <c r="L555" i="1"/>
  <c r="K555" i="1"/>
  <c r="L547" i="1"/>
  <c r="K547" i="1"/>
  <c r="L539" i="1"/>
  <c r="K539" i="1"/>
  <c r="L531" i="1"/>
  <c r="K531" i="1"/>
  <c r="L523" i="1"/>
  <c r="K523" i="1"/>
  <c r="L515" i="1"/>
  <c r="K515" i="1"/>
  <c r="L507" i="1"/>
  <c r="K507" i="1"/>
  <c r="L499" i="1"/>
  <c r="K499" i="1"/>
  <c r="L491" i="1"/>
  <c r="K491" i="1"/>
  <c r="L483" i="1"/>
  <c r="K483" i="1"/>
  <c r="L475" i="1"/>
  <c r="K475" i="1"/>
  <c r="L467" i="1"/>
  <c r="K467" i="1"/>
  <c r="L459" i="1"/>
  <c r="K459" i="1"/>
  <c r="L451" i="1"/>
  <c r="K451" i="1"/>
  <c r="L443" i="1"/>
  <c r="K443" i="1"/>
  <c r="L435" i="1"/>
  <c r="K435" i="1"/>
  <c r="L427" i="1"/>
  <c r="K427" i="1"/>
  <c r="L419" i="1"/>
  <c r="K419" i="1"/>
  <c r="L411" i="1"/>
  <c r="K411" i="1"/>
  <c r="L403" i="1"/>
  <c r="K403" i="1"/>
  <c r="L395" i="1"/>
  <c r="K395" i="1"/>
  <c r="L387" i="1"/>
  <c r="K387" i="1"/>
  <c r="L379" i="1"/>
  <c r="K379" i="1"/>
  <c r="L371" i="1"/>
  <c r="K371" i="1"/>
  <c r="L363" i="1"/>
  <c r="K363" i="1"/>
  <c r="L355" i="1"/>
  <c r="K355" i="1"/>
  <c r="L347" i="1"/>
  <c r="K347" i="1"/>
  <c r="L339" i="1"/>
  <c r="K339" i="1"/>
  <c r="L331" i="1"/>
  <c r="K331" i="1"/>
  <c r="L323" i="1"/>
  <c r="K323" i="1"/>
  <c r="L315" i="1"/>
  <c r="K315" i="1"/>
  <c r="L307" i="1"/>
  <c r="K307" i="1"/>
  <c r="L299" i="1"/>
  <c r="K299" i="1"/>
  <c r="L291" i="1"/>
  <c r="K291" i="1"/>
  <c r="L283" i="1"/>
  <c r="K283" i="1"/>
  <c r="L275" i="1"/>
  <c r="K275" i="1"/>
  <c r="L267" i="1"/>
  <c r="K267" i="1"/>
  <c r="L259" i="1"/>
  <c r="K259" i="1"/>
  <c r="L251" i="1"/>
  <c r="K251" i="1"/>
  <c r="L243" i="1"/>
  <c r="K243" i="1"/>
  <c r="L235" i="1"/>
  <c r="K235" i="1"/>
  <c r="L227" i="1"/>
  <c r="K227" i="1"/>
  <c r="L219" i="1"/>
  <c r="K219" i="1"/>
  <c r="L211" i="1"/>
  <c r="K211" i="1"/>
  <c r="L203" i="1"/>
  <c r="K203" i="1"/>
  <c r="L195" i="1"/>
  <c r="K195" i="1"/>
  <c r="L187" i="1"/>
  <c r="K187" i="1"/>
  <c r="L179" i="1"/>
  <c r="K179" i="1"/>
  <c r="L171" i="1"/>
  <c r="K171" i="1"/>
  <c r="L163" i="1"/>
  <c r="K163" i="1"/>
  <c r="L155" i="1"/>
  <c r="K155" i="1"/>
  <c r="L147" i="1"/>
  <c r="K147" i="1"/>
  <c r="L139" i="1"/>
  <c r="K139" i="1"/>
  <c r="L131" i="1"/>
  <c r="K131" i="1"/>
  <c r="L123" i="1"/>
  <c r="K123" i="1"/>
  <c r="L115" i="1"/>
  <c r="K115" i="1"/>
  <c r="L107" i="1"/>
  <c r="K107" i="1"/>
  <c r="L99" i="1"/>
  <c r="K99" i="1"/>
  <c r="L91" i="1"/>
  <c r="K91" i="1"/>
  <c r="L83" i="1"/>
  <c r="K83" i="1"/>
  <c r="L75" i="1"/>
  <c r="K75" i="1"/>
  <c r="L67" i="1"/>
  <c r="K67" i="1"/>
  <c r="L59" i="1"/>
  <c r="K59" i="1"/>
  <c r="L51" i="1"/>
  <c r="K51" i="1"/>
  <c r="L43" i="1"/>
  <c r="K43" i="1"/>
  <c r="L35" i="1"/>
  <c r="K35" i="1"/>
  <c r="L27" i="1"/>
  <c r="K27" i="1"/>
  <c r="L19" i="1"/>
  <c r="K19" i="1"/>
  <c r="L11" i="1"/>
  <c r="K11" i="1"/>
  <c r="L3" i="1"/>
  <c r="K3" i="1"/>
  <c r="K3758" i="1"/>
  <c r="K3750" i="1"/>
  <c r="K3742" i="1"/>
  <c r="K3734" i="1"/>
  <c r="K3726" i="1"/>
  <c r="K3718" i="1"/>
  <c r="K3710" i="1"/>
  <c r="K3702" i="1"/>
  <c r="K3694" i="1"/>
  <c r="K3686" i="1"/>
  <c r="K3678" i="1"/>
  <c r="K3668" i="1"/>
  <c r="K3658" i="1"/>
  <c r="K3646" i="1"/>
  <c r="K3636" i="1"/>
  <c r="K3626" i="1"/>
  <c r="K3614" i="1"/>
  <c r="K3604" i="1"/>
  <c r="K3594" i="1"/>
  <c r="K3582" i="1"/>
  <c r="K3572" i="1"/>
  <c r="K3562" i="1"/>
  <c r="K3550" i="1"/>
  <c r="K3540" i="1"/>
  <c r="K3530" i="1"/>
  <c r="K3518" i="1"/>
  <c r="K3508" i="1"/>
  <c r="K3498" i="1"/>
  <c r="K3486" i="1"/>
  <c r="K3476" i="1"/>
  <c r="K3466" i="1"/>
  <c r="K3454" i="1"/>
  <c r="K3444" i="1"/>
  <c r="K3434" i="1"/>
  <c r="K3422" i="1"/>
  <c r="K3412" i="1"/>
  <c r="K3402" i="1"/>
  <c r="K3390" i="1"/>
  <c r="K3380" i="1"/>
  <c r="K3370" i="1"/>
  <c r="K3358" i="1"/>
  <c r="K3348" i="1"/>
  <c r="K3338" i="1"/>
  <c r="K3326" i="1"/>
  <c r="K3316" i="1"/>
  <c r="K3306" i="1"/>
  <c r="K3294" i="1"/>
  <c r="K3284" i="1"/>
  <c r="K3274" i="1"/>
  <c r="K3262" i="1"/>
  <c r="K3252" i="1"/>
  <c r="K3242" i="1"/>
  <c r="K3230" i="1"/>
  <c r="K3220" i="1"/>
  <c r="K3210" i="1"/>
  <c r="K3198" i="1"/>
  <c r="K3188" i="1"/>
  <c r="K3175" i="1"/>
  <c r="K3162" i="1"/>
  <c r="K3146" i="1"/>
  <c r="K3126" i="1"/>
  <c r="K3109" i="1"/>
  <c r="K3093" i="1"/>
  <c r="K3076" i="1"/>
  <c r="K3060" i="1"/>
  <c r="K3042" i="1"/>
  <c r="K3023" i="1"/>
  <c r="K3007" i="1"/>
  <c r="K2990" i="1"/>
  <c r="K2974" i="1"/>
  <c r="K2956" i="1"/>
  <c r="K2939" i="1"/>
  <c r="K2923" i="1"/>
  <c r="K2906" i="1"/>
  <c r="K2890" i="1"/>
  <c r="K2870" i="1"/>
  <c r="K2853" i="1"/>
  <c r="K2837" i="1"/>
  <c r="K2820" i="1"/>
  <c r="K2804" i="1"/>
  <c r="K2786" i="1"/>
  <c r="K2767" i="1"/>
  <c r="K2751" i="1"/>
  <c r="K2734" i="1"/>
  <c r="K2718" i="1"/>
  <c r="K2700" i="1"/>
  <c r="K2683" i="1"/>
  <c r="K2667" i="1"/>
  <c r="K2650" i="1"/>
  <c r="K2634" i="1"/>
  <c r="K2614" i="1"/>
  <c r="K2597" i="1"/>
  <c r="K2581" i="1"/>
  <c r="K2564" i="1"/>
  <c r="K2548" i="1"/>
  <c r="K2530" i="1"/>
  <c r="K2511" i="1"/>
  <c r="K2495" i="1"/>
  <c r="K2478" i="1"/>
  <c r="K2462" i="1"/>
  <c r="K2444" i="1"/>
  <c r="K2427" i="1"/>
  <c r="K2411" i="1"/>
  <c r="K2394" i="1"/>
  <c r="K2378" i="1"/>
  <c r="K2358" i="1"/>
  <c r="K2341" i="1"/>
  <c r="K2325" i="1"/>
  <c r="K2308" i="1"/>
  <c r="K2292" i="1"/>
  <c r="K2274" i="1"/>
  <c r="K2255" i="1"/>
  <c r="K2239" i="1"/>
  <c r="K2197" i="1"/>
  <c r="K2155" i="1"/>
  <c r="K2111" i="1"/>
  <c r="K2065" i="1"/>
  <c r="K2017" i="1"/>
  <c r="K1967" i="1"/>
  <c r="K1919" i="1"/>
  <c r="K1871" i="1"/>
  <c r="K1820" i="1"/>
  <c r="K1740" i="1"/>
  <c r="K1656" i="1"/>
  <c r="K1573" i="1"/>
  <c r="K1489" i="1"/>
  <c r="K1406" i="1"/>
  <c r="K1313" i="1"/>
  <c r="K1182" i="1"/>
  <c r="K1000" i="1"/>
  <c r="K817" i="1"/>
  <c r="K647" i="1"/>
  <c r="K262" i="1"/>
  <c r="L2877" i="1"/>
  <c r="K2877" i="1"/>
  <c r="L2845" i="1"/>
  <c r="K2845" i="1"/>
  <c r="L2813" i="1"/>
  <c r="K2813" i="1"/>
  <c r="L2781" i="1"/>
  <c r="K2781" i="1"/>
  <c r="L2653" i="1"/>
  <c r="K2653" i="1"/>
  <c r="L2541" i="1"/>
  <c r="K2541" i="1"/>
  <c r="L2493" i="1"/>
  <c r="K2493" i="1"/>
  <c r="L2477" i="1"/>
  <c r="K2477" i="1"/>
  <c r="L2365" i="1"/>
  <c r="K2365" i="1"/>
  <c r="L2333" i="1"/>
  <c r="K2333" i="1"/>
  <c r="L2285" i="1"/>
  <c r="K2285" i="1"/>
  <c r="L2253" i="1"/>
  <c r="K2253" i="1"/>
  <c r="L2213" i="1"/>
  <c r="K2213" i="1"/>
  <c r="L2157" i="1"/>
  <c r="K2157" i="1"/>
  <c r="L2013" i="1"/>
  <c r="K2013" i="1"/>
  <c r="L1973" i="1"/>
  <c r="K1973" i="1"/>
  <c r="L1917" i="1"/>
  <c r="K1917" i="1"/>
  <c r="L1637" i="1"/>
  <c r="K1637" i="1"/>
  <c r="L1437" i="1"/>
  <c r="K1437" i="1"/>
  <c r="L1381" i="1"/>
  <c r="K1381" i="1"/>
  <c r="L1333" i="1"/>
  <c r="K1333" i="1"/>
  <c r="L1277" i="1"/>
  <c r="K1277" i="1"/>
  <c r="L1221" i="1"/>
  <c r="K1221" i="1"/>
  <c r="L1173" i="1"/>
  <c r="K1173" i="1"/>
  <c r="L1117" i="1"/>
  <c r="K1117" i="1"/>
  <c r="L1061" i="1"/>
  <c r="K1061" i="1"/>
  <c r="L677" i="1"/>
  <c r="K677" i="1"/>
  <c r="L621" i="1"/>
  <c r="K621" i="1"/>
  <c r="L557" i="1"/>
  <c r="K557" i="1"/>
  <c r="L501" i="1"/>
  <c r="K501" i="1"/>
  <c r="L437" i="1"/>
  <c r="K437" i="1"/>
  <c r="L381" i="1"/>
  <c r="K381" i="1"/>
  <c r="L325" i="1"/>
  <c r="K325" i="1"/>
  <c r="L277" i="1"/>
  <c r="K277" i="1"/>
  <c r="L205" i="1"/>
  <c r="K205" i="1"/>
  <c r="L93" i="1"/>
  <c r="K93" i="1"/>
  <c r="L2588" i="1"/>
  <c r="K2588" i="1"/>
  <c r="L2556" i="1"/>
  <c r="K2556" i="1"/>
  <c r="L2396" i="1"/>
  <c r="K2396" i="1"/>
  <c r="L2300" i="1"/>
  <c r="K2300" i="1"/>
  <c r="L1988" i="1"/>
  <c r="K1988" i="1"/>
  <c r="L1948" i="1"/>
  <c r="K1948" i="1"/>
  <c r="L1892" i="1"/>
  <c r="K1892" i="1"/>
  <c r="L1844" i="1"/>
  <c r="K1844" i="1"/>
  <c r="L1804" i="1"/>
  <c r="K1804" i="1"/>
  <c r="L1764" i="1"/>
  <c r="K1764" i="1"/>
  <c r="L1724" i="1"/>
  <c r="K1724" i="1"/>
  <c r="L1668" i="1"/>
  <c r="K1668" i="1"/>
  <c r="L1620" i="1"/>
  <c r="K1620" i="1"/>
  <c r="L1556" i="1"/>
  <c r="K1556" i="1"/>
  <c r="L1380" i="1"/>
  <c r="K1380" i="1"/>
  <c r="L1316" i="1"/>
  <c r="K1316" i="1"/>
  <c r="L1284" i="1"/>
  <c r="K1284" i="1"/>
  <c r="L1236" i="1"/>
  <c r="K1236" i="1"/>
  <c r="L1188" i="1"/>
  <c r="K1188" i="1"/>
  <c r="L1148" i="1"/>
  <c r="K1148" i="1"/>
  <c r="L1092" i="1"/>
  <c r="K1092" i="1"/>
  <c r="L1068" i="1"/>
  <c r="K1068" i="1"/>
  <c r="L1020" i="1"/>
  <c r="K1020" i="1"/>
  <c r="L980" i="1"/>
  <c r="K980" i="1"/>
  <c r="L948" i="1"/>
  <c r="K948" i="1"/>
  <c r="L900" i="1"/>
  <c r="K900" i="1"/>
  <c r="L868" i="1"/>
  <c r="K868" i="1"/>
  <c r="L788" i="1"/>
  <c r="K788" i="1"/>
  <c r="L612" i="1"/>
  <c r="K612" i="1"/>
  <c r="L3154" i="1"/>
  <c r="K3154" i="1"/>
  <c r="L3122" i="1"/>
  <c r="K3122" i="1"/>
  <c r="L3090" i="1"/>
  <c r="K3090" i="1"/>
  <c r="L3058" i="1"/>
  <c r="K3058" i="1"/>
  <c r="L3026" i="1"/>
  <c r="K3026" i="1"/>
  <c r="L2994" i="1"/>
  <c r="K2994" i="1"/>
  <c r="L2962" i="1"/>
  <c r="K2962" i="1"/>
  <c r="L2930" i="1"/>
  <c r="K2930" i="1"/>
  <c r="L2898" i="1"/>
  <c r="K2898" i="1"/>
  <c r="L2866" i="1"/>
  <c r="K2866" i="1"/>
  <c r="L2834" i="1"/>
  <c r="K2834" i="1"/>
  <c r="L2802" i="1"/>
  <c r="K2802" i="1"/>
  <c r="L2770" i="1"/>
  <c r="K2770" i="1"/>
  <c r="L2738" i="1"/>
  <c r="K2738" i="1"/>
  <c r="L2706" i="1"/>
  <c r="K2706" i="1"/>
  <c r="L2674" i="1"/>
  <c r="K2674" i="1"/>
  <c r="L2642" i="1"/>
  <c r="K2642" i="1"/>
  <c r="L2610" i="1"/>
  <c r="K2610" i="1"/>
  <c r="L2578" i="1"/>
  <c r="K2578" i="1"/>
  <c r="L2546" i="1"/>
  <c r="K2546" i="1"/>
  <c r="L2514" i="1"/>
  <c r="K2514" i="1"/>
  <c r="L2482" i="1"/>
  <c r="K2482" i="1"/>
  <c r="L2450" i="1"/>
  <c r="K2450" i="1"/>
  <c r="L2418" i="1"/>
  <c r="K2418" i="1"/>
  <c r="L2386" i="1"/>
  <c r="K2386" i="1"/>
  <c r="L2354" i="1"/>
  <c r="K2354" i="1"/>
  <c r="L2322" i="1"/>
  <c r="K2322" i="1"/>
  <c r="L2290" i="1"/>
  <c r="K2290" i="1"/>
  <c r="L2258" i="1"/>
  <c r="K2258" i="1"/>
  <c r="L2234" i="1"/>
  <c r="K2234" i="1"/>
  <c r="L2226" i="1"/>
  <c r="K2226" i="1"/>
  <c r="L2210" i="1"/>
  <c r="K2210" i="1"/>
  <c r="L2202" i="1"/>
  <c r="K2202" i="1"/>
  <c r="L2194" i="1"/>
  <c r="K2194" i="1"/>
  <c r="L2178" i="1"/>
  <c r="K2178" i="1"/>
  <c r="L2170" i="1"/>
  <c r="K2170" i="1"/>
  <c r="L2162" i="1"/>
  <c r="K2162" i="1"/>
  <c r="L2146" i="1"/>
  <c r="K2146" i="1"/>
  <c r="L2138" i="1"/>
  <c r="K2138" i="1"/>
  <c r="L2130" i="1"/>
  <c r="K2130" i="1"/>
  <c r="L2114" i="1"/>
  <c r="K2114" i="1"/>
  <c r="L2106" i="1"/>
  <c r="K2106" i="1"/>
  <c r="L2098" i="1"/>
  <c r="K2098" i="1"/>
  <c r="L2082" i="1"/>
  <c r="K2082" i="1"/>
  <c r="L2074" i="1"/>
  <c r="K2074" i="1"/>
  <c r="L2066" i="1"/>
  <c r="K2066" i="1"/>
  <c r="L2058" i="1"/>
  <c r="K2058" i="1"/>
  <c r="L2050" i="1"/>
  <c r="K2050" i="1"/>
  <c r="L2042" i="1"/>
  <c r="K2042" i="1"/>
  <c r="L2034" i="1"/>
  <c r="K2034" i="1"/>
  <c r="L2026" i="1"/>
  <c r="K2026" i="1"/>
  <c r="L2018" i="1"/>
  <c r="K2018" i="1"/>
  <c r="L2010" i="1"/>
  <c r="K2010" i="1"/>
  <c r="L1994" i="1"/>
  <c r="K1994" i="1"/>
  <c r="L1986" i="1"/>
  <c r="K1986" i="1"/>
  <c r="L1978" i="1"/>
  <c r="K1978" i="1"/>
  <c r="L1970" i="1"/>
  <c r="K1970" i="1"/>
  <c r="L1962" i="1"/>
  <c r="K1962" i="1"/>
  <c r="L1946" i="1"/>
  <c r="K1946" i="1"/>
  <c r="L1938" i="1"/>
  <c r="K1938" i="1"/>
  <c r="L1922" i="1"/>
  <c r="K1922" i="1"/>
  <c r="L1914" i="1"/>
  <c r="K1914" i="1"/>
  <c r="L1898" i="1"/>
  <c r="K1898" i="1"/>
  <c r="L1890" i="1"/>
  <c r="K1890" i="1"/>
  <c r="L1874" i="1"/>
  <c r="K1874" i="1"/>
  <c r="L1866" i="1"/>
  <c r="K1866" i="1"/>
  <c r="L1858" i="1"/>
  <c r="K1858" i="1"/>
  <c r="L1850" i="1"/>
  <c r="K1850" i="1"/>
  <c r="L1842" i="1"/>
  <c r="K1842" i="1"/>
  <c r="L1826" i="1"/>
  <c r="K1826" i="1"/>
  <c r="L1810" i="1"/>
  <c r="K1810" i="1"/>
  <c r="L1802" i="1"/>
  <c r="K1802" i="1"/>
  <c r="L1794" i="1"/>
  <c r="K1794" i="1"/>
  <c r="L1786" i="1"/>
  <c r="K1786" i="1"/>
  <c r="L1778" i="1"/>
  <c r="K1778" i="1"/>
  <c r="L1770" i="1"/>
  <c r="K1770" i="1"/>
  <c r="L1762" i="1"/>
  <c r="K1762" i="1"/>
  <c r="L1754" i="1"/>
  <c r="K1754" i="1"/>
  <c r="L1746" i="1"/>
  <c r="K1746" i="1"/>
  <c r="L1730" i="1"/>
  <c r="K1730" i="1"/>
  <c r="L1722" i="1"/>
  <c r="K1722" i="1"/>
  <c r="L1714" i="1"/>
  <c r="K1714" i="1"/>
  <c r="L1706" i="1"/>
  <c r="K1706" i="1"/>
  <c r="L1690" i="1"/>
  <c r="K1690" i="1"/>
  <c r="L1682" i="1"/>
  <c r="K1682" i="1"/>
  <c r="L1674" i="1"/>
  <c r="K1674" i="1"/>
  <c r="L1666" i="1"/>
  <c r="K1666" i="1"/>
  <c r="L1658" i="1"/>
  <c r="K1658" i="1"/>
  <c r="L1650" i="1"/>
  <c r="K1650" i="1"/>
  <c r="L1642" i="1"/>
  <c r="K1642" i="1"/>
  <c r="L1626" i="1"/>
  <c r="K1626" i="1"/>
  <c r="L1618" i="1"/>
  <c r="K1618" i="1"/>
  <c r="L1610" i="1"/>
  <c r="K1610" i="1"/>
  <c r="L1602" i="1"/>
  <c r="K1602" i="1"/>
  <c r="L1594" i="1"/>
  <c r="K1594" i="1"/>
  <c r="L1586" i="1"/>
  <c r="K1586" i="1"/>
  <c r="L1578" i="1"/>
  <c r="K1578" i="1"/>
  <c r="L1570" i="1"/>
  <c r="K1570" i="1"/>
  <c r="L1562" i="1"/>
  <c r="K1562" i="1"/>
  <c r="L1554" i="1"/>
  <c r="K1554" i="1"/>
  <c r="L1546" i="1"/>
  <c r="K1546" i="1"/>
  <c r="L1538" i="1"/>
  <c r="K1538" i="1"/>
  <c r="L1522" i="1"/>
  <c r="K1522" i="1"/>
  <c r="L1514" i="1"/>
  <c r="K1514" i="1"/>
  <c r="L1506" i="1"/>
  <c r="K1506" i="1"/>
  <c r="L1498" i="1"/>
  <c r="K1498" i="1"/>
  <c r="L1490" i="1"/>
  <c r="K1490" i="1"/>
  <c r="L1482" i="1"/>
  <c r="K1482" i="1"/>
  <c r="L1474" i="1"/>
  <c r="K1474" i="1"/>
  <c r="L1458" i="1"/>
  <c r="K1458" i="1"/>
  <c r="L1450" i="1"/>
  <c r="K1450" i="1"/>
  <c r="L1442" i="1"/>
  <c r="K1442" i="1"/>
  <c r="L1434" i="1"/>
  <c r="K1434" i="1"/>
  <c r="L1418" i="1"/>
  <c r="K1418" i="1"/>
  <c r="L1410" i="1"/>
  <c r="K1410" i="1"/>
  <c r="L1402" i="1"/>
  <c r="K1402" i="1"/>
  <c r="L1394" i="1"/>
  <c r="K1394" i="1"/>
  <c r="L1386" i="1"/>
  <c r="K1386" i="1"/>
  <c r="L1378" i="1"/>
  <c r="K1378" i="1"/>
  <c r="L1370" i="1"/>
  <c r="K1370" i="1"/>
  <c r="L1354" i="1"/>
  <c r="K1354" i="1"/>
  <c r="L1346" i="1"/>
  <c r="K1346" i="1"/>
  <c r="L1338" i="1"/>
  <c r="K1338" i="1"/>
  <c r="L1330" i="1"/>
  <c r="K1330" i="1"/>
  <c r="L1322" i="1"/>
  <c r="K1322" i="1"/>
  <c r="L1314" i="1"/>
  <c r="K1314" i="1"/>
  <c r="L1306" i="1"/>
  <c r="K1306" i="1"/>
  <c r="L1298" i="1"/>
  <c r="K1298" i="1"/>
  <c r="L1290" i="1"/>
  <c r="K1290" i="1"/>
  <c r="L1282" i="1"/>
  <c r="K1282" i="1"/>
  <c r="L1274" i="1"/>
  <c r="K1274" i="1"/>
  <c r="L1266" i="1"/>
  <c r="K1266" i="1"/>
  <c r="L1250" i="1"/>
  <c r="K1250" i="1"/>
  <c r="L1242" i="1"/>
  <c r="K1242" i="1"/>
  <c r="L1234" i="1"/>
  <c r="K1234" i="1"/>
  <c r="L1226" i="1"/>
  <c r="K1226" i="1"/>
  <c r="L1210" i="1"/>
  <c r="K1210" i="1"/>
  <c r="L1202" i="1"/>
  <c r="K1202" i="1"/>
  <c r="L1194" i="1"/>
  <c r="K1194" i="1"/>
  <c r="L1186" i="1"/>
  <c r="K1186" i="1"/>
  <c r="L1178" i="1"/>
  <c r="K1178" i="1"/>
  <c r="L1162" i="1"/>
  <c r="K1162" i="1"/>
  <c r="L1154" i="1"/>
  <c r="K1154" i="1"/>
  <c r="L1146" i="1"/>
  <c r="K1146" i="1"/>
  <c r="L1138" i="1"/>
  <c r="K1138" i="1"/>
  <c r="L1122" i="1"/>
  <c r="K1122" i="1"/>
  <c r="L1114" i="1"/>
  <c r="K1114" i="1"/>
  <c r="L1106" i="1"/>
  <c r="K1106" i="1"/>
  <c r="L1098" i="1"/>
  <c r="K1098" i="1"/>
  <c r="L1090" i="1"/>
  <c r="K1090" i="1"/>
  <c r="L1082" i="1"/>
  <c r="K1082" i="1"/>
  <c r="L1074" i="1"/>
  <c r="K1074" i="1"/>
  <c r="L1066" i="1"/>
  <c r="K1066" i="1"/>
  <c r="L1058" i="1"/>
  <c r="K1058" i="1"/>
  <c r="L1050" i="1"/>
  <c r="K1050" i="1"/>
  <c r="L1042" i="1"/>
  <c r="K1042" i="1"/>
  <c r="L1034" i="1"/>
  <c r="K1034" i="1"/>
  <c r="L1026" i="1"/>
  <c r="K1026" i="1"/>
  <c r="L1018" i="1"/>
  <c r="K1018" i="1"/>
  <c r="L1010" i="1"/>
  <c r="K1010" i="1"/>
  <c r="L1002" i="1"/>
  <c r="K1002" i="1"/>
  <c r="L994" i="1"/>
  <c r="K994" i="1"/>
  <c r="L986" i="1"/>
  <c r="K986" i="1"/>
  <c r="L978" i="1"/>
  <c r="K978" i="1"/>
  <c r="L970" i="1"/>
  <c r="K970" i="1"/>
  <c r="L962" i="1"/>
  <c r="K962" i="1"/>
  <c r="L954" i="1"/>
  <c r="K954" i="1"/>
  <c r="L946" i="1"/>
  <c r="K946" i="1"/>
  <c r="L938" i="1"/>
  <c r="K938" i="1"/>
  <c r="L930" i="1"/>
  <c r="K930" i="1"/>
  <c r="L922" i="1"/>
  <c r="K922" i="1"/>
  <c r="L914" i="1"/>
  <c r="K914" i="1"/>
  <c r="L906" i="1"/>
  <c r="K906" i="1"/>
  <c r="L898" i="1"/>
  <c r="K898" i="1"/>
  <c r="L890" i="1"/>
  <c r="K890" i="1"/>
  <c r="L882" i="1"/>
  <c r="K882" i="1"/>
  <c r="L874" i="1"/>
  <c r="K874" i="1"/>
  <c r="L858" i="1"/>
  <c r="K858" i="1"/>
  <c r="L850" i="1"/>
  <c r="K850" i="1"/>
  <c r="L842" i="1"/>
  <c r="K842" i="1"/>
  <c r="L834" i="1"/>
  <c r="K834" i="1"/>
  <c r="L826" i="1"/>
  <c r="K826" i="1"/>
  <c r="L818" i="1"/>
  <c r="K818" i="1"/>
  <c r="L810" i="1"/>
  <c r="K810" i="1"/>
  <c r="L802" i="1"/>
  <c r="K802" i="1"/>
  <c r="L794" i="1"/>
  <c r="K794" i="1"/>
  <c r="L786" i="1"/>
  <c r="K786" i="1"/>
  <c r="L778" i="1"/>
  <c r="K778" i="1"/>
  <c r="L770" i="1"/>
  <c r="K770" i="1"/>
  <c r="L762" i="1"/>
  <c r="K762" i="1"/>
  <c r="L754" i="1"/>
  <c r="K754" i="1"/>
  <c r="L746" i="1"/>
  <c r="K746" i="1"/>
  <c r="L738" i="1"/>
  <c r="K738" i="1"/>
  <c r="L730" i="1"/>
  <c r="K730" i="1"/>
  <c r="L722" i="1"/>
  <c r="K722" i="1"/>
  <c r="L714" i="1"/>
  <c r="K714" i="1"/>
  <c r="L706" i="1"/>
  <c r="K706" i="1"/>
  <c r="L698" i="1"/>
  <c r="K698" i="1"/>
  <c r="L690" i="1"/>
  <c r="K690" i="1"/>
  <c r="L682" i="1"/>
  <c r="K682" i="1"/>
  <c r="L674" i="1"/>
  <c r="K674" i="1"/>
  <c r="L666" i="1"/>
  <c r="K666" i="1"/>
  <c r="L658" i="1"/>
  <c r="K658" i="1"/>
  <c r="L650" i="1"/>
  <c r="K650" i="1"/>
  <c r="L642" i="1"/>
  <c r="K642" i="1"/>
  <c r="L626" i="1"/>
  <c r="K626" i="1"/>
  <c r="L618" i="1"/>
  <c r="K618" i="1"/>
  <c r="L610" i="1"/>
  <c r="K610" i="1"/>
  <c r="L602" i="1"/>
  <c r="K602" i="1"/>
  <c r="L594" i="1"/>
  <c r="K594" i="1"/>
  <c r="L586" i="1"/>
  <c r="K586" i="1"/>
  <c r="L578" i="1"/>
  <c r="K578" i="1"/>
  <c r="L570" i="1"/>
  <c r="K570" i="1"/>
  <c r="L562" i="1"/>
  <c r="K562" i="1"/>
  <c r="L554" i="1"/>
  <c r="K554" i="1"/>
  <c r="L546" i="1"/>
  <c r="K546" i="1"/>
  <c r="L538" i="1"/>
  <c r="K538" i="1"/>
  <c r="L530" i="1"/>
  <c r="K530" i="1"/>
  <c r="L522" i="1"/>
  <c r="K522" i="1"/>
  <c r="L514" i="1"/>
  <c r="K514" i="1"/>
  <c r="L506" i="1"/>
  <c r="K506" i="1"/>
  <c r="L498" i="1"/>
  <c r="K498" i="1"/>
  <c r="L490" i="1"/>
  <c r="K490" i="1"/>
  <c r="L482" i="1"/>
  <c r="K482" i="1"/>
  <c r="L474" i="1"/>
  <c r="K474" i="1"/>
  <c r="L466" i="1"/>
  <c r="K466" i="1"/>
  <c r="L458" i="1"/>
  <c r="K458" i="1"/>
  <c r="L450" i="1"/>
  <c r="K450" i="1"/>
  <c r="L442" i="1"/>
  <c r="K442" i="1"/>
  <c r="L434" i="1"/>
  <c r="K434" i="1"/>
  <c r="L426" i="1"/>
  <c r="K426" i="1"/>
  <c r="L418" i="1"/>
  <c r="K418" i="1"/>
  <c r="L410" i="1"/>
  <c r="K410" i="1"/>
  <c r="L402" i="1"/>
  <c r="K402" i="1"/>
  <c r="L394" i="1"/>
  <c r="K394" i="1"/>
  <c r="L386" i="1"/>
  <c r="K386" i="1"/>
  <c r="L378" i="1"/>
  <c r="K378" i="1"/>
  <c r="L370" i="1"/>
  <c r="K370" i="1"/>
  <c r="L362" i="1"/>
  <c r="K362" i="1"/>
  <c r="L354" i="1"/>
  <c r="K354" i="1"/>
  <c r="L346" i="1"/>
  <c r="K346" i="1"/>
  <c r="L338" i="1"/>
  <c r="K338" i="1"/>
  <c r="L330" i="1"/>
  <c r="K330" i="1"/>
  <c r="L322" i="1"/>
  <c r="K322" i="1"/>
  <c r="L314" i="1"/>
  <c r="K314" i="1"/>
  <c r="L306" i="1"/>
  <c r="K306" i="1"/>
  <c r="L298" i="1"/>
  <c r="K298" i="1"/>
  <c r="L290" i="1"/>
  <c r="K290" i="1"/>
  <c r="L282" i="1"/>
  <c r="K282" i="1"/>
  <c r="L274" i="1"/>
  <c r="K274" i="1"/>
  <c r="L266" i="1"/>
  <c r="K266" i="1"/>
  <c r="L258" i="1"/>
  <c r="K258" i="1"/>
  <c r="L250" i="1"/>
  <c r="K250" i="1"/>
  <c r="L242" i="1"/>
  <c r="K242" i="1"/>
  <c r="L234" i="1"/>
  <c r="K234" i="1"/>
  <c r="L226" i="1"/>
  <c r="K226" i="1"/>
  <c r="L218" i="1"/>
  <c r="K218" i="1"/>
  <c r="L210" i="1"/>
  <c r="K210" i="1"/>
  <c r="L202" i="1"/>
  <c r="K202" i="1"/>
  <c r="L194" i="1"/>
  <c r="K194" i="1"/>
  <c r="L186" i="1"/>
  <c r="K186" i="1"/>
  <c r="L178" i="1"/>
  <c r="K178" i="1"/>
  <c r="L170" i="1"/>
  <c r="K170" i="1"/>
  <c r="L162" i="1"/>
  <c r="K162" i="1"/>
  <c r="L154" i="1"/>
  <c r="K154" i="1"/>
  <c r="L146" i="1"/>
  <c r="K146" i="1"/>
  <c r="L138" i="1"/>
  <c r="K138" i="1"/>
  <c r="L130" i="1"/>
  <c r="K130" i="1"/>
  <c r="L122" i="1"/>
  <c r="K122" i="1"/>
  <c r="L114" i="1"/>
  <c r="K114" i="1"/>
  <c r="L106" i="1"/>
  <c r="K106" i="1"/>
  <c r="L98" i="1"/>
  <c r="K98" i="1"/>
  <c r="L90" i="1"/>
  <c r="K90" i="1"/>
  <c r="L82" i="1"/>
  <c r="K82" i="1"/>
  <c r="L74" i="1"/>
  <c r="K74" i="1"/>
  <c r="L66" i="1"/>
  <c r="K66" i="1"/>
  <c r="L58" i="1"/>
  <c r="K58" i="1"/>
  <c r="L50" i="1"/>
  <c r="K50" i="1"/>
  <c r="L42" i="1"/>
  <c r="K42" i="1"/>
  <c r="L34" i="1"/>
  <c r="K34" i="1"/>
  <c r="L26" i="1"/>
  <c r="K26" i="1"/>
  <c r="L18" i="1"/>
  <c r="K18" i="1"/>
  <c r="L10" i="1"/>
  <c r="K10" i="1"/>
  <c r="K2" i="1"/>
  <c r="K3757" i="1"/>
  <c r="K3749" i="1"/>
  <c r="K3741" i="1"/>
  <c r="K3733" i="1"/>
  <c r="K3725" i="1"/>
  <c r="K3717" i="1"/>
  <c r="K3709" i="1"/>
  <c r="K3701" i="1"/>
  <c r="K3693" i="1"/>
  <c r="K3685" i="1"/>
  <c r="K3677" i="1"/>
  <c r="K3667" i="1"/>
  <c r="K3655" i="1"/>
  <c r="K3645" i="1"/>
  <c r="K3635" i="1"/>
  <c r="K3623" i="1"/>
  <c r="K3613" i="1"/>
  <c r="K3603" i="1"/>
  <c r="K3591" i="1"/>
  <c r="K3581" i="1"/>
  <c r="K3571" i="1"/>
  <c r="K3559" i="1"/>
  <c r="K3549" i="1"/>
  <c r="K3539" i="1"/>
  <c r="K3527" i="1"/>
  <c r="K3517" i="1"/>
  <c r="K3507" i="1"/>
  <c r="K3495" i="1"/>
  <c r="K3485" i="1"/>
  <c r="K3475" i="1"/>
  <c r="K3463" i="1"/>
  <c r="K3453" i="1"/>
  <c r="K3443" i="1"/>
  <c r="K3431" i="1"/>
  <c r="K3421" i="1"/>
  <c r="K3411" i="1"/>
  <c r="K3399" i="1"/>
  <c r="K3389" i="1"/>
  <c r="K3379" i="1"/>
  <c r="K3367" i="1"/>
  <c r="K3357" i="1"/>
  <c r="K3347" i="1"/>
  <c r="K3335" i="1"/>
  <c r="K3325" i="1"/>
  <c r="K3315" i="1"/>
  <c r="K3303" i="1"/>
  <c r="K3293" i="1"/>
  <c r="K3283" i="1"/>
  <c r="K3271" i="1"/>
  <c r="K3261" i="1"/>
  <c r="K3251" i="1"/>
  <c r="K3239" i="1"/>
  <c r="K3229" i="1"/>
  <c r="K3219" i="1"/>
  <c r="K3207" i="1"/>
  <c r="K3197" i="1"/>
  <c r="K3187" i="1"/>
  <c r="K3174" i="1"/>
  <c r="K3158" i="1"/>
  <c r="K3141" i="1"/>
  <c r="K3125" i="1"/>
  <c r="K3108" i="1"/>
  <c r="K3092" i="1"/>
  <c r="K3074" i="1"/>
  <c r="K3055" i="1"/>
  <c r="K3039" i="1"/>
  <c r="K3022" i="1"/>
  <c r="K3006" i="1"/>
  <c r="K2988" i="1"/>
  <c r="K2971" i="1"/>
  <c r="K2955" i="1"/>
  <c r="K2938" i="1"/>
  <c r="K2922" i="1"/>
  <c r="K2902" i="1"/>
  <c r="K2885" i="1"/>
  <c r="K2869" i="1"/>
  <c r="K2852" i="1"/>
  <c r="K2836" i="1"/>
  <c r="K2818" i="1"/>
  <c r="K2799" i="1"/>
  <c r="K2783" i="1"/>
  <c r="K2766" i="1"/>
  <c r="K2750" i="1"/>
  <c r="K2732" i="1"/>
  <c r="K2715" i="1"/>
  <c r="K2699" i="1"/>
  <c r="K2682" i="1"/>
  <c r="K2666" i="1"/>
  <c r="K2646" i="1"/>
  <c r="K2629" i="1"/>
  <c r="K2613" i="1"/>
  <c r="K2596" i="1"/>
  <c r="K2580" i="1"/>
  <c r="K2562" i="1"/>
  <c r="K2543" i="1"/>
  <c r="K2527" i="1"/>
  <c r="K2510" i="1"/>
  <c r="K2494" i="1"/>
  <c r="K2476" i="1"/>
  <c r="K2459" i="1"/>
  <c r="K2443" i="1"/>
  <c r="K2426" i="1"/>
  <c r="K2410" i="1"/>
  <c r="K2390" i="1"/>
  <c r="K2373" i="1"/>
  <c r="K2357" i="1"/>
  <c r="K2340" i="1"/>
  <c r="K2324" i="1"/>
  <c r="K2306" i="1"/>
  <c r="K2287" i="1"/>
  <c r="K2271" i="1"/>
  <c r="K2254" i="1"/>
  <c r="K2238" i="1"/>
  <c r="K2196" i="1"/>
  <c r="K2154" i="1"/>
  <c r="K2110" i="1"/>
  <c r="K2064" i="1"/>
  <c r="K2016" i="1"/>
  <c r="K1966" i="1"/>
  <c r="K1918" i="1"/>
  <c r="K1870" i="1"/>
  <c r="K1818" i="1"/>
  <c r="K1738" i="1"/>
  <c r="K1655" i="1"/>
  <c r="K1572" i="1"/>
  <c r="K1488" i="1"/>
  <c r="K1404" i="1"/>
  <c r="K1312" i="1"/>
  <c r="K1170" i="1"/>
  <c r="K999" i="1"/>
  <c r="K816" i="1"/>
  <c r="K634" i="1"/>
  <c r="K261" i="1"/>
  <c r="L3085" i="1"/>
  <c r="K3085" i="1"/>
  <c r="L2973" i="1"/>
  <c r="K2973" i="1"/>
  <c r="L2861" i="1"/>
  <c r="K2861" i="1"/>
  <c r="L2701" i="1"/>
  <c r="K2701" i="1"/>
  <c r="L2525" i="1"/>
  <c r="K2525" i="1"/>
  <c r="L2397" i="1"/>
  <c r="K2397" i="1"/>
  <c r="L2269" i="1"/>
  <c r="K2269" i="1"/>
  <c r="L2109" i="1"/>
  <c r="K2109" i="1"/>
  <c r="L2085" i="1"/>
  <c r="K2085" i="1"/>
  <c r="L2045" i="1"/>
  <c r="K2045" i="1"/>
  <c r="L2005" i="1"/>
  <c r="K2005" i="1"/>
  <c r="L1965" i="1"/>
  <c r="K1965" i="1"/>
  <c r="L1925" i="1"/>
  <c r="K1925" i="1"/>
  <c r="L1861" i="1"/>
  <c r="K1861" i="1"/>
  <c r="L1821" i="1"/>
  <c r="K1821" i="1"/>
  <c r="L1773" i="1"/>
  <c r="K1773" i="1"/>
  <c r="L1709" i="1"/>
  <c r="K1709" i="1"/>
  <c r="L1661" i="1"/>
  <c r="K1661" i="1"/>
  <c r="L1653" i="1"/>
  <c r="K1653" i="1"/>
  <c r="L1605" i="1"/>
  <c r="K1605" i="1"/>
  <c r="L1557" i="1"/>
  <c r="K1557" i="1"/>
  <c r="L1493" i="1"/>
  <c r="K1493" i="1"/>
  <c r="L1429" i="1"/>
  <c r="K1429" i="1"/>
  <c r="L1373" i="1"/>
  <c r="K1373" i="1"/>
  <c r="L1325" i="1"/>
  <c r="K1325" i="1"/>
  <c r="L1269" i="1"/>
  <c r="K1269" i="1"/>
  <c r="L1205" i="1"/>
  <c r="K1205" i="1"/>
  <c r="L1157" i="1"/>
  <c r="K1157" i="1"/>
  <c r="L1101" i="1"/>
  <c r="K1101" i="1"/>
  <c r="L1029" i="1"/>
  <c r="K1029" i="1"/>
  <c r="L957" i="1"/>
  <c r="K957" i="1"/>
  <c r="L909" i="1"/>
  <c r="K909" i="1"/>
  <c r="L853" i="1"/>
  <c r="K853" i="1"/>
  <c r="L805" i="1"/>
  <c r="K805" i="1"/>
  <c r="L749" i="1"/>
  <c r="K749" i="1"/>
  <c r="L685" i="1"/>
  <c r="K685" i="1"/>
  <c r="L637" i="1"/>
  <c r="K637" i="1"/>
  <c r="L581" i="1"/>
  <c r="K581" i="1"/>
  <c r="L517" i="1"/>
  <c r="K517" i="1"/>
  <c r="L461" i="1"/>
  <c r="K461" i="1"/>
  <c r="L389" i="1"/>
  <c r="K389" i="1"/>
  <c r="L189" i="1"/>
  <c r="K189" i="1"/>
  <c r="L85" i="1"/>
  <c r="K85" i="1"/>
  <c r="K1677" i="1"/>
  <c r="L2940" i="1"/>
  <c r="K2940" i="1"/>
  <c r="L2364" i="1"/>
  <c r="K2364" i="1"/>
  <c r="L2140" i="1"/>
  <c r="K2140" i="1"/>
  <c r="L2108" i="1"/>
  <c r="K2108" i="1"/>
  <c r="L1972" i="1"/>
  <c r="K1972" i="1"/>
  <c r="L1940" i="1"/>
  <c r="K1940" i="1"/>
  <c r="L1876" i="1"/>
  <c r="K1876" i="1"/>
  <c r="L1836" i="1"/>
  <c r="K1836" i="1"/>
  <c r="L1788" i="1"/>
  <c r="K1788" i="1"/>
  <c r="L1756" i="1"/>
  <c r="K1756" i="1"/>
  <c r="L1692" i="1"/>
  <c r="K1692" i="1"/>
  <c r="L1652" i="1"/>
  <c r="K1652" i="1"/>
  <c r="L1612" i="1"/>
  <c r="K1612" i="1"/>
  <c r="L1564" i="1"/>
  <c r="K1564" i="1"/>
  <c r="L1516" i="1"/>
  <c r="K1516" i="1"/>
  <c r="L1484" i="1"/>
  <c r="K1484" i="1"/>
  <c r="L1436" i="1"/>
  <c r="K1436" i="1"/>
  <c r="L1388" i="1"/>
  <c r="K1388" i="1"/>
  <c r="L1348" i="1"/>
  <c r="K1348" i="1"/>
  <c r="L1300" i="1"/>
  <c r="K1300" i="1"/>
  <c r="L1252" i="1"/>
  <c r="K1252" i="1"/>
  <c r="L1204" i="1"/>
  <c r="K1204" i="1"/>
  <c r="L1156" i="1"/>
  <c r="K1156" i="1"/>
  <c r="L1100" i="1"/>
  <c r="K1100" i="1"/>
  <c r="L1052" i="1"/>
  <c r="K1052" i="1"/>
  <c r="L1004" i="1"/>
  <c r="K1004" i="1"/>
  <c r="L932" i="1"/>
  <c r="K932" i="1"/>
  <c r="K2924" i="1"/>
  <c r="L3673" i="1"/>
  <c r="K3673" i="1"/>
  <c r="L3665" i="1"/>
  <c r="K3665" i="1"/>
  <c r="L3657" i="1"/>
  <c r="K3657" i="1"/>
  <c r="K3649" i="1"/>
  <c r="L3649" i="1"/>
  <c r="L3641" i="1"/>
  <c r="K3641" i="1"/>
  <c r="L3633" i="1"/>
  <c r="K3633" i="1"/>
  <c r="L3625" i="1"/>
  <c r="K3625" i="1"/>
  <c r="K3617" i="1"/>
  <c r="L3617" i="1"/>
  <c r="L3609" i="1"/>
  <c r="K3609" i="1"/>
  <c r="L3601" i="1"/>
  <c r="K3601" i="1"/>
  <c r="L3593" i="1"/>
  <c r="K3593" i="1"/>
  <c r="L3585" i="1"/>
  <c r="K3585" i="1"/>
  <c r="L3577" i="1"/>
  <c r="K3577" i="1"/>
  <c r="L3569" i="1"/>
  <c r="K3569" i="1"/>
  <c r="L3561" i="1"/>
  <c r="K3561" i="1"/>
  <c r="L3553" i="1"/>
  <c r="K3553" i="1"/>
  <c r="L3545" i="1"/>
  <c r="K3545" i="1"/>
  <c r="L3537" i="1"/>
  <c r="K3537" i="1"/>
  <c r="L3529" i="1"/>
  <c r="K3529" i="1"/>
  <c r="K3521" i="1"/>
  <c r="L3521" i="1"/>
  <c r="L3513" i="1"/>
  <c r="K3513" i="1"/>
  <c r="L3505" i="1"/>
  <c r="K3505" i="1"/>
  <c r="L3497" i="1"/>
  <c r="K3497" i="1"/>
  <c r="L3489" i="1"/>
  <c r="K3489" i="1"/>
  <c r="L3481" i="1"/>
  <c r="K3481" i="1"/>
  <c r="L3465" i="1"/>
  <c r="K3465" i="1"/>
  <c r="L3457" i="1"/>
  <c r="K3457" i="1"/>
  <c r="L3449" i="1"/>
  <c r="K3449" i="1"/>
  <c r="L3441" i="1"/>
  <c r="K3441" i="1"/>
  <c r="L3433" i="1"/>
  <c r="K3433" i="1"/>
  <c r="K3425" i="1"/>
  <c r="L3425" i="1"/>
  <c r="L3417" i="1"/>
  <c r="K3417" i="1"/>
  <c r="L3409" i="1"/>
  <c r="K3409" i="1"/>
  <c r="L3401" i="1"/>
  <c r="K3401" i="1"/>
  <c r="L3393" i="1"/>
  <c r="K3393" i="1"/>
  <c r="L3385" i="1"/>
  <c r="K3385" i="1"/>
  <c r="K3377" i="1"/>
  <c r="L3377" i="1"/>
  <c r="L3369" i="1"/>
  <c r="K3369" i="1"/>
  <c r="L3361" i="1"/>
  <c r="K3361" i="1"/>
  <c r="L3353" i="1"/>
  <c r="K3353" i="1"/>
  <c r="L3345" i="1"/>
  <c r="K3345" i="1"/>
  <c r="L3337" i="1"/>
  <c r="K3337" i="1"/>
  <c r="K3329" i="1"/>
  <c r="L3329" i="1"/>
  <c r="L3321" i="1"/>
  <c r="K3321" i="1"/>
  <c r="L3313" i="1"/>
  <c r="K3313" i="1"/>
  <c r="L3305" i="1"/>
  <c r="K3305" i="1"/>
  <c r="L3297" i="1"/>
  <c r="K3297" i="1"/>
  <c r="L3289" i="1"/>
  <c r="K3289" i="1"/>
  <c r="L3281" i="1"/>
  <c r="K3281" i="1"/>
  <c r="L3273" i="1"/>
  <c r="K3273" i="1"/>
  <c r="L3265" i="1"/>
  <c r="K3265" i="1"/>
  <c r="L3257" i="1"/>
  <c r="K3257" i="1"/>
  <c r="L3249" i="1"/>
  <c r="K3249" i="1"/>
  <c r="L3241" i="1"/>
  <c r="K3241" i="1"/>
  <c r="L3233" i="1"/>
  <c r="K3233" i="1"/>
  <c r="L3225" i="1"/>
  <c r="K3225" i="1"/>
  <c r="L3217" i="1"/>
  <c r="K3217" i="1"/>
  <c r="L3209" i="1"/>
  <c r="K3209" i="1"/>
  <c r="L3201" i="1"/>
  <c r="K3201" i="1"/>
  <c r="L3193" i="1"/>
  <c r="K3193" i="1"/>
  <c r="L3185" i="1"/>
  <c r="K3185" i="1"/>
  <c r="L3177" i="1"/>
  <c r="K3177" i="1"/>
  <c r="L3169" i="1"/>
  <c r="K3169" i="1"/>
  <c r="L3161" i="1"/>
  <c r="K3161" i="1"/>
  <c r="L3153" i="1"/>
  <c r="K3153" i="1"/>
  <c r="L3145" i="1"/>
  <c r="K3145" i="1"/>
  <c r="L3137" i="1"/>
  <c r="K3137" i="1"/>
  <c r="L3129" i="1"/>
  <c r="K3129" i="1"/>
  <c r="L3121" i="1"/>
  <c r="K3121" i="1"/>
  <c r="L3113" i="1"/>
  <c r="K3113" i="1"/>
  <c r="L3105" i="1"/>
  <c r="K3105" i="1"/>
  <c r="L3097" i="1"/>
  <c r="K3097" i="1"/>
  <c r="L3089" i="1"/>
  <c r="K3089" i="1"/>
  <c r="L3081" i="1"/>
  <c r="K3081" i="1"/>
  <c r="L3073" i="1"/>
  <c r="K3073" i="1"/>
  <c r="L3065" i="1"/>
  <c r="K3065" i="1"/>
  <c r="L3057" i="1"/>
  <c r="K3057" i="1"/>
  <c r="L3049" i="1"/>
  <c r="K3049" i="1"/>
  <c r="L3041" i="1"/>
  <c r="K3041" i="1"/>
  <c r="L3033" i="1"/>
  <c r="K3033" i="1"/>
  <c r="L3025" i="1"/>
  <c r="K3025" i="1"/>
  <c r="L3017" i="1"/>
  <c r="K3017" i="1"/>
  <c r="L3009" i="1"/>
  <c r="K3009" i="1"/>
  <c r="L3001" i="1"/>
  <c r="K3001" i="1"/>
  <c r="L2993" i="1"/>
  <c r="K2993" i="1"/>
  <c r="L2985" i="1"/>
  <c r="K2985" i="1"/>
  <c r="L2977" i="1"/>
  <c r="K2977" i="1"/>
  <c r="L2969" i="1"/>
  <c r="K2969" i="1"/>
  <c r="L2961" i="1"/>
  <c r="K2961" i="1"/>
  <c r="L2953" i="1"/>
  <c r="K2953" i="1"/>
  <c r="L2945" i="1"/>
  <c r="K2945" i="1"/>
  <c r="L2937" i="1"/>
  <c r="K2937" i="1"/>
  <c r="L2929" i="1"/>
  <c r="K2929" i="1"/>
  <c r="L2921" i="1"/>
  <c r="K2921" i="1"/>
  <c r="L2913" i="1"/>
  <c r="K2913" i="1"/>
  <c r="L2905" i="1"/>
  <c r="K2905" i="1"/>
  <c r="L2897" i="1"/>
  <c r="K2897" i="1"/>
  <c r="L2889" i="1"/>
  <c r="K2889" i="1"/>
  <c r="L2881" i="1"/>
  <c r="K2881" i="1"/>
  <c r="L2873" i="1"/>
  <c r="K2873" i="1"/>
  <c r="L2865" i="1"/>
  <c r="K2865" i="1"/>
  <c r="L2857" i="1"/>
  <c r="K2857" i="1"/>
  <c r="L2849" i="1"/>
  <c r="K2849" i="1"/>
  <c r="L2841" i="1"/>
  <c r="K2841" i="1"/>
  <c r="L2833" i="1"/>
  <c r="K2833" i="1"/>
  <c r="L2825" i="1"/>
  <c r="K2825" i="1"/>
  <c r="L2817" i="1"/>
  <c r="K2817" i="1"/>
  <c r="L2809" i="1"/>
  <c r="K2809" i="1"/>
  <c r="L2801" i="1"/>
  <c r="K2801" i="1"/>
  <c r="L2793" i="1"/>
  <c r="K2793" i="1"/>
  <c r="L2785" i="1"/>
  <c r="K2785" i="1"/>
  <c r="L2777" i="1"/>
  <c r="K2777" i="1"/>
  <c r="L2769" i="1"/>
  <c r="K2769" i="1"/>
  <c r="L2761" i="1"/>
  <c r="K2761" i="1"/>
  <c r="L2753" i="1"/>
  <c r="K2753" i="1"/>
  <c r="L2745" i="1"/>
  <c r="K2745" i="1"/>
  <c r="L2737" i="1"/>
  <c r="K2737" i="1"/>
  <c r="L2729" i="1"/>
  <c r="K2729" i="1"/>
  <c r="L2721" i="1"/>
  <c r="K2721" i="1"/>
  <c r="L2713" i="1"/>
  <c r="K2713" i="1"/>
  <c r="L2705" i="1"/>
  <c r="K2705" i="1"/>
  <c r="L2697" i="1"/>
  <c r="K2697" i="1"/>
  <c r="L2689" i="1"/>
  <c r="K2689" i="1"/>
  <c r="L2681" i="1"/>
  <c r="K2681" i="1"/>
  <c r="L2673" i="1"/>
  <c r="K2673" i="1"/>
  <c r="L2665" i="1"/>
  <c r="K2665" i="1"/>
  <c r="L2657" i="1"/>
  <c r="K2657" i="1"/>
  <c r="L2649" i="1"/>
  <c r="K2649" i="1"/>
  <c r="L2641" i="1"/>
  <c r="K2641" i="1"/>
  <c r="L2633" i="1"/>
  <c r="K2633" i="1"/>
  <c r="L2625" i="1"/>
  <c r="K2625" i="1"/>
  <c r="L2617" i="1"/>
  <c r="K2617" i="1"/>
  <c r="L2609" i="1"/>
  <c r="K2609" i="1"/>
  <c r="L2601" i="1"/>
  <c r="K2601" i="1"/>
  <c r="L2593" i="1"/>
  <c r="K2593" i="1"/>
  <c r="L2585" i="1"/>
  <c r="K2585" i="1"/>
  <c r="L2577" i="1"/>
  <c r="K2577" i="1"/>
  <c r="L2569" i="1"/>
  <c r="K2569" i="1"/>
  <c r="L2561" i="1"/>
  <c r="K2561" i="1"/>
  <c r="L2553" i="1"/>
  <c r="K2553" i="1"/>
  <c r="L2545" i="1"/>
  <c r="K2545" i="1"/>
  <c r="L2537" i="1"/>
  <c r="K2537" i="1"/>
  <c r="L2529" i="1"/>
  <c r="K2529" i="1"/>
  <c r="L2521" i="1"/>
  <c r="K2521" i="1"/>
  <c r="L2513" i="1"/>
  <c r="K2513" i="1"/>
  <c r="L2505" i="1"/>
  <c r="K2505" i="1"/>
  <c r="L2497" i="1"/>
  <c r="K2497" i="1"/>
  <c r="L2489" i="1"/>
  <c r="K2489" i="1"/>
  <c r="L2481" i="1"/>
  <c r="K2481" i="1"/>
  <c r="L2473" i="1"/>
  <c r="K2473" i="1"/>
  <c r="L2465" i="1"/>
  <c r="K2465" i="1"/>
  <c r="L2457" i="1"/>
  <c r="K2457" i="1"/>
  <c r="L2449" i="1"/>
  <c r="K2449" i="1"/>
  <c r="L2441" i="1"/>
  <c r="K2441" i="1"/>
  <c r="L2433" i="1"/>
  <c r="K2433" i="1"/>
  <c r="L2425" i="1"/>
  <c r="K2425" i="1"/>
  <c r="L2417" i="1"/>
  <c r="K2417" i="1"/>
  <c r="L2409" i="1"/>
  <c r="K2409" i="1"/>
  <c r="L2401" i="1"/>
  <c r="K2401" i="1"/>
  <c r="L2393" i="1"/>
  <c r="K2393" i="1"/>
  <c r="L2385" i="1"/>
  <c r="K2385" i="1"/>
  <c r="L2377" i="1"/>
  <c r="K2377" i="1"/>
  <c r="L2369" i="1"/>
  <c r="K2369" i="1"/>
  <c r="L2361" i="1"/>
  <c r="K2361" i="1"/>
  <c r="L2353" i="1"/>
  <c r="K2353" i="1"/>
  <c r="L2345" i="1"/>
  <c r="K2345" i="1"/>
  <c r="L2337" i="1"/>
  <c r="K2337" i="1"/>
  <c r="L2329" i="1"/>
  <c r="K2329" i="1"/>
  <c r="L2321" i="1"/>
  <c r="K2321" i="1"/>
  <c r="L2313" i="1"/>
  <c r="K2313" i="1"/>
  <c r="L2305" i="1"/>
  <c r="K2305" i="1"/>
  <c r="L2297" i="1"/>
  <c r="K2297" i="1"/>
  <c r="L2289" i="1"/>
  <c r="K2289" i="1"/>
  <c r="L2281" i="1"/>
  <c r="K2281" i="1"/>
  <c r="L2273" i="1"/>
  <c r="K2273" i="1"/>
  <c r="L2265" i="1"/>
  <c r="K2265" i="1"/>
  <c r="L2257" i="1"/>
  <c r="K2257" i="1"/>
  <c r="L2249" i="1"/>
  <c r="K2249" i="1"/>
  <c r="L2241" i="1"/>
  <c r="K2241" i="1"/>
  <c r="L2233" i="1"/>
  <c r="K2233" i="1"/>
  <c r="L2225" i="1"/>
  <c r="K2225" i="1"/>
  <c r="L2217" i="1"/>
  <c r="K2217" i="1"/>
  <c r="L2209" i="1"/>
  <c r="K2209" i="1"/>
  <c r="L2201" i="1"/>
  <c r="K2201" i="1"/>
  <c r="L2193" i="1"/>
  <c r="K2193" i="1"/>
  <c r="L2185" i="1"/>
  <c r="K2185" i="1"/>
  <c r="L2177" i="1"/>
  <c r="K2177" i="1"/>
  <c r="L2169" i="1"/>
  <c r="K2169" i="1"/>
  <c r="L2161" i="1"/>
  <c r="K2161" i="1"/>
  <c r="L2153" i="1"/>
  <c r="K2153" i="1"/>
  <c r="L2145" i="1"/>
  <c r="K2145" i="1"/>
  <c r="L2137" i="1"/>
  <c r="K2137" i="1"/>
  <c r="L2129" i="1"/>
  <c r="K2129" i="1"/>
  <c r="L2121" i="1"/>
  <c r="K2121" i="1"/>
  <c r="L2113" i="1"/>
  <c r="K2113" i="1"/>
  <c r="L2105" i="1"/>
  <c r="K2105" i="1"/>
  <c r="L2097" i="1"/>
  <c r="K2097" i="1"/>
  <c r="L2081" i="1"/>
  <c r="K2081" i="1"/>
  <c r="L2073" i="1"/>
  <c r="K2073" i="1"/>
  <c r="L2057" i="1"/>
  <c r="K2057" i="1"/>
  <c r="L2049" i="1"/>
  <c r="K2049" i="1"/>
  <c r="L2041" i="1"/>
  <c r="K2041" i="1"/>
  <c r="L2033" i="1"/>
  <c r="K2033" i="1"/>
  <c r="L2025" i="1"/>
  <c r="K2025" i="1"/>
  <c r="L2009" i="1"/>
  <c r="K2009" i="1"/>
  <c r="L2001" i="1"/>
  <c r="K2001" i="1"/>
  <c r="L1993" i="1"/>
  <c r="K1993" i="1"/>
  <c r="L1985" i="1"/>
  <c r="K1985" i="1"/>
  <c r="L1977" i="1"/>
  <c r="K1977" i="1"/>
  <c r="L1969" i="1"/>
  <c r="K1969" i="1"/>
  <c r="L1961" i="1"/>
  <c r="K1961" i="1"/>
  <c r="L1953" i="1"/>
  <c r="K1953" i="1"/>
  <c r="L1945" i="1"/>
  <c r="K1945" i="1"/>
  <c r="L1937" i="1"/>
  <c r="K1937" i="1"/>
  <c r="L1921" i="1"/>
  <c r="K1921" i="1"/>
  <c r="L1913" i="1"/>
  <c r="K1913" i="1"/>
  <c r="L1905" i="1"/>
  <c r="K1905" i="1"/>
  <c r="L1897" i="1"/>
  <c r="K1897" i="1"/>
  <c r="L1889" i="1"/>
  <c r="K1889" i="1"/>
  <c r="L1873" i="1"/>
  <c r="K1873" i="1"/>
  <c r="L1865" i="1"/>
  <c r="K1865" i="1"/>
  <c r="L1849" i="1"/>
  <c r="K1849" i="1"/>
  <c r="L1841" i="1"/>
  <c r="K1841" i="1"/>
  <c r="L1825" i="1"/>
  <c r="K1825" i="1"/>
  <c r="L1817" i="1"/>
  <c r="K1817" i="1"/>
  <c r="L1809" i="1"/>
  <c r="K1809" i="1"/>
  <c r="L1793" i="1"/>
  <c r="K1793" i="1"/>
  <c r="L1785" i="1"/>
  <c r="K1785" i="1"/>
  <c r="L1777" i="1"/>
  <c r="K1777" i="1"/>
  <c r="L1769" i="1"/>
  <c r="K1769" i="1"/>
  <c r="L1761" i="1"/>
  <c r="K1761" i="1"/>
  <c r="L1753" i="1"/>
  <c r="K1753" i="1"/>
  <c r="L1745" i="1"/>
  <c r="K1745" i="1"/>
  <c r="L1737" i="1"/>
  <c r="K1737" i="1"/>
  <c r="L1729" i="1"/>
  <c r="K1729" i="1"/>
  <c r="L1721" i="1"/>
  <c r="K1721" i="1"/>
  <c r="L1713" i="1"/>
  <c r="K1713" i="1"/>
  <c r="L1705" i="1"/>
  <c r="K1705" i="1"/>
  <c r="L1697" i="1"/>
  <c r="K1697" i="1"/>
  <c r="L1689" i="1"/>
  <c r="K1689" i="1"/>
  <c r="L1681" i="1"/>
  <c r="K1681" i="1"/>
  <c r="L1673" i="1"/>
  <c r="K1673" i="1"/>
  <c r="L1665" i="1"/>
  <c r="K1665" i="1"/>
  <c r="L1657" i="1"/>
  <c r="K1657" i="1"/>
  <c r="L1649" i="1"/>
  <c r="K1649" i="1"/>
  <c r="L1641" i="1"/>
  <c r="K1641" i="1"/>
  <c r="L1633" i="1"/>
  <c r="K1633" i="1"/>
  <c r="L1625" i="1"/>
  <c r="K1625" i="1"/>
  <c r="L1617" i="1"/>
  <c r="K1617" i="1"/>
  <c r="L1609" i="1"/>
  <c r="K1609" i="1"/>
  <c r="L1601" i="1"/>
  <c r="K1601" i="1"/>
  <c r="L1585" i="1"/>
  <c r="K1585" i="1"/>
  <c r="L1577" i="1"/>
  <c r="K1577" i="1"/>
  <c r="L1569" i="1"/>
  <c r="K1569" i="1"/>
  <c r="L1561" i="1"/>
  <c r="K1561" i="1"/>
  <c r="L1553" i="1"/>
  <c r="K1553" i="1"/>
  <c r="L1545" i="1"/>
  <c r="K1545" i="1"/>
  <c r="L1537" i="1"/>
  <c r="K1537" i="1"/>
  <c r="L1521" i="1"/>
  <c r="K1521" i="1"/>
  <c r="L1513" i="1"/>
  <c r="K1513" i="1"/>
  <c r="L1505" i="1"/>
  <c r="K1505" i="1"/>
  <c r="L1497" i="1"/>
  <c r="K1497" i="1"/>
  <c r="L1481" i="1"/>
  <c r="K1481" i="1"/>
  <c r="L1473" i="1"/>
  <c r="K1473" i="1"/>
  <c r="L1465" i="1"/>
  <c r="K1465" i="1"/>
  <c r="L1457" i="1"/>
  <c r="K1457" i="1"/>
  <c r="L1449" i="1"/>
  <c r="K1449" i="1"/>
  <c r="L1441" i="1"/>
  <c r="K1441" i="1"/>
  <c r="L1433" i="1"/>
  <c r="K1433" i="1"/>
  <c r="L1417" i="1"/>
  <c r="K1417" i="1"/>
  <c r="L1409" i="1"/>
  <c r="K1409" i="1"/>
  <c r="L1401" i="1"/>
  <c r="K1401" i="1"/>
  <c r="L1393" i="1"/>
  <c r="K1393" i="1"/>
  <c r="L1385" i="1"/>
  <c r="K1385" i="1"/>
  <c r="L1377" i="1"/>
  <c r="K1377" i="1"/>
  <c r="L1369" i="1"/>
  <c r="K1369" i="1"/>
  <c r="L1361" i="1"/>
  <c r="K1361" i="1"/>
  <c r="L1353" i="1"/>
  <c r="K1353" i="1"/>
  <c r="L1345" i="1"/>
  <c r="K1345" i="1"/>
  <c r="L1337" i="1"/>
  <c r="K1337" i="1"/>
  <c r="L1329" i="1"/>
  <c r="K1329" i="1"/>
  <c r="L1321" i="1"/>
  <c r="K1321" i="1"/>
  <c r="L1305" i="1"/>
  <c r="K1305" i="1"/>
  <c r="L1297" i="1"/>
  <c r="K1297" i="1"/>
  <c r="L1289" i="1"/>
  <c r="K1289" i="1"/>
  <c r="L1281" i="1"/>
  <c r="K1281" i="1"/>
  <c r="L1273" i="1"/>
  <c r="K1273" i="1"/>
  <c r="L1265" i="1"/>
  <c r="K1265" i="1"/>
  <c r="L1257" i="1"/>
  <c r="K1257" i="1"/>
  <c r="L1249" i="1"/>
  <c r="K1249" i="1"/>
  <c r="L1241" i="1"/>
  <c r="K1241" i="1"/>
  <c r="L1233" i="1"/>
  <c r="K1233" i="1"/>
  <c r="L1225" i="1"/>
  <c r="K1225" i="1"/>
  <c r="L1209" i="1"/>
  <c r="K1209" i="1"/>
  <c r="L1201" i="1"/>
  <c r="K1201" i="1"/>
  <c r="L1193" i="1"/>
  <c r="K1193" i="1"/>
  <c r="L1185" i="1"/>
  <c r="K1185" i="1"/>
  <c r="L1177" i="1"/>
  <c r="K1177" i="1"/>
  <c r="L1169" i="1"/>
  <c r="K1169" i="1"/>
  <c r="L1161" i="1"/>
  <c r="K1161" i="1"/>
  <c r="L1153" i="1"/>
  <c r="K1153" i="1"/>
  <c r="L1145" i="1"/>
  <c r="K1145" i="1"/>
  <c r="L1137" i="1"/>
  <c r="K1137" i="1"/>
  <c r="L1129" i="1"/>
  <c r="K1129" i="1"/>
  <c r="L1121" i="1"/>
  <c r="K1121" i="1"/>
  <c r="L1113" i="1"/>
  <c r="K1113" i="1"/>
  <c r="L1105" i="1"/>
  <c r="K1105" i="1"/>
  <c r="L1097" i="1"/>
  <c r="K1097" i="1"/>
  <c r="L1089" i="1"/>
  <c r="K1089" i="1"/>
  <c r="L1081" i="1"/>
  <c r="K1081" i="1"/>
  <c r="L1073" i="1"/>
  <c r="K1073" i="1"/>
  <c r="L1065" i="1"/>
  <c r="K1065" i="1"/>
  <c r="L1057" i="1"/>
  <c r="K1057" i="1"/>
  <c r="L1049" i="1"/>
  <c r="K1049" i="1"/>
  <c r="L1041" i="1"/>
  <c r="K1041" i="1"/>
  <c r="L1033" i="1"/>
  <c r="K1033" i="1"/>
  <c r="L1025" i="1"/>
  <c r="K1025" i="1"/>
  <c r="L1017" i="1"/>
  <c r="K1017" i="1"/>
  <c r="L1009" i="1"/>
  <c r="K1009" i="1"/>
  <c r="L1001" i="1"/>
  <c r="K1001" i="1"/>
  <c r="L993" i="1"/>
  <c r="K993" i="1"/>
  <c r="L985" i="1"/>
  <c r="K985" i="1"/>
  <c r="L977" i="1"/>
  <c r="K977" i="1"/>
  <c r="L969" i="1"/>
  <c r="K969" i="1"/>
  <c r="L961" i="1"/>
  <c r="K961" i="1"/>
  <c r="L953" i="1"/>
  <c r="K953" i="1"/>
  <c r="L945" i="1"/>
  <c r="K945" i="1"/>
  <c r="L937" i="1"/>
  <c r="K937" i="1"/>
  <c r="L929" i="1"/>
  <c r="K929" i="1"/>
  <c r="L921" i="1"/>
  <c r="K921" i="1"/>
  <c r="L913" i="1"/>
  <c r="K913" i="1"/>
  <c r="L905" i="1"/>
  <c r="K905" i="1"/>
  <c r="L897" i="1"/>
  <c r="K897" i="1"/>
  <c r="L889" i="1"/>
  <c r="K889" i="1"/>
  <c r="L881" i="1"/>
  <c r="K881" i="1"/>
  <c r="L873" i="1"/>
  <c r="K873" i="1"/>
  <c r="L865" i="1"/>
  <c r="K865" i="1"/>
  <c r="L857" i="1"/>
  <c r="K857" i="1"/>
  <c r="L849" i="1"/>
  <c r="K849" i="1"/>
  <c r="L841" i="1"/>
  <c r="K841" i="1"/>
  <c r="L833" i="1"/>
  <c r="K833" i="1"/>
  <c r="L825" i="1"/>
  <c r="K825" i="1"/>
  <c r="L809" i="1"/>
  <c r="K809" i="1"/>
  <c r="L801" i="1"/>
  <c r="K801" i="1"/>
  <c r="L793" i="1"/>
  <c r="K793" i="1"/>
  <c r="L785" i="1"/>
  <c r="K785" i="1"/>
  <c r="L777" i="1"/>
  <c r="K777" i="1"/>
  <c r="L761" i="1"/>
  <c r="K761" i="1"/>
  <c r="L753" i="1"/>
  <c r="K753" i="1"/>
  <c r="L745" i="1"/>
  <c r="K745" i="1"/>
  <c r="L737" i="1"/>
  <c r="K737" i="1"/>
  <c r="L729" i="1"/>
  <c r="K729" i="1"/>
  <c r="L721" i="1"/>
  <c r="K721" i="1"/>
  <c r="L713" i="1"/>
  <c r="K713" i="1"/>
  <c r="L705" i="1"/>
  <c r="K705" i="1"/>
  <c r="L697" i="1"/>
  <c r="K697" i="1"/>
  <c r="L689" i="1"/>
  <c r="K689" i="1"/>
  <c r="L673" i="1"/>
  <c r="K673" i="1"/>
  <c r="L665" i="1"/>
  <c r="K665" i="1"/>
  <c r="L657" i="1"/>
  <c r="K657" i="1"/>
  <c r="L649" i="1"/>
  <c r="K649" i="1"/>
  <c r="L641" i="1"/>
  <c r="K641" i="1"/>
  <c r="L633" i="1"/>
  <c r="K633" i="1"/>
  <c r="L625" i="1"/>
  <c r="K625" i="1"/>
  <c r="L617" i="1"/>
  <c r="K617" i="1"/>
  <c r="L609" i="1"/>
  <c r="K609" i="1"/>
  <c r="L601" i="1"/>
  <c r="K601" i="1"/>
  <c r="L593" i="1"/>
  <c r="K593" i="1"/>
  <c r="L585" i="1"/>
  <c r="K585" i="1"/>
  <c r="L577" i="1"/>
  <c r="K577" i="1"/>
  <c r="L569" i="1"/>
  <c r="K569" i="1"/>
  <c r="L561" i="1"/>
  <c r="K561" i="1"/>
  <c r="L553" i="1"/>
  <c r="K553" i="1"/>
  <c r="L545" i="1"/>
  <c r="K545" i="1"/>
  <c r="L537" i="1"/>
  <c r="K537" i="1"/>
  <c r="L529" i="1"/>
  <c r="K529" i="1"/>
  <c r="L521" i="1"/>
  <c r="K521" i="1"/>
  <c r="L513" i="1"/>
  <c r="K513" i="1"/>
  <c r="L505" i="1"/>
  <c r="K505" i="1"/>
  <c r="L497" i="1"/>
  <c r="K497" i="1"/>
  <c r="L489" i="1"/>
  <c r="K489" i="1"/>
  <c r="L481" i="1"/>
  <c r="K481" i="1"/>
  <c r="L473" i="1"/>
  <c r="K473" i="1"/>
  <c r="L465" i="1"/>
  <c r="K465" i="1"/>
  <c r="L457" i="1"/>
  <c r="K457" i="1"/>
  <c r="L449" i="1"/>
  <c r="K449" i="1"/>
  <c r="L441" i="1"/>
  <c r="K441" i="1"/>
  <c r="L433" i="1"/>
  <c r="K433" i="1"/>
  <c r="L425" i="1"/>
  <c r="K425" i="1"/>
  <c r="L417" i="1"/>
  <c r="K417" i="1"/>
  <c r="L409" i="1"/>
  <c r="K409" i="1"/>
  <c r="L401" i="1"/>
  <c r="K401" i="1"/>
  <c r="L393" i="1"/>
  <c r="K393" i="1"/>
  <c r="L385" i="1"/>
  <c r="K385" i="1"/>
  <c r="L377" i="1"/>
  <c r="K377" i="1"/>
  <c r="L369" i="1"/>
  <c r="K369" i="1"/>
  <c r="L361" i="1"/>
  <c r="K361" i="1"/>
  <c r="L353" i="1"/>
  <c r="K353" i="1"/>
  <c r="L345" i="1"/>
  <c r="K345" i="1"/>
  <c r="L337" i="1"/>
  <c r="K337" i="1"/>
  <c r="L329" i="1"/>
  <c r="K329" i="1"/>
  <c r="L321" i="1"/>
  <c r="K321" i="1"/>
  <c r="L313" i="1"/>
  <c r="K313" i="1"/>
  <c r="L305" i="1"/>
  <c r="K305" i="1"/>
  <c r="L297" i="1"/>
  <c r="K297" i="1"/>
  <c r="L289" i="1"/>
  <c r="K289" i="1"/>
  <c r="L281" i="1"/>
  <c r="K281" i="1"/>
  <c r="L273" i="1"/>
  <c r="K273" i="1"/>
  <c r="L265" i="1"/>
  <c r="K265" i="1"/>
  <c r="L257" i="1"/>
  <c r="K257" i="1"/>
  <c r="L249" i="1"/>
  <c r="K249" i="1"/>
  <c r="L241" i="1"/>
  <c r="K241" i="1"/>
  <c r="L233" i="1"/>
  <c r="K233" i="1"/>
  <c r="L225" i="1"/>
  <c r="K225" i="1"/>
  <c r="L217" i="1"/>
  <c r="K217" i="1"/>
  <c r="L209" i="1"/>
  <c r="K209" i="1"/>
  <c r="L201" i="1"/>
  <c r="K201" i="1"/>
  <c r="L193" i="1"/>
  <c r="K193" i="1"/>
  <c r="L185" i="1"/>
  <c r="K185" i="1"/>
  <c r="L177" i="1"/>
  <c r="K177" i="1"/>
  <c r="L169" i="1"/>
  <c r="K169" i="1"/>
  <c r="L161" i="1"/>
  <c r="K161" i="1"/>
  <c r="L153" i="1"/>
  <c r="K153" i="1"/>
  <c r="L145" i="1"/>
  <c r="K145" i="1"/>
  <c r="L137" i="1"/>
  <c r="K137" i="1"/>
  <c r="L129" i="1"/>
  <c r="K129" i="1"/>
  <c r="L121" i="1"/>
  <c r="K121" i="1"/>
  <c r="L113" i="1"/>
  <c r="K113" i="1"/>
  <c r="L105" i="1"/>
  <c r="K105" i="1"/>
  <c r="L97" i="1"/>
  <c r="K97" i="1"/>
  <c r="L89" i="1"/>
  <c r="K89" i="1"/>
  <c r="L81" i="1"/>
  <c r="K81" i="1"/>
  <c r="L73" i="1"/>
  <c r="K73" i="1"/>
  <c r="L65" i="1"/>
  <c r="K65" i="1"/>
  <c r="L57" i="1"/>
  <c r="K57" i="1"/>
  <c r="L49" i="1"/>
  <c r="K49" i="1"/>
  <c r="L41" i="1"/>
  <c r="K41" i="1"/>
  <c r="L33" i="1"/>
  <c r="K33" i="1"/>
  <c r="L25" i="1"/>
  <c r="K25" i="1"/>
  <c r="L17" i="1"/>
  <c r="K17" i="1"/>
  <c r="L9" i="1"/>
  <c r="K9" i="1"/>
  <c r="K3764" i="1"/>
  <c r="K3756" i="1"/>
  <c r="K3748" i="1"/>
  <c r="K3740" i="1"/>
  <c r="K3732" i="1"/>
  <c r="K3724" i="1"/>
  <c r="K3716" i="1"/>
  <c r="K3708" i="1"/>
  <c r="K3700" i="1"/>
  <c r="K3692" i="1"/>
  <c r="K3684" i="1"/>
  <c r="K3676" i="1"/>
  <c r="K3666" i="1"/>
  <c r="K3654" i="1"/>
  <c r="K3644" i="1"/>
  <c r="K3634" i="1"/>
  <c r="K3622" i="1"/>
  <c r="K3612" i="1"/>
  <c r="K3602" i="1"/>
  <c r="K3590" i="1"/>
  <c r="K3580" i="1"/>
  <c r="K3570" i="1"/>
  <c r="K3558" i="1"/>
  <c r="K3548" i="1"/>
  <c r="K3538" i="1"/>
  <c r="K3526" i="1"/>
  <c r="K3516" i="1"/>
  <c r="K3506" i="1"/>
  <c r="K3494" i="1"/>
  <c r="K3484" i="1"/>
  <c r="K3474" i="1"/>
  <c r="K3462" i="1"/>
  <c r="K3452" i="1"/>
  <c r="K3442" i="1"/>
  <c r="K3430" i="1"/>
  <c r="K3420" i="1"/>
  <c r="K3410" i="1"/>
  <c r="K3398" i="1"/>
  <c r="K3388" i="1"/>
  <c r="K3378" i="1"/>
  <c r="K3366" i="1"/>
  <c r="K3356" i="1"/>
  <c r="K3346" i="1"/>
  <c r="K3334" i="1"/>
  <c r="K3324" i="1"/>
  <c r="K3314" i="1"/>
  <c r="K3302" i="1"/>
  <c r="K3292" i="1"/>
  <c r="K3282" i="1"/>
  <c r="K3270" i="1"/>
  <c r="K3260" i="1"/>
  <c r="K3250" i="1"/>
  <c r="K3238" i="1"/>
  <c r="K3228" i="1"/>
  <c r="K3218" i="1"/>
  <c r="K3206" i="1"/>
  <c r="K3196" i="1"/>
  <c r="K3186" i="1"/>
  <c r="K3173" i="1"/>
  <c r="K3157" i="1"/>
  <c r="K3140" i="1"/>
  <c r="K3124" i="1"/>
  <c r="K3106" i="1"/>
  <c r="K3087" i="1"/>
  <c r="K3071" i="1"/>
  <c r="K3054" i="1"/>
  <c r="K3038" i="1"/>
  <c r="K3020" i="1"/>
  <c r="K3003" i="1"/>
  <c r="K2987" i="1"/>
  <c r="K2970" i="1"/>
  <c r="K2954" i="1"/>
  <c r="K2934" i="1"/>
  <c r="K2917" i="1"/>
  <c r="K2901" i="1"/>
  <c r="K2884" i="1"/>
  <c r="K2868" i="1"/>
  <c r="K2850" i="1"/>
  <c r="K2831" i="1"/>
  <c r="K2815" i="1"/>
  <c r="K2798" i="1"/>
  <c r="K2782" i="1"/>
  <c r="K2764" i="1"/>
  <c r="K2747" i="1"/>
  <c r="K2731" i="1"/>
  <c r="K2714" i="1"/>
  <c r="K2698" i="1"/>
  <c r="K2678" i="1"/>
  <c r="K2661" i="1"/>
  <c r="K2645" i="1"/>
  <c r="K2628" i="1"/>
  <c r="K2612" i="1"/>
  <c r="K2594" i="1"/>
  <c r="K2575" i="1"/>
  <c r="K2559" i="1"/>
  <c r="K2542" i="1"/>
  <c r="K2526" i="1"/>
  <c r="K2508" i="1"/>
  <c r="K2491" i="1"/>
  <c r="K2475" i="1"/>
  <c r="K2458" i="1"/>
  <c r="K2442" i="1"/>
  <c r="K2422" i="1"/>
  <c r="K2405" i="1"/>
  <c r="K2389" i="1"/>
  <c r="K2372" i="1"/>
  <c r="K2356" i="1"/>
  <c r="K2338" i="1"/>
  <c r="K2319" i="1"/>
  <c r="K2303" i="1"/>
  <c r="K2286" i="1"/>
  <c r="K2270" i="1"/>
  <c r="K2252" i="1"/>
  <c r="K2229" i="1"/>
  <c r="K2187" i="1"/>
  <c r="K2143" i="1"/>
  <c r="K2101" i="1"/>
  <c r="K2054" i="1"/>
  <c r="K2004" i="1"/>
  <c r="K1956" i="1"/>
  <c r="K1908" i="1"/>
  <c r="K1857" i="1"/>
  <c r="K1801" i="1"/>
  <c r="K1719" i="1"/>
  <c r="K1636" i="1"/>
  <c r="K1552" i="1"/>
  <c r="K1468" i="1"/>
  <c r="K1384" i="1"/>
  <c r="K1286" i="1"/>
  <c r="K1135" i="1"/>
  <c r="K952" i="1"/>
  <c r="K781" i="1"/>
  <c r="K598" i="1"/>
  <c r="K24" i="1"/>
  <c r="L2893" i="1"/>
  <c r="K2893" i="1"/>
  <c r="L2189" i="1"/>
  <c r="K2189" i="1"/>
  <c r="L2149" i="1"/>
  <c r="K2149" i="1"/>
  <c r="L1957" i="1"/>
  <c r="K1957" i="1"/>
  <c r="L1909" i="1"/>
  <c r="K1909" i="1"/>
  <c r="L1869" i="1"/>
  <c r="K1869" i="1"/>
  <c r="L1805" i="1"/>
  <c r="K1805" i="1"/>
  <c r="L1757" i="1"/>
  <c r="K1757" i="1"/>
  <c r="L1693" i="1"/>
  <c r="K1693" i="1"/>
  <c r="L1645" i="1"/>
  <c r="K1645" i="1"/>
  <c r="L1597" i="1"/>
  <c r="K1597" i="1"/>
  <c r="L1541" i="1"/>
  <c r="K1541" i="1"/>
  <c r="L1485" i="1"/>
  <c r="K1485" i="1"/>
  <c r="L1405" i="1"/>
  <c r="K1405" i="1"/>
  <c r="L1213" i="1"/>
  <c r="K1213" i="1"/>
  <c r="L1149" i="1"/>
  <c r="K1149" i="1"/>
  <c r="L1093" i="1"/>
  <c r="K1093" i="1"/>
  <c r="L1021" i="1"/>
  <c r="K1021" i="1"/>
  <c r="L965" i="1"/>
  <c r="K965" i="1"/>
  <c r="L917" i="1"/>
  <c r="K917" i="1"/>
  <c r="L885" i="1"/>
  <c r="K885" i="1"/>
  <c r="L837" i="1"/>
  <c r="K837" i="1"/>
  <c r="L765" i="1"/>
  <c r="K765" i="1"/>
  <c r="L709" i="1"/>
  <c r="K709" i="1"/>
  <c r="L653" i="1"/>
  <c r="K653" i="1"/>
  <c r="L453" i="1"/>
  <c r="K453" i="1"/>
  <c r="L397" i="1"/>
  <c r="K397" i="1"/>
  <c r="L333" i="1"/>
  <c r="K333" i="1"/>
  <c r="L285" i="1"/>
  <c r="K285" i="1"/>
  <c r="L213" i="1"/>
  <c r="K213" i="1"/>
  <c r="L149" i="1"/>
  <c r="K149" i="1"/>
  <c r="L53" i="1"/>
  <c r="K53" i="1"/>
  <c r="L13" i="1"/>
  <c r="K13" i="1"/>
  <c r="L2812" i="1"/>
  <c r="K2812" i="1"/>
  <c r="L2780" i="1"/>
  <c r="K2780" i="1"/>
  <c r="L2524" i="1"/>
  <c r="K2524" i="1"/>
  <c r="L2220" i="1"/>
  <c r="K2220" i="1"/>
  <c r="L2180" i="1"/>
  <c r="K2180" i="1"/>
  <c r="L2036" i="1"/>
  <c r="K2036" i="1"/>
  <c r="L1860" i="1"/>
  <c r="K1860" i="1"/>
  <c r="L1812" i="1"/>
  <c r="K1812" i="1"/>
  <c r="L1772" i="1"/>
  <c r="K1772" i="1"/>
  <c r="L1716" i="1"/>
  <c r="K1716" i="1"/>
  <c r="L1524" i="1"/>
  <c r="K1524" i="1"/>
  <c r="L1492" i="1"/>
  <c r="K1492" i="1"/>
  <c r="L1428" i="1"/>
  <c r="K1428" i="1"/>
  <c r="L1372" i="1"/>
  <c r="K1372" i="1"/>
  <c r="L1324" i="1"/>
  <c r="K1324" i="1"/>
  <c r="L1268" i="1"/>
  <c r="K1268" i="1"/>
  <c r="L1220" i="1"/>
  <c r="K1220" i="1"/>
  <c r="L1180" i="1"/>
  <c r="K1180" i="1"/>
  <c r="L1124" i="1"/>
  <c r="K1124" i="1"/>
  <c r="L1076" i="1"/>
  <c r="K1076" i="1"/>
  <c r="L1028" i="1"/>
  <c r="K1028" i="1"/>
  <c r="L972" i="1"/>
  <c r="K972" i="1"/>
  <c r="L940" i="1"/>
  <c r="K940" i="1"/>
  <c r="L884" i="1"/>
  <c r="K884" i="1"/>
  <c r="L804" i="1"/>
  <c r="K804" i="1"/>
  <c r="L604" i="1"/>
  <c r="K604" i="1"/>
  <c r="K3672" i="1"/>
  <c r="L3672" i="1"/>
  <c r="L3664" i="1"/>
  <c r="K3664" i="1"/>
  <c r="L3656" i="1"/>
  <c r="K3656" i="1"/>
  <c r="L3648" i="1"/>
  <c r="K3648" i="1"/>
  <c r="L3640" i="1"/>
  <c r="K3640" i="1"/>
  <c r="L3632" i="1"/>
  <c r="K3632" i="1"/>
  <c r="L3624" i="1"/>
  <c r="K3624" i="1"/>
  <c r="K3616" i="1"/>
  <c r="L3616" i="1"/>
  <c r="L3608" i="1"/>
  <c r="K3608" i="1"/>
  <c r="L3600" i="1"/>
  <c r="K3600" i="1"/>
  <c r="L3592" i="1"/>
  <c r="K3592" i="1"/>
  <c r="L3584" i="1"/>
  <c r="K3584" i="1"/>
  <c r="L3576" i="1"/>
  <c r="K3576" i="1"/>
  <c r="L3568" i="1"/>
  <c r="K3568" i="1"/>
  <c r="K3560" i="1"/>
  <c r="L3560" i="1"/>
  <c r="L3552" i="1"/>
  <c r="K3552" i="1"/>
  <c r="L3544" i="1"/>
  <c r="K3544" i="1"/>
  <c r="L3536" i="1"/>
  <c r="K3536" i="1"/>
  <c r="L3528" i="1"/>
  <c r="K3528" i="1"/>
  <c r="K3520" i="1"/>
  <c r="L3520" i="1"/>
  <c r="L3512" i="1"/>
  <c r="K3512" i="1"/>
  <c r="L3504" i="1"/>
  <c r="K3504" i="1"/>
  <c r="L3496" i="1"/>
  <c r="K3496" i="1"/>
  <c r="L3488" i="1"/>
  <c r="K3488" i="1"/>
  <c r="L3480" i="1"/>
  <c r="K3480" i="1"/>
  <c r="L3464" i="1"/>
  <c r="K3464" i="1"/>
  <c r="L3456" i="1"/>
  <c r="K3456" i="1"/>
  <c r="L3448" i="1"/>
  <c r="K3448" i="1"/>
  <c r="L3440" i="1"/>
  <c r="K3440" i="1"/>
  <c r="L3432" i="1"/>
  <c r="K3432" i="1"/>
  <c r="K3424" i="1"/>
  <c r="L3424" i="1"/>
  <c r="L3416" i="1"/>
  <c r="K3416" i="1"/>
  <c r="L3408" i="1"/>
  <c r="K3408" i="1"/>
  <c r="L3400" i="1"/>
  <c r="K3400" i="1"/>
  <c r="L3392" i="1"/>
  <c r="K3392" i="1"/>
  <c r="L3384" i="1"/>
  <c r="K3384" i="1"/>
  <c r="K3376" i="1"/>
  <c r="L3376" i="1"/>
  <c r="L3368" i="1"/>
  <c r="K3368" i="1"/>
  <c r="L3360" i="1"/>
  <c r="K3360" i="1"/>
  <c r="L3352" i="1"/>
  <c r="K3352" i="1"/>
  <c r="L3344" i="1"/>
  <c r="K3344" i="1"/>
  <c r="L3336" i="1"/>
  <c r="K3336" i="1"/>
  <c r="K3328" i="1"/>
  <c r="L3328" i="1"/>
  <c r="L3320" i="1"/>
  <c r="K3320" i="1"/>
  <c r="L3312" i="1"/>
  <c r="K3312" i="1"/>
  <c r="L3304" i="1"/>
  <c r="K3304" i="1"/>
  <c r="L3296" i="1"/>
  <c r="K3296" i="1"/>
  <c r="L3288" i="1"/>
  <c r="K3288" i="1"/>
  <c r="L3280" i="1"/>
  <c r="K3280" i="1"/>
  <c r="L3272" i="1"/>
  <c r="K3272" i="1"/>
  <c r="L3264" i="1"/>
  <c r="K3264" i="1"/>
  <c r="L3256" i="1"/>
  <c r="K3256" i="1"/>
  <c r="K3248" i="1"/>
  <c r="L3248" i="1"/>
  <c r="L3240" i="1"/>
  <c r="K3240" i="1"/>
  <c r="L3232" i="1"/>
  <c r="K3232" i="1"/>
  <c r="L3224" i="1"/>
  <c r="K3224" i="1"/>
  <c r="L3216" i="1"/>
  <c r="K3216" i="1"/>
  <c r="L3208" i="1"/>
  <c r="K3208" i="1"/>
  <c r="L3200" i="1"/>
  <c r="K3200" i="1"/>
  <c r="K3192" i="1"/>
  <c r="L3192" i="1"/>
  <c r="L3184" i="1"/>
  <c r="K3184" i="1"/>
  <c r="L3176" i="1"/>
  <c r="K3176" i="1"/>
  <c r="L3168" i="1"/>
  <c r="K3168" i="1"/>
  <c r="L3160" i="1"/>
  <c r="K3160" i="1"/>
  <c r="L3152" i="1"/>
  <c r="K3152" i="1"/>
  <c r="L3144" i="1"/>
  <c r="K3144" i="1"/>
  <c r="L3136" i="1"/>
  <c r="K3136" i="1"/>
  <c r="L3128" i="1"/>
  <c r="K3128" i="1"/>
  <c r="L3120" i="1"/>
  <c r="K3120" i="1"/>
  <c r="L3112" i="1"/>
  <c r="K3112" i="1"/>
  <c r="K3104" i="1"/>
  <c r="L3104" i="1"/>
  <c r="L3096" i="1"/>
  <c r="K3096" i="1"/>
  <c r="L3088" i="1"/>
  <c r="K3088" i="1"/>
  <c r="L3080" i="1"/>
  <c r="K3080" i="1"/>
  <c r="L3072" i="1"/>
  <c r="K3072" i="1"/>
  <c r="L3064" i="1"/>
  <c r="K3064" i="1"/>
  <c r="L3056" i="1"/>
  <c r="K3056" i="1"/>
  <c r="L3048" i="1"/>
  <c r="K3048" i="1"/>
  <c r="L3040" i="1"/>
  <c r="K3040" i="1"/>
  <c r="L3032" i="1"/>
  <c r="K3032" i="1"/>
  <c r="L3024" i="1"/>
  <c r="K3024" i="1"/>
  <c r="L3016" i="1"/>
  <c r="K3016" i="1"/>
  <c r="L3008" i="1"/>
  <c r="K3008" i="1"/>
  <c r="L3000" i="1"/>
  <c r="K3000" i="1"/>
  <c r="L2992" i="1"/>
  <c r="K2992" i="1"/>
  <c r="L2984" i="1"/>
  <c r="K2984" i="1"/>
  <c r="L2976" i="1"/>
  <c r="K2976" i="1"/>
  <c r="L2968" i="1"/>
  <c r="K2968" i="1"/>
  <c r="L2960" i="1"/>
  <c r="K2960" i="1"/>
  <c r="L2952" i="1"/>
  <c r="K2952" i="1"/>
  <c r="L2944" i="1"/>
  <c r="K2944" i="1"/>
  <c r="L2936" i="1"/>
  <c r="K2936" i="1"/>
  <c r="L2928" i="1"/>
  <c r="K2928" i="1"/>
  <c r="L2920" i="1"/>
  <c r="K2920" i="1"/>
  <c r="L2912" i="1"/>
  <c r="K2912" i="1"/>
  <c r="L2904" i="1"/>
  <c r="K2904" i="1"/>
  <c r="L2896" i="1"/>
  <c r="K2896" i="1"/>
  <c r="L2888" i="1"/>
  <c r="K2888" i="1"/>
  <c r="L2880" i="1"/>
  <c r="K2880" i="1"/>
  <c r="L2872" i="1"/>
  <c r="K2872" i="1"/>
  <c r="L2864" i="1"/>
  <c r="K2864" i="1"/>
  <c r="L2856" i="1"/>
  <c r="K2856" i="1"/>
  <c r="L2848" i="1"/>
  <c r="K2848" i="1"/>
  <c r="L2840" i="1"/>
  <c r="K2840" i="1"/>
  <c r="L2832" i="1"/>
  <c r="K2832" i="1"/>
  <c r="L2824" i="1"/>
  <c r="K2824" i="1"/>
  <c r="L2816" i="1"/>
  <c r="K2816" i="1"/>
  <c r="L2808" i="1"/>
  <c r="K2808" i="1"/>
  <c r="L2800" i="1"/>
  <c r="K2800" i="1"/>
  <c r="L2792" i="1"/>
  <c r="K2792" i="1"/>
  <c r="L2784" i="1"/>
  <c r="K2784" i="1"/>
  <c r="L2776" i="1"/>
  <c r="K2776" i="1"/>
  <c r="L2768" i="1"/>
  <c r="K2768" i="1"/>
  <c r="L2760" i="1"/>
  <c r="K2760" i="1"/>
  <c r="L2752" i="1"/>
  <c r="K2752" i="1"/>
  <c r="L2744" i="1"/>
  <c r="K2744" i="1"/>
  <c r="L2736" i="1"/>
  <c r="K2736" i="1"/>
  <c r="L2728" i="1"/>
  <c r="K2728" i="1"/>
  <c r="L2720" i="1"/>
  <c r="K2720" i="1"/>
  <c r="L2712" i="1"/>
  <c r="K2712" i="1"/>
  <c r="L2704" i="1"/>
  <c r="K2704" i="1"/>
  <c r="L2696" i="1"/>
  <c r="K2696" i="1"/>
  <c r="L2688" i="1"/>
  <c r="K2688" i="1"/>
  <c r="L2680" i="1"/>
  <c r="K2680" i="1"/>
  <c r="L2672" i="1"/>
  <c r="K2672" i="1"/>
  <c r="L2664" i="1"/>
  <c r="K2664" i="1"/>
  <c r="L2656" i="1"/>
  <c r="K2656" i="1"/>
  <c r="L2648" i="1"/>
  <c r="K2648" i="1"/>
  <c r="L2640" i="1"/>
  <c r="K2640" i="1"/>
  <c r="L2632" i="1"/>
  <c r="K2632" i="1"/>
  <c r="L2624" i="1"/>
  <c r="K2624" i="1"/>
  <c r="L2616" i="1"/>
  <c r="K2616" i="1"/>
  <c r="L2608" i="1"/>
  <c r="K2608" i="1"/>
  <c r="L2600" i="1"/>
  <c r="K2600" i="1"/>
  <c r="L2592" i="1"/>
  <c r="K2592" i="1"/>
  <c r="L2584" i="1"/>
  <c r="K2584" i="1"/>
  <c r="L2576" i="1"/>
  <c r="K2576" i="1"/>
  <c r="L2568" i="1"/>
  <c r="K2568" i="1"/>
  <c r="L2560" i="1"/>
  <c r="K2560" i="1"/>
  <c r="L2552" i="1"/>
  <c r="K2552" i="1"/>
  <c r="L2544" i="1"/>
  <c r="K2544" i="1"/>
  <c r="L2536" i="1"/>
  <c r="K2536" i="1"/>
  <c r="L2528" i="1"/>
  <c r="K2528" i="1"/>
  <c r="L2520" i="1"/>
  <c r="K2520" i="1"/>
  <c r="L2512" i="1"/>
  <c r="K2512" i="1"/>
  <c r="L2504" i="1"/>
  <c r="K2504" i="1"/>
  <c r="L2496" i="1"/>
  <c r="K2496" i="1"/>
  <c r="L2488" i="1"/>
  <c r="K2488" i="1"/>
  <c r="L2480" i="1"/>
  <c r="K2480" i="1"/>
  <c r="L2472" i="1"/>
  <c r="K2472" i="1"/>
  <c r="L2464" i="1"/>
  <c r="K2464" i="1"/>
  <c r="K2456" i="1"/>
  <c r="L2456" i="1"/>
  <c r="L2448" i="1"/>
  <c r="K2448" i="1"/>
  <c r="L2440" i="1"/>
  <c r="K2440" i="1"/>
  <c r="L2432" i="1"/>
  <c r="K2432" i="1"/>
  <c r="L2424" i="1"/>
  <c r="K2424" i="1"/>
  <c r="L2416" i="1"/>
  <c r="K2416" i="1"/>
  <c r="L2408" i="1"/>
  <c r="K2408" i="1"/>
  <c r="L2400" i="1"/>
  <c r="K2400" i="1"/>
  <c r="L2392" i="1"/>
  <c r="K2392" i="1"/>
  <c r="L2384" i="1"/>
  <c r="K2384" i="1"/>
  <c r="L2376" i="1"/>
  <c r="K2376" i="1"/>
  <c r="L2368" i="1"/>
  <c r="K2368" i="1"/>
  <c r="L2360" i="1"/>
  <c r="K2360" i="1"/>
  <c r="L2352" i="1"/>
  <c r="K2352" i="1"/>
  <c r="L2344" i="1"/>
  <c r="K2344" i="1"/>
  <c r="L2336" i="1"/>
  <c r="K2336" i="1"/>
  <c r="L2328" i="1"/>
  <c r="K2328" i="1"/>
  <c r="L2320" i="1"/>
  <c r="K2320" i="1"/>
  <c r="L2312" i="1"/>
  <c r="K2312" i="1"/>
  <c r="L2304" i="1"/>
  <c r="K2304" i="1"/>
  <c r="L2296" i="1"/>
  <c r="K2296" i="1"/>
  <c r="L2288" i="1"/>
  <c r="K2288" i="1"/>
  <c r="L2280" i="1"/>
  <c r="K2280" i="1"/>
  <c r="L2272" i="1"/>
  <c r="K2272" i="1"/>
  <c r="L2264" i="1"/>
  <c r="K2264" i="1"/>
  <c r="L2256" i="1"/>
  <c r="K2256" i="1"/>
  <c r="L2248" i="1"/>
  <c r="K2248" i="1"/>
  <c r="L2240" i="1"/>
  <c r="K2240" i="1"/>
  <c r="L2232" i="1"/>
  <c r="K2232" i="1"/>
  <c r="L2224" i="1"/>
  <c r="K2224" i="1"/>
  <c r="L2216" i="1"/>
  <c r="K2216" i="1"/>
  <c r="L2208" i="1"/>
  <c r="K2208" i="1"/>
  <c r="L2200" i="1"/>
  <c r="K2200" i="1"/>
  <c r="L2192" i="1"/>
  <c r="K2192" i="1"/>
  <c r="L2184" i="1"/>
  <c r="K2184" i="1"/>
  <c r="L2176" i="1"/>
  <c r="K2176" i="1"/>
  <c r="L2168" i="1"/>
  <c r="K2168" i="1"/>
  <c r="L2160" i="1"/>
  <c r="K2160" i="1"/>
  <c r="L2152" i="1"/>
  <c r="K2152" i="1"/>
  <c r="L2144" i="1"/>
  <c r="K2144" i="1"/>
  <c r="L2136" i="1"/>
  <c r="K2136" i="1"/>
  <c r="L2128" i="1"/>
  <c r="K2128" i="1"/>
  <c r="L2120" i="1"/>
  <c r="K2120" i="1"/>
  <c r="L2112" i="1"/>
  <c r="K2112" i="1"/>
  <c r="L2104" i="1"/>
  <c r="K2104" i="1"/>
  <c r="L2096" i="1"/>
  <c r="K2096" i="1"/>
  <c r="L2088" i="1"/>
  <c r="K2088" i="1"/>
  <c r="L2080" i="1"/>
  <c r="K2080" i="1"/>
  <c r="L2072" i="1"/>
  <c r="K2072" i="1"/>
  <c r="L2056" i="1"/>
  <c r="K2056" i="1"/>
  <c r="L2048" i="1"/>
  <c r="K2048" i="1"/>
  <c r="L2032" i="1"/>
  <c r="K2032" i="1"/>
  <c r="L2024" i="1"/>
  <c r="K2024" i="1"/>
  <c r="L2008" i="1"/>
  <c r="K2008" i="1"/>
  <c r="L2000" i="1"/>
  <c r="K2000" i="1"/>
  <c r="L1984" i="1"/>
  <c r="K1984" i="1"/>
  <c r="L1976" i="1"/>
  <c r="K1976" i="1"/>
  <c r="L1968" i="1"/>
  <c r="K1968" i="1"/>
  <c r="L1960" i="1"/>
  <c r="K1960" i="1"/>
  <c r="L1952" i="1"/>
  <c r="K1952" i="1"/>
  <c r="L1936" i="1"/>
  <c r="K1936" i="1"/>
  <c r="L1928" i="1"/>
  <c r="K1928" i="1"/>
  <c r="L1920" i="1"/>
  <c r="K1920" i="1"/>
  <c r="L1912" i="1"/>
  <c r="K1912" i="1"/>
  <c r="L1904" i="1"/>
  <c r="K1904" i="1"/>
  <c r="L1896" i="1"/>
  <c r="K1896" i="1"/>
  <c r="L1888" i="1"/>
  <c r="K1888" i="1"/>
  <c r="L1880" i="1"/>
  <c r="K1880" i="1"/>
  <c r="L1872" i="1"/>
  <c r="K1872" i="1"/>
  <c r="L1864" i="1"/>
  <c r="K1864" i="1"/>
  <c r="L1848" i="1"/>
  <c r="K1848" i="1"/>
  <c r="L1840" i="1"/>
  <c r="K1840" i="1"/>
  <c r="L1832" i="1"/>
  <c r="K1832" i="1"/>
  <c r="L1824" i="1"/>
  <c r="K1824" i="1"/>
  <c r="L1816" i="1"/>
  <c r="K1816" i="1"/>
  <c r="L1808" i="1"/>
  <c r="K1808" i="1"/>
  <c r="L1792" i="1"/>
  <c r="K1792" i="1"/>
  <c r="L1784" i="1"/>
  <c r="K1784" i="1"/>
  <c r="L1776" i="1"/>
  <c r="K1776" i="1"/>
  <c r="L1768" i="1"/>
  <c r="K1768" i="1"/>
  <c r="L1752" i="1"/>
  <c r="K1752" i="1"/>
  <c r="L1744" i="1"/>
  <c r="K1744" i="1"/>
  <c r="L1736" i="1"/>
  <c r="K1736" i="1"/>
  <c r="L1728" i="1"/>
  <c r="K1728" i="1"/>
  <c r="L1720" i="1"/>
  <c r="K1720" i="1"/>
  <c r="L1712" i="1"/>
  <c r="K1712" i="1"/>
  <c r="L1704" i="1"/>
  <c r="K1704" i="1"/>
  <c r="L1688" i="1"/>
  <c r="K1688" i="1"/>
  <c r="L1680" i="1"/>
  <c r="K1680" i="1"/>
  <c r="L1672" i="1"/>
  <c r="K1672" i="1"/>
  <c r="L1664" i="1"/>
  <c r="K1664" i="1"/>
  <c r="L1648" i="1"/>
  <c r="K1648" i="1"/>
  <c r="L1640" i="1"/>
  <c r="K1640" i="1"/>
  <c r="L1632" i="1"/>
  <c r="K1632" i="1"/>
  <c r="L1624" i="1"/>
  <c r="K1624" i="1"/>
  <c r="L1616" i="1"/>
  <c r="K1616" i="1"/>
  <c r="L1608" i="1"/>
  <c r="K1608" i="1"/>
  <c r="L1600" i="1"/>
  <c r="K1600" i="1"/>
  <c r="L1584" i="1"/>
  <c r="K1584" i="1"/>
  <c r="L1576" i="1"/>
  <c r="K1576" i="1"/>
  <c r="L1568" i="1"/>
  <c r="K1568" i="1"/>
  <c r="L1560" i="1"/>
  <c r="K1560" i="1"/>
  <c r="L1544" i="1"/>
  <c r="K1544" i="1"/>
  <c r="L1536" i="1"/>
  <c r="K1536" i="1"/>
  <c r="L1528" i="1"/>
  <c r="K1528" i="1"/>
  <c r="L1520" i="1"/>
  <c r="K1520" i="1"/>
  <c r="L1512" i="1"/>
  <c r="K1512" i="1"/>
  <c r="L1504" i="1"/>
  <c r="K1504" i="1"/>
  <c r="L1496" i="1"/>
  <c r="K1496" i="1"/>
  <c r="L1480" i="1"/>
  <c r="K1480" i="1"/>
  <c r="L1472" i="1"/>
  <c r="K1472" i="1"/>
  <c r="L1464" i="1"/>
  <c r="K1464" i="1"/>
  <c r="L1456" i="1"/>
  <c r="K1456" i="1"/>
  <c r="L1448" i="1"/>
  <c r="K1448" i="1"/>
  <c r="L1440" i="1"/>
  <c r="K1440" i="1"/>
  <c r="L1432" i="1"/>
  <c r="K1432" i="1"/>
  <c r="L1424" i="1"/>
  <c r="K1424" i="1"/>
  <c r="L1416" i="1"/>
  <c r="K1416" i="1"/>
  <c r="L1408" i="1"/>
  <c r="K1408" i="1"/>
  <c r="L1400" i="1"/>
  <c r="K1400" i="1"/>
  <c r="L1392" i="1"/>
  <c r="K1392" i="1"/>
  <c r="L1376" i="1"/>
  <c r="K1376" i="1"/>
  <c r="L1368" i="1"/>
  <c r="K1368" i="1"/>
  <c r="L1360" i="1"/>
  <c r="K1360" i="1"/>
  <c r="L1352" i="1"/>
  <c r="K1352" i="1"/>
  <c r="L1344" i="1"/>
  <c r="K1344" i="1"/>
  <c r="L1336" i="1"/>
  <c r="K1336" i="1"/>
  <c r="L1328" i="1"/>
  <c r="K1328" i="1"/>
  <c r="L1320" i="1"/>
  <c r="K1320" i="1"/>
  <c r="L1304" i="1"/>
  <c r="K1304" i="1"/>
  <c r="L1296" i="1"/>
  <c r="K1296" i="1"/>
  <c r="L1288" i="1"/>
  <c r="K1288" i="1"/>
  <c r="L1280" i="1"/>
  <c r="K1280" i="1"/>
  <c r="L1272" i="1"/>
  <c r="K1272" i="1"/>
  <c r="L1264" i="1"/>
  <c r="K1264" i="1"/>
  <c r="L1248" i="1"/>
  <c r="K1248" i="1"/>
  <c r="L1240" i="1"/>
  <c r="K1240" i="1"/>
  <c r="L1232" i="1"/>
  <c r="K1232" i="1"/>
  <c r="L1224" i="1"/>
  <c r="K1224" i="1"/>
  <c r="L1216" i="1"/>
  <c r="K1216" i="1"/>
  <c r="L1208" i="1"/>
  <c r="K1208" i="1"/>
  <c r="L1200" i="1"/>
  <c r="K1200" i="1"/>
  <c r="L1192" i="1"/>
  <c r="K1192" i="1"/>
  <c r="L1184" i="1"/>
  <c r="K1184" i="1"/>
  <c r="L1176" i="1"/>
  <c r="K1176" i="1"/>
  <c r="L1168" i="1"/>
  <c r="K1168" i="1"/>
  <c r="L1160" i="1"/>
  <c r="K1160" i="1"/>
  <c r="L1152" i="1"/>
  <c r="K1152" i="1"/>
  <c r="L1144" i="1"/>
  <c r="K1144" i="1"/>
  <c r="L1136" i="1"/>
  <c r="K1136" i="1"/>
  <c r="L1128" i="1"/>
  <c r="K1128" i="1"/>
  <c r="L1120" i="1"/>
  <c r="K1120" i="1"/>
  <c r="L1112" i="1"/>
  <c r="K1112" i="1"/>
  <c r="L1104" i="1"/>
  <c r="K1104" i="1"/>
  <c r="L1096" i="1"/>
  <c r="K1096" i="1"/>
  <c r="L1088" i="1"/>
  <c r="K1088" i="1"/>
  <c r="L1080" i="1"/>
  <c r="K1080" i="1"/>
  <c r="L1072" i="1"/>
  <c r="K1072" i="1"/>
  <c r="L1064" i="1"/>
  <c r="K1064" i="1"/>
  <c r="L1056" i="1"/>
  <c r="K1056" i="1"/>
  <c r="L1048" i="1"/>
  <c r="K1048" i="1"/>
  <c r="L1040" i="1"/>
  <c r="K1040" i="1"/>
  <c r="L1032" i="1"/>
  <c r="K1032" i="1"/>
  <c r="L1024" i="1"/>
  <c r="K1024" i="1"/>
  <c r="L1016" i="1"/>
  <c r="K1016" i="1"/>
  <c r="L1008" i="1"/>
  <c r="K1008" i="1"/>
  <c r="L992" i="1"/>
  <c r="K992" i="1"/>
  <c r="L984" i="1"/>
  <c r="K984" i="1"/>
  <c r="L976" i="1"/>
  <c r="K976" i="1"/>
  <c r="L968" i="1"/>
  <c r="K968" i="1"/>
  <c r="L960" i="1"/>
  <c r="K960" i="1"/>
  <c r="L944" i="1"/>
  <c r="K944" i="1"/>
  <c r="L936" i="1"/>
  <c r="K936" i="1"/>
  <c r="L928" i="1"/>
  <c r="K928" i="1"/>
  <c r="L920" i="1"/>
  <c r="K920" i="1"/>
  <c r="L912" i="1"/>
  <c r="K912" i="1"/>
  <c r="L904" i="1"/>
  <c r="K904" i="1"/>
  <c r="L896" i="1"/>
  <c r="K896" i="1"/>
  <c r="L888" i="1"/>
  <c r="K888" i="1"/>
  <c r="L880" i="1"/>
  <c r="K880" i="1"/>
  <c r="L872" i="1"/>
  <c r="K872" i="1"/>
  <c r="L856" i="1"/>
  <c r="K856" i="1"/>
  <c r="L848" i="1"/>
  <c r="K848" i="1"/>
  <c r="L840" i="1"/>
  <c r="K840" i="1"/>
  <c r="L832" i="1"/>
  <c r="K832" i="1"/>
  <c r="L824" i="1"/>
  <c r="K824" i="1"/>
  <c r="L808" i="1"/>
  <c r="K808" i="1"/>
  <c r="L800" i="1"/>
  <c r="K800" i="1"/>
  <c r="L792" i="1"/>
  <c r="K792" i="1"/>
  <c r="L784" i="1"/>
  <c r="K784" i="1"/>
  <c r="L776" i="1"/>
  <c r="K776" i="1"/>
  <c r="L768" i="1"/>
  <c r="K768" i="1"/>
  <c r="L760" i="1"/>
  <c r="K760" i="1"/>
  <c r="L752" i="1"/>
  <c r="K752" i="1"/>
  <c r="L744" i="1"/>
  <c r="K744" i="1"/>
  <c r="L736" i="1"/>
  <c r="K736" i="1"/>
  <c r="L728" i="1"/>
  <c r="K728" i="1"/>
  <c r="L720" i="1"/>
  <c r="K720" i="1"/>
  <c r="L712" i="1"/>
  <c r="K712" i="1"/>
  <c r="L704" i="1"/>
  <c r="K704" i="1"/>
  <c r="L696" i="1"/>
  <c r="K696" i="1"/>
  <c r="L688" i="1"/>
  <c r="K688" i="1"/>
  <c r="L680" i="1"/>
  <c r="K680" i="1"/>
  <c r="L672" i="1"/>
  <c r="K672" i="1"/>
  <c r="L664" i="1"/>
  <c r="K664" i="1"/>
  <c r="L656" i="1"/>
  <c r="K656" i="1"/>
  <c r="L648" i="1"/>
  <c r="K648" i="1"/>
  <c r="L640" i="1"/>
  <c r="K640" i="1"/>
  <c r="L632" i="1"/>
  <c r="K632" i="1"/>
  <c r="L624" i="1"/>
  <c r="K624" i="1"/>
  <c r="L616" i="1"/>
  <c r="K616" i="1"/>
  <c r="L608" i="1"/>
  <c r="K608" i="1"/>
  <c r="L600" i="1"/>
  <c r="K600" i="1"/>
  <c r="L592" i="1"/>
  <c r="K592" i="1"/>
  <c r="L584" i="1"/>
  <c r="K584" i="1"/>
  <c r="L576" i="1"/>
  <c r="K576" i="1"/>
  <c r="L568" i="1"/>
  <c r="K568" i="1"/>
  <c r="L560" i="1"/>
  <c r="K560" i="1"/>
  <c r="L552" i="1"/>
  <c r="K552" i="1"/>
  <c r="L544" i="1"/>
  <c r="K544" i="1"/>
  <c r="L536" i="1"/>
  <c r="K536" i="1"/>
  <c r="L528" i="1"/>
  <c r="K528" i="1"/>
  <c r="L520" i="1"/>
  <c r="K520" i="1"/>
  <c r="L512" i="1"/>
  <c r="K512" i="1"/>
  <c r="L504" i="1"/>
  <c r="K504" i="1"/>
  <c r="L496" i="1"/>
  <c r="K496" i="1"/>
  <c r="L488" i="1"/>
  <c r="K488" i="1"/>
  <c r="L480" i="1"/>
  <c r="K480" i="1"/>
  <c r="L472" i="1"/>
  <c r="K472" i="1"/>
  <c r="L464" i="1"/>
  <c r="K464" i="1"/>
  <c r="L456" i="1"/>
  <c r="K456" i="1"/>
  <c r="L440" i="1"/>
  <c r="K440" i="1"/>
  <c r="L432" i="1"/>
  <c r="K432" i="1"/>
  <c r="L416" i="1"/>
  <c r="K416" i="1"/>
  <c r="L408" i="1"/>
  <c r="K408" i="1"/>
  <c r="L400" i="1"/>
  <c r="K400" i="1"/>
  <c r="L392" i="1"/>
  <c r="K392" i="1"/>
  <c r="L384" i="1"/>
  <c r="K384" i="1"/>
  <c r="L376" i="1"/>
  <c r="K376" i="1"/>
  <c r="L368" i="1"/>
  <c r="K368" i="1"/>
  <c r="L360" i="1"/>
  <c r="K360" i="1"/>
  <c r="L352" i="1"/>
  <c r="K352" i="1"/>
  <c r="L344" i="1"/>
  <c r="K344" i="1"/>
  <c r="L336" i="1"/>
  <c r="K336" i="1"/>
  <c r="L328" i="1"/>
  <c r="K328" i="1"/>
  <c r="L320" i="1"/>
  <c r="K320" i="1"/>
  <c r="L312" i="1"/>
  <c r="K312" i="1"/>
  <c r="L304" i="1"/>
  <c r="K304" i="1"/>
  <c r="L296" i="1"/>
  <c r="K296" i="1"/>
  <c r="L288" i="1"/>
  <c r="K288" i="1"/>
  <c r="L280" i="1"/>
  <c r="K280" i="1"/>
  <c r="L272" i="1"/>
  <c r="K272" i="1"/>
  <c r="L264" i="1"/>
  <c r="K264" i="1"/>
  <c r="L256" i="1"/>
  <c r="K256" i="1"/>
  <c r="L248" i="1"/>
  <c r="K248" i="1"/>
  <c r="L240" i="1"/>
  <c r="K240" i="1"/>
  <c r="L232" i="1"/>
  <c r="K232" i="1"/>
  <c r="L224" i="1"/>
  <c r="K224" i="1"/>
  <c r="L216" i="1"/>
  <c r="K216" i="1"/>
  <c r="L208" i="1"/>
  <c r="K208" i="1"/>
  <c r="L200" i="1"/>
  <c r="K200" i="1"/>
  <c r="L192" i="1"/>
  <c r="K192" i="1"/>
  <c r="L184" i="1"/>
  <c r="K184" i="1"/>
  <c r="L176" i="1"/>
  <c r="K176" i="1"/>
  <c r="L168" i="1"/>
  <c r="K168" i="1"/>
  <c r="L160" i="1"/>
  <c r="K160" i="1"/>
  <c r="L152" i="1"/>
  <c r="K152" i="1"/>
  <c r="L144" i="1"/>
  <c r="K144" i="1"/>
  <c r="L136" i="1"/>
  <c r="K136" i="1"/>
  <c r="L128" i="1"/>
  <c r="K128" i="1"/>
  <c r="L120" i="1"/>
  <c r="K120" i="1"/>
  <c r="L112" i="1"/>
  <c r="K112" i="1"/>
  <c r="L104" i="1"/>
  <c r="K104" i="1"/>
  <c r="L96" i="1"/>
  <c r="K96" i="1"/>
  <c r="L88" i="1"/>
  <c r="K88" i="1"/>
  <c r="L80" i="1"/>
  <c r="K80" i="1"/>
  <c r="L72" i="1"/>
  <c r="K72" i="1"/>
  <c r="L64" i="1"/>
  <c r="K64" i="1"/>
  <c r="L56" i="1"/>
  <c r="K56" i="1"/>
  <c r="L48" i="1"/>
  <c r="K48" i="1"/>
  <c r="L40" i="1"/>
  <c r="K40" i="1"/>
  <c r="L32" i="1"/>
  <c r="K32" i="1"/>
  <c r="L16" i="1"/>
  <c r="K16" i="1"/>
  <c r="L8" i="1"/>
  <c r="K8" i="1"/>
  <c r="K3763" i="1"/>
  <c r="K3755" i="1"/>
  <c r="K3747" i="1"/>
  <c r="K3739" i="1"/>
  <c r="K3731" i="1"/>
  <c r="K3723" i="1"/>
  <c r="K3715" i="1"/>
  <c r="K3707" i="1"/>
  <c r="K3699" i="1"/>
  <c r="K3691" i="1"/>
  <c r="K3683" i="1"/>
  <c r="K3675" i="1"/>
  <c r="K3663" i="1"/>
  <c r="K3653" i="1"/>
  <c r="K3643" i="1"/>
  <c r="K3631" i="1"/>
  <c r="K3621" i="1"/>
  <c r="K3611" i="1"/>
  <c r="K3599" i="1"/>
  <c r="K3589" i="1"/>
  <c r="K3579" i="1"/>
  <c r="K3567" i="1"/>
  <c r="K3557" i="1"/>
  <c r="K3547" i="1"/>
  <c r="K3535" i="1"/>
  <c r="K3525" i="1"/>
  <c r="K3515" i="1"/>
  <c r="K3503" i="1"/>
  <c r="K3493" i="1"/>
  <c r="K3483" i="1"/>
  <c r="K3471" i="1"/>
  <c r="K3461" i="1"/>
  <c r="K3451" i="1"/>
  <c r="K3439" i="1"/>
  <c r="K3429" i="1"/>
  <c r="K3419" i="1"/>
  <c r="K3407" i="1"/>
  <c r="K3397" i="1"/>
  <c r="K3387" i="1"/>
  <c r="K3375" i="1"/>
  <c r="K3365" i="1"/>
  <c r="K3355" i="1"/>
  <c r="K3343" i="1"/>
  <c r="K3333" i="1"/>
  <c r="K3323" i="1"/>
  <c r="K3311" i="1"/>
  <c r="K3301" i="1"/>
  <c r="K3291" i="1"/>
  <c r="K3279" i="1"/>
  <c r="K3269" i="1"/>
  <c r="K3259" i="1"/>
  <c r="K3247" i="1"/>
  <c r="K3237" i="1"/>
  <c r="K3227" i="1"/>
  <c r="K3215" i="1"/>
  <c r="K3205" i="1"/>
  <c r="K3195" i="1"/>
  <c r="K3183" i="1"/>
  <c r="K3172" i="1"/>
  <c r="K3156" i="1"/>
  <c r="K3138" i="1"/>
  <c r="K3119" i="1"/>
  <c r="K3103" i="1"/>
  <c r="K3086" i="1"/>
  <c r="K3070" i="1"/>
  <c r="K3052" i="1"/>
  <c r="K3035" i="1"/>
  <c r="K3019" i="1"/>
  <c r="K3002" i="1"/>
  <c r="K2986" i="1"/>
  <c r="K2966" i="1"/>
  <c r="K2949" i="1"/>
  <c r="K2933" i="1"/>
  <c r="K2916" i="1"/>
  <c r="K2900" i="1"/>
  <c r="K2882" i="1"/>
  <c r="K2863" i="1"/>
  <c r="K2847" i="1"/>
  <c r="K2830" i="1"/>
  <c r="K2814" i="1"/>
  <c r="K2796" i="1"/>
  <c r="K2779" i="1"/>
  <c r="K2763" i="1"/>
  <c r="K2746" i="1"/>
  <c r="K2730" i="1"/>
  <c r="K2710" i="1"/>
  <c r="K2693" i="1"/>
  <c r="K2677" i="1"/>
  <c r="K2660" i="1"/>
  <c r="K2644" i="1"/>
  <c r="K2626" i="1"/>
  <c r="K2607" i="1"/>
  <c r="K2591" i="1"/>
  <c r="K2574" i="1"/>
  <c r="K2558" i="1"/>
  <c r="K2540" i="1"/>
  <c r="K2523" i="1"/>
  <c r="K2507" i="1"/>
  <c r="K2490" i="1"/>
  <c r="K2474" i="1"/>
  <c r="K2454" i="1"/>
  <c r="K2437" i="1"/>
  <c r="K2421" i="1"/>
  <c r="K2404" i="1"/>
  <c r="K2388" i="1"/>
  <c r="K2370" i="1"/>
  <c r="K2351" i="1"/>
  <c r="K2335" i="1"/>
  <c r="K2318" i="1"/>
  <c r="K2302" i="1"/>
  <c r="K2284" i="1"/>
  <c r="K2267" i="1"/>
  <c r="K2251" i="1"/>
  <c r="K2228" i="1"/>
  <c r="K2186" i="1"/>
  <c r="K2142" i="1"/>
  <c r="K2100" i="1"/>
  <c r="K2053" i="1"/>
  <c r="K2002" i="1"/>
  <c r="K1954" i="1"/>
  <c r="K1906" i="1"/>
  <c r="K1856" i="1"/>
  <c r="K1800" i="1"/>
  <c r="K1718" i="1"/>
  <c r="K1634" i="1"/>
  <c r="K1550" i="1"/>
  <c r="K1466" i="1"/>
  <c r="K1383" i="1"/>
  <c r="K1285" i="1"/>
  <c r="K1130" i="1"/>
  <c r="K951" i="1"/>
  <c r="K769" i="1"/>
  <c r="K597" i="1"/>
  <c r="L3069" i="1"/>
  <c r="K3069" i="1"/>
  <c r="L3037" i="1"/>
  <c r="K3037" i="1"/>
  <c r="L2989" i="1"/>
  <c r="K2989" i="1"/>
  <c r="L2797" i="1"/>
  <c r="K2797" i="1"/>
  <c r="L2685" i="1"/>
  <c r="K2685" i="1"/>
  <c r="L2557" i="1"/>
  <c r="K2557" i="1"/>
  <c r="L2509" i="1"/>
  <c r="K2509" i="1"/>
  <c r="L2381" i="1"/>
  <c r="K2381" i="1"/>
  <c r="L2069" i="1"/>
  <c r="K2069" i="1"/>
  <c r="L2021" i="1"/>
  <c r="K2021" i="1"/>
  <c r="L1949" i="1"/>
  <c r="K1949" i="1"/>
  <c r="L1933" i="1"/>
  <c r="K1933" i="1"/>
  <c r="L1885" i="1"/>
  <c r="K1885" i="1"/>
  <c r="L1813" i="1"/>
  <c r="K1813" i="1"/>
  <c r="L1725" i="1"/>
  <c r="K1725" i="1"/>
  <c r="L1565" i="1"/>
  <c r="K1565" i="1"/>
  <c r="L1501" i="1"/>
  <c r="K1501" i="1"/>
  <c r="L1445" i="1"/>
  <c r="K1445" i="1"/>
  <c r="L1389" i="1"/>
  <c r="K1389" i="1"/>
  <c r="L1349" i="1"/>
  <c r="K1349" i="1"/>
  <c r="L1301" i="1"/>
  <c r="K1301" i="1"/>
  <c r="L1245" i="1"/>
  <c r="K1245" i="1"/>
  <c r="L1181" i="1"/>
  <c r="K1181" i="1"/>
  <c r="L1125" i="1"/>
  <c r="K1125" i="1"/>
  <c r="L1069" i="1"/>
  <c r="K1069" i="1"/>
  <c r="L1013" i="1"/>
  <c r="K1013" i="1"/>
  <c r="L973" i="1"/>
  <c r="K973" i="1"/>
  <c r="L925" i="1"/>
  <c r="K925" i="1"/>
  <c r="L877" i="1"/>
  <c r="K877" i="1"/>
  <c r="L821" i="1"/>
  <c r="K821" i="1"/>
  <c r="L773" i="1"/>
  <c r="K773" i="1"/>
  <c r="L725" i="1"/>
  <c r="K725" i="1"/>
  <c r="L669" i="1"/>
  <c r="K669" i="1"/>
  <c r="L629" i="1"/>
  <c r="K629" i="1"/>
  <c r="L573" i="1"/>
  <c r="K573" i="1"/>
  <c r="L533" i="1"/>
  <c r="K533" i="1"/>
  <c r="L469" i="1"/>
  <c r="K469" i="1"/>
  <c r="L421" i="1"/>
  <c r="K421" i="1"/>
  <c r="L357" i="1"/>
  <c r="K357" i="1"/>
  <c r="L301" i="1"/>
  <c r="K301" i="1"/>
  <c r="L237" i="1"/>
  <c r="K237" i="1"/>
  <c r="L181" i="1"/>
  <c r="K181" i="1"/>
  <c r="L133" i="1"/>
  <c r="K133" i="1"/>
  <c r="L77" i="1"/>
  <c r="K77" i="1"/>
  <c r="L45" i="1"/>
  <c r="K45" i="1"/>
  <c r="L5" i="1"/>
  <c r="K5" i="1"/>
  <c r="L3164" i="1"/>
  <c r="K3164" i="1"/>
  <c r="L3100" i="1"/>
  <c r="K3100" i="1"/>
  <c r="L3068" i="1"/>
  <c r="K3068" i="1"/>
  <c r="L2972" i="1"/>
  <c r="K2972" i="1"/>
  <c r="L2460" i="1"/>
  <c r="K2460" i="1"/>
  <c r="L2428" i="1"/>
  <c r="K2428" i="1"/>
  <c r="L2268" i="1"/>
  <c r="K2268" i="1"/>
  <c r="L2236" i="1"/>
  <c r="K2236" i="1"/>
  <c r="L2204" i="1"/>
  <c r="K2204" i="1"/>
  <c r="L2060" i="1"/>
  <c r="K2060" i="1"/>
  <c r="L2012" i="1"/>
  <c r="K2012" i="1"/>
  <c r="L1964" i="1"/>
  <c r="K1964" i="1"/>
  <c r="L1932" i="1"/>
  <c r="K1932" i="1"/>
  <c r="L1884" i="1"/>
  <c r="K1884" i="1"/>
  <c r="L1852" i="1"/>
  <c r="K1852" i="1"/>
  <c r="L1796" i="1"/>
  <c r="K1796" i="1"/>
  <c r="L1644" i="1"/>
  <c r="K1644" i="1"/>
  <c r="L1604" i="1"/>
  <c r="K1604" i="1"/>
  <c r="L1580" i="1"/>
  <c r="K1580" i="1"/>
  <c r="L1532" i="1"/>
  <c r="K1532" i="1"/>
  <c r="L1500" i="1"/>
  <c r="K1500" i="1"/>
  <c r="L1460" i="1"/>
  <c r="K1460" i="1"/>
  <c r="L1420" i="1"/>
  <c r="K1420" i="1"/>
  <c r="L1396" i="1"/>
  <c r="K1396" i="1"/>
  <c r="L1356" i="1"/>
  <c r="K1356" i="1"/>
  <c r="L1308" i="1"/>
  <c r="K1308" i="1"/>
  <c r="L1260" i="1"/>
  <c r="K1260" i="1"/>
  <c r="L1044" i="1"/>
  <c r="K1044" i="1"/>
  <c r="L988" i="1"/>
  <c r="K988" i="1"/>
  <c r="L956" i="1"/>
  <c r="K956" i="1"/>
  <c r="L908" i="1"/>
  <c r="K908" i="1"/>
  <c r="L852" i="1"/>
  <c r="K852" i="1"/>
  <c r="L772" i="1"/>
  <c r="K772" i="1"/>
  <c r="L620" i="1"/>
  <c r="K620" i="1"/>
  <c r="L3159" i="1"/>
  <c r="K3159" i="1"/>
  <c r="L3143" i="1"/>
  <c r="K3143" i="1"/>
  <c r="L3127" i="1"/>
  <c r="K3127" i="1"/>
  <c r="L3111" i="1"/>
  <c r="K3111" i="1"/>
  <c r="L3095" i="1"/>
  <c r="K3095" i="1"/>
  <c r="L3079" i="1"/>
  <c r="K3079" i="1"/>
  <c r="L3063" i="1"/>
  <c r="K3063" i="1"/>
  <c r="L3047" i="1"/>
  <c r="K3047" i="1"/>
  <c r="L3031" i="1"/>
  <c r="K3031" i="1"/>
  <c r="L3015" i="1"/>
  <c r="K3015" i="1"/>
  <c r="L2999" i="1"/>
  <c r="K2999" i="1"/>
  <c r="L2983" i="1"/>
  <c r="K2983" i="1"/>
  <c r="L2967" i="1"/>
  <c r="K2967" i="1"/>
  <c r="L2951" i="1"/>
  <c r="K2951" i="1"/>
  <c r="L2935" i="1"/>
  <c r="K2935" i="1"/>
  <c r="L2919" i="1"/>
  <c r="K2919" i="1"/>
  <c r="L2903" i="1"/>
  <c r="K2903" i="1"/>
  <c r="L2887" i="1"/>
  <c r="K2887" i="1"/>
  <c r="L2871" i="1"/>
  <c r="K2871" i="1"/>
  <c r="L2855" i="1"/>
  <c r="K2855" i="1"/>
  <c r="L2839" i="1"/>
  <c r="K2839" i="1"/>
  <c r="L2823" i="1"/>
  <c r="K2823" i="1"/>
  <c r="L2807" i="1"/>
  <c r="K2807" i="1"/>
  <c r="L2791" i="1"/>
  <c r="K2791" i="1"/>
  <c r="L2775" i="1"/>
  <c r="K2775" i="1"/>
  <c r="L2759" i="1"/>
  <c r="K2759" i="1"/>
  <c r="L2743" i="1"/>
  <c r="K2743" i="1"/>
  <c r="L2727" i="1"/>
  <c r="K2727" i="1"/>
  <c r="L2711" i="1"/>
  <c r="K2711" i="1"/>
  <c r="L2695" i="1"/>
  <c r="K2695" i="1"/>
  <c r="L2679" i="1"/>
  <c r="K2679" i="1"/>
  <c r="L2663" i="1"/>
  <c r="K2663" i="1"/>
  <c r="L2647" i="1"/>
  <c r="K2647" i="1"/>
  <c r="L2631" i="1"/>
  <c r="K2631" i="1"/>
  <c r="L2615" i="1"/>
  <c r="K2615" i="1"/>
  <c r="L2599" i="1"/>
  <c r="K2599" i="1"/>
  <c r="L2583" i="1"/>
  <c r="K2583" i="1"/>
  <c r="L2567" i="1"/>
  <c r="K2567" i="1"/>
  <c r="L2551" i="1"/>
  <c r="K2551" i="1"/>
  <c r="L2535" i="1"/>
  <c r="K2535" i="1"/>
  <c r="L2519" i="1"/>
  <c r="K2519" i="1"/>
  <c r="L2503" i="1"/>
  <c r="K2503" i="1"/>
  <c r="L2487" i="1"/>
  <c r="K2487" i="1"/>
  <c r="L2471" i="1"/>
  <c r="K2471" i="1"/>
  <c r="L2455" i="1"/>
  <c r="K2455" i="1"/>
  <c r="L2439" i="1"/>
  <c r="K2439" i="1"/>
  <c r="L2423" i="1"/>
  <c r="K2423" i="1"/>
  <c r="L2407" i="1"/>
  <c r="K2407" i="1"/>
  <c r="L2391" i="1"/>
  <c r="K2391" i="1"/>
  <c r="L2375" i="1"/>
  <c r="K2375" i="1"/>
  <c r="L2359" i="1"/>
  <c r="K2359" i="1"/>
  <c r="L2343" i="1"/>
  <c r="K2343" i="1"/>
  <c r="L2327" i="1"/>
  <c r="K2327" i="1"/>
  <c r="L2311" i="1"/>
  <c r="K2311" i="1"/>
  <c r="L2295" i="1"/>
  <c r="K2295" i="1"/>
  <c r="L2279" i="1"/>
  <c r="K2279" i="1"/>
  <c r="L2263" i="1"/>
  <c r="K2263" i="1"/>
  <c r="L2247" i="1"/>
  <c r="K2247" i="1"/>
  <c r="L2231" i="1"/>
  <c r="K2231" i="1"/>
  <c r="L2223" i="1"/>
  <c r="K2223" i="1"/>
  <c r="L2215" i="1"/>
  <c r="K2215" i="1"/>
  <c r="L2199" i="1"/>
  <c r="K2199" i="1"/>
  <c r="L2191" i="1"/>
  <c r="K2191" i="1"/>
  <c r="L2183" i="1"/>
  <c r="K2183" i="1"/>
  <c r="L2167" i="1"/>
  <c r="K2167" i="1"/>
  <c r="L2159" i="1"/>
  <c r="K2159" i="1"/>
  <c r="L2151" i="1"/>
  <c r="K2151" i="1"/>
  <c r="L2135" i="1"/>
  <c r="K2135" i="1"/>
  <c r="L2127" i="1"/>
  <c r="K2127" i="1"/>
  <c r="L2119" i="1"/>
  <c r="K2119" i="1"/>
  <c r="L2103" i="1"/>
  <c r="K2103" i="1"/>
  <c r="L2095" i="1"/>
  <c r="K2095" i="1"/>
  <c r="L2087" i="1"/>
  <c r="K2087" i="1"/>
  <c r="L2079" i="1"/>
  <c r="K2079" i="1"/>
  <c r="L2071" i="1"/>
  <c r="K2071" i="1"/>
  <c r="L2063" i="1"/>
  <c r="K2063" i="1"/>
  <c r="L2055" i="1"/>
  <c r="K2055" i="1"/>
  <c r="L2047" i="1"/>
  <c r="K2047" i="1"/>
  <c r="L2031" i="1"/>
  <c r="K2031" i="1"/>
  <c r="L2023" i="1"/>
  <c r="K2023" i="1"/>
  <c r="L2015" i="1"/>
  <c r="K2015" i="1"/>
  <c r="L2007" i="1"/>
  <c r="K2007" i="1"/>
  <c r="L1999" i="1"/>
  <c r="K1999" i="1"/>
  <c r="L1983" i="1"/>
  <c r="K1983" i="1"/>
  <c r="L1975" i="1"/>
  <c r="K1975" i="1"/>
  <c r="L1959" i="1"/>
  <c r="K1959" i="1"/>
  <c r="L1951" i="1"/>
  <c r="K1951" i="1"/>
  <c r="L1935" i="1"/>
  <c r="K1935" i="1"/>
  <c r="L1927" i="1"/>
  <c r="K1927" i="1"/>
  <c r="L1911" i="1"/>
  <c r="K1911" i="1"/>
  <c r="L1903" i="1"/>
  <c r="K1903" i="1"/>
  <c r="L1895" i="1"/>
  <c r="K1895" i="1"/>
  <c r="L1887" i="1"/>
  <c r="K1887" i="1"/>
  <c r="L1879" i="1"/>
  <c r="K1879" i="1"/>
  <c r="L1863" i="1"/>
  <c r="K1863" i="1"/>
  <c r="L1855" i="1"/>
  <c r="K1855" i="1"/>
  <c r="L1847" i="1"/>
  <c r="K1847" i="1"/>
  <c r="L1839" i="1"/>
  <c r="K1839" i="1"/>
  <c r="L1831" i="1"/>
  <c r="K1831" i="1"/>
  <c r="L1823" i="1"/>
  <c r="K1823" i="1"/>
  <c r="L1815" i="1"/>
  <c r="K1815" i="1"/>
  <c r="L1807" i="1"/>
  <c r="K1807" i="1"/>
  <c r="L1799" i="1"/>
  <c r="K1799" i="1"/>
  <c r="L1791" i="1"/>
  <c r="K1791" i="1"/>
  <c r="L1783" i="1"/>
  <c r="K1783" i="1"/>
  <c r="L1775" i="1"/>
  <c r="K1775" i="1"/>
  <c r="L1767" i="1"/>
  <c r="K1767" i="1"/>
  <c r="L1751" i="1"/>
  <c r="K1751" i="1"/>
  <c r="L1743" i="1"/>
  <c r="K1743" i="1"/>
  <c r="L1735" i="1"/>
  <c r="K1735" i="1"/>
  <c r="L1727" i="1"/>
  <c r="K1727" i="1"/>
  <c r="L1711" i="1"/>
  <c r="K1711" i="1"/>
  <c r="L1703" i="1"/>
  <c r="K1703" i="1"/>
  <c r="L1695" i="1"/>
  <c r="K1695" i="1"/>
  <c r="L1687" i="1"/>
  <c r="K1687" i="1"/>
  <c r="L1679" i="1"/>
  <c r="K1679" i="1"/>
  <c r="L1671" i="1"/>
  <c r="K1671" i="1"/>
  <c r="L1663" i="1"/>
  <c r="K1663" i="1"/>
  <c r="L1647" i="1"/>
  <c r="K1647" i="1"/>
  <c r="L1639" i="1"/>
  <c r="K1639" i="1"/>
  <c r="L1631" i="1"/>
  <c r="K1631" i="1"/>
  <c r="L1623" i="1"/>
  <c r="K1623" i="1"/>
  <c r="L1615" i="1"/>
  <c r="K1615" i="1"/>
  <c r="L1607" i="1"/>
  <c r="K1607" i="1"/>
  <c r="L1599" i="1"/>
  <c r="K1599" i="1"/>
  <c r="L1591" i="1"/>
  <c r="K1591" i="1"/>
  <c r="L1583" i="1"/>
  <c r="K1583" i="1"/>
  <c r="L1575" i="1"/>
  <c r="K1575" i="1"/>
  <c r="L1567" i="1"/>
  <c r="K1567" i="1"/>
  <c r="L1559" i="1"/>
  <c r="K1559" i="1"/>
  <c r="L1551" i="1"/>
  <c r="K1551" i="1"/>
  <c r="L1543" i="1"/>
  <c r="K1543" i="1"/>
  <c r="L1535" i="1"/>
  <c r="K1535" i="1"/>
  <c r="L1527" i="1"/>
  <c r="K1527" i="1"/>
  <c r="L1519" i="1"/>
  <c r="K1519" i="1"/>
  <c r="L1511" i="1"/>
  <c r="K1511" i="1"/>
  <c r="L1503" i="1"/>
  <c r="K1503" i="1"/>
  <c r="L1495" i="1"/>
  <c r="K1495" i="1"/>
  <c r="L1487" i="1"/>
  <c r="K1487" i="1"/>
  <c r="L1479" i="1"/>
  <c r="K1479" i="1"/>
  <c r="L1471" i="1"/>
  <c r="K1471" i="1"/>
  <c r="L1463" i="1"/>
  <c r="K1463" i="1"/>
  <c r="L1455" i="1"/>
  <c r="K1455" i="1"/>
  <c r="L1439" i="1"/>
  <c r="K1439" i="1"/>
  <c r="L1431" i="1"/>
  <c r="K1431" i="1"/>
  <c r="L1423" i="1"/>
  <c r="K1423" i="1"/>
  <c r="L1415" i="1"/>
  <c r="K1415" i="1"/>
  <c r="L1407" i="1"/>
  <c r="K1407" i="1"/>
  <c r="L1399" i="1"/>
  <c r="K1399" i="1"/>
  <c r="L1391" i="1"/>
  <c r="K1391" i="1"/>
  <c r="L1375" i="1"/>
  <c r="K1375" i="1"/>
  <c r="L1367" i="1"/>
  <c r="K1367" i="1"/>
  <c r="L1359" i="1"/>
  <c r="K1359" i="1"/>
  <c r="L1351" i="1"/>
  <c r="K1351" i="1"/>
  <c r="L1343" i="1"/>
  <c r="K1343" i="1"/>
  <c r="L1335" i="1"/>
  <c r="K1335" i="1"/>
  <c r="L1327" i="1"/>
  <c r="K1327" i="1"/>
  <c r="L1319" i="1"/>
  <c r="K1319" i="1"/>
  <c r="L1311" i="1"/>
  <c r="K1311" i="1"/>
  <c r="L1303" i="1"/>
  <c r="K1303" i="1"/>
  <c r="L1295" i="1"/>
  <c r="K1295" i="1"/>
  <c r="L1287" i="1"/>
  <c r="K1287" i="1"/>
  <c r="L1279" i="1"/>
  <c r="K1279" i="1"/>
  <c r="L1271" i="1"/>
  <c r="K1271" i="1"/>
  <c r="L1263" i="1"/>
  <c r="K1263" i="1"/>
  <c r="L1255" i="1"/>
  <c r="K1255" i="1"/>
  <c r="L1247" i="1"/>
  <c r="K1247" i="1"/>
  <c r="L1239" i="1"/>
  <c r="K1239" i="1"/>
  <c r="L1231" i="1"/>
  <c r="K1231" i="1"/>
  <c r="L1223" i="1"/>
  <c r="K1223" i="1"/>
  <c r="L1215" i="1"/>
  <c r="K1215" i="1"/>
  <c r="L1207" i="1"/>
  <c r="K1207" i="1"/>
  <c r="L1199" i="1"/>
  <c r="K1199" i="1"/>
  <c r="L1191" i="1"/>
  <c r="K1191" i="1"/>
  <c r="L1183" i="1"/>
  <c r="K1183" i="1"/>
  <c r="L1175" i="1"/>
  <c r="K1175" i="1"/>
  <c r="L1167" i="1"/>
  <c r="K1167" i="1"/>
  <c r="L1159" i="1"/>
  <c r="K1159" i="1"/>
  <c r="L1151" i="1"/>
  <c r="K1151" i="1"/>
  <c r="L1143" i="1"/>
  <c r="K1143" i="1"/>
  <c r="L1127" i="1"/>
  <c r="K1127" i="1"/>
  <c r="L1119" i="1"/>
  <c r="K1119" i="1"/>
  <c r="L1111" i="1"/>
  <c r="K1111" i="1"/>
  <c r="L1103" i="1"/>
  <c r="K1103" i="1"/>
  <c r="L1095" i="1"/>
  <c r="K1095" i="1"/>
  <c r="L1087" i="1"/>
  <c r="K1087" i="1"/>
  <c r="L1079" i="1"/>
  <c r="K1079" i="1"/>
  <c r="L1071" i="1"/>
  <c r="K1071" i="1"/>
  <c r="L1063" i="1"/>
  <c r="K1063" i="1"/>
  <c r="L1055" i="1"/>
  <c r="K1055" i="1"/>
  <c r="L1039" i="1"/>
  <c r="K1039" i="1"/>
  <c r="L1031" i="1"/>
  <c r="K1031" i="1"/>
  <c r="L1023" i="1"/>
  <c r="K1023" i="1"/>
  <c r="L1015" i="1"/>
  <c r="K1015" i="1"/>
  <c r="L1007" i="1"/>
  <c r="K1007" i="1"/>
  <c r="L991" i="1"/>
  <c r="K991" i="1"/>
  <c r="L983" i="1"/>
  <c r="K983" i="1"/>
  <c r="L975" i="1"/>
  <c r="K975" i="1"/>
  <c r="L967" i="1"/>
  <c r="K967" i="1"/>
  <c r="L959" i="1"/>
  <c r="K959" i="1"/>
  <c r="L943" i="1"/>
  <c r="K943" i="1"/>
  <c r="L935" i="1"/>
  <c r="K935" i="1"/>
  <c r="L927" i="1"/>
  <c r="K927" i="1"/>
  <c r="L919" i="1"/>
  <c r="K919" i="1"/>
  <c r="L911" i="1"/>
  <c r="K911" i="1"/>
  <c r="L903" i="1"/>
  <c r="K903" i="1"/>
  <c r="L895" i="1"/>
  <c r="K895" i="1"/>
  <c r="L887" i="1"/>
  <c r="K887" i="1"/>
  <c r="L879" i="1"/>
  <c r="K879" i="1"/>
  <c r="L871" i="1"/>
  <c r="K871" i="1"/>
  <c r="L863" i="1"/>
  <c r="K863" i="1"/>
  <c r="L855" i="1"/>
  <c r="K855" i="1"/>
  <c r="L847" i="1"/>
  <c r="K847" i="1"/>
  <c r="L839" i="1"/>
  <c r="K839" i="1"/>
  <c r="L831" i="1"/>
  <c r="K831" i="1"/>
  <c r="L823" i="1"/>
  <c r="K823" i="1"/>
  <c r="L815" i="1"/>
  <c r="K815" i="1"/>
  <c r="L807" i="1"/>
  <c r="K807" i="1"/>
  <c r="L799" i="1"/>
  <c r="K799" i="1"/>
  <c r="L791" i="1"/>
  <c r="K791" i="1"/>
  <c r="L783" i="1"/>
  <c r="K783" i="1"/>
  <c r="L775" i="1"/>
  <c r="K775" i="1"/>
  <c r="L767" i="1"/>
  <c r="K767" i="1"/>
  <c r="L759" i="1"/>
  <c r="K759" i="1"/>
  <c r="L751" i="1"/>
  <c r="K751" i="1"/>
  <c r="L743" i="1"/>
  <c r="K743" i="1"/>
  <c r="L735" i="1"/>
  <c r="K735" i="1"/>
  <c r="L727" i="1"/>
  <c r="K727" i="1"/>
  <c r="L719" i="1"/>
  <c r="K719" i="1"/>
  <c r="L711" i="1"/>
  <c r="K711" i="1"/>
  <c r="L703" i="1"/>
  <c r="K703" i="1"/>
  <c r="L695" i="1"/>
  <c r="K695" i="1"/>
  <c r="L687" i="1"/>
  <c r="K687" i="1"/>
  <c r="L679" i="1"/>
  <c r="K679" i="1"/>
  <c r="L671" i="1"/>
  <c r="K671" i="1"/>
  <c r="L663" i="1"/>
  <c r="K663" i="1"/>
  <c r="L655" i="1"/>
  <c r="K655" i="1"/>
  <c r="L639" i="1"/>
  <c r="K639" i="1"/>
  <c r="L631" i="1"/>
  <c r="K631" i="1"/>
  <c r="L623" i="1"/>
  <c r="K623" i="1"/>
  <c r="L615" i="1"/>
  <c r="K615" i="1"/>
  <c r="L607" i="1"/>
  <c r="K607" i="1"/>
  <c r="L599" i="1"/>
  <c r="K599" i="1"/>
  <c r="L591" i="1"/>
  <c r="K591" i="1"/>
  <c r="L583" i="1"/>
  <c r="K583" i="1"/>
  <c r="L575" i="1"/>
  <c r="K575" i="1"/>
  <c r="L567" i="1"/>
  <c r="K567" i="1"/>
  <c r="L559" i="1"/>
  <c r="K559" i="1"/>
  <c r="L551" i="1"/>
  <c r="K551" i="1"/>
  <c r="L543" i="1"/>
  <c r="K543" i="1"/>
  <c r="L535" i="1"/>
  <c r="K535" i="1"/>
  <c r="L527" i="1"/>
  <c r="K527" i="1"/>
  <c r="L519" i="1"/>
  <c r="K519" i="1"/>
  <c r="L511" i="1"/>
  <c r="K511" i="1"/>
  <c r="L503" i="1"/>
  <c r="K503" i="1"/>
  <c r="L495" i="1"/>
  <c r="K495" i="1"/>
  <c r="L487" i="1"/>
  <c r="K487" i="1"/>
  <c r="L479" i="1"/>
  <c r="K479" i="1"/>
  <c r="L471" i="1"/>
  <c r="K471" i="1"/>
  <c r="L463" i="1"/>
  <c r="K463" i="1"/>
  <c r="L455" i="1"/>
  <c r="K455" i="1"/>
  <c r="L447" i="1"/>
  <c r="K447" i="1"/>
  <c r="L439" i="1"/>
  <c r="K439" i="1"/>
  <c r="L431" i="1"/>
  <c r="K431" i="1"/>
  <c r="L423" i="1"/>
  <c r="K423" i="1"/>
  <c r="L415" i="1"/>
  <c r="K415" i="1"/>
  <c r="L407" i="1"/>
  <c r="K407" i="1"/>
  <c r="L399" i="1"/>
  <c r="K399" i="1"/>
  <c r="L391" i="1"/>
  <c r="K391" i="1"/>
  <c r="L383" i="1"/>
  <c r="K383" i="1"/>
  <c r="L375" i="1"/>
  <c r="K375" i="1"/>
  <c r="L367" i="1"/>
  <c r="K367" i="1"/>
  <c r="L359" i="1"/>
  <c r="K359" i="1"/>
  <c r="L351" i="1"/>
  <c r="K351" i="1"/>
  <c r="L343" i="1"/>
  <c r="K343" i="1"/>
  <c r="L335" i="1"/>
  <c r="K335" i="1"/>
  <c r="L327" i="1"/>
  <c r="K327" i="1"/>
  <c r="L319" i="1"/>
  <c r="K319" i="1"/>
  <c r="L311" i="1"/>
  <c r="K311" i="1"/>
  <c r="L303" i="1"/>
  <c r="K303" i="1"/>
  <c r="L295" i="1"/>
  <c r="K295" i="1"/>
  <c r="L287" i="1"/>
  <c r="K287" i="1"/>
  <c r="L279" i="1"/>
  <c r="K279" i="1"/>
  <c r="L271" i="1"/>
  <c r="K271" i="1"/>
  <c r="L263" i="1"/>
  <c r="K263" i="1"/>
  <c r="L255" i="1"/>
  <c r="K255" i="1"/>
  <c r="L247" i="1"/>
  <c r="K247" i="1"/>
  <c r="L239" i="1"/>
  <c r="K239" i="1"/>
  <c r="L231" i="1"/>
  <c r="K231" i="1"/>
  <c r="L223" i="1"/>
  <c r="K223" i="1"/>
  <c r="L215" i="1"/>
  <c r="K215" i="1"/>
  <c r="L207" i="1"/>
  <c r="K207" i="1"/>
  <c r="L199" i="1"/>
  <c r="K199" i="1"/>
  <c r="L191" i="1"/>
  <c r="K191" i="1"/>
  <c r="L183" i="1"/>
  <c r="K183" i="1"/>
  <c r="L175" i="1"/>
  <c r="K175" i="1"/>
  <c r="L167" i="1"/>
  <c r="K167" i="1"/>
  <c r="L159" i="1"/>
  <c r="K159" i="1"/>
  <c r="L151" i="1"/>
  <c r="K151" i="1"/>
  <c r="L143" i="1"/>
  <c r="K143" i="1"/>
  <c r="L135" i="1"/>
  <c r="K135" i="1"/>
  <c r="L127" i="1"/>
  <c r="K127" i="1"/>
  <c r="L119" i="1"/>
  <c r="K119" i="1"/>
  <c r="L111" i="1"/>
  <c r="K111" i="1"/>
  <c r="L103" i="1"/>
  <c r="K103" i="1"/>
  <c r="L95" i="1"/>
  <c r="K95" i="1"/>
  <c r="L87" i="1"/>
  <c r="K87" i="1"/>
  <c r="L79" i="1"/>
  <c r="K79" i="1"/>
  <c r="L71" i="1"/>
  <c r="K71" i="1"/>
  <c r="L63" i="1"/>
  <c r="K63" i="1"/>
  <c r="L55" i="1"/>
  <c r="K55" i="1"/>
  <c r="L47" i="1"/>
  <c r="K47" i="1"/>
  <c r="L39" i="1"/>
  <c r="K39" i="1"/>
  <c r="L31" i="1"/>
  <c r="K31" i="1"/>
  <c r="L23" i="1"/>
  <c r="K23" i="1"/>
  <c r="L15" i="1"/>
  <c r="K15" i="1"/>
  <c r="L7" i="1"/>
  <c r="K7" i="1"/>
  <c r="K3762" i="1"/>
  <c r="K3754" i="1"/>
  <c r="K3746" i="1"/>
  <c r="K3738" i="1"/>
  <c r="K3730" i="1"/>
  <c r="K3722" i="1"/>
  <c r="K3714" i="1"/>
  <c r="K3706" i="1"/>
  <c r="K3698" i="1"/>
  <c r="K3690" i="1"/>
  <c r="K3682" i="1"/>
  <c r="K3674" i="1"/>
  <c r="K3662" i="1"/>
  <c r="K3652" i="1"/>
  <c r="K3642" i="1"/>
  <c r="K3630" i="1"/>
  <c r="K3620" i="1"/>
  <c r="K3610" i="1"/>
  <c r="K3598" i="1"/>
  <c r="K3588" i="1"/>
  <c r="K3578" i="1"/>
  <c r="K3566" i="1"/>
  <c r="K3556" i="1"/>
  <c r="K3546" i="1"/>
  <c r="K3534" i="1"/>
  <c r="K3524" i="1"/>
  <c r="K3514" i="1"/>
  <c r="K3502" i="1"/>
  <c r="K3492" i="1"/>
  <c r="K3482" i="1"/>
  <c r="K3470" i="1"/>
  <c r="K3460" i="1"/>
  <c r="K3450" i="1"/>
  <c r="K3438" i="1"/>
  <c r="K3428" i="1"/>
  <c r="K3418" i="1"/>
  <c r="K3406" i="1"/>
  <c r="K3396" i="1"/>
  <c r="K3386" i="1"/>
  <c r="K3374" i="1"/>
  <c r="K3364" i="1"/>
  <c r="K3354" i="1"/>
  <c r="K3342" i="1"/>
  <c r="K3332" i="1"/>
  <c r="K3322" i="1"/>
  <c r="K3310" i="1"/>
  <c r="K3300" i="1"/>
  <c r="K3290" i="1"/>
  <c r="K3278" i="1"/>
  <c r="K3268" i="1"/>
  <c r="K3258" i="1"/>
  <c r="K3246" i="1"/>
  <c r="K3236" i="1"/>
  <c r="K3226" i="1"/>
  <c r="K3214" i="1"/>
  <c r="K3204" i="1"/>
  <c r="K3194" i="1"/>
  <c r="K3182" i="1"/>
  <c r="K3170" i="1"/>
  <c r="K3151" i="1"/>
  <c r="K3135" i="1"/>
  <c r="K3118" i="1"/>
  <c r="K3102" i="1"/>
  <c r="K3084" i="1"/>
  <c r="K3067" i="1"/>
  <c r="K3051" i="1"/>
  <c r="K3034" i="1"/>
  <c r="K3018" i="1"/>
  <c r="K2998" i="1"/>
  <c r="K2981" i="1"/>
  <c r="K2965" i="1"/>
  <c r="K2948" i="1"/>
  <c r="K2932" i="1"/>
  <c r="K2914" i="1"/>
  <c r="K2895" i="1"/>
  <c r="K2879" i="1"/>
  <c r="K2862" i="1"/>
  <c r="K2846" i="1"/>
  <c r="K2828" i="1"/>
  <c r="K2811" i="1"/>
  <c r="K2795" i="1"/>
  <c r="K2778" i="1"/>
  <c r="K2762" i="1"/>
  <c r="K2742" i="1"/>
  <c r="K2725" i="1"/>
  <c r="K2709" i="1"/>
  <c r="K2692" i="1"/>
  <c r="K2676" i="1"/>
  <c r="K2658" i="1"/>
  <c r="K2639" i="1"/>
  <c r="K2623" i="1"/>
  <c r="K2606" i="1"/>
  <c r="K2590" i="1"/>
  <c r="K2572" i="1"/>
  <c r="K2555" i="1"/>
  <c r="K2539" i="1"/>
  <c r="K2522" i="1"/>
  <c r="K2506" i="1"/>
  <c r="K2486" i="1"/>
  <c r="K2469" i="1"/>
  <c r="K2453" i="1"/>
  <c r="K2436" i="1"/>
  <c r="K2420" i="1"/>
  <c r="K2402" i="1"/>
  <c r="K2383" i="1"/>
  <c r="K2367" i="1"/>
  <c r="K2350" i="1"/>
  <c r="K2334" i="1"/>
  <c r="K2316" i="1"/>
  <c r="K2299" i="1"/>
  <c r="K2283" i="1"/>
  <c r="K2266" i="1"/>
  <c r="K2250" i="1"/>
  <c r="K2219" i="1"/>
  <c r="K2175" i="1"/>
  <c r="K2133" i="1"/>
  <c r="K2090" i="1"/>
  <c r="K2040" i="1"/>
  <c r="K1992" i="1"/>
  <c r="K1944" i="1"/>
  <c r="K1894" i="1"/>
  <c r="K1846" i="1"/>
  <c r="K1782" i="1"/>
  <c r="K1698" i="1"/>
  <c r="K1614" i="1"/>
  <c r="K1530" i="1"/>
  <c r="K1447" i="1"/>
  <c r="K1364" i="1"/>
  <c r="K1258" i="1"/>
  <c r="K1086" i="1"/>
  <c r="K916" i="1"/>
  <c r="K733" i="1"/>
  <c r="K525" i="1"/>
  <c r="L3473" i="1"/>
  <c r="L3149" i="1"/>
  <c r="K3149" i="1"/>
  <c r="L3133" i="1"/>
  <c r="K3133" i="1"/>
  <c r="L3101" i="1"/>
  <c r="K3101" i="1"/>
  <c r="L2957" i="1"/>
  <c r="K2957" i="1"/>
  <c r="L2925" i="1"/>
  <c r="K2925" i="1"/>
  <c r="L2765" i="1"/>
  <c r="K2765" i="1"/>
  <c r="L2749" i="1"/>
  <c r="K2749" i="1"/>
  <c r="L2717" i="1"/>
  <c r="K2717" i="1"/>
  <c r="L2637" i="1"/>
  <c r="K2637" i="1"/>
  <c r="L2621" i="1"/>
  <c r="K2621" i="1"/>
  <c r="L2589" i="1"/>
  <c r="K2589" i="1"/>
  <c r="L2573" i="1"/>
  <c r="K2573" i="1"/>
  <c r="L2461" i="1"/>
  <c r="K2461" i="1"/>
  <c r="L2349" i="1"/>
  <c r="K2349" i="1"/>
  <c r="L2237" i="1"/>
  <c r="K2237" i="1"/>
  <c r="L2037" i="1"/>
  <c r="K2037" i="1"/>
  <c r="L1997" i="1"/>
  <c r="K1997" i="1"/>
  <c r="L1941" i="1"/>
  <c r="K1941" i="1"/>
  <c r="L1901" i="1"/>
  <c r="K1901" i="1"/>
  <c r="L1877" i="1"/>
  <c r="K1877" i="1"/>
  <c r="L1853" i="1"/>
  <c r="K1853" i="1"/>
  <c r="L1829" i="1"/>
  <c r="K1829" i="1"/>
  <c r="L1765" i="1"/>
  <c r="K1765" i="1"/>
  <c r="L1733" i="1"/>
  <c r="K1733" i="1"/>
  <c r="L1701" i="1"/>
  <c r="K1701" i="1"/>
  <c r="L1629" i="1"/>
  <c r="K1629" i="1"/>
  <c r="L1589" i="1"/>
  <c r="K1589" i="1"/>
  <c r="L1549" i="1"/>
  <c r="K1549" i="1"/>
  <c r="L1525" i="1"/>
  <c r="K1525" i="1"/>
  <c r="L1461" i="1"/>
  <c r="K1461" i="1"/>
  <c r="L1397" i="1"/>
  <c r="K1397" i="1"/>
  <c r="L1341" i="1"/>
  <c r="K1341" i="1"/>
  <c r="L1293" i="1"/>
  <c r="K1293" i="1"/>
  <c r="L1261" i="1"/>
  <c r="K1261" i="1"/>
  <c r="L1237" i="1"/>
  <c r="K1237" i="1"/>
  <c r="L1189" i="1"/>
  <c r="K1189" i="1"/>
  <c r="L1133" i="1"/>
  <c r="K1133" i="1"/>
  <c r="L1077" i="1"/>
  <c r="K1077" i="1"/>
  <c r="L1045" i="1"/>
  <c r="K1045" i="1"/>
  <c r="L997" i="1"/>
  <c r="K997" i="1"/>
  <c r="L949" i="1"/>
  <c r="K949" i="1"/>
  <c r="L893" i="1"/>
  <c r="K893" i="1"/>
  <c r="L845" i="1"/>
  <c r="K845" i="1"/>
  <c r="L813" i="1"/>
  <c r="K813" i="1"/>
  <c r="L789" i="1"/>
  <c r="K789" i="1"/>
  <c r="L757" i="1"/>
  <c r="K757" i="1"/>
  <c r="L693" i="1"/>
  <c r="K693" i="1"/>
  <c r="L589" i="1"/>
  <c r="K589" i="1"/>
  <c r="L541" i="1"/>
  <c r="K541" i="1"/>
  <c r="L509" i="1"/>
  <c r="K509" i="1"/>
  <c r="L485" i="1"/>
  <c r="K485" i="1"/>
  <c r="L429" i="1"/>
  <c r="K429" i="1"/>
  <c r="L373" i="1"/>
  <c r="K373" i="1"/>
  <c r="L341" i="1"/>
  <c r="K341" i="1"/>
  <c r="L317" i="1"/>
  <c r="K317" i="1"/>
  <c r="L269" i="1"/>
  <c r="K269" i="1"/>
  <c r="L221" i="1"/>
  <c r="K221" i="1"/>
  <c r="L157" i="1"/>
  <c r="K157" i="1"/>
  <c r="L125" i="1"/>
  <c r="K125" i="1"/>
  <c r="L101" i="1"/>
  <c r="K101" i="1"/>
  <c r="L29" i="1"/>
  <c r="K29" i="1"/>
  <c r="K3029" i="1"/>
  <c r="K2277" i="1"/>
  <c r="K2165" i="1"/>
  <c r="L3132" i="1"/>
  <c r="K3132" i="1"/>
  <c r="L3004" i="1"/>
  <c r="K3004" i="1"/>
  <c r="L2876" i="1"/>
  <c r="K2876" i="1"/>
  <c r="L2844" i="1"/>
  <c r="K2844" i="1"/>
  <c r="L2716" i="1"/>
  <c r="K2716" i="1"/>
  <c r="L2652" i="1"/>
  <c r="K2652" i="1"/>
  <c r="L2492" i="1"/>
  <c r="K2492" i="1"/>
  <c r="L2332" i="1"/>
  <c r="K2332" i="1"/>
  <c r="L2212" i="1"/>
  <c r="K2212" i="1"/>
  <c r="L2188" i="1"/>
  <c r="K2188" i="1"/>
  <c r="L2148" i="1"/>
  <c r="K2148" i="1"/>
  <c r="L2116" i="1"/>
  <c r="K2116" i="1"/>
  <c r="L2084" i="1"/>
  <c r="K2084" i="1"/>
  <c r="L2068" i="1"/>
  <c r="K2068" i="1"/>
  <c r="L2052" i="1"/>
  <c r="K2052" i="1"/>
  <c r="L2020" i="1"/>
  <c r="K2020" i="1"/>
  <c r="L1996" i="1"/>
  <c r="K1996" i="1"/>
  <c r="L1916" i="1"/>
  <c r="K1916" i="1"/>
  <c r="L1900" i="1"/>
  <c r="K1900" i="1"/>
  <c r="L1732" i="1"/>
  <c r="K1732" i="1"/>
  <c r="L1708" i="1"/>
  <c r="K1708" i="1"/>
  <c r="L1684" i="1"/>
  <c r="K1684" i="1"/>
  <c r="L1588" i="1"/>
  <c r="K1588" i="1"/>
  <c r="L1540" i="1"/>
  <c r="K1540" i="1"/>
  <c r="L1452" i="1"/>
  <c r="K1452" i="1"/>
  <c r="L1412" i="1"/>
  <c r="K1412" i="1"/>
  <c r="L1332" i="1"/>
  <c r="K1332" i="1"/>
  <c r="L1292" i="1"/>
  <c r="K1292" i="1"/>
  <c r="L1244" i="1"/>
  <c r="K1244" i="1"/>
  <c r="L1212" i="1"/>
  <c r="K1212" i="1"/>
  <c r="L1164" i="1"/>
  <c r="K1164" i="1"/>
  <c r="L1140" i="1"/>
  <c r="K1140" i="1"/>
  <c r="L1116" i="1"/>
  <c r="K1116" i="1"/>
  <c r="L996" i="1"/>
  <c r="K996" i="1"/>
  <c r="L876" i="1"/>
  <c r="K876" i="1"/>
  <c r="L844" i="1"/>
  <c r="K844" i="1"/>
  <c r="L828" i="1"/>
  <c r="K828" i="1"/>
  <c r="L796" i="1"/>
  <c r="K796" i="1"/>
  <c r="L716" i="1"/>
  <c r="K716" i="1"/>
  <c r="L708" i="1"/>
  <c r="K708" i="1"/>
  <c r="L692" i="1"/>
  <c r="K692" i="1"/>
  <c r="L676" i="1"/>
  <c r="K676" i="1"/>
  <c r="L668" i="1"/>
  <c r="K668" i="1"/>
  <c r="L652" i="1"/>
  <c r="K652" i="1"/>
  <c r="L636" i="1"/>
  <c r="K636" i="1"/>
  <c r="L596" i="1"/>
  <c r="K596" i="1"/>
  <c r="L580" i="1"/>
  <c r="K580" i="1"/>
  <c r="L564" i="1"/>
  <c r="K564" i="1"/>
  <c r="L548" i="1"/>
  <c r="K548" i="1"/>
  <c r="L532" i="1"/>
  <c r="K532" i="1"/>
  <c r="L508" i="1"/>
  <c r="K508" i="1"/>
  <c r="L492" i="1"/>
  <c r="K492" i="1"/>
  <c r="L476" i="1"/>
  <c r="K476" i="1"/>
  <c r="L468" i="1"/>
  <c r="K468" i="1"/>
  <c r="L452" i="1"/>
  <c r="K452" i="1"/>
  <c r="L436" i="1"/>
  <c r="K436" i="1"/>
  <c r="L420" i="1"/>
  <c r="K420" i="1"/>
  <c r="L412" i="1"/>
  <c r="K412" i="1"/>
  <c r="L396" i="1"/>
  <c r="K396" i="1"/>
  <c r="L380" i="1"/>
  <c r="K380" i="1"/>
  <c r="L364" i="1"/>
  <c r="K364" i="1"/>
  <c r="L348" i="1"/>
  <c r="K348" i="1"/>
  <c r="L332" i="1"/>
  <c r="K332" i="1"/>
  <c r="L324" i="1"/>
  <c r="K324" i="1"/>
  <c r="L308" i="1"/>
  <c r="K308" i="1"/>
  <c r="L300" i="1"/>
  <c r="K300" i="1"/>
  <c r="L284" i="1"/>
  <c r="K284" i="1"/>
  <c r="L268" i="1"/>
  <c r="K268" i="1"/>
  <c r="L252" i="1"/>
  <c r="K252" i="1"/>
  <c r="L244" i="1"/>
  <c r="K244" i="1"/>
  <c r="L228" i="1"/>
  <c r="K228" i="1"/>
  <c r="L212" i="1"/>
  <c r="K212" i="1"/>
  <c r="L204" i="1"/>
  <c r="K204" i="1"/>
  <c r="L188" i="1"/>
  <c r="K188" i="1"/>
  <c r="L172" i="1"/>
  <c r="K172" i="1"/>
  <c r="L164" i="1"/>
  <c r="K164" i="1"/>
  <c r="L148" i="1"/>
  <c r="K148" i="1"/>
  <c r="L140" i="1"/>
  <c r="K140" i="1"/>
  <c r="L124" i="1"/>
  <c r="K124" i="1"/>
  <c r="L108" i="1"/>
  <c r="K108" i="1"/>
  <c r="L100" i="1"/>
  <c r="K100" i="1"/>
  <c r="L84" i="1"/>
  <c r="K84" i="1"/>
  <c r="L76" i="1"/>
  <c r="K76" i="1"/>
  <c r="L60" i="1"/>
  <c r="K60" i="1"/>
  <c r="L44" i="1"/>
  <c r="K44" i="1"/>
  <c r="L36" i="1"/>
  <c r="K36" i="1"/>
  <c r="L28" i="1"/>
  <c r="K28" i="1"/>
  <c r="L12" i="1"/>
  <c r="K12" i="1"/>
  <c r="L4" i="1"/>
  <c r="K4" i="1"/>
  <c r="K3637" i="1"/>
  <c r="K3573" i="1"/>
  <c r="K3541" i="1"/>
  <c r="K3509" i="1"/>
  <c r="K3477" i="1"/>
  <c r="K3445" i="1"/>
  <c r="K3413" i="1"/>
  <c r="L3142" i="1"/>
  <c r="K3142" i="1"/>
  <c r="L3110" i="1"/>
  <c r="K3110" i="1"/>
  <c r="L3078" i="1"/>
  <c r="K3078" i="1"/>
  <c r="L3046" i="1"/>
  <c r="K3046" i="1"/>
  <c r="L3014" i="1"/>
  <c r="K3014" i="1"/>
  <c r="L2982" i="1"/>
  <c r="K2982" i="1"/>
  <c r="L2950" i="1"/>
  <c r="K2950" i="1"/>
  <c r="L2918" i="1"/>
  <c r="K2918" i="1"/>
  <c r="L2886" i="1"/>
  <c r="K2886" i="1"/>
  <c r="L2854" i="1"/>
  <c r="K2854" i="1"/>
  <c r="L2822" i="1"/>
  <c r="K2822" i="1"/>
  <c r="L2790" i="1"/>
  <c r="K2790" i="1"/>
  <c r="L2758" i="1"/>
  <c r="K2758" i="1"/>
  <c r="L2726" i="1"/>
  <c r="K2726" i="1"/>
  <c r="L2694" i="1"/>
  <c r="K2694" i="1"/>
  <c r="L2662" i="1"/>
  <c r="K2662" i="1"/>
  <c r="L2630" i="1"/>
  <c r="K2630" i="1"/>
  <c r="L2598" i="1"/>
  <c r="K2598" i="1"/>
  <c r="L2566" i="1"/>
  <c r="K2566" i="1"/>
  <c r="L2534" i="1"/>
  <c r="K2534" i="1"/>
  <c r="L2502" i="1"/>
  <c r="K2502" i="1"/>
  <c r="L2470" i="1"/>
  <c r="K2470" i="1"/>
  <c r="L2438" i="1"/>
  <c r="K2438" i="1"/>
  <c r="L2406" i="1"/>
  <c r="K2406" i="1"/>
  <c r="L2374" i="1"/>
  <c r="K2374" i="1"/>
  <c r="L2342" i="1"/>
  <c r="K2342" i="1"/>
  <c r="L2310" i="1"/>
  <c r="K2310" i="1"/>
  <c r="L2278" i="1"/>
  <c r="K2278" i="1"/>
  <c r="L2246" i="1"/>
  <c r="K2246" i="1"/>
  <c r="L2230" i="1"/>
  <c r="K2230" i="1"/>
  <c r="L2222" i="1"/>
  <c r="K2222" i="1"/>
  <c r="L2214" i="1"/>
  <c r="K2214" i="1"/>
  <c r="L2198" i="1"/>
  <c r="K2198" i="1"/>
  <c r="L2190" i="1"/>
  <c r="K2190" i="1"/>
  <c r="L2182" i="1"/>
  <c r="K2182" i="1"/>
  <c r="L2166" i="1"/>
  <c r="K2166" i="1"/>
  <c r="L2158" i="1"/>
  <c r="K2158" i="1"/>
  <c r="L2150" i="1"/>
  <c r="K2150" i="1"/>
  <c r="L2134" i="1"/>
  <c r="K2134" i="1"/>
  <c r="L2126" i="1"/>
  <c r="K2126" i="1"/>
  <c r="L2118" i="1"/>
  <c r="K2118" i="1"/>
  <c r="L2102" i="1"/>
  <c r="K2102" i="1"/>
  <c r="L2094" i="1"/>
  <c r="K2094" i="1"/>
  <c r="L2086" i="1"/>
  <c r="K2086" i="1"/>
  <c r="L2078" i="1"/>
  <c r="K2078" i="1"/>
  <c r="L2070" i="1"/>
  <c r="K2070" i="1"/>
  <c r="L2062" i="1"/>
  <c r="K2062" i="1"/>
  <c r="L2046" i="1"/>
  <c r="K2046" i="1"/>
  <c r="L2038" i="1"/>
  <c r="K2038" i="1"/>
  <c r="L2030" i="1"/>
  <c r="K2030" i="1"/>
  <c r="L2022" i="1"/>
  <c r="K2022" i="1"/>
  <c r="L2014" i="1"/>
  <c r="K2014" i="1"/>
  <c r="L2006" i="1"/>
  <c r="K2006" i="1"/>
  <c r="L1998" i="1"/>
  <c r="K1998" i="1"/>
  <c r="L1990" i="1"/>
  <c r="K1990" i="1"/>
  <c r="L1982" i="1"/>
  <c r="K1982" i="1"/>
  <c r="L1974" i="1"/>
  <c r="K1974" i="1"/>
  <c r="L1958" i="1"/>
  <c r="K1958" i="1"/>
  <c r="L1950" i="1"/>
  <c r="K1950" i="1"/>
  <c r="L1942" i="1"/>
  <c r="K1942" i="1"/>
  <c r="L1934" i="1"/>
  <c r="K1934" i="1"/>
  <c r="L1926" i="1"/>
  <c r="K1926" i="1"/>
  <c r="L1910" i="1"/>
  <c r="K1910" i="1"/>
  <c r="L1902" i="1"/>
  <c r="K1902" i="1"/>
  <c r="L1886" i="1"/>
  <c r="K1886" i="1"/>
  <c r="L1878" i="1"/>
  <c r="K1878" i="1"/>
  <c r="L1862" i="1"/>
  <c r="K1862" i="1"/>
  <c r="L1854" i="1"/>
  <c r="K1854" i="1"/>
  <c r="L1838" i="1"/>
  <c r="K1838" i="1"/>
  <c r="L1830" i="1"/>
  <c r="K1830" i="1"/>
  <c r="L1822" i="1"/>
  <c r="K1822" i="1"/>
  <c r="L1814" i="1"/>
  <c r="K1814" i="1"/>
  <c r="L1806" i="1"/>
  <c r="K1806" i="1"/>
  <c r="L1798" i="1"/>
  <c r="K1798" i="1"/>
  <c r="L1790" i="1"/>
  <c r="K1790" i="1"/>
  <c r="L1774" i="1"/>
  <c r="K1774" i="1"/>
  <c r="L1766" i="1"/>
  <c r="K1766" i="1"/>
  <c r="L1758" i="1"/>
  <c r="K1758" i="1"/>
  <c r="L1750" i="1"/>
  <c r="K1750" i="1"/>
  <c r="L1742" i="1"/>
  <c r="K1742" i="1"/>
  <c r="L1734" i="1"/>
  <c r="K1734" i="1"/>
  <c r="L1726" i="1"/>
  <c r="K1726" i="1"/>
  <c r="L1710" i="1"/>
  <c r="K1710" i="1"/>
  <c r="L1702" i="1"/>
  <c r="K1702" i="1"/>
  <c r="L1694" i="1"/>
  <c r="K1694" i="1"/>
  <c r="L1686" i="1"/>
  <c r="K1686" i="1"/>
  <c r="L1678" i="1"/>
  <c r="K1678" i="1"/>
  <c r="L1670" i="1"/>
  <c r="K1670" i="1"/>
  <c r="L1662" i="1"/>
  <c r="K1662" i="1"/>
  <c r="L1654" i="1"/>
  <c r="K1654" i="1"/>
  <c r="L1646" i="1"/>
  <c r="K1646" i="1"/>
  <c r="L1638" i="1"/>
  <c r="K1638" i="1"/>
  <c r="L1630" i="1"/>
  <c r="K1630" i="1"/>
  <c r="L1622" i="1"/>
  <c r="K1622" i="1"/>
  <c r="L1606" i="1"/>
  <c r="K1606" i="1"/>
  <c r="L1598" i="1"/>
  <c r="K1598" i="1"/>
  <c r="L1590" i="1"/>
  <c r="K1590" i="1"/>
  <c r="L1582" i="1"/>
  <c r="K1582" i="1"/>
  <c r="L1574" i="1"/>
  <c r="K1574" i="1"/>
  <c r="L1566" i="1"/>
  <c r="K1566" i="1"/>
  <c r="L1558" i="1"/>
  <c r="K1558" i="1"/>
  <c r="L1542" i="1"/>
  <c r="K1542" i="1"/>
  <c r="L1534" i="1"/>
  <c r="K1534" i="1"/>
  <c r="L1526" i="1"/>
  <c r="K1526" i="1"/>
  <c r="L1518" i="1"/>
  <c r="K1518" i="1"/>
  <c r="L1502" i="1"/>
  <c r="K1502" i="1"/>
  <c r="L1494" i="1"/>
  <c r="K1494" i="1"/>
  <c r="L1486" i="1"/>
  <c r="K1486" i="1"/>
  <c r="L1478" i="1"/>
  <c r="K1478" i="1"/>
  <c r="L1470" i="1"/>
  <c r="K1470" i="1"/>
  <c r="L1462" i="1"/>
  <c r="K1462" i="1"/>
  <c r="L1454" i="1"/>
  <c r="K1454" i="1"/>
  <c r="L1438" i="1"/>
  <c r="K1438" i="1"/>
  <c r="L1430" i="1"/>
  <c r="K1430" i="1"/>
  <c r="L1422" i="1"/>
  <c r="K1422" i="1"/>
  <c r="L1414" i="1"/>
  <c r="K1414" i="1"/>
  <c r="L1398" i="1"/>
  <c r="K1398" i="1"/>
  <c r="L1390" i="1"/>
  <c r="K1390" i="1"/>
  <c r="L1382" i="1"/>
  <c r="K1382" i="1"/>
  <c r="L1374" i="1"/>
  <c r="K1374" i="1"/>
  <c r="L1366" i="1"/>
  <c r="K1366" i="1"/>
  <c r="L1358" i="1"/>
  <c r="K1358" i="1"/>
  <c r="L1350" i="1"/>
  <c r="K1350" i="1"/>
  <c r="L1334" i="1"/>
  <c r="K1334" i="1"/>
  <c r="L1326" i="1"/>
  <c r="K1326" i="1"/>
  <c r="L1318" i="1"/>
  <c r="K1318" i="1"/>
  <c r="L1310" i="1"/>
  <c r="K1310" i="1"/>
  <c r="L1302" i="1"/>
  <c r="K1302" i="1"/>
  <c r="L1294" i="1"/>
  <c r="K1294" i="1"/>
  <c r="L1278" i="1"/>
  <c r="K1278" i="1"/>
  <c r="L1270" i="1"/>
  <c r="K1270" i="1"/>
  <c r="L1262" i="1"/>
  <c r="K1262" i="1"/>
  <c r="L1254" i="1"/>
  <c r="K1254" i="1"/>
  <c r="L1246" i="1"/>
  <c r="K1246" i="1"/>
  <c r="L1238" i="1"/>
  <c r="K1238" i="1"/>
  <c r="L1230" i="1"/>
  <c r="K1230" i="1"/>
  <c r="L1222" i="1"/>
  <c r="K1222" i="1"/>
  <c r="L1214" i="1"/>
  <c r="K1214" i="1"/>
  <c r="L1206" i="1"/>
  <c r="K1206" i="1"/>
  <c r="L1198" i="1"/>
  <c r="K1198" i="1"/>
  <c r="L1190" i="1"/>
  <c r="K1190" i="1"/>
  <c r="L1174" i="1"/>
  <c r="K1174" i="1"/>
  <c r="L1166" i="1"/>
  <c r="K1166" i="1"/>
  <c r="L1158" i="1"/>
  <c r="K1158" i="1"/>
  <c r="L1150" i="1"/>
  <c r="K1150" i="1"/>
  <c r="L1142" i="1"/>
  <c r="K1142" i="1"/>
  <c r="L1134" i="1"/>
  <c r="K1134" i="1"/>
  <c r="L1126" i="1"/>
  <c r="K1126" i="1"/>
  <c r="L1118" i="1"/>
  <c r="K1118" i="1"/>
  <c r="L1110" i="1"/>
  <c r="K1110" i="1"/>
  <c r="L1102" i="1"/>
  <c r="K1102" i="1"/>
  <c r="L1094" i="1"/>
  <c r="K1094" i="1"/>
  <c r="L1078" i="1"/>
  <c r="K1078" i="1"/>
  <c r="L1070" i="1"/>
  <c r="K1070" i="1"/>
  <c r="L1062" i="1"/>
  <c r="K1062" i="1"/>
  <c r="L1054" i="1"/>
  <c r="K1054" i="1"/>
  <c r="L1046" i="1"/>
  <c r="K1046" i="1"/>
  <c r="L1038" i="1"/>
  <c r="K1038" i="1"/>
  <c r="L1030" i="1"/>
  <c r="K1030" i="1"/>
  <c r="L1022" i="1"/>
  <c r="K1022" i="1"/>
  <c r="L1014" i="1"/>
  <c r="K1014" i="1"/>
  <c r="L1006" i="1"/>
  <c r="K1006" i="1"/>
  <c r="L998" i="1"/>
  <c r="K998" i="1"/>
  <c r="L990" i="1"/>
  <c r="K990" i="1"/>
  <c r="L982" i="1"/>
  <c r="K982" i="1"/>
  <c r="L974" i="1"/>
  <c r="K974" i="1"/>
  <c r="L966" i="1"/>
  <c r="K966" i="1"/>
  <c r="L958" i="1"/>
  <c r="K958" i="1"/>
  <c r="L950" i="1"/>
  <c r="K950" i="1"/>
  <c r="L942" i="1"/>
  <c r="K942" i="1"/>
  <c r="L934" i="1"/>
  <c r="K934" i="1"/>
  <c r="L926" i="1"/>
  <c r="K926" i="1"/>
  <c r="L918" i="1"/>
  <c r="K918" i="1"/>
  <c r="L910" i="1"/>
  <c r="K910" i="1"/>
  <c r="L902" i="1"/>
  <c r="K902" i="1"/>
  <c r="L894" i="1"/>
  <c r="K894" i="1"/>
  <c r="L886" i="1"/>
  <c r="K886" i="1"/>
  <c r="L878" i="1"/>
  <c r="K878" i="1"/>
  <c r="L870" i="1"/>
  <c r="K870" i="1"/>
  <c r="L862" i="1"/>
  <c r="K862" i="1"/>
  <c r="L854" i="1"/>
  <c r="K854" i="1"/>
  <c r="L846" i="1"/>
  <c r="K846" i="1"/>
  <c r="L838" i="1"/>
  <c r="K838" i="1"/>
  <c r="L830" i="1"/>
  <c r="K830" i="1"/>
  <c r="L822" i="1"/>
  <c r="K822" i="1"/>
  <c r="L814" i="1"/>
  <c r="K814" i="1"/>
  <c r="L806" i="1"/>
  <c r="K806" i="1"/>
  <c r="L798" i="1"/>
  <c r="K798" i="1"/>
  <c r="L790" i="1"/>
  <c r="K790" i="1"/>
  <c r="L782" i="1"/>
  <c r="K782" i="1"/>
  <c r="L774" i="1"/>
  <c r="K774" i="1"/>
  <c r="L766" i="1"/>
  <c r="K766" i="1"/>
  <c r="L758" i="1"/>
  <c r="K758" i="1"/>
  <c r="L750" i="1"/>
  <c r="K750" i="1"/>
  <c r="L742" i="1"/>
  <c r="K742" i="1"/>
  <c r="L734" i="1"/>
  <c r="K734" i="1"/>
  <c r="L726" i="1"/>
  <c r="K726" i="1"/>
  <c r="L718" i="1"/>
  <c r="K718" i="1"/>
  <c r="L710" i="1"/>
  <c r="K710" i="1"/>
  <c r="L702" i="1"/>
  <c r="K702" i="1"/>
  <c r="L694" i="1"/>
  <c r="K694" i="1"/>
  <c r="L678" i="1"/>
  <c r="K678" i="1"/>
  <c r="L670" i="1"/>
  <c r="K670" i="1"/>
  <c r="L662" i="1"/>
  <c r="K662" i="1"/>
  <c r="L654" i="1"/>
  <c r="K654" i="1"/>
  <c r="L646" i="1"/>
  <c r="K646" i="1"/>
  <c r="L638" i="1"/>
  <c r="K638" i="1"/>
  <c r="L630" i="1"/>
  <c r="K630" i="1"/>
  <c r="L622" i="1"/>
  <c r="K622" i="1"/>
  <c r="L614" i="1"/>
  <c r="K614" i="1"/>
  <c r="L606" i="1"/>
  <c r="K606" i="1"/>
  <c r="L590" i="1"/>
  <c r="K590" i="1"/>
  <c r="L582" i="1"/>
  <c r="K582" i="1"/>
  <c r="L574" i="1"/>
  <c r="K574" i="1"/>
  <c r="L566" i="1"/>
  <c r="K566" i="1"/>
  <c r="L558" i="1"/>
  <c r="K558" i="1"/>
  <c r="L550" i="1"/>
  <c r="K550" i="1"/>
  <c r="L542" i="1"/>
  <c r="K542" i="1"/>
  <c r="L534" i="1"/>
  <c r="K534" i="1"/>
  <c r="L526" i="1"/>
  <c r="K526" i="1"/>
  <c r="L518" i="1"/>
  <c r="K518" i="1"/>
  <c r="L510" i="1"/>
  <c r="K510" i="1"/>
  <c r="L502" i="1"/>
  <c r="K502" i="1"/>
  <c r="L494" i="1"/>
  <c r="K494" i="1"/>
  <c r="L486" i="1"/>
  <c r="K486" i="1"/>
  <c r="L478" i="1"/>
  <c r="K478" i="1"/>
  <c r="L470" i="1"/>
  <c r="K470" i="1"/>
  <c r="L462" i="1"/>
  <c r="K462" i="1"/>
  <c r="L454" i="1"/>
  <c r="K454" i="1"/>
  <c r="L446" i="1"/>
  <c r="K446" i="1"/>
  <c r="L438" i="1"/>
  <c r="K438" i="1"/>
  <c r="L430" i="1"/>
  <c r="K430" i="1"/>
  <c r="L422" i="1"/>
  <c r="K422" i="1"/>
  <c r="L414" i="1"/>
  <c r="K414" i="1"/>
  <c r="L406" i="1"/>
  <c r="K406" i="1"/>
  <c r="L398" i="1"/>
  <c r="K398" i="1"/>
  <c r="L390" i="1"/>
  <c r="K390" i="1"/>
  <c r="L382" i="1"/>
  <c r="K382" i="1"/>
  <c r="L374" i="1"/>
  <c r="K374" i="1"/>
  <c r="L366" i="1"/>
  <c r="K366" i="1"/>
  <c r="L358" i="1"/>
  <c r="K358" i="1"/>
  <c r="L350" i="1"/>
  <c r="K350" i="1"/>
  <c r="L342" i="1"/>
  <c r="K342" i="1"/>
  <c r="L334" i="1"/>
  <c r="K334" i="1"/>
  <c r="L326" i="1"/>
  <c r="K326" i="1"/>
  <c r="L318" i="1"/>
  <c r="K318" i="1"/>
  <c r="L310" i="1"/>
  <c r="K310" i="1"/>
  <c r="L302" i="1"/>
  <c r="K302" i="1"/>
  <c r="L294" i="1"/>
  <c r="K294" i="1"/>
  <c r="L286" i="1"/>
  <c r="K286" i="1"/>
  <c r="L278" i="1"/>
  <c r="K278" i="1"/>
  <c r="L270" i="1"/>
  <c r="K270" i="1"/>
  <c r="L254" i="1"/>
  <c r="K254" i="1"/>
  <c r="L246" i="1"/>
  <c r="K246" i="1"/>
  <c r="L238" i="1"/>
  <c r="K238" i="1"/>
  <c r="L230" i="1"/>
  <c r="K230" i="1"/>
  <c r="L222" i="1"/>
  <c r="K222" i="1"/>
  <c r="L214" i="1"/>
  <c r="K214" i="1"/>
  <c r="L206" i="1"/>
  <c r="K206" i="1"/>
  <c r="L198" i="1"/>
  <c r="K198" i="1"/>
  <c r="L190" i="1"/>
  <c r="K190" i="1"/>
  <c r="L182" i="1"/>
  <c r="K182" i="1"/>
  <c r="L174" i="1"/>
  <c r="K174" i="1"/>
  <c r="L166" i="1"/>
  <c r="K166" i="1"/>
  <c r="L158" i="1"/>
  <c r="K158" i="1"/>
  <c r="L150" i="1"/>
  <c r="K150" i="1"/>
  <c r="L142" i="1"/>
  <c r="K142" i="1"/>
  <c r="L134" i="1"/>
  <c r="K134" i="1"/>
  <c r="L126" i="1"/>
  <c r="K126" i="1"/>
  <c r="L118" i="1"/>
  <c r="K118" i="1"/>
  <c r="L110" i="1"/>
  <c r="K110" i="1"/>
  <c r="L102" i="1"/>
  <c r="K102" i="1"/>
  <c r="L94" i="1"/>
  <c r="K94" i="1"/>
  <c r="L86" i="1"/>
  <c r="K86" i="1"/>
  <c r="L78" i="1"/>
  <c r="K78" i="1"/>
  <c r="L70" i="1"/>
  <c r="K70" i="1"/>
  <c r="L62" i="1"/>
  <c r="K62" i="1"/>
  <c r="L54" i="1"/>
  <c r="K54" i="1"/>
  <c r="L46" i="1"/>
  <c r="K46" i="1"/>
  <c r="L38" i="1"/>
  <c r="K38" i="1"/>
  <c r="L30" i="1"/>
  <c r="K30" i="1"/>
  <c r="L22" i="1"/>
  <c r="K22" i="1"/>
  <c r="L14" i="1"/>
  <c r="K14" i="1"/>
  <c r="L6" i="1"/>
  <c r="K6" i="1"/>
  <c r="K3761" i="1"/>
  <c r="K3753" i="1"/>
  <c r="K3745" i="1"/>
  <c r="K3737" i="1"/>
  <c r="K3729" i="1"/>
  <c r="K3721" i="1"/>
  <c r="K3713" i="1"/>
  <c r="K3705" i="1"/>
  <c r="K3697" i="1"/>
  <c r="K3689" i="1"/>
  <c r="K3681" i="1"/>
  <c r="K3671" i="1"/>
  <c r="K3661" i="1"/>
  <c r="K3651" i="1"/>
  <c r="K3639" i="1"/>
  <c r="K3629" i="1"/>
  <c r="K3619" i="1"/>
  <c r="K3607" i="1"/>
  <c r="K3597" i="1"/>
  <c r="K3587" i="1"/>
  <c r="K3575" i="1"/>
  <c r="K3565" i="1"/>
  <c r="K3555" i="1"/>
  <c r="K3543" i="1"/>
  <c r="K3533" i="1"/>
  <c r="K3523" i="1"/>
  <c r="K3511" i="1"/>
  <c r="K3501" i="1"/>
  <c r="K3491" i="1"/>
  <c r="K3479" i="1"/>
  <c r="K3469" i="1"/>
  <c r="K3459" i="1"/>
  <c r="K3447" i="1"/>
  <c r="K3437" i="1"/>
  <c r="K3427" i="1"/>
  <c r="K3415" i="1"/>
  <c r="K3405" i="1"/>
  <c r="K3395" i="1"/>
  <c r="K3383" i="1"/>
  <c r="K3373" i="1"/>
  <c r="K3363" i="1"/>
  <c r="K3351" i="1"/>
  <c r="K3341" i="1"/>
  <c r="K3331" i="1"/>
  <c r="K3319" i="1"/>
  <c r="K3309" i="1"/>
  <c r="K3299" i="1"/>
  <c r="K3287" i="1"/>
  <c r="K3277" i="1"/>
  <c r="K3267" i="1"/>
  <c r="K3255" i="1"/>
  <c r="K3245" i="1"/>
  <c r="K3235" i="1"/>
  <c r="K3223" i="1"/>
  <c r="K3213" i="1"/>
  <c r="K3203" i="1"/>
  <c r="K3191" i="1"/>
  <c r="K3180" i="1"/>
  <c r="K3167" i="1"/>
  <c r="K3150" i="1"/>
  <c r="K3134" i="1"/>
  <c r="K3116" i="1"/>
  <c r="K3099" i="1"/>
  <c r="K3083" i="1"/>
  <c r="K3066" i="1"/>
  <c r="K3050" i="1"/>
  <c r="K3030" i="1"/>
  <c r="K3013" i="1"/>
  <c r="K2997" i="1"/>
  <c r="K2980" i="1"/>
  <c r="K2964" i="1"/>
  <c r="K2946" i="1"/>
  <c r="K2927" i="1"/>
  <c r="K2911" i="1"/>
  <c r="K2894" i="1"/>
  <c r="K2878" i="1"/>
  <c r="K2860" i="1"/>
  <c r="K2843" i="1"/>
  <c r="K2827" i="1"/>
  <c r="K2810" i="1"/>
  <c r="K2794" i="1"/>
  <c r="K2774" i="1"/>
  <c r="K2757" i="1"/>
  <c r="K2741" i="1"/>
  <c r="K2724" i="1"/>
  <c r="K2708" i="1"/>
  <c r="K2690" i="1"/>
  <c r="K2671" i="1"/>
  <c r="K2655" i="1"/>
  <c r="K2638" i="1"/>
  <c r="K2622" i="1"/>
  <c r="K2604" i="1"/>
  <c r="K2587" i="1"/>
  <c r="K2571" i="1"/>
  <c r="K2554" i="1"/>
  <c r="K2538" i="1"/>
  <c r="K2518" i="1"/>
  <c r="K2501" i="1"/>
  <c r="K2485" i="1"/>
  <c r="K2468" i="1"/>
  <c r="K2452" i="1"/>
  <c r="K2434" i="1"/>
  <c r="K2415" i="1"/>
  <c r="K2399" i="1"/>
  <c r="K2382" i="1"/>
  <c r="K2366" i="1"/>
  <c r="K2348" i="1"/>
  <c r="K2331" i="1"/>
  <c r="K2315" i="1"/>
  <c r="K2298" i="1"/>
  <c r="K2282" i="1"/>
  <c r="K2262" i="1"/>
  <c r="K2245" i="1"/>
  <c r="K2218" i="1"/>
  <c r="K2174" i="1"/>
  <c r="K2132" i="1"/>
  <c r="K2089" i="1"/>
  <c r="K2039" i="1"/>
  <c r="K1991" i="1"/>
  <c r="K1943" i="1"/>
  <c r="K1893" i="1"/>
  <c r="K1845" i="1"/>
  <c r="K1781" i="1"/>
  <c r="K1696" i="1"/>
  <c r="K1613" i="1"/>
  <c r="K1529" i="1"/>
  <c r="K1446" i="1"/>
  <c r="K1362" i="1"/>
  <c r="K1256" i="1"/>
  <c r="K1084" i="1"/>
  <c r="K901" i="1"/>
  <c r="K732" i="1"/>
  <c r="K524" i="1"/>
  <c r="L3472" i="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E24" i="31" l="1"/>
  <c r="E40" i="31" l="1"/>
  <c r="E46" i="31"/>
  <c r="F45" i="31" l="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<sst xmlns="http://schemas.openxmlformats.org/spreadsheetml/2006/main" count="24253" uniqueCount="4109">
  <si>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</si>
  <si>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</si>
  <si>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</si>
  <si>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</si>
  <si>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</si>
  <si>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</si>
  <si>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</si>
  <si>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</si>
  <si>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</si>
  <si>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</si>
  <si>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</si>
  <si>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</si>
  <si>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</si>
  <si>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</si>
  <si>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</si>
  <si>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</si>
  <si>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</si>
  <si>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</si>
  <si>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</si>
  <si>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</si>
  <si>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</si>
  <si>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</si>
  <si>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</si>
  <si>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</si>
  <si>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</si>
  <si>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</si>
  <si>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</si>
  <si>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</si>
  <si>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</si>
  <si>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</si>
  <si>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</si>
  <si>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</si>
  <si>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</si>
  <si>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</si>
  <si>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</si>
  <si>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</si>
  <si>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</si>
  <si>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</si>
  <si>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</si>
  <si>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</si>
  <si>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</si>
  <si>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</si>
  <si>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</si>
  <si>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</si>
  <si>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</si>
  <si>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</si>
  <si>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</si>
  <si>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</si>
  <si>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</si>
  <si>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</si>
  <si>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</si>
  <si>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</si>
  <si>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</si>
  <si>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</si>
  <si>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</si>
  <si>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</si>
  <si>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</si>
  <si>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</si>
  <si>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</si>
  <si>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</si>
  <si>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</si>
  <si>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</si>
  <si>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</si>
  <si>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</si>
  <si>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</si>
  <si>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</si>
  <si>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</si>
  <si>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</si>
  <si>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</si>
  <si>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</si>
  <si>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</si>
  <si>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</si>
  <si>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</si>
  <si>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</si>
  <si>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</si>
  <si>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</si>
  <si>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</si>
  <si>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</si>
  <si>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</si>
  <si>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</si>
  <si>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</si>
  <si>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</si>
  <si>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</si>
  <si>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</si>
  <si>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</si>
  <si>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</si>
  <si>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</si>
  <si>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</si>
  <si>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</si>
  <si>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</si>
  <si>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</si>
  <si>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</si>
  <si>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</si>
  <si>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</si>
  <si>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</si>
  <si>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</si>
  <si>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</si>
  <si>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</si>
  <si>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</si>
  <si>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</si>
  <si>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</si>
  <si>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</si>
  <si>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</si>
  <si>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</si>
  <si>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</si>
  <si>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</si>
  <si>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</si>
  <si>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</si>
  <si>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</si>
  <si>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</si>
  <si>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</si>
  <si>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</si>
  <si>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</si>
  <si>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</si>
  <si>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</si>
  <si>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</si>
  <si>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</si>
  <si>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</si>
  <si>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</si>
  <si>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</si>
  <si>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</si>
  <si>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</si>
  <si>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</si>
  <si>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</si>
  <si>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</si>
  <si>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</si>
  <si>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</si>
  <si>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</si>
  <si>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</si>
  <si>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</si>
  <si>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</si>
  <si>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</si>
  <si>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</si>
  <si>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</si>
  <si>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</si>
  <si>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</si>
  <si>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</si>
  <si>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</si>
  <si>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</si>
  <si>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</si>
  <si>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</si>
  <si>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</si>
  <si>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</si>
  <si>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</si>
  <si>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</si>
  <si>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</si>
  <si>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</si>
  <si>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</si>
  <si>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</si>
  <si>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</si>
  <si>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</si>
  <si>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</si>
  <si>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</si>
  <si>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</si>
  <si>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</si>
  <si>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</si>
  <si>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</si>
  <si>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</si>
  <si>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</si>
  <si>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</si>
  <si>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</si>
  <si>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</si>
  <si>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</si>
  <si>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</si>
  <si>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</si>
  <si>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</si>
  <si>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</si>
  <si>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</si>
  <si>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</si>
  <si>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</si>
  <si>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</si>
  <si>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</si>
  <si>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</si>
  <si>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</si>
  <si>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</si>
  <si>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</si>
  <si>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</si>
  <si>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</si>
  <si>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</si>
  <si>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</si>
  <si>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</si>
  <si>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</si>
  <si>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</si>
  <si>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</si>
  <si>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</si>
  <si>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</si>
  <si>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</si>
  <si>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</si>
  <si>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</si>
  <si>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</si>
  <si>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</si>
  <si>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</si>
  <si>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</si>
  <si>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</si>
  <si>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</si>
  <si>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</si>
  <si>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</si>
  <si>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</si>
  <si>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</si>
  <si>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</si>
  <si>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</si>
  <si>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</si>
  <si>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</si>
  <si>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</si>
  <si>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</si>
  <si>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</si>
  <si>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</si>
  <si>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</si>
  <si>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</si>
  <si>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</si>
  <si>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</si>
  <si>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</si>
  <si>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</si>
  <si>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</si>
  <si>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</si>
  <si>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</si>
  <si>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</si>
  <si>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</si>
  <si>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</si>
  <si>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</si>
  <si>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</si>
  <si>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</si>
  <si>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</si>
  <si>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</si>
  <si>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</si>
  <si>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</si>
  <si>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</si>
  <si>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</si>
  <si>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</si>
  <si>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</si>
  <si>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</si>
  <si>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</si>
  <si>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</si>
  <si>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</si>
  <si>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</si>
  <si>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</si>
  <si>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</si>
  <si>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</si>
  <si>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</si>
  <si>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</si>
  <si>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</si>
  <si>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</si>
  <si>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</si>
  <si>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</si>
  <si>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</si>
  <si>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</si>
  <si>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</si>
  <si>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</si>
  <si>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</si>
  <si>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</si>
  <si>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</si>
  <si>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</si>
  <si>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</si>
  <si>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</si>
  <si>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</si>
  <si>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</si>
  <si>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</si>
  <si>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</si>
  <si>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</si>
  <si>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</si>
  <si>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</si>
  <si>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</si>
  <si>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</si>
  <si>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</si>
  <si>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</si>
  <si>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</si>
  <si>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</si>
  <si>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</si>
  <si>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</si>
  <si>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</si>
  <si>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</si>
  <si>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</si>
  <si>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</si>
  <si>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</si>
  <si>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</si>
  <si>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</si>
  <si>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</si>
  <si>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</si>
  <si>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</si>
  <si>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</si>
  <si>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</si>
  <si>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</si>
  <si>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</si>
  <si>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</si>
  <si>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</si>
  <si>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</si>
  <si>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</si>
  <si>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</si>
  <si>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</si>
  <si>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</si>
  <si>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</si>
  <si>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</si>
  <si>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</si>
  <si>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</si>
  <si>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</si>
  <si>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</si>
  <si>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</si>
  <si>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</si>
  <si>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</si>
  <si>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</si>
  <si>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</si>
  <si>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</si>
  <si>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</si>
  <si>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</si>
  <si>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</si>
  <si>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</si>
  <si>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</si>
  <si>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</si>
  <si>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</si>
  <si>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</si>
  <si>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</si>
  <si>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</si>
  <si>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</si>
  <si>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</si>
  <si>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</si>
  <si>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</si>
  <si>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</si>
  <si>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</si>
  <si>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</si>
  <si>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</si>
  <si>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</si>
  <si>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</si>
  <si>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</si>
  <si>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</si>
  <si>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</si>
  <si>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</si>
  <si>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</si>
  <si>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</si>
  <si>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</si>
  <si>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</si>
  <si>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</si>
  <si>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</si>
  <si>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</si>
  <si>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</si>
  <si>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</si>
  <si>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</si>
  <si>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</si>
  <si>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</si>
  <si>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</si>
  <si>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</si>
  <si>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</si>
  <si>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</si>
  <si>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</si>
  <si>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</si>
  <si>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</si>
  <si>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</si>
  <si>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</si>
  <si>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</si>
  <si>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</si>
  <si>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</si>
  <si>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</si>
  <si>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</si>
  <si>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</si>
  <si>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</si>
  <si>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</si>
  <si>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</si>
  <si>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</si>
  <si>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</si>
  <si>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</si>
  <si>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</si>
  <si>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</si>
  <si>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</si>
  <si>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</si>
  <si>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</si>
  <si>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</si>
  <si>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</si>
  <si>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</si>
  <si>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</si>
  <si>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</si>
  <si>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</si>
  <si>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</si>
  <si>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</si>
  <si>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</si>
  <si>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</si>
  <si>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</si>
  <si>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</si>
  <si>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</si>
  <si>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</si>
  <si>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</si>
  <si>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</si>
  <si>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</si>
  <si>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</si>
  <si>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</si>
  <si>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</si>
  <si>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</si>
  <si>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</si>
  <si>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</si>
  <si>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</si>
  <si>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</si>
  <si>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</si>
  <si>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</si>
  <si>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</si>
  <si>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</si>
  <si>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</si>
  <si>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</si>
  <si>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</si>
  <si>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</si>
  <si>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</si>
  <si>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</si>
  <si>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</si>
  <si>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</si>
  <si>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</si>
  <si>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</si>
  <si>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</si>
  <si>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</si>
  <si>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</si>
  <si>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</si>
  <si>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</si>
  <si>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</si>
  <si>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</si>
  <si>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</si>
  <si>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</si>
  <si>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</si>
  <si>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</si>
  <si>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</si>
  <si>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</si>
  <si>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</si>
  <si>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</si>
  <si>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</si>
  <si>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</si>
  <si>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</si>
  <si>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</si>
  <si>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</si>
  <si>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</si>
  <si>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</si>
  <si>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</si>
  <si>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</si>
  <si>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</si>
  <si>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</si>
  <si>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</si>
  <si>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</si>
  <si>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</si>
  <si>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</si>
  <si>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</si>
  <si>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</si>
  <si>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</si>
  <si>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</si>
  <si>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</si>
  <si>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</si>
  <si>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</si>
  <si>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</si>
  <si>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</si>
  <si>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</si>
  <si>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</si>
  <si>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</si>
  <si>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</si>
  <si>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</si>
  <si>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</si>
  <si>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</si>
  <si>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</si>
  <si>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</si>
  <si>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</si>
  <si>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</si>
  <si>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</si>
  <si>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</si>
  <si>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</si>
  <si>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</si>
  <si>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</si>
  <si>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</si>
  <si>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</si>
  <si>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</si>
  <si>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</si>
  <si>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</si>
  <si>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</si>
  <si>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</si>
  <si>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</si>
  <si>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</si>
  <si>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</si>
  <si>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</si>
  <si>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</si>
  <si>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</si>
  <si>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</si>
  <si>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</si>
  <si>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</si>
  <si>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</si>
  <si>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</si>
  <si>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</si>
  <si>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</si>
  <si>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</si>
  <si>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</si>
  <si>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</si>
  <si>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</si>
  <si>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</si>
  <si>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</si>
  <si>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</si>
  <si>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</si>
  <si>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</si>
  <si>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</si>
  <si>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</si>
  <si>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</si>
  <si>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</si>
  <si>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</si>
  <si>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</si>
  <si>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</si>
  <si>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</si>
  <si>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</si>
  <si>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</si>
  <si>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</si>
  <si>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</si>
  <si>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</si>
  <si>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</si>
  <si>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</si>
  <si>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</si>
  <si>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</si>
  <si>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</si>
  <si>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</si>
  <si>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</si>
  <si>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</si>
  <si>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</si>
  <si>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</si>
  <si>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</si>
  <si>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</si>
  <si>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</si>
  <si>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</si>
  <si>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</si>
  <si>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</si>
  <si>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</si>
  <si>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</si>
  <si>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</si>
  <si>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</si>
  <si>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</si>
  <si>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</si>
  <si>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</si>
  <si>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</si>
  <si>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</si>
  <si>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</si>
  <si>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</si>
  <si>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</si>
  <si>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</si>
  <si>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</si>
  <si>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</si>
  <si>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</si>
  <si>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</si>
  <si>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</si>
  <si>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</si>
  <si>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</si>
  <si>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</si>
  <si>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</si>
  <si>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</si>
  <si>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</si>
  <si>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</si>
  <si>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</si>
  <si>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</si>
  <si>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</si>
  <si>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</si>
  <si>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</si>
  <si>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</si>
  <si>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</si>
  <si>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</si>
  <si>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</si>
  <si>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</si>
  <si>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</si>
  <si>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</si>
  <si>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</si>
  <si>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</si>
  <si>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</si>
  <si>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</si>
  <si>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</si>
  <si>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</si>
  <si>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</si>
  <si>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</si>
  <si>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</si>
  <si>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</si>
  <si>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</si>
  <si>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</si>
  <si>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</si>
  <si>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</si>
  <si>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</si>
  <si>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</si>
  <si>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</si>
  <si>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</si>
  <si>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</si>
  <si>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</si>
  <si>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</si>
  <si>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</si>
  <si>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</si>
  <si>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</si>
  <si>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</si>
  <si>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</si>
  <si>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</si>
  <si>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</si>
  <si>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</si>
  <si>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</si>
  <si>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</si>
  <si>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</si>
  <si>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</si>
  <si>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</si>
  <si>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</si>
  <si>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</si>
  <si>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</si>
  <si>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</si>
  <si>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</si>
  <si>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</si>
  <si>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</si>
  <si>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</si>
  <si>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</si>
  <si>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</si>
  <si>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</si>
  <si>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</si>
  <si>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</si>
  <si>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</si>
  <si>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</si>
  <si>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</si>
  <si>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</si>
  <si>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</si>
  <si>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</si>
  <si>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</si>
  <si>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</si>
  <si>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</si>
  <si>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</si>
  <si>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</si>
  <si>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</si>
  <si>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</si>
  <si>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</si>
  <si>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</si>
  <si>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</si>
  <si>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</si>
  <si>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</si>
  <si>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</si>
  <si>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</si>
  <si>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</si>
  <si>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</si>
  <si>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</si>
  <si>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</si>
  <si>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</si>
  <si>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</si>
  <si>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</si>
  <si>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</si>
  <si>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</si>
  <si>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</si>
  <si>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</si>
  <si>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</si>
  <si>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</si>
  <si>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</si>
  <si>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</si>
  <si>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</si>
  <si>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</si>
  <si>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</si>
  <si>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</si>
  <si>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</si>
  <si>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</si>
  <si>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</si>
  <si>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</si>
  <si>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</si>
  <si>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</si>
  <si>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</si>
  <si>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</si>
  <si>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</si>
  <si>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</si>
  <si>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</si>
  <si>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</si>
  <si>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</si>
  <si>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</si>
  <si>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</si>
  <si>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</si>
  <si>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</si>
  <si>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</si>
  <si>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</si>
  <si>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</si>
  <si>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</si>
  <si>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</si>
  <si>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</si>
  <si>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</si>
  <si>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</si>
  <si>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</si>
  <si>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</si>
  <si>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</si>
  <si>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</si>
  <si>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</si>
  <si>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</si>
  <si>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</si>
  <si>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</si>
  <si>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</si>
  <si>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</si>
  <si>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</si>
  <si>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</si>
  <si>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</si>
  <si>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</si>
  <si>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</si>
  <si>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</si>
  <si>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</si>
  <si>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</si>
  <si>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</si>
  <si>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</si>
  <si>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</si>
  <si>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</si>
  <si>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</si>
  <si>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</si>
  <si>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</si>
  <si>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</si>
  <si>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</si>
  <si>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</si>
  <si>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</si>
  <si>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</si>
  <si>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</si>
  <si>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</si>
  <si>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</si>
  <si>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</si>
  <si>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</si>
  <si>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</si>
  <si>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</si>
  <si>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</si>
  <si>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</si>
  <si>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</si>
  <si>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</si>
  <si>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</si>
  <si>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</si>
  <si>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</si>
  <si>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</si>
  <si>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</si>
  <si>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</si>
  <si>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</si>
  <si>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</si>
  <si>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</si>
  <si>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</si>
  <si>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</si>
  <si>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</si>
  <si>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</si>
  <si>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</si>
  <si>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</si>
  <si>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</si>
  <si>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</si>
  <si>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</si>
  <si>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</si>
  <si>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</si>
  <si>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</si>
  <si>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</si>
  <si>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</si>
  <si>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</si>
  <si>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</si>
  <si>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</si>
  <si>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</si>
  <si>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</si>
  <si>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</si>
  <si>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</si>
  <si>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</si>
  <si>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</si>
  <si>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</si>
  <si>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</si>
  <si>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</si>
  <si>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</si>
  <si>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</si>
  <si>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</si>
  <si>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</si>
  <si>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</si>
  <si>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</si>
  <si>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</si>
  <si>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</si>
  <si>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</si>
  <si>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</si>
  <si>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</si>
  <si>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</si>
  <si>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</si>
  <si>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</si>
  <si>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</si>
  <si>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</si>
  <si>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</si>
  <si>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</si>
  <si>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</si>
  <si>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</si>
  <si>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</si>
  <si>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</si>
  <si>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</si>
  <si>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</si>
  <si>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</si>
  <si>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</si>
  <si>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</si>
  <si>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</si>
  <si>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</si>
  <si>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</si>
  <si>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</si>
  <si>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</si>
  <si>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</si>
  <si>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</si>
  <si>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</si>
  <si>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</si>
  <si>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</si>
  <si>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</si>
  <si>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</si>
  <si>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</si>
  <si>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</si>
  <si>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</si>
  <si>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</si>
  <si>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</si>
  <si>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</si>
  <si>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</si>
  <si>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</si>
  <si>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</si>
  <si>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</si>
  <si>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</si>
  <si>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</si>
  <si>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</si>
  <si>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</si>
  <si>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</si>
  <si>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</si>
  <si>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</si>
  <si>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</si>
  <si>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</si>
  <si>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</si>
  <si>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</si>
  <si>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</si>
  <si>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</si>
  <si>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</si>
  <si>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</si>
  <si>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</si>
  <si>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</si>
  <si>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</si>
  <si>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</si>
  <si>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</si>
  <si>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</si>
  <si>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</si>
  <si>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</si>
  <si>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</si>
  <si>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</si>
  <si>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</si>
  <si>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</si>
  <si>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</si>
  <si>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</si>
  <si>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</si>
  <si>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</si>
  <si>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</si>
  <si>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</si>
  <si>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</si>
  <si>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</si>
  <si>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</si>
  <si>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</si>
  <si>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</si>
  <si>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</si>
  <si>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</si>
  <si>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</si>
  <si>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</si>
  <si>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</si>
  <si>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</si>
  <si>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</si>
  <si>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</si>
  <si>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</si>
  <si>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</si>
  <si>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</si>
  <si>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</si>
  <si>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</si>
  <si>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</si>
  <si>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</si>
  <si>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</si>
  <si>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</si>
  <si>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</si>
  <si>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</si>
  <si>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</si>
  <si>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</si>
  <si>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</si>
  <si>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</si>
  <si>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</si>
  <si>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</si>
  <si>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</si>
  <si>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</si>
  <si>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</si>
  <si>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</si>
  <si>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</si>
  <si>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</si>
  <si>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</si>
  <si>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</si>
  <si>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</si>
  <si>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</si>
  <si>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</si>
  <si>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</si>
  <si>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</si>
  <si>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</si>
  <si>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</si>
  <si>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</si>
  <si>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</si>
  <si>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</si>
  <si>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</si>
  <si>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</si>
  <si>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</si>
  <si>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</si>
  <si>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</si>
  <si>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</si>
  <si>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</si>
  <si>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</si>
  <si>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</si>
  <si>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</si>
  <si>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</si>
  <si>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</si>
  <si>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</si>
  <si>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</si>
  <si>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</si>
  <si>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</si>
  <si>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</si>
  <si>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</si>
  <si>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</si>
  <si>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</si>
  <si>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</si>
  <si>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</si>
  <si>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</si>
  <si>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</si>
  <si>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</si>
  <si>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</si>
  <si>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</si>
  <si>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</si>
  <si>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</si>
  <si>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</si>
  <si>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</si>
  <si>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</si>
  <si>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</si>
  <si>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</si>
  <si>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</si>
  <si>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</si>
  <si>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</si>
  <si>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</si>
  <si>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</si>
  <si>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</si>
  <si>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</si>
  <si>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</si>
  <si>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</si>
  <si>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</si>
  <si>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</si>
  <si>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</si>
  <si>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</si>
  <si>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</si>
  <si>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</si>
  <si>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</si>
  <si>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</si>
  <si>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</si>
  <si>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</si>
  <si>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</si>
  <si>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</si>
  <si>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</si>
  <si>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</si>
  <si>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</si>
  <si>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</si>
  <si>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</si>
  <si>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</si>
  <si>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</si>
  <si>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</si>
  <si>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</si>
  <si>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</si>
  <si>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</si>
  <si>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</si>
  <si>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</si>
  <si>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</si>
  <si>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</si>
  <si>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</si>
  <si>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</si>
  <si>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</si>
  <si>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</si>
  <si>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</si>
  <si>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</si>
  <si>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</si>
  <si>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</si>
  <si>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</si>
  <si>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</si>
  <si>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</si>
  <si>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</si>
  <si>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</si>
  <si>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</si>
  <si>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</si>
  <si>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</si>
  <si>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</si>
  <si>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</si>
  <si>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</si>
  <si>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</si>
  <si>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</si>
  <si>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</si>
  <si>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</si>
  <si>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</si>
  <si>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</si>
  <si>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</si>
  <si>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</si>
  <si>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</si>
  <si>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</si>
  <si>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</si>
  <si>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</si>
  <si>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</si>
  <si>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</si>
  <si>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</si>
  <si>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</si>
  <si>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</si>
  <si>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</si>
  <si>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</si>
  <si>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</si>
  <si>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</si>
  <si>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</si>
  <si>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</si>
  <si>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</si>
  <si>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</si>
  <si>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</si>
  <si>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</si>
  <si>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</si>
  <si>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</si>
  <si>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</si>
  <si>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</si>
  <si>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</si>
  <si>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</si>
  <si>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</si>
  <si>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</si>
  <si>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</si>
  <si>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</si>
  <si>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</si>
  <si>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</si>
  <si>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</si>
  <si>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</si>
  <si>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</si>
  <si>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</si>
  <si>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</si>
  <si>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</si>
  <si>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</si>
  <si>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</si>
  <si>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</si>
  <si>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</si>
  <si>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</si>
  <si>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</si>
  <si>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</si>
  <si>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</si>
  <si>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</si>
  <si>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</si>
  <si>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</si>
  <si>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</si>
  <si>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</si>
  <si>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</si>
  <si>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</si>
  <si>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</si>
  <si>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</si>
  <si>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</si>
  <si>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</si>
  <si>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</si>
  <si>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</si>
  <si>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</si>
  <si>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</si>
  <si>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</si>
  <si>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</si>
  <si>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</si>
  <si>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</si>
  <si>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</si>
  <si>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</si>
  <si>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</si>
  <si>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</si>
  <si>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</si>
  <si>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</si>
  <si>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</si>
  <si>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</si>
  <si>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</si>
  <si>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</si>
  <si>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</si>
  <si>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</si>
  <si>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</si>
  <si>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</si>
  <si>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</si>
  <si>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</si>
  <si>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</si>
  <si>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</si>
  <si>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</si>
  <si>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</si>
  <si>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</si>
  <si>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</si>
  <si>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</si>
  <si>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</si>
  <si>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</si>
  <si>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</si>
  <si>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</si>
  <si>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</si>
  <si>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</si>
  <si>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</si>
  <si>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</si>
  <si>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</si>
  <si>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</si>
  <si>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</si>
  <si>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</si>
  <si>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</si>
  <si>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</si>
  <si>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</si>
  <si>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</si>
  <si>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</si>
  <si>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</si>
  <si>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</si>
  <si>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</si>
  <si>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</si>
  <si>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</si>
  <si>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</si>
  <si>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</si>
  <si>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</si>
  <si>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</si>
  <si>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</si>
  <si>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</si>
  <si>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</si>
  <si>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</si>
  <si>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</si>
  <si>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</si>
  <si>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</si>
  <si>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</si>
  <si>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</si>
  <si>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</si>
  <si>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</si>
  <si>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</si>
  <si>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</si>
  <si>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</si>
  <si>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</si>
  <si>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</si>
  <si>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</si>
  <si>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</si>
  <si>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</si>
  <si>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</si>
  <si>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</si>
  <si>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</si>
  <si>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</si>
  <si>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</si>
  <si>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</si>
  <si>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</si>
  <si>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</si>
  <si>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</si>
  <si>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</si>
  <si>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</si>
  <si>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</si>
  <si>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</si>
  <si>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</si>
  <si>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</si>
  <si>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</si>
  <si>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</si>
  <si>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</si>
  <si>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</si>
  <si>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</si>
  <si>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</si>
  <si>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</si>
  <si>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</si>
  <si>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</si>
  <si>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</si>
  <si>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</si>
  <si>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</si>
  <si>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</si>
  <si>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</si>
  <si>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</si>
  <si>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</si>
  <si>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</si>
  <si>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</si>
  <si>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</si>
  <si>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</si>
  <si>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</si>
  <si>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</si>
  <si>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</si>
  <si>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</si>
  <si>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</si>
  <si>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</si>
  <si>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</si>
  <si>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</si>
  <si>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</si>
  <si>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</si>
  <si>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</si>
  <si>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</si>
  <si>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</si>
  <si>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</si>
  <si>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</si>
  <si>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</si>
  <si>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</si>
  <si>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</si>
  <si>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</si>
  <si>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</si>
  <si>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</si>
  <si>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</si>
  <si>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</si>
  <si>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</si>
  <si>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</si>
  <si>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</si>
  <si>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</si>
  <si>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</si>
  <si>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</si>
  <si>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</si>
  <si>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</si>
  <si>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</si>
  <si>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</si>
  <si>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</si>
  <si>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</si>
  <si>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</si>
  <si>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</si>
  <si>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</si>
  <si>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</si>
  <si>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</si>
  <si>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</si>
  <si>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</si>
  <si>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</si>
  <si>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</si>
  <si>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</si>
  <si>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</si>
  <si>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</si>
  <si>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</si>
  <si>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</si>
  <si>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</si>
  <si>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</si>
  <si>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</si>
  <si>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</si>
  <si>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</si>
  <si>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</si>
  <si>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</si>
  <si>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</si>
  <si>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</si>
  <si>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</si>
  <si>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</si>
  <si>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</si>
  <si>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</si>
  <si>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</si>
  <si>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</si>
  <si>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</si>
  <si>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</si>
  <si>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</si>
  <si>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</si>
  <si>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</si>
  <si>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</si>
  <si>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</si>
  <si>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</si>
  <si>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</si>
  <si>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</si>
  <si>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</si>
  <si>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</si>
  <si>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</si>
  <si>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</si>
  <si>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</si>
  <si>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</si>
  <si>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</si>
  <si>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</si>
  <si>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</si>
  <si>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</si>
  <si>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</si>
  <si>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</si>
  <si>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</si>
  <si>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</si>
  <si>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</si>
  <si>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</si>
  <si>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</si>
  <si>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</si>
  <si>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</si>
  <si>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</si>
  <si>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</si>
  <si>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</si>
  <si>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</si>
  <si>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</si>
  <si>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</si>
  <si>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</si>
  <si>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</si>
  <si>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</si>
  <si>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</si>
  <si>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</si>
  <si>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</si>
  <si>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</si>
  <si>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</si>
  <si>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</si>
  <si>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</si>
  <si>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</si>
  <si>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</si>
  <si>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</si>
  <si>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</si>
  <si>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</si>
  <si>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</si>
  <si>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</si>
  <si>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</si>
  <si>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</si>
  <si>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</si>
  <si>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</si>
  <si>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</si>
  <si>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</si>
  <si>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</si>
  <si>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</si>
  <si>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</si>
  <si>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</si>
  <si>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</si>
  <si>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</si>
  <si>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</si>
  <si>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</si>
  <si>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</si>
  <si>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</si>
  <si>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</si>
  <si>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</si>
  <si>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</si>
  <si>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</si>
  <si>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</si>
  <si>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</si>
  <si>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</si>
  <si>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</si>
  <si>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</si>
  <si>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</si>
  <si>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</si>
  <si>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</si>
  <si>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</si>
  <si>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</si>
  <si>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</si>
  <si>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</si>
  <si>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</si>
  <si>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</si>
  <si>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</si>
  <si>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</si>
  <si>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</si>
  <si>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</si>
  <si>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</si>
  <si>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</si>
  <si>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</si>
  <si>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</si>
  <si>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</si>
  <si>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</si>
  <si>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</si>
  <si>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</si>
  <si>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</si>
  <si>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</si>
  <si>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</si>
  <si>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</si>
  <si>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</si>
  <si>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</si>
  <si>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</si>
  <si>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</si>
  <si>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</si>
  <si>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</si>
  <si>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</si>
  <si>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</si>
  <si>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</si>
  <si>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</si>
  <si>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</si>
  <si>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</si>
  <si>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</si>
  <si>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</si>
  <si>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</si>
  <si>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</si>
  <si>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</si>
  <si>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</si>
  <si>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</si>
  <si>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</si>
  <si>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</si>
  <si>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</si>
  <si>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</si>
  <si>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</si>
  <si>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</si>
  <si>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</si>
  <si>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</si>
  <si>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</si>
  <si>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</si>
  <si>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</si>
  <si>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</si>
  <si>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</si>
  <si>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</si>
  <si>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</si>
  <si>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</si>
  <si>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</si>
  <si>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</si>
  <si>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</si>
  <si>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</si>
  <si>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</si>
  <si>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</si>
  <si>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</si>
  <si>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</si>
  <si>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</si>
  <si>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</si>
  <si>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</si>
  <si>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</si>
  <si>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</si>
  <si>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</si>
  <si>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</si>
  <si>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</si>
  <si>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</si>
  <si>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</si>
  <si>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</si>
  <si>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</si>
  <si>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</si>
  <si>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</si>
  <si>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</si>
  <si>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</si>
  <si>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</si>
  <si>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</si>
  <si>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</si>
  <si>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</si>
  <si>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</si>
  <si>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</si>
  <si>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</si>
  <si>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</si>
  <si>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</si>
  <si>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</si>
  <si>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</si>
  <si>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</si>
  <si>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</si>
  <si>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</si>
  <si>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</si>
  <si>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</si>
  <si>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</si>
  <si>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</si>
  <si>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</si>
  <si>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</si>
  <si>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</si>
  <si>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</si>
  <si>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</si>
  <si>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</si>
  <si>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</si>
  <si>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</si>
  <si>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</si>
  <si>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</si>
  <si>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</si>
  <si>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</si>
  <si>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</si>
  <si>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</si>
  <si>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</si>
  <si>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</si>
  <si>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</si>
  <si>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</si>
  <si>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</si>
  <si>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</si>
  <si>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</si>
  <si>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</si>
  <si>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</si>
  <si>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</si>
  <si>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</si>
  <si>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</si>
  <si>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</si>
  <si>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</si>
  <si>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</si>
  <si>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</si>
  <si>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</si>
  <si>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</si>
  <si>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</si>
  <si>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</si>
  <si>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</si>
  <si>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</si>
  <si>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</si>
  <si>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</si>
  <si>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</si>
  <si>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</si>
  <si>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</si>
  <si>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</si>
  <si>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</si>
  <si>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</si>
  <si>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</si>
  <si>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</si>
  <si>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</si>
  <si>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</si>
  <si>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</si>
  <si>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</si>
  <si>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</si>
  <si>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</si>
  <si>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</si>
  <si>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</si>
  <si>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</si>
  <si>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</si>
  <si>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</si>
  <si>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</si>
  <si>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</si>
  <si>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</si>
  <si>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</si>
  <si>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</si>
  <si>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</si>
  <si>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</si>
  <si>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</si>
  <si>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</si>
  <si>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</si>
  <si>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</si>
  <si>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</si>
  <si>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</si>
  <si>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</si>
  <si>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</si>
  <si>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</si>
  <si>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</si>
  <si>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</si>
  <si>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</si>
  <si>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</si>
  <si>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</si>
  <si>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</si>
  <si>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</si>
  <si>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</si>
  <si>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</si>
  <si>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</si>
  <si>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</si>
  <si>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</si>
  <si>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</si>
  <si>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</si>
  <si>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</si>
  <si>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</si>
  <si>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</si>
  <si>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</si>
  <si>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</si>
  <si>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</si>
  <si>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</si>
  <si>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</si>
  <si>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</si>
  <si>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</si>
  <si>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</si>
  <si>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</si>
  <si>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</si>
  <si>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</si>
  <si>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</si>
  <si>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</si>
  <si>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</si>
  <si>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</si>
  <si>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</si>
  <si>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</si>
  <si>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</si>
  <si>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</si>
  <si>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</si>
  <si>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</si>
  <si>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</si>
  <si>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</si>
  <si>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</si>
  <si>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</si>
  <si>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</si>
  <si>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</si>
  <si>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</si>
  <si>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</si>
  <si>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</si>
  <si>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</si>
  <si>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</si>
  <si>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</si>
  <si>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</si>
  <si>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</si>
  <si>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</si>
  <si>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</si>
  <si>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</si>
  <si>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</si>
  <si>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</si>
  <si>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</si>
  <si>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</si>
  <si>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</si>
  <si>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</si>
  <si>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</si>
  <si>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</si>
  <si>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</si>
  <si>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</si>
  <si>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</si>
  <si>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</si>
  <si>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</si>
  <si>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</si>
  <si>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</si>
  <si>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</si>
  <si>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</si>
  <si>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</si>
  <si>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</si>
  <si>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</si>
  <si>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</si>
  <si>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</si>
  <si>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</si>
  <si>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</si>
  <si>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</si>
  <si>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</si>
  <si>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</si>
  <si>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</si>
  <si>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</si>
  <si>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</si>
  <si>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</si>
  <si>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</si>
  <si>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</si>
  <si>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</si>
  <si>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</si>
  <si>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</si>
  <si>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</si>
  <si>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</si>
  <si>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</si>
  <si>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</si>
  <si>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</si>
  <si>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</si>
  <si>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</si>
  <si>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</si>
  <si>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</si>
  <si>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</si>
  <si>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</si>
  <si>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</si>
  <si>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</si>
  <si>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</si>
  <si>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</si>
  <si>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</si>
  <si>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</si>
  <si>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</si>
  <si>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</si>
  <si>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</si>
  <si>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</si>
  <si>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</si>
  <si>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</si>
  <si>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</si>
  <si>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</si>
  <si>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</si>
  <si>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</si>
  <si>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</si>
  <si>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</si>
  <si>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</si>
  <si>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</si>
  <si>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</si>
  <si>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</si>
  <si>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</si>
  <si>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</si>
  <si>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</si>
  <si>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</si>
  <si>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</si>
  <si>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</si>
  <si>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</si>
  <si>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</si>
  <si>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</si>
  <si>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</si>
  <si>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</si>
  <si>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</si>
  <si>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</si>
  <si>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</si>
  <si>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</si>
  <si>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</si>
  <si>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</si>
  <si>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</si>
  <si>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</si>
  <si>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</si>
  <si>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</si>
  <si>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</si>
  <si>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</si>
  <si>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</si>
  <si>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</si>
  <si>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</si>
  <si>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</si>
  <si>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</si>
  <si>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</si>
  <si>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</si>
  <si>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</si>
  <si>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</si>
  <si>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</si>
  <si>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</si>
  <si>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</si>
  <si>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</si>
  <si>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</si>
  <si>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</si>
  <si>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</si>
  <si>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</si>
  <si>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</si>
  <si>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</si>
  <si>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</si>
  <si>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</si>
  <si>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</si>
  <si>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</si>
  <si>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</si>
  <si>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</si>
  <si>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</si>
  <si>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</si>
  <si>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</si>
  <si>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</si>
  <si>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</si>
  <si>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</si>
  <si>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</si>
  <si>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</si>
  <si>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</si>
  <si>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</si>
  <si>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</si>
  <si>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</si>
  <si>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</si>
  <si>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</si>
  <si>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</si>
  <si>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</si>
  <si>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</si>
  <si>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</si>
  <si>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</si>
  <si>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</si>
  <si>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</si>
  <si>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</si>
  <si>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</si>
  <si>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</si>
  <si>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</si>
  <si>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</si>
  <si>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</si>
  <si>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</si>
  <si>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</si>
  <si>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</si>
  <si>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</si>
  <si>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</si>
  <si>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</si>
  <si>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</si>
  <si>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</si>
  <si>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</si>
  <si>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</si>
  <si>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</si>
  <si>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</si>
  <si>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</si>
  <si>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</si>
  <si>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</si>
  <si>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</si>
  <si>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</si>
  <si>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</si>
  <si>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</si>
  <si>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</si>
  <si>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</si>
  <si>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</si>
  <si>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</si>
  <si>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</si>
  <si>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</si>
  <si>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</si>
  <si>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</si>
  <si>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</si>
  <si>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</si>
  <si>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</si>
  <si>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</si>
  <si>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</si>
  <si>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</si>
  <si>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</si>
  <si>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</si>
  <si>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</si>
  <si>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</si>
  <si>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</si>
  <si>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</si>
  <si>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</si>
  <si>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</si>
  <si>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</si>
  <si>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</si>
  <si>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</si>
  <si>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</si>
  <si>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</si>
  <si>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</si>
  <si>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</si>
  <si>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</si>
  <si>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</si>
  <si>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</si>
  <si>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</si>
  <si>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</si>
  <si>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</si>
  <si>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</si>
  <si>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</si>
  <si>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</si>
  <si>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</si>
  <si>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</si>
  <si>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</si>
  <si>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</si>
  <si>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</si>
  <si>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</si>
  <si>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</si>
  <si>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</si>
  <si>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</si>
  <si>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</si>
  <si>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</si>
  <si>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</si>
  <si>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</si>
  <si>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</si>
  <si>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</si>
  <si>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</si>
  <si>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</si>
  <si>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</si>
  <si>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</si>
  <si>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</si>
  <si>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</si>
  <si>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</si>
  <si>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</si>
  <si>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</si>
  <si>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</si>
  <si>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</si>
  <si>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</si>
  <si>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</si>
  <si>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</si>
  <si>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</si>
  <si>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</si>
  <si>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</si>
  <si>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</si>
  <si>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</si>
  <si>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</si>
  <si>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</si>
  <si>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</si>
  <si>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</si>
  <si>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</si>
  <si>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</si>
  <si>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</si>
  <si>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</si>
  <si>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</si>
  <si>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</si>
  <si>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</si>
  <si>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</si>
  <si>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</si>
  <si>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</si>
  <si>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</si>
  <si>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</si>
  <si>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</si>
  <si>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</si>
  <si>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</si>
  <si>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</si>
  <si>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</si>
  <si>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</si>
  <si>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</si>
  <si>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</si>
  <si>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</si>
  <si>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</si>
  <si>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</si>
  <si>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</si>
  <si>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</si>
  <si>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</si>
  <si>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</si>
  <si>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</si>
  <si>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</si>
  <si>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</si>
  <si>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</si>
  <si>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</si>
  <si>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</si>
  <si>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</si>
  <si>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</si>
  <si>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</si>
  <si>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</si>
  <si>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</si>
  <si>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</si>
  <si>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</si>
  <si>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</si>
  <si>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</si>
  <si>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</si>
  <si>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</si>
  <si>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</si>
  <si>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</si>
  <si>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</si>
  <si>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</si>
  <si>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</si>
  <si>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</si>
  <si>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</si>
  <si>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</si>
  <si>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</si>
  <si>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</si>
  <si>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</si>
  <si>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</si>
  <si>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</si>
  <si>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</si>
  <si>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</si>
  <si>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</si>
  <si>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</si>
  <si>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</si>
  <si>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</si>
  <si>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</si>
  <si>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</si>
  <si>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</si>
  <si>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</si>
  <si>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</si>
  <si>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</si>
  <si>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</si>
  <si>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</si>
  <si>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</si>
  <si>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</si>
  <si>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</si>
  <si>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</si>
  <si>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</si>
  <si>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</si>
  <si>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</si>
  <si>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</si>
  <si>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</si>
  <si>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</si>
  <si>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</si>
  <si>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</si>
  <si>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</si>
  <si>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</si>
  <si>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</si>
  <si>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</si>
  <si>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</si>
  <si>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</si>
  <si>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</si>
  <si>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</si>
  <si>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</si>
  <si>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</si>
  <si>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</si>
  <si>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</si>
  <si>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</si>
  <si>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</si>
  <si>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</si>
  <si>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</si>
  <si>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</si>
  <si>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</si>
  <si>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</si>
  <si>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</si>
  <si>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</si>
  <si>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</si>
  <si>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</si>
  <si>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</si>
  <si>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</si>
  <si>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</si>
  <si>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</si>
  <si>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</si>
  <si>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</si>
  <si>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</si>
  <si>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</si>
  <si>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</si>
  <si>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</si>
  <si>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</si>
  <si>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</si>
  <si>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</si>
  <si>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</si>
  <si>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</si>
  <si>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</si>
  <si>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</si>
  <si>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</si>
  <si>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</si>
  <si>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</si>
  <si>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</si>
  <si>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</si>
  <si>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</si>
  <si>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</si>
  <si>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</si>
  <si>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</si>
  <si>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</si>
  <si>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</si>
  <si>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</si>
  <si>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</si>
  <si>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</si>
  <si>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</si>
  <si>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</si>
  <si>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</si>
  <si>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</si>
  <si>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</si>
  <si>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</si>
  <si>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</si>
  <si>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</si>
  <si>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</si>
  <si>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</si>
  <si>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</si>
  <si>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</si>
  <si>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</si>
  <si>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</si>
  <si>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</si>
  <si>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</si>
  <si>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</si>
  <si>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</si>
  <si>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</si>
  <si>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</si>
  <si>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</si>
  <si>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</si>
  <si>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</si>
  <si>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</si>
  <si>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</si>
  <si>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</si>
  <si>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</si>
  <si>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</si>
  <si>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</si>
  <si>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</si>
  <si>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</si>
  <si>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</si>
  <si>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</si>
  <si>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</si>
  <si>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</si>
  <si>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</si>
  <si>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</si>
  <si>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</si>
  <si>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</si>
  <si>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</si>
  <si>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</si>
  <si>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</si>
  <si>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</si>
  <si>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</si>
  <si>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</si>
  <si>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</si>
  <si>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</si>
  <si>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</si>
  <si>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</si>
  <si>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</si>
  <si>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</si>
  <si>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</si>
  <si>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</si>
  <si>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</si>
  <si>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</si>
  <si>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</si>
  <si>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</si>
  <si>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</si>
  <si>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</si>
  <si>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</si>
  <si>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</si>
  <si>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</si>
  <si>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</si>
  <si>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</si>
  <si>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</si>
  <si>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</si>
  <si>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</si>
  <si>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</si>
  <si>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</si>
  <si>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</si>
  <si>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</si>
  <si>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</si>
  <si>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</si>
  <si>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</si>
  <si>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</si>
  <si>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</si>
  <si>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</si>
  <si>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</si>
  <si>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</si>
  <si>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</si>
  <si>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</si>
  <si>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</si>
  <si>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</si>
  <si>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</si>
  <si>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</si>
  <si>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</si>
  <si>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</si>
  <si>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</si>
  <si>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</si>
  <si>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</si>
  <si>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</si>
  <si>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</si>
  <si>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</si>
  <si>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</si>
  <si>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</si>
  <si>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</si>
  <si>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</si>
  <si>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</si>
  <si>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</si>
  <si>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</si>
  <si>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</si>
  <si>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</si>
  <si>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</si>
  <si>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</si>
  <si>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</si>
  <si>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</si>
  <si>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</si>
  <si>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</si>
  <si>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</si>
  <si>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</si>
  <si>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</si>
  <si>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</si>
  <si>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</si>
  <si>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</si>
  <si>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</si>
  <si>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</si>
  <si>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</si>
  <si>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</si>
  <si>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</si>
  <si>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</si>
  <si>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</si>
  <si>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</si>
  <si>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</si>
  <si>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</si>
  <si>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</si>
  <si>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</si>
  <si>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</si>
  <si>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</si>
  <si>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</si>
  <si>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</si>
  <si>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</si>
  <si>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</si>
  <si>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</si>
  <si>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</si>
  <si>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</si>
  <si>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</si>
  <si>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</si>
  <si>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</si>
  <si>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</si>
  <si>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</si>
  <si>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</si>
  <si>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</si>
  <si>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</si>
  <si>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</si>
  <si>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</si>
  <si>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</si>
  <si>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</si>
  <si>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</si>
  <si>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</si>
  <si>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</si>
  <si>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</si>
  <si>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</si>
  <si>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</si>
  <si>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</si>
  <si>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</si>
  <si>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</si>
  <si>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</si>
  <si>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</si>
  <si>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</si>
  <si>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</si>
  <si>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</si>
  <si>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</si>
  <si>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</si>
  <si>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</si>
  <si>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</si>
  <si>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</si>
  <si>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</si>
  <si>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</si>
  <si>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</si>
  <si>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</si>
  <si>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</si>
  <si>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</si>
  <si>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</si>
  <si>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</si>
  <si>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</si>
  <si>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</si>
  <si>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</si>
  <si>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</si>
  <si>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</si>
  <si>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</si>
  <si>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</si>
  <si>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</si>
  <si>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</si>
  <si>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</si>
  <si>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</si>
  <si>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</si>
  <si>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</si>
  <si>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</si>
  <si>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</si>
  <si>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</si>
  <si>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</si>
  <si>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</si>
  <si>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</si>
  <si>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</si>
  <si>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</si>
  <si>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</si>
  <si>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</si>
  <si>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</si>
  <si>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</si>
  <si>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</si>
  <si>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</si>
  <si>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</si>
  <si>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</si>
  <si>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</si>
  <si>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</si>
  <si>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</si>
  <si>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</si>
  <si>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</si>
  <si>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</si>
  <si>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</si>
  <si>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</si>
  <si>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</si>
  <si>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</si>
  <si>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</si>
  <si>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</si>
  <si>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</si>
  <si>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</si>
  <si>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</si>
  <si>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</si>
  <si>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</si>
  <si>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</si>
  <si>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</si>
  <si>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</si>
  <si>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</si>
  <si>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</si>
  <si>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</si>
  <si>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</si>
  <si>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</si>
  <si>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</si>
  <si>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</si>
  <si>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</si>
  <si>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</si>
  <si>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</si>
  <si>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</si>
  <si>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</si>
  <si>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</si>
  <si>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</si>
  <si>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</si>
  <si>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</si>
  <si>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</si>
  <si>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</si>
  <si>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</si>
  <si>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</si>
  <si>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</si>
  <si>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</si>
  <si>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</si>
  <si>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</si>
  <si>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</si>
  <si>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</si>
  <si>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</si>
  <si>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</si>
  <si>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</si>
  <si>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</si>
  <si>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</si>
  <si>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</si>
  <si>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</si>
  <si>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</si>
  <si>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</si>
  <si>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</si>
  <si>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</si>
  <si>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</si>
  <si>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</si>
  <si>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</si>
  <si>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</si>
  <si>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</si>
  <si>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</si>
  <si>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</si>
  <si>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</si>
  <si>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</si>
  <si>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</si>
  <si>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</si>
  <si>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</si>
  <si>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</si>
  <si>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</si>
  <si>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</si>
  <si>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</si>
  <si>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</si>
  <si>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</si>
  <si>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</si>
  <si>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</si>
  <si>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</si>
  <si>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</si>
  <si>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</si>
  <si>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</si>
  <si>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</si>
  <si>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</si>
  <si>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</si>
  <si>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</si>
  <si>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</si>
  <si>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</si>
  <si>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</si>
  <si>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</si>
  <si>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</si>
  <si>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</si>
  <si>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</si>
  <si>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</si>
  <si>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</si>
  <si>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</si>
  <si>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</si>
  <si>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</si>
  <si>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</si>
  <si>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</si>
  <si>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</si>
  <si>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</si>
  <si>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</si>
  <si>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</si>
  <si>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</si>
  <si>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</si>
  <si>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</si>
  <si>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</si>
  <si>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</si>
  <si>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</si>
  <si>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</si>
  <si>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</si>
  <si>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</si>
  <si>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</si>
  <si>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</si>
  <si>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</si>
  <si>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</si>
  <si>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</si>
  <si>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</si>
  <si>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</si>
  <si>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</si>
  <si>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</si>
  <si>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</si>
  <si>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</si>
  <si>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</si>
  <si>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</si>
  <si>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</si>
  <si>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</si>
  <si>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</si>
  <si>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</si>
  <si>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</si>
  <si>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</si>
  <si>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</si>
  <si>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</si>
  <si>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</si>
  <si>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</si>
  <si>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</si>
  <si>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</si>
  <si>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</si>
  <si>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</si>
  <si>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</si>
  <si>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</si>
  <si>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</si>
  <si>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</si>
  <si>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</si>
  <si>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</si>
  <si>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</si>
  <si>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</si>
  <si>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</si>
  <si>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</si>
  <si>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</si>
  <si>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</si>
  <si>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</si>
  <si>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</si>
  <si>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</si>
  <si>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</si>
  <si>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</si>
  <si>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</si>
  <si>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</si>
  <si>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</si>
  <si>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</si>
  <si>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</si>
  <si>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</si>
  <si>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</si>
  <si>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</si>
  <si>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</si>
  <si>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</si>
  <si>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</si>
  <si>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</si>
  <si>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</si>
  <si>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</si>
  <si>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</si>
  <si>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</si>
  <si>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</si>
  <si>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</si>
  <si>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</si>
  <si>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</si>
  <si>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</si>
  <si>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</si>
  <si>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</si>
  <si>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</si>
  <si>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</si>
  <si>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</si>
  <si>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</si>
  <si>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</si>
  <si>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</si>
  <si>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</si>
  <si>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</si>
  <si>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</si>
  <si>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</si>
  <si>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</si>
  <si>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</si>
  <si>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</si>
  <si>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</si>
  <si>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</si>
  <si>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</si>
  <si>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</si>
  <si>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</si>
  <si>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</si>
  <si>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</si>
  <si>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</si>
  <si>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</si>
  <si>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</si>
  <si>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</si>
  <si>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</si>
  <si>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</si>
  <si>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</si>
  <si>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</si>
  <si>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</si>
  <si>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</si>
  <si>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</si>
  <si>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</si>
  <si>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</si>
  <si>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</si>
  <si>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</si>
  <si>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</si>
  <si>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</si>
  <si>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</si>
  <si>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</si>
  <si>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</si>
  <si>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</si>
  <si>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</si>
  <si>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</si>
  <si>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</si>
  <si>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</si>
  <si>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</si>
  <si>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</si>
  <si>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</si>
  <si>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</si>
  <si>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</si>
  <si>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</si>
  <si>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</si>
  <si>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</si>
  <si>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</si>
  <si>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</si>
  <si>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</si>
  <si>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</si>
  <si>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</si>
  <si>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</si>
  <si>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</si>
  <si>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</si>
  <si>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</si>
  <si>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</si>
  <si>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</si>
  <si>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</si>
  <si>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</si>
  <si>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</si>
  <si>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</si>
  <si>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</si>
  <si>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</si>
  <si>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</si>
  <si>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</si>
  <si>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</si>
  <si>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</si>
  <si>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</si>
  <si>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</si>
  <si>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</si>
  <si>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</si>
  <si>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</si>
  <si>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</si>
  <si>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</si>
  <si>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</si>
  <si>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</si>
  <si>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</si>
  <si>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</si>
  <si>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</si>
  <si>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</si>
  <si>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</si>
  <si>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</si>
  <si>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</si>
  <si>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</si>
  <si>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</si>
  <si>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</si>
  <si>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</si>
  <si>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</si>
  <si>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</si>
  <si>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</si>
  <si>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</si>
  <si>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</si>
  <si>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</si>
  <si>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</si>
  <si>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</si>
  <si>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</si>
  <si>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</si>
  <si>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</si>
  <si>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</si>
  <si>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</si>
  <si>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</si>
  <si>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</si>
  <si>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</si>
  <si>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</si>
  <si>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</si>
  <si>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</si>
  <si>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</si>
  <si>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</si>
  <si>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</si>
  <si>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</si>
  <si>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</si>
  <si>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</si>
  <si>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</si>
  <si>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</si>
  <si>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</si>
  <si>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</si>
  <si>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</si>
  <si>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</si>
  <si>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</si>
  <si>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</si>
  <si>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</si>
  <si>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</si>
  <si>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</si>
  <si>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</si>
  <si>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</si>
  <si>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</si>
  <si>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</si>
  <si>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</si>
  <si>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</si>
  <si>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</si>
  <si>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</si>
  <si>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</si>
  <si>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</si>
  <si>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</si>
  <si>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</si>
  <si>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</si>
  <si>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</si>
  <si>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</si>
  <si>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</si>
  <si>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</si>
  <si>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</si>
  <si>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</si>
  <si>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</si>
  <si>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</si>
  <si>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</si>
  <si>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</si>
  <si>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</si>
  <si>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</si>
  <si>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</si>
  <si>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</si>
  <si>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</si>
  <si>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</si>
  <si>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</si>
  <si>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</si>
  <si>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</si>
  <si>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</si>
  <si>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</si>
  <si>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</si>
  <si>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</si>
  <si>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</si>
  <si>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</si>
  <si>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</si>
  <si>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</si>
  <si>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</si>
  <si>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</si>
  <si>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</si>
  <si>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</si>
  <si>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</si>
  <si>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</si>
  <si>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</si>
  <si>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</si>
  <si>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</si>
  <si>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</si>
  <si>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</si>
  <si>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</si>
  <si>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</si>
  <si>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</si>
  <si>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</si>
  <si>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</si>
  <si>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</si>
  <si>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</si>
  <si>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</si>
  <si>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</si>
  <si>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</si>
  <si>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</si>
  <si>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</si>
  <si>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</si>
  <si>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</si>
  <si>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</si>
  <si>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</si>
  <si>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</si>
  <si>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</si>
  <si>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</si>
  <si>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</si>
  <si>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</si>
  <si>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</si>
  <si>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</si>
  <si>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</si>
  <si>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</si>
  <si>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</si>
  <si>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</si>
  <si>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</si>
  <si>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</si>
  <si>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</si>
  <si>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</si>
  <si>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</si>
  <si>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</si>
  <si>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</si>
  <si>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</si>
  <si>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</si>
  <si>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</si>
  <si>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</si>
  <si>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</si>
  <si>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</si>
  <si>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</si>
  <si>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</si>
  <si>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</si>
  <si>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</si>
  <si>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</si>
  <si>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</si>
  <si>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</si>
  <si>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</si>
  <si>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</si>
  <si>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</si>
  <si>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</si>
  <si>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</si>
  <si>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</si>
  <si>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</si>
  <si>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</si>
  <si>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</si>
  <si>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</si>
  <si>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</si>
  <si>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</si>
  <si>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</si>
  <si>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</si>
  <si>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</si>
  <si>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</si>
  <si>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</si>
  <si>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</si>
  <si>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</si>
  <si>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</si>
  <si>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</si>
  <si>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</si>
  <si>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</si>
  <si>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</si>
  <si>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</si>
  <si>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</si>
  <si>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</si>
  <si>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</si>
  <si>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</si>
  <si>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</si>
  <si>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</si>
  <si>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</si>
  <si>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</si>
  <si>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</si>
  <si>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</si>
  <si>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</si>
  <si>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</si>
  <si>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</si>
  <si>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</si>
  <si>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</si>
  <si>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</si>
  <si>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</si>
  <si>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</si>
  <si>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</si>
  <si>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</si>
  <si>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</si>
  <si>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</si>
  <si>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</si>
  <si>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</si>
  <si>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</si>
  <si>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</si>
  <si>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</si>
  <si>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</si>
  <si>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</si>
  <si>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</si>
  <si>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</si>
  <si>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</si>
  <si>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</si>
  <si>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</si>
  <si>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</si>
  <si>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</si>
  <si>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</si>
  <si>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</si>
  <si>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</si>
  <si>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</si>
  <si>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</si>
  <si>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</si>
  <si>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</si>
  <si>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</si>
  <si>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</si>
  <si>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</si>
  <si>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</si>
  <si>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</si>
  <si>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</si>
  <si>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</si>
  <si>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</si>
  <si>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</si>
  <si>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</si>
  <si>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</si>
  <si>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</si>
  <si>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</si>
  <si>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</si>
  <si>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</si>
  <si>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</si>
  <si>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</si>
  <si>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</si>
  <si>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</si>
  <si>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</si>
  <si>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</si>
  <si>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</si>
  <si>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</si>
  <si>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</si>
  <si>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</si>
  <si>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</si>
  <si>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</si>
  <si>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</si>
  <si>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</si>
  <si>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</si>
  <si>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</si>
  <si>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</si>
  <si>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</si>
  <si>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</si>
  <si>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</si>
  <si>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</si>
  <si>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</si>
  <si>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</si>
  <si>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</si>
  <si>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</si>
  <si>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</si>
  <si>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</si>
  <si>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</si>
  <si>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</si>
  <si>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</si>
  <si>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</si>
  <si>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</si>
  <si>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</si>
  <si>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</si>
  <si>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</si>
  <si>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</si>
  <si>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</si>
  <si>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</si>
  <si>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</si>
  <si>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</si>
  <si>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</si>
  <si>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</si>
  <si>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</si>
  <si>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</si>
  <si>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</si>
  <si>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</si>
  <si>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</si>
  <si>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</si>
  <si>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</si>
  <si>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</si>
  <si>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</si>
  <si>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</si>
  <si>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</si>
  <si>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</si>
  <si>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</si>
  <si>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</si>
  <si>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</si>
  <si>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</si>
  <si>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</si>
  <si>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</si>
  <si>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</si>
  <si>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</si>
  <si>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</si>
  <si>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</si>
  <si>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</si>
  <si>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</si>
  <si>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</si>
  <si>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</si>
  <si>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</si>
  <si>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</si>
  <si>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</si>
  <si>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</si>
  <si>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</si>
  <si>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</si>
  <si>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</si>
  <si>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</si>
  <si>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</si>
  <si>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</si>
  <si>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</si>
  <si>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</si>
  <si>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</si>
  <si>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</si>
  <si>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</si>
  <si>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</si>
  <si>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</si>
  <si>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</si>
  <si>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</si>
  <si>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</si>
  <si>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</si>
  <si>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</si>
  <si>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</si>
  <si>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</si>
  <si>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</si>
  <si>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</si>
  <si>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</si>
  <si>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</si>
  <si>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</si>
  <si>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</si>
  <si>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</si>
  <si>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</si>
  <si>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</si>
  <si>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</si>
  <si>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</si>
  <si>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</si>
  <si>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</si>
  <si>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</si>
  <si>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</si>
  <si>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</si>
  <si>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</si>
  <si>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</si>
  <si>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</si>
  <si>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</si>
  <si>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</si>
  <si>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</si>
  <si>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</si>
  <si>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</si>
  <si>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</si>
  <si>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</si>
  <si>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</si>
  <si>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</si>
  <si>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</si>
  <si>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</si>
  <si>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</si>
  <si>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</si>
  <si>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</si>
  <si>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</si>
  <si>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</si>
  <si>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</si>
  <si>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</si>
  <si>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</si>
  <si>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</si>
  <si>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</si>
  <si>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</si>
  <si>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</si>
  <si>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</si>
  <si>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</si>
  <si>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</si>
  <si>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</si>
  <si>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</si>
  <si>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</si>
  <si>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</si>
  <si>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</si>
  <si>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</si>
  <si>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</si>
  <si>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</si>
  <si>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</si>
  <si>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</si>
  <si>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</si>
  <si>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</si>
  <si>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</si>
  <si>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</si>
  <si>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</si>
  <si>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</si>
  <si>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</si>
  <si>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</si>
  <si>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</si>
  <si>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</si>
  <si>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</si>
  <si>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</si>
  <si>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</si>
  <si>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</si>
  <si>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</si>
  <si>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</si>
  <si>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</si>
  <si>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</si>
  <si>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</si>
  <si>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</si>
  <si>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</si>
  <si>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</si>
  <si>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</si>
  <si>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</si>
  <si>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</si>
  <si>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</si>
  <si>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</si>
  <si>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</si>
  <si>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</si>
  <si>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</si>
  <si>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</si>
  <si>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</si>
  <si>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</si>
  <si>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</si>
  <si>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</si>
  <si>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</si>
  <si>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</si>
  <si>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</si>
  <si>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</si>
  <si>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</si>
  <si>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</si>
  <si>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</si>
  <si>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</si>
  <si>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</si>
  <si>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</si>
  <si>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</si>
  <si>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</si>
  <si>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</si>
  <si>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</si>
  <si>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</si>
  <si>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</si>
  <si>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</si>
  <si>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</si>
  <si>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</si>
  <si>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</si>
  <si>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</si>
  <si>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</si>
  <si>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</si>
  <si>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</si>
  <si>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</si>
  <si>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</si>
  <si>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</si>
  <si>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</si>
  <si>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</si>
  <si>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</si>
  <si>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</si>
  <si>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</si>
  <si>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</si>
  <si>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</si>
  <si>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</si>
  <si>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</si>
  <si>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</si>
  <si>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</si>
  <si>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</si>
  <si>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</si>
  <si>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</si>
  <si>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</si>
  <si>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</si>
  <si>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</si>
  <si>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</si>
  <si>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</si>
  <si>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</si>
  <si>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</si>
  <si>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</si>
  <si>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</si>
  <si>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</si>
  <si>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</si>
  <si>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</si>
  <si>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</si>
  <si>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</si>
  <si>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</si>
  <si>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</si>
  <si>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</si>
  <si>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</si>
  <si>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</si>
  <si>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</si>
  <si>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</si>
  <si>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</si>
  <si>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</si>
  <si>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</si>
  <si>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</si>
  <si>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</si>
  <si>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</si>
  <si>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</si>
  <si>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</si>
  <si>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</si>
  <si>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</si>
  <si>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</si>
  <si>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</si>
  <si>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</si>
  <si>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</si>
  <si>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</si>
  <si>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</si>
  <si>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</si>
  <si>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</si>
  <si>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</si>
  <si>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</si>
  <si>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</si>
  <si>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</si>
  <si>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</si>
  <si>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</si>
  <si>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</si>
  <si>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</si>
  <si>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</si>
  <si>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</si>
  <si>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</si>
  <si>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</si>
  <si>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</si>
  <si>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</si>
  <si>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</si>
  <si>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</si>
  <si>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</si>
  <si>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</si>
  <si>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</si>
  <si>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</si>
  <si>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</si>
  <si>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</si>
  <si>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</si>
  <si>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</si>
  <si>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</si>
  <si>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</si>
  <si>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</si>
  <si>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</si>
  <si>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</si>
  <si>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</si>
  <si>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</si>
  <si>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</si>
  <si>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</si>
  <si>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</si>
  <si>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</si>
  <si>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</si>
  <si>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</si>
  <si>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</si>
  <si>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</si>
  <si>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</si>
  <si>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</si>
  <si>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</si>
  <si>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</si>
  <si>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</si>
  <si>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</si>
  <si>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</si>
  <si>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</si>
  <si>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</si>
  <si>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</si>
  <si>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</si>
  <si>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</si>
  <si>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</si>
  <si>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</si>
  <si>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</si>
  <si>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</si>
  <si>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</si>
  <si>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</si>
  <si>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</si>
  <si>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</si>
  <si>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</si>
  <si>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</si>
  <si>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</si>
  <si>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</si>
  <si>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</si>
  <si>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</si>
  <si>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</si>
  <si>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</si>
  <si>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</si>
  <si>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</si>
  <si>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</si>
  <si>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</si>
  <si>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</si>
  <si>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</si>
  <si>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</si>
  <si>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</si>
  <si>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</si>
  <si>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</si>
  <si>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</si>
  <si>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</si>
  <si>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</si>
  <si>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</si>
  <si>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</si>
  <si>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</si>
  <si>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</si>
  <si>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</si>
  <si>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</si>
  <si>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</si>
  <si>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</si>
  <si>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</si>
  <si>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</si>
  <si>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</si>
  <si>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</si>
  <si>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</si>
  <si>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</si>
  <si>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</si>
  <si>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</si>
  <si>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</si>
  <si>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</si>
  <si>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</si>
  <si>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</si>
  <si>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</si>
  <si>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</si>
  <si>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</si>
  <si>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</si>
  <si>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</si>
  <si>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</si>
  <si>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</si>
  <si>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</si>
  <si>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</si>
  <si>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</si>
  <si>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</si>
  <si>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</si>
  <si>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</si>
  <si>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</si>
  <si>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</si>
  <si>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</si>
  <si>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</si>
  <si>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</si>
  <si>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</si>
  <si>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</si>
  <si>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</si>
  <si>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</si>
  <si>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</si>
  <si>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</si>
  <si>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</si>
  <si>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</si>
  <si>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</si>
  <si>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</si>
  <si>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</si>
  <si>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</si>
  <si>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</si>
  <si>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</si>
  <si>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</si>
  <si>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</si>
  <si>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</si>
  <si>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</si>
  <si>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</si>
  <si>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</si>
  <si>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</si>
  <si>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</si>
  <si>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</si>
  <si>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</si>
  <si>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</si>
  <si>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</si>
  <si>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</si>
  <si>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</si>
  <si>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</si>
  <si>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</si>
  <si>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</si>
  <si>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</si>
  <si>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</si>
  <si>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</si>
  <si>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</si>
  <si>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</si>
  <si>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</si>
  <si>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</si>
  <si>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</si>
  <si>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</si>
  <si>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</si>
  <si>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</si>
  <si>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</si>
  <si>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</si>
  <si>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</si>
  <si>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</si>
  <si>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</si>
  <si>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</si>
  <si>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</si>
  <si>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</si>
  <si>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</si>
  <si>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</si>
  <si>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</si>
  <si>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</si>
  <si>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</si>
  <si>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</si>
  <si>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</si>
  <si>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</si>
  <si>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</si>
  <si>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</si>
  <si>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</si>
  <si>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</si>
  <si>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</si>
  <si>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</si>
  <si>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</si>
  <si>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</si>
  <si>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</si>
  <si>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</si>
  <si>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</si>
  <si>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</si>
  <si>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</si>
  <si>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</si>
  <si>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</si>
  <si>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</si>
  <si>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</si>
  <si>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</si>
  <si>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</si>
  <si>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</si>
  <si>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</si>
  <si>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</si>
  <si>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</si>
  <si>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</si>
  <si>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</si>
  <si>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</si>
  <si>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</si>
  <si>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</si>
  <si>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</si>
  <si>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</si>
  <si>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</si>
  <si>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</si>
  <si>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</si>
  <si>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</si>
  <si>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</si>
  <si>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</si>
  <si>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</si>
  <si>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</si>
  <si>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</si>
  <si>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</si>
  <si>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</si>
  <si>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</si>
  <si>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</si>
  <si>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</si>
  <si>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</si>
  <si>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</si>
  <si>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</si>
  <si>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</si>
  <si>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</si>
  <si>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</si>
  <si>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</si>
  <si>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</si>
  <si>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</si>
  <si>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</si>
  <si>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</si>
  <si>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</si>
  <si>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</si>
  <si>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</si>
  <si>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</si>
  <si>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</si>
  <si>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</si>
  <si>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</si>
  <si>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</si>
  <si>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</si>
  <si>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</si>
  <si>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</si>
  <si>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</si>
  <si>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</si>
  <si>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</si>
  <si>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</si>
  <si>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</si>
  <si>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</si>
  <si>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</si>
  <si>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</si>
  <si>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</si>
  <si>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</si>
  <si>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</si>
  <si>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</si>
  <si>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</si>
  <si>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</si>
  <si>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</si>
  <si>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</si>
  <si>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</si>
  <si>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</si>
  <si>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</si>
  <si>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</si>
  <si>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</si>
  <si>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</si>
  <si>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</si>
  <si>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</si>
  <si>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</si>
  <si>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</si>
  <si>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</si>
  <si>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</si>
  <si>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</si>
  <si>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</si>
  <si>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</si>
  <si>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</si>
  <si>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</si>
  <si>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</si>
  <si>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</si>
  <si>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</si>
  <si>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</si>
  <si>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</si>
  <si>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</si>
  <si>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</si>
  <si>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</si>
  <si>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</si>
  <si>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</si>
  <si>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</si>
  <si>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</si>
  <si>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</si>
  <si>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</si>
  <si>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</si>
  <si>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</si>
  <si>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</si>
  <si>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</si>
  <si>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</si>
  <si>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</si>
  <si>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</si>
  <si>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</si>
  <si>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</si>
  <si>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</si>
  <si>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</si>
  <si>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</si>
  <si>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</si>
  <si>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</si>
  <si>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</si>
  <si>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</si>
  <si>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</si>
  <si>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</si>
  <si>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</si>
  <si>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</si>
  <si>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</si>
  <si>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</si>
  <si>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</si>
  <si>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</si>
  <si>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</si>
  <si>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</si>
  <si>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</si>
  <si>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</si>
  <si>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</si>
  <si>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</si>
  <si>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</si>
  <si>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</si>
  <si>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</si>
  <si>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</si>
  <si>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</si>
  <si>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</si>
  <si>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</si>
  <si>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</si>
  <si>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</si>
  <si>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</si>
  <si>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</si>
  <si>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</si>
  <si>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</si>
  <si>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</si>
  <si>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</si>
  <si>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</si>
  <si>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</si>
  <si>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</si>
  <si>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</si>
  <si>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</si>
  <si>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</si>
  <si>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</si>
  <si>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</si>
  <si>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</si>
  <si>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</si>
  <si>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</si>
  <si>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</si>
  <si>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</si>
  <si>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</si>
  <si>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</si>
  <si>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</si>
  <si>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</si>
  <si>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</si>
  <si>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</si>
  <si>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</si>
  <si>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</si>
  <si>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</si>
  <si>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</si>
  <si>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</si>
  <si>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</si>
  <si>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</si>
  <si>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</si>
  <si>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</si>
  <si>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</si>
  <si>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</si>
  <si>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</si>
  <si>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</si>
  <si>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</si>
  <si>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</si>
  <si>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</si>
  <si>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</si>
  <si>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</si>
  <si>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</si>
  <si>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</si>
  <si>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</si>
  <si>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</si>
  <si>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</si>
  <si>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</si>
  <si>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</si>
  <si>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</si>
  <si>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</si>
  <si>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</si>
  <si>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</si>
  <si>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</si>
  <si>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</si>
  <si>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</si>
  <si>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</si>
  <si>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</si>
  <si>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</si>
  <si>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</si>
  <si>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</si>
  <si>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</si>
  <si>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</si>
  <si>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</si>
  <si>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</si>
  <si>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</si>
  <si>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</si>
  <si>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</si>
  <si>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</si>
  <si>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</si>
  <si>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</si>
  <si>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</si>
  <si>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</si>
  <si>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</si>
  <si>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</si>
  <si>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</si>
  <si>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</si>
  <si>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</si>
  <si>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</si>
  <si>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</si>
  <si>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</si>
  <si>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</si>
  <si>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</si>
  <si>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</si>
  <si>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</si>
  <si>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</si>
  <si>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</si>
  <si>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</si>
  <si>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</si>
  <si>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</si>
  <si>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</si>
  <si>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</si>
  <si>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</si>
  <si>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</si>
  <si>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</si>
  <si>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</si>
  <si>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</si>
  <si>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</si>
  <si>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</si>
  <si>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</si>
  <si>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</si>
  <si>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</si>
  <si>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</si>
  <si>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</si>
  <si>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</si>
  <si>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</si>
  <si>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</si>
  <si>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</si>
  <si>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</si>
  <si>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</si>
  <si>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</si>
  <si>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</si>
  <si>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</si>
  <si>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</si>
  <si>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</si>
  <si>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</si>
  <si>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</si>
  <si>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</si>
  <si>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</si>
  <si>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</si>
  <si>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</si>
  <si>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</si>
  <si>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</si>
  <si>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</si>
  <si>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</si>
  <si>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</si>
  <si>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</si>
  <si>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</si>
  <si>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</si>
  <si>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</si>
  <si>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</si>
  <si>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</si>
  <si>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</si>
  <si>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</si>
  <si>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</si>
  <si>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</si>
  <si>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</si>
  <si>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</si>
  <si>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</si>
  <si>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</si>
  <si>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</si>
  <si>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</si>
  <si>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</si>
  <si>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</si>
  <si>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</si>
  <si>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</si>
  <si>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</si>
  <si>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</si>
  <si>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</si>
  <si>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</si>
  <si>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</si>
  <si>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</si>
  <si>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</si>
  <si>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</si>
  <si>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</si>
  <si>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</si>
  <si>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</si>
  <si>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</si>
  <si>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</si>
  <si>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</si>
  <si>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</si>
  <si>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</si>
  <si>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</si>
  <si>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</si>
  <si>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</si>
  <si>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</si>
  <si>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</si>
  <si>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</si>
  <si>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</si>
  <si>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</si>
  <si>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</si>
  <si>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</si>
  <si>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</si>
  <si>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</si>
  <si>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</si>
  <si>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</si>
  <si>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</si>
  <si>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</si>
  <si>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</si>
  <si>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</si>
  <si>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</si>
  <si>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</si>
  <si>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</si>
  <si>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</si>
  <si>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</si>
  <si>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</si>
  <si>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</si>
  <si>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</si>
  <si>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</si>
  <si>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</si>
  <si>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</si>
  <si>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</si>
  <si>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</si>
  <si>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</si>
  <si>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</si>
  <si>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</si>
  <si>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</si>
  <si>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</si>
  <si>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</si>
  <si>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</si>
  <si>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</si>
  <si>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</si>
  <si>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</si>
  <si>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</si>
  <si>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</si>
  <si>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</si>
  <si>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</si>
  <si>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</si>
  <si>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</si>
  <si>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</si>
  <si>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</si>
  <si>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</si>
  <si>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</si>
  <si>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</si>
  <si>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</si>
  <si>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</si>
  <si>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</si>
  <si>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</si>
  <si>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</si>
  <si>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</si>
  <si>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</si>
  <si>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</si>
  <si>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</si>
  <si>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</si>
  <si>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</si>
  <si>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</si>
  <si>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</si>
  <si>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</si>
  <si>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</si>
  <si>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</si>
  <si>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</si>
  <si>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</si>
  <si>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</si>
  <si>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</si>
  <si>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</si>
  <si>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</si>
  <si>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</si>
  <si>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</si>
  <si>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</si>
  <si>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</si>
  <si>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</si>
  <si>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</si>
  <si>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</si>
  <si>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</si>
  <si>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</si>
  <si>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</si>
  <si>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</si>
  <si>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</si>
  <si>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</si>
  <si>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</si>
  <si>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</si>
  <si>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</si>
  <si>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</si>
  <si>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</si>
  <si>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</si>
  <si>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</si>
  <si>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</si>
  <si>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</si>
  <si>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</si>
  <si>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</si>
  <si>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</si>
  <si>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</si>
  <si>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</si>
  <si>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</si>
  <si>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</si>
  <si>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</si>
  <si>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</si>
  <si>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</si>
  <si>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</si>
  <si>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</si>
  <si>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</si>
  <si>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</si>
  <si>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</si>
  <si>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</si>
  <si>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</si>
  <si>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</si>
  <si>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</si>
  <si>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</si>
  <si>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</si>
  <si>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</si>
  <si>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</si>
  <si>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</si>
  <si>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</si>
  <si>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</si>
  <si>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</si>
  <si>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</si>
  <si>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</si>
  <si>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</si>
  <si>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</si>
  <si>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</si>
  <si>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</si>
  <si>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</si>
  <si>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</si>
  <si>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</si>
  <si>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</si>
  <si>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</si>
  <si>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</si>
  <si>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</si>
  <si>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</si>
  <si>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</si>
  <si>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</si>
  <si>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</si>
  <si>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</si>
  <si>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</si>
  <si>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</si>
  <si>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</si>
  <si>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</si>
  <si>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</si>
  <si>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</si>
  <si>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</si>
  <si>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</si>
  <si>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</si>
  <si>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</si>
  <si>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</si>
  <si>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</si>
  <si>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</si>
  <si>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</si>
  <si>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</si>
  <si>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</si>
  <si>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</si>
  <si>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</si>
  <si>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</si>
  <si>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</si>
  <si>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</si>
  <si>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</si>
  <si>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</si>
  <si>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</si>
  <si>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</si>
  <si>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</si>
  <si>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</si>
  <si>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</si>
  <si>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</si>
  <si>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</si>
  <si>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</si>
  <si>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</si>
  <si>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</si>
  <si>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</si>
  <si>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</si>
  <si>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</si>
  <si>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</si>
  <si>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</si>
  <si>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</si>
  <si>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</si>
  <si>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</si>
  <si>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</si>
  <si>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</si>
  <si>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</si>
  <si>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</si>
  <si>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</si>
  <si>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</si>
  <si>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</si>
  <si>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</si>
  <si>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</si>
  <si>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</si>
  <si>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</si>
  <si>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</si>
  <si>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</si>
  <si>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</si>
  <si>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</si>
  <si>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</si>
  <si>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</si>
  <si>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</si>
  <si>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</si>
  <si>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</si>
  <si>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</si>
  <si>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</si>
  <si>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</si>
  <si>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</si>
  <si>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</si>
  <si>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</si>
  <si>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</si>
  <si>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</si>
  <si>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</si>
  <si>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</si>
  <si>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</si>
  <si>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</si>
  <si>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</si>
  <si>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</si>
  <si>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</si>
  <si>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</si>
  <si>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</si>
  <si>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</si>
  <si>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</si>
  <si>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</si>
  <si>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</si>
  <si>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</si>
  <si>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</si>
  <si>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</si>
  <si>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</si>
  <si>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</si>
  <si>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</si>
  <si>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</si>
  <si>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</si>
  <si>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</si>
  <si>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</si>
  <si>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</si>
  <si>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</si>
  <si>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</si>
  <si>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</si>
  <si>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</si>
  <si>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</si>
  <si>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</si>
  <si>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</si>
  <si>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</si>
  <si>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</si>
  <si>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</si>
  <si>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</si>
  <si>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</si>
  <si>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</si>
  <si>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</si>
  <si>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</si>
  <si>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</si>
  <si>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</si>
  <si>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</si>
  <si>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</si>
  <si>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</si>
  <si>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</si>
  <si>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</si>
  <si>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</si>
  <si>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</si>
  <si>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</si>
  <si>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</si>
  <si>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</si>
  <si>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</si>
  <si>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</si>
  <si>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</si>
  <si>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</si>
  <si>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</si>
  <si>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</si>
  <si>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</si>
  <si>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</si>
  <si>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</si>
  <si>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</si>
  <si>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</si>
  <si>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</si>
  <si>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</si>
  <si>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</si>
  <si>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</si>
  <si>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</si>
  <si>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</si>
  <si>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</si>
  <si>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</si>
  <si>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</si>
  <si>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</si>
  <si>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</si>
  <si>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</si>
  <si>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</si>
  <si>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</si>
  <si>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</si>
  <si>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</si>
  <si>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</si>
  <si>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</si>
  <si>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</si>
  <si>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</si>
  <si>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</si>
  <si>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</si>
  <si>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</si>
  <si>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</si>
  <si>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</si>
  <si>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</si>
  <si>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</si>
  <si>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</si>
  <si>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</si>
  <si>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</si>
  <si>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</si>
  <si>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</si>
  <si>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</si>
  <si>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</si>
  <si>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</si>
  <si>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</si>
  <si>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</si>
  <si>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</si>
  <si>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</si>
  <si>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</si>
  <si>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</si>
  <si>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</si>
  <si>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</si>
  <si>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</si>
  <si>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</si>
  <si>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</si>
  <si>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</si>
  <si>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</si>
  <si>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</si>
  <si>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</si>
  <si>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</si>
  <si>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</si>
  <si>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</si>
  <si>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</si>
  <si>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</si>
  <si>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</si>
  <si>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</si>
  <si>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</si>
  <si>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</si>
  <si>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</si>
  <si>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</si>
  <si>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</si>
  <si>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</si>
  <si>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</si>
  <si>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</si>
  <si>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</si>
  <si>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</si>
  <si>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</si>
  <si>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</si>
  <si>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</si>
  <si>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</si>
  <si>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</si>
  <si>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</si>
  <si>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</si>
  <si>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</si>
  <si>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</si>
  <si>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</si>
  <si>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</si>
  <si>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</si>
  <si>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</si>
  <si>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</si>
  <si>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</si>
  <si>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</si>
  <si>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</si>
  <si>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</si>
  <si>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</si>
  <si>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</si>
  <si>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</si>
  <si>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</si>
  <si>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</si>
  <si>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</si>
  <si>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</si>
  <si>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</si>
  <si>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</si>
  <si>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</si>
  <si>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</si>
  <si>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</si>
  <si>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</si>
  <si>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</si>
  <si>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</si>
  <si>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</si>
  <si>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</si>
  <si>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</si>
  <si>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</si>
  <si>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</si>
  <si>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</si>
  <si>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</si>
  <si>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</si>
  <si>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</si>
  <si>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</si>
  <si>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</si>
  <si>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</si>
  <si>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</si>
  <si>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</si>
  <si>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</si>
  <si>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</si>
  <si>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</si>
  <si>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</si>
  <si>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</si>
  <si>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</si>
  <si>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</si>
  <si>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</si>
  <si>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</si>
  <si>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</si>
  <si>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</si>
  <si>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</si>
  <si>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</si>
  <si>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</si>
  <si>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</si>
  <si>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</si>
  <si>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</si>
  <si>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</si>
  <si>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</si>
  <si>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</si>
  <si>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</si>
  <si>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</si>
  <si>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</si>
  <si>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</si>
  <si>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</si>
  <si>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</si>
  <si>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</si>
  <si>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</si>
  <si>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</si>
  <si>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</si>
  <si>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</si>
  <si>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</si>
  <si>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</si>
  <si>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</si>
  <si>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</si>
  <si>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</si>
  <si>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</si>
  <si>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</si>
  <si>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</si>
  <si>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</si>
  <si>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</si>
  <si>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</si>
  <si>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</si>
  <si>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</si>
  <si>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</si>
  <si>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</si>
  <si>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</si>
  <si>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</si>
  <si>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</si>
  <si>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</si>
  <si>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</si>
  <si>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</si>
  <si>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</si>
  <si>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</si>
  <si>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</si>
  <si>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</si>
  <si>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</si>
  <si>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</si>
  <si>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</si>
  <si>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</si>
  <si>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</si>
  <si>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</si>
  <si>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</si>
  <si>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</si>
  <si>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</si>
  <si>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</si>
  <si>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</si>
  <si>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</si>
  <si>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</si>
  <si>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</si>
  <si>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</si>
  <si>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</si>
  <si>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</si>
  <si>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</si>
  <si>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</si>
  <si>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</si>
  <si>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</si>
  <si>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</si>
  <si>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</si>
  <si>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</si>
  <si>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</si>
  <si>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</si>
  <si>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</si>
  <si>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</si>
  <si>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</si>
  <si>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</si>
  <si>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</si>
  <si>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</si>
  <si>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</si>
  <si>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</si>
  <si>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</si>
  <si>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</si>
  <si>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</si>
  <si>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</si>
  <si>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</si>
  <si>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</si>
  <si>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</si>
  <si>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</si>
  <si>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</si>
  <si>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</si>
  <si>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</si>
  <si>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</si>
  <si>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</si>
  <si>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</si>
  <si>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</si>
  <si>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</si>
  <si>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</si>
  <si>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</si>
  <si>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</si>
  <si>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</si>
  <si>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</si>
  <si>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</si>
  <si>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</si>
  <si>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</si>
  <si>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</si>
  <si>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</si>
  <si>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</si>
  <si>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</si>
  <si>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</si>
  <si>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</si>
  <si>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</si>
  <si>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</si>
  <si>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</si>
  <si>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</si>
  <si>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</si>
  <si>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</si>
  <si>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</si>
  <si>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</si>
  <si>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</si>
  <si>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</si>
  <si>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</si>
  <si>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</si>
  <si>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</si>
  <si>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</si>
  <si>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</si>
  <si>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</si>
  <si>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</si>
  <si>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</si>
  <si>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</si>
  <si>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</si>
  <si>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</si>
  <si>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</si>
  <si>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</si>
  <si>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</si>
  <si>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</si>
  <si>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</si>
  <si>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</si>
  <si>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</si>
  <si>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</si>
  <si>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</si>
  <si>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</si>
  <si>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</si>
  <si>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</si>
  <si>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</si>
  <si>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</si>
  <si>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</si>
  <si>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</si>
  <si>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</si>
  <si>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</si>
  <si>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</si>
  <si>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</si>
  <si>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</si>
  <si>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</si>
  <si>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</si>
  <si>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</si>
  <si>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</si>
  <si>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</si>
  <si>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</si>
  <si>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</si>
  <si>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</si>
  <si>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</si>
  <si>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</si>
  <si>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</si>
  <si>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</si>
  <si>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</si>
  <si>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</si>
  <si>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</si>
  <si>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</si>
  <si>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</si>
  <si>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</si>
  <si>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</si>
  <si>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</si>
  <si>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</si>
  <si>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</si>
  <si>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</si>
  <si>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</si>
  <si>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</si>
  <si>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</si>
  <si>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</si>
  <si>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</si>
  <si>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</si>
  <si>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</si>
  <si>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</si>
  <si>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</si>
  <si>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</si>
  <si>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</si>
  <si>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</si>
  <si>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</si>
  <si>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</si>
  <si>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</si>
  <si>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</si>
  <si>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</si>
  <si>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</si>
  <si>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</si>
  <si>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</si>
  <si>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</si>
  <si>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</si>
  <si>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</si>
  <si>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</si>
  <si>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</si>
  <si>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</si>
  <si>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</si>
  <si>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</si>
  <si>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</si>
  <si>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</si>
  <si>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</si>
  <si>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</si>
  <si>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</si>
  <si>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</si>
  <si>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</si>
  <si>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</si>
  <si>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</si>
  <si>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</si>
  <si>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</si>
  <si>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</si>
  <si>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</si>
  <si>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</si>
  <si>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</si>
  <si>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</si>
  <si>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</si>
  <si>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</si>
  <si>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</si>
  <si>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</si>
  <si>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</si>
  <si>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</si>
  <si>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</si>
  <si>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</si>
  <si>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</si>
  <si>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</si>
  <si>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</si>
  <si>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</si>
  <si>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</si>
  <si>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</si>
  <si>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</si>
  <si>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</si>
  <si>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</si>
  <si>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</si>
  <si>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</si>
  <si>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</si>
  <si>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</si>
  <si>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</si>
  <si>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</si>
  <si>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</si>
  <si>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</si>
  <si>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</si>
  <si>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</si>
  <si>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</si>
  <si>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</si>
  <si>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</si>
  <si>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</si>
  <si>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</si>
  <si>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</si>
  <si>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</si>
  <si>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</si>
  <si>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</si>
  <si>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</si>
  <si>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</si>
  <si>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</si>
  <si>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</si>
  <si>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</si>
  <si>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</si>
  <si>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</si>
  <si>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</si>
  <si>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</si>
  <si>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</si>
  <si>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</si>
  <si>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</si>
  <si>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</si>
  <si>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</si>
  <si>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</si>
  <si>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</si>
  <si>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</si>
  <si>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</si>
  <si>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</si>
  <si>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</si>
  <si>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</si>
  <si>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</si>
  <si>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</si>
  <si>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</si>
  <si>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</si>
  <si>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</si>
  <si>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</si>
  <si>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</si>
  <si>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</si>
  <si>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</si>
  <si>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</si>
  <si>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</si>
  <si>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</si>
  <si>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</si>
  <si>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</si>
  <si>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</si>
  <si>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</si>
  <si>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</si>
  <si>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</si>
  <si>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</si>
  <si>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</si>
  <si>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</si>
  <si>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</si>
  <si>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</si>
  <si>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</si>
  <si>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</si>
  <si>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</si>
  <si>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</si>
  <si>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</si>
  <si>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</si>
  <si>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</si>
  <si>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</si>
  <si>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</si>
  <si>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</si>
  <si>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</si>
  <si>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</si>
  <si>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</si>
  <si>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</si>
  <si>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</si>
  <si>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</si>
  <si>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</si>
  <si>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</si>
  <si>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</si>
  <si>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</si>
  <si>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</si>
  <si>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</si>
  <si>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</si>
  <si>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</si>
  <si>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</si>
  <si>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</si>
  <si>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</si>
  <si>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</si>
  <si>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</si>
  <si>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</si>
  <si>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</si>
  <si>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</si>
  <si>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</si>
  <si>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</si>
  <si>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</si>
  <si>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</si>
  <si>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</si>
  <si>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</si>
  <si>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</si>
  <si>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</si>
  <si>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</si>
  <si>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</si>
  <si>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</si>
  <si>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</si>
  <si>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</si>
  <si>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</si>
  <si>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</si>
  <si>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</si>
  <si>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</si>
  <si>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</si>
  <si>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</si>
  <si>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</si>
  <si>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</si>
  <si>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</si>
  <si>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</si>
  <si>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</si>
  <si>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</si>
  <si>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</si>
  <si>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</si>
  <si>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</si>
  <si>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</si>
  <si>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</si>
  <si>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</si>
  <si>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</si>
  <si>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</si>
  <si>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</si>
  <si>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VAC1</t>
  </si>
  <si>
    <t>VACCUM TEST</t>
  </si>
  <si>
    <t>Add Dulce to the email</t>
  </si>
  <si>
    <t>Need to move</t>
  </si>
  <si>
    <t>3 up ??</t>
  </si>
  <si>
    <t>Trx</t>
  </si>
  <si>
    <t>(All)</t>
  </si>
  <si>
    <t>add</t>
  </si>
  <si>
    <t xml:space="preserve">Need STI- to release work order | work order relased 24-Aug-26 | STIL PE55413 to be released | </t>
  </si>
  <si>
    <t>***</t>
  </si>
  <si>
    <t>FNLI Final Inspect</t>
  </si>
  <si>
    <t>Final Inspect-1</t>
  </si>
  <si>
    <t>INS3</t>
  </si>
  <si>
    <t>Inspection 3</t>
  </si>
  <si>
    <t>ASY4 T/L Assembly</t>
  </si>
  <si>
    <t>Assembly 1-1B1</t>
  </si>
  <si>
    <t>ASY2 T/L Assembly</t>
  </si>
  <si>
    <t>***9/17</t>
  </si>
  <si>
    <t>Can be shipped</t>
  </si>
  <si>
    <t xml:space="preserve">***9/17 - start test, separate tp plan </t>
  </si>
  <si>
    <t xml:space="preserve">***9/17 - completed SMT Aug 20, had ESTI Rework. Nothing has moved to test. ACTION: MOVE BOARDS TO TEST TODAY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</si>
</sst>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12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2.33923020833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31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AOR2 AOI RWK S2"/>
        <s v="PBAI Inspect"/>
        <s v="SCRP Scrap"/>
        <s v="FNLI Final Inspect"/>
        <s v="1DBG Debug Test"/>
        <s v="INS3"/>
        <s v="ASY4 T/L Assembly"/>
        <s v="ASY2 T/L Assembly"/>
        <s v="ASY1 T/L Assembly"/>
        <s v="SMR1 RWK SMT1"/>
        <s v="PACK Packout"/>
        <s v="ASY3 T/L Assembly"/>
        <s v="VAC1"/>
        <s v="WGHT" u="1"/>
        <s v="DPNL Mech Depanel" u="1"/>
      </sharedItems>
    </cacheField>
    <cacheField name="Process" numFmtId="0">
      <sharedItems count="32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AOR2 AOI Repair S2"/>
        <s v="PBA Inspection"/>
        <s v="Scrap"/>
        <s v="Final Inspect-1"/>
        <s v="Debug Test-1"/>
        <s v="Inspection 3"/>
        <s v="Assembly 1-1B1"/>
        <s v="Assembly 1 - 1B"/>
        <s v="Xfr to T/L Assembly"/>
        <s v="RWK SMT1"/>
        <s v="Packout"/>
        <s v="Assembly 1-1B"/>
        <s v="VACCUM TEST"/>
        <s v="WGHT" u="1"/>
        <s v="Inspection 4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7T07:43:40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m/>
    <m/>
    <m/>
  </r>
  <r>
    <s v="YK263700057"/>
    <x v="0"/>
    <x v="0"/>
    <n v="1"/>
    <x v="0"/>
    <d v="2026-09-11T06:25:12"/>
    <x v="0"/>
    <x v="0"/>
    <x v="0"/>
    <s v="156G85.00"/>
    <x v="0"/>
    <x v="0"/>
    <m/>
    <m/>
    <m/>
  </r>
  <r>
    <s v="YK263700058"/>
    <x v="0"/>
    <x v="0"/>
    <n v="1"/>
    <x v="0"/>
    <d v="2026-09-11T06:25:12"/>
    <x v="0"/>
    <x v="0"/>
    <x v="0"/>
    <s v="156G85.00"/>
    <x v="0"/>
    <x v="0"/>
    <m/>
    <m/>
    <m/>
  </r>
  <r>
    <s v="YK263700059"/>
    <x v="0"/>
    <x v="0"/>
    <n v="1"/>
    <x v="0"/>
    <d v="2026-09-11T06:25:12"/>
    <x v="0"/>
    <x v="0"/>
    <x v="0"/>
    <s v="156G85.00"/>
    <x v="0"/>
    <x v="0"/>
    <m/>
    <m/>
    <m/>
  </r>
  <r>
    <s v="YK263700060"/>
    <x v="0"/>
    <x v="0"/>
    <n v="1"/>
    <x v="0"/>
    <d v="2026-09-11T06:25:12"/>
    <x v="0"/>
    <x v="0"/>
    <x v="0"/>
    <s v="156G85.00"/>
    <x v="0"/>
    <x v="0"/>
    <m/>
    <m/>
    <m/>
  </r>
  <r>
    <s v="YK263700061"/>
    <x v="0"/>
    <x v="0"/>
    <n v="1"/>
    <x v="0"/>
    <d v="2026-09-11T06:25:12"/>
    <x v="0"/>
    <x v="0"/>
    <x v="0"/>
    <s v="156G85.00"/>
    <x v="0"/>
    <x v="0"/>
    <m/>
    <m/>
    <m/>
  </r>
  <r>
    <s v="YK263700062"/>
    <x v="0"/>
    <x v="0"/>
    <n v="1"/>
    <x v="0"/>
    <d v="2026-09-11T06:25:12"/>
    <x v="0"/>
    <x v="0"/>
    <x v="0"/>
    <s v="156G85.00"/>
    <x v="0"/>
    <x v="0"/>
    <m/>
    <m/>
    <m/>
  </r>
  <r>
    <s v="YK263700063"/>
    <x v="0"/>
    <x v="0"/>
    <n v="1"/>
    <x v="0"/>
    <d v="2026-09-11T06:25:12"/>
    <x v="0"/>
    <x v="0"/>
    <x v="0"/>
    <s v="156G85.00"/>
    <x v="0"/>
    <x v="0"/>
    <m/>
    <m/>
    <m/>
  </r>
  <r>
    <s v="YK263700064"/>
    <x v="0"/>
    <x v="0"/>
    <n v="1"/>
    <x v="0"/>
    <d v="2026-09-11T06:25:12"/>
    <x v="0"/>
    <x v="0"/>
    <x v="0"/>
    <s v="156G85.00"/>
    <x v="0"/>
    <x v="0"/>
    <m/>
    <m/>
    <m/>
  </r>
  <r>
    <s v="YK263700065"/>
    <x v="0"/>
    <x v="0"/>
    <n v="1"/>
    <x v="0"/>
    <d v="2026-09-11T06:25:12"/>
    <x v="0"/>
    <x v="0"/>
    <x v="0"/>
    <s v="156G85.00"/>
    <x v="0"/>
    <x v="0"/>
    <m/>
    <m/>
    <m/>
  </r>
  <r>
    <s v="YK263700066"/>
    <x v="0"/>
    <x v="0"/>
    <n v="1"/>
    <x v="0"/>
    <d v="2026-09-11T06:25:12"/>
    <x v="0"/>
    <x v="0"/>
    <x v="0"/>
    <s v="156G85.00"/>
    <x v="0"/>
    <x v="0"/>
    <m/>
    <m/>
    <m/>
  </r>
  <r>
    <s v="YK263700067"/>
    <x v="0"/>
    <x v="0"/>
    <n v="1"/>
    <x v="0"/>
    <d v="2026-09-11T06:25:12"/>
    <x v="0"/>
    <x v="0"/>
    <x v="0"/>
    <s v="156G85.00"/>
    <x v="0"/>
    <x v="0"/>
    <m/>
    <m/>
    <m/>
  </r>
  <r>
    <s v="YK263700068"/>
    <x v="0"/>
    <x v="0"/>
    <n v="1"/>
    <x v="0"/>
    <d v="2026-09-11T06:25:12"/>
    <x v="0"/>
    <x v="0"/>
    <x v="0"/>
    <s v="156G85.00"/>
    <x v="0"/>
    <x v="0"/>
    <m/>
    <m/>
    <m/>
  </r>
  <r>
    <s v="YK263700069"/>
    <x v="0"/>
    <x v="0"/>
    <n v="1"/>
    <x v="0"/>
    <d v="2026-09-11T06:25:12"/>
    <x v="0"/>
    <x v="0"/>
    <x v="0"/>
    <s v="156G85.00"/>
    <x v="0"/>
    <x v="0"/>
    <m/>
    <m/>
    <m/>
  </r>
  <r>
    <s v="YK263700070"/>
    <x v="0"/>
    <x v="0"/>
    <n v="1"/>
    <x v="0"/>
    <d v="2026-09-11T06:25:12"/>
    <x v="0"/>
    <x v="0"/>
    <x v="0"/>
    <s v="156G85.00"/>
    <x v="0"/>
    <x v="0"/>
    <m/>
    <m/>
    <m/>
  </r>
  <r>
    <s v="YK263700071"/>
    <x v="0"/>
    <x v="0"/>
    <n v="1"/>
    <x v="0"/>
    <d v="2026-09-11T06:25:12"/>
    <x v="0"/>
    <x v="0"/>
    <x v="0"/>
    <s v="156G85.00"/>
    <x v="0"/>
    <x v="0"/>
    <m/>
    <m/>
    <m/>
  </r>
  <r>
    <s v="YK263700072"/>
    <x v="0"/>
    <x v="0"/>
    <n v="1"/>
    <x v="0"/>
    <d v="2026-09-11T06:25:12"/>
    <x v="0"/>
    <x v="0"/>
    <x v="0"/>
    <s v="156G85.00"/>
    <x v="0"/>
    <x v="0"/>
    <m/>
    <m/>
    <m/>
  </r>
  <r>
    <s v="YK263700073"/>
    <x v="0"/>
    <x v="0"/>
    <n v="1"/>
    <x v="0"/>
    <d v="2026-09-11T06:25:12"/>
    <x v="0"/>
    <x v="0"/>
    <x v="0"/>
    <s v="156G85.00"/>
    <x v="0"/>
    <x v="0"/>
    <m/>
    <m/>
    <m/>
  </r>
  <r>
    <s v="YK263700074"/>
    <x v="0"/>
    <x v="0"/>
    <n v="1"/>
    <x v="0"/>
    <d v="2026-09-11T06:25:12"/>
    <x v="0"/>
    <x v="0"/>
    <x v="0"/>
    <s v="156G85.00"/>
    <x v="0"/>
    <x v="0"/>
    <m/>
    <m/>
    <m/>
  </r>
  <r>
    <s v="YK263700075"/>
    <x v="0"/>
    <x v="0"/>
    <n v="1"/>
    <x v="0"/>
    <d v="2026-09-11T06:25:12"/>
    <x v="0"/>
    <x v="0"/>
    <x v="0"/>
    <s v="156G85.00"/>
    <x v="0"/>
    <x v="0"/>
    <m/>
    <m/>
    <m/>
  </r>
  <r>
    <s v="YK263700076"/>
    <x v="0"/>
    <x v="0"/>
    <n v="1"/>
    <x v="0"/>
    <d v="2026-09-11T06:25:12"/>
    <x v="0"/>
    <x v="0"/>
    <x v="0"/>
    <s v="156G85.00"/>
    <x v="0"/>
    <x v="0"/>
    <m/>
    <m/>
    <m/>
  </r>
  <r>
    <s v="YK263700077"/>
    <x v="0"/>
    <x v="0"/>
    <n v="1"/>
    <x v="0"/>
    <d v="2026-09-11T06:25:12"/>
    <x v="0"/>
    <x v="0"/>
    <x v="0"/>
    <s v="156G85.00"/>
    <x v="0"/>
    <x v="0"/>
    <m/>
    <m/>
    <m/>
  </r>
  <r>
    <s v="YK263700078"/>
    <x v="0"/>
    <x v="0"/>
    <n v="1"/>
    <x v="0"/>
    <d v="2026-09-11T06:25:12"/>
    <x v="0"/>
    <x v="0"/>
    <x v="0"/>
    <s v="156G85.00"/>
    <x v="0"/>
    <x v="0"/>
    <m/>
    <m/>
    <m/>
  </r>
  <r>
    <s v="YK263700079"/>
    <x v="0"/>
    <x v="0"/>
    <n v="1"/>
    <x v="0"/>
    <d v="2026-09-11T06:25:12"/>
    <x v="0"/>
    <x v="0"/>
    <x v="0"/>
    <s v="156G85.00"/>
    <x v="0"/>
    <x v="0"/>
    <m/>
    <m/>
    <m/>
  </r>
  <r>
    <s v="YK263700080"/>
    <x v="0"/>
    <x v="0"/>
    <n v="1"/>
    <x v="0"/>
    <d v="2026-09-11T06:25:12"/>
    <x v="0"/>
    <x v="0"/>
    <x v="0"/>
    <s v="156G85.00"/>
    <x v="0"/>
    <x v="0"/>
    <m/>
    <m/>
    <m/>
  </r>
  <r>
    <s v="YK263700081"/>
    <x v="0"/>
    <x v="0"/>
    <n v="1"/>
    <x v="0"/>
    <d v="2026-09-11T06:25:12"/>
    <x v="0"/>
    <x v="0"/>
    <x v="0"/>
    <s v="156G85.00"/>
    <x v="0"/>
    <x v="0"/>
    <m/>
    <m/>
    <m/>
  </r>
  <r>
    <s v="YK263700082"/>
    <x v="0"/>
    <x v="0"/>
    <n v="1"/>
    <x v="0"/>
    <d v="2026-09-11T06:25:12"/>
    <x v="0"/>
    <x v="0"/>
    <x v="0"/>
    <s v="156G85.00"/>
    <x v="0"/>
    <x v="0"/>
    <m/>
    <m/>
    <m/>
  </r>
  <r>
    <s v="YK263700083"/>
    <x v="0"/>
    <x v="0"/>
    <n v="1"/>
    <x v="0"/>
    <d v="2026-09-11T06:25:12"/>
    <x v="0"/>
    <x v="0"/>
    <x v="0"/>
    <s v="156G85.00"/>
    <x v="0"/>
    <x v="0"/>
    <m/>
    <m/>
    <m/>
  </r>
  <r>
    <s v="YK263700084"/>
    <x v="0"/>
    <x v="0"/>
    <n v="1"/>
    <x v="0"/>
    <d v="2026-09-11T06:25:12"/>
    <x v="0"/>
    <x v="0"/>
    <x v="0"/>
    <s v="156G85.00"/>
    <x v="0"/>
    <x v="0"/>
    <m/>
    <m/>
    <m/>
  </r>
  <r>
    <s v="YK263700085"/>
    <x v="0"/>
    <x v="0"/>
    <n v="1"/>
    <x v="0"/>
    <d v="2026-09-11T06:25:12"/>
    <x v="0"/>
    <x v="0"/>
    <x v="0"/>
    <s v="156G85.00"/>
    <x v="0"/>
    <x v="0"/>
    <m/>
    <m/>
    <m/>
  </r>
  <r>
    <s v="YK263700086"/>
    <x v="0"/>
    <x v="0"/>
    <n v="1"/>
    <x v="0"/>
    <d v="2026-09-11T06:25:12"/>
    <x v="0"/>
    <x v="0"/>
    <x v="0"/>
    <s v="156G85.00"/>
    <x v="0"/>
    <x v="0"/>
    <m/>
    <m/>
    <m/>
  </r>
  <r>
    <s v="YK263700087"/>
    <x v="0"/>
    <x v="0"/>
    <n v="1"/>
    <x v="0"/>
    <d v="2026-09-11T06:25:12"/>
    <x v="0"/>
    <x v="0"/>
    <x v="0"/>
    <s v="156G85.00"/>
    <x v="0"/>
    <x v="0"/>
    <m/>
    <m/>
    <m/>
  </r>
  <r>
    <s v="YK263700088"/>
    <x v="0"/>
    <x v="0"/>
    <n v="1"/>
    <x v="0"/>
    <d v="2026-09-11T06:25:12"/>
    <x v="0"/>
    <x v="0"/>
    <x v="0"/>
    <s v="156G85.00"/>
    <x v="0"/>
    <x v="0"/>
    <m/>
    <m/>
    <m/>
  </r>
  <r>
    <s v="YK263700089"/>
    <x v="0"/>
    <x v="0"/>
    <n v="1"/>
    <x v="0"/>
    <d v="2026-09-11T06:25:12"/>
    <x v="0"/>
    <x v="0"/>
    <x v="0"/>
    <s v="156G85.00"/>
    <x v="0"/>
    <x v="0"/>
    <m/>
    <m/>
    <m/>
  </r>
  <r>
    <s v="YK263700090"/>
    <x v="0"/>
    <x v="0"/>
    <n v="1"/>
    <x v="0"/>
    <d v="2026-09-11T06:25:12"/>
    <x v="0"/>
    <x v="0"/>
    <x v="0"/>
    <s v="156G85.00"/>
    <x v="0"/>
    <x v="0"/>
    <m/>
    <m/>
    <m/>
  </r>
  <r>
    <s v="YK263700091"/>
    <x v="0"/>
    <x v="0"/>
    <n v="1"/>
    <x v="0"/>
    <d v="2026-09-11T06:25:12"/>
    <x v="0"/>
    <x v="0"/>
    <x v="0"/>
    <s v="156G85.00"/>
    <x v="0"/>
    <x v="0"/>
    <m/>
    <m/>
    <m/>
  </r>
  <r>
    <s v="YK263700092"/>
    <x v="0"/>
    <x v="0"/>
    <n v="1"/>
    <x v="0"/>
    <d v="2026-09-11T06:25:12"/>
    <x v="0"/>
    <x v="0"/>
    <x v="0"/>
    <s v="156G85.00"/>
    <x v="0"/>
    <x v="0"/>
    <m/>
    <m/>
    <m/>
  </r>
  <r>
    <s v="YK263700093"/>
    <x v="0"/>
    <x v="0"/>
    <n v="1"/>
    <x v="0"/>
    <d v="2026-09-11T06:25:12"/>
    <x v="0"/>
    <x v="0"/>
    <x v="0"/>
    <s v="156G85.00"/>
    <x v="0"/>
    <x v="0"/>
    <m/>
    <m/>
    <m/>
  </r>
  <r>
    <s v="YK263700094"/>
    <x v="0"/>
    <x v="0"/>
    <n v="1"/>
    <x v="0"/>
    <d v="2026-09-11T06:25:12"/>
    <x v="0"/>
    <x v="0"/>
    <x v="0"/>
    <s v="156G85.00"/>
    <x v="0"/>
    <x v="0"/>
    <m/>
    <m/>
    <m/>
  </r>
  <r>
    <s v="YK263700095"/>
    <x v="0"/>
    <x v="0"/>
    <n v="1"/>
    <x v="0"/>
    <d v="2026-09-11T06:25:12"/>
    <x v="0"/>
    <x v="0"/>
    <x v="0"/>
    <s v="156G85.00"/>
    <x v="0"/>
    <x v="0"/>
    <m/>
    <m/>
    <m/>
  </r>
  <r>
    <s v="YK263700096"/>
    <x v="0"/>
    <x v="0"/>
    <n v="1"/>
    <x v="0"/>
    <d v="2026-09-11T06:25:12"/>
    <x v="0"/>
    <x v="0"/>
    <x v="0"/>
    <s v="156G85.00"/>
    <x v="0"/>
    <x v="0"/>
    <m/>
    <m/>
    <m/>
  </r>
  <r>
    <s v="YK263700097"/>
    <x v="0"/>
    <x v="0"/>
    <n v="1"/>
    <x v="0"/>
    <d v="2026-09-11T06:25:12"/>
    <x v="0"/>
    <x v="0"/>
    <x v="0"/>
    <s v="156G85.00"/>
    <x v="0"/>
    <x v="0"/>
    <m/>
    <m/>
    <m/>
  </r>
  <r>
    <s v="YK260300123"/>
    <x v="0"/>
    <x v="0"/>
    <n v="1"/>
    <x v="1"/>
    <d v="2026-02-12T10:46:37"/>
    <x v="1"/>
    <x v="1"/>
    <x v="1"/>
    <s v="17IA14.00"/>
    <x v="1"/>
    <x v="1"/>
    <m/>
    <m/>
    <m/>
  </r>
  <r>
    <s v="YK260300124"/>
    <x v="0"/>
    <x v="0"/>
    <n v="1"/>
    <x v="1"/>
    <d v="2026-02-12T10:48:27"/>
    <x v="1"/>
    <x v="1"/>
    <x v="1"/>
    <s v="17IA14.00"/>
    <x v="1"/>
    <x v="1"/>
    <m/>
    <m/>
    <m/>
  </r>
  <r>
    <s v="YK260300125"/>
    <x v="0"/>
    <x v="0"/>
    <n v="1"/>
    <x v="1"/>
    <d v="2026-02-18T13:14:59"/>
    <x v="1"/>
    <x v="1"/>
    <x v="1"/>
    <s v="17IA14.00"/>
    <x v="1"/>
    <x v="1"/>
    <m/>
    <m/>
    <m/>
  </r>
  <r>
    <s v="YK260300126"/>
    <x v="0"/>
    <x v="0"/>
    <n v="1"/>
    <x v="1"/>
    <d v="2026-02-19T06:57:11"/>
    <x v="1"/>
    <x v="1"/>
    <x v="1"/>
    <s v="17IA14.00"/>
    <x v="1"/>
    <x v="1"/>
    <m/>
    <m/>
    <m/>
  </r>
  <r>
    <s v="YK260300127"/>
    <x v="0"/>
    <x v="0"/>
    <n v="1"/>
    <x v="1"/>
    <d v="2026-02-23T08:53:19"/>
    <x v="1"/>
    <x v="1"/>
    <x v="1"/>
    <s v="17IA14.00"/>
    <x v="1"/>
    <x v="1"/>
    <m/>
    <m/>
    <m/>
  </r>
  <r>
    <s v="YK260300128"/>
    <x v="1"/>
    <x v="1"/>
    <n v="1"/>
    <x v="2"/>
    <d v="2026-03-31T07:27:11"/>
    <x v="1"/>
    <x v="1"/>
    <x v="1"/>
    <s v="17IA14.00"/>
    <x v="1"/>
    <x v="1"/>
    <m/>
    <m/>
    <m/>
  </r>
  <r>
    <s v="YK260300129"/>
    <x v="0"/>
    <x v="0"/>
    <n v="1"/>
    <x v="1"/>
    <d v="2026-02-12T10:22:43"/>
    <x v="1"/>
    <x v="1"/>
    <x v="1"/>
    <s v="17IA14.00"/>
    <x v="1"/>
    <x v="1"/>
    <m/>
    <m/>
    <m/>
  </r>
  <r>
    <s v="YK260300130"/>
    <x v="0"/>
    <x v="0"/>
    <n v="1"/>
    <x v="1"/>
    <d v="2026-02-18T06:45:53"/>
    <x v="1"/>
    <x v="1"/>
    <x v="1"/>
    <s v="17IA14.00"/>
    <x v="1"/>
    <x v="1"/>
    <m/>
    <m/>
    <m/>
  </r>
  <r>
    <s v="YK260300131"/>
    <x v="0"/>
    <x v="0"/>
    <n v="1"/>
    <x v="1"/>
    <d v="2026-02-23T08:58:09"/>
    <x v="1"/>
    <x v="1"/>
    <x v="1"/>
    <s v="17IA14.00"/>
    <x v="1"/>
    <x v="1"/>
    <m/>
    <m/>
    <m/>
  </r>
  <r>
    <s v="YK260300132"/>
    <x v="0"/>
    <x v="0"/>
    <n v="1"/>
    <x v="1"/>
    <d v="2026-02-12T10:20:48"/>
    <x v="1"/>
    <x v="1"/>
    <x v="1"/>
    <s v="17IA14.00"/>
    <x v="1"/>
    <x v="1"/>
    <m/>
    <m/>
    <m/>
  </r>
  <r>
    <s v="YK260300133"/>
    <x v="0"/>
    <x v="0"/>
    <n v="1"/>
    <x v="1"/>
    <d v="2026-02-19T11:39:30"/>
    <x v="1"/>
    <x v="1"/>
    <x v="1"/>
    <s v="17IA14.00"/>
    <x v="1"/>
    <x v="1"/>
    <m/>
    <m/>
    <m/>
  </r>
  <r>
    <s v="YK260300134"/>
    <x v="0"/>
    <x v="0"/>
    <n v="1"/>
    <x v="1"/>
    <d v="2026-02-12T10:46:22"/>
    <x v="1"/>
    <x v="1"/>
    <x v="1"/>
    <s v="17IA14.00"/>
    <x v="1"/>
    <x v="1"/>
    <m/>
    <m/>
    <m/>
  </r>
  <r>
    <s v="YK260300135"/>
    <x v="0"/>
    <x v="0"/>
    <n v="1"/>
    <x v="1"/>
    <d v="2026-02-13T10:30:08"/>
    <x v="1"/>
    <x v="1"/>
    <x v="1"/>
    <s v="17IA14.00"/>
    <x v="1"/>
    <x v="1"/>
    <m/>
    <m/>
    <m/>
  </r>
  <r>
    <s v="YK260300136"/>
    <x v="0"/>
    <x v="0"/>
    <n v="1"/>
    <x v="1"/>
    <d v="2026-02-18T09:14:37"/>
    <x v="1"/>
    <x v="1"/>
    <x v="1"/>
    <s v="17IA14.00"/>
    <x v="1"/>
    <x v="1"/>
    <m/>
    <m/>
    <m/>
  </r>
  <r>
    <s v="YK260300137"/>
    <x v="0"/>
    <x v="0"/>
    <n v="1"/>
    <x v="1"/>
    <d v="2026-03-13T14:24:50"/>
    <x v="1"/>
    <x v="1"/>
    <x v="1"/>
    <s v="17IA14.00"/>
    <x v="1"/>
    <x v="1"/>
    <m/>
    <m/>
    <m/>
  </r>
  <r>
    <s v="YK260300138"/>
    <x v="0"/>
    <x v="0"/>
    <n v="1"/>
    <x v="1"/>
    <d v="2026-02-18T13:15:11"/>
    <x v="1"/>
    <x v="1"/>
    <x v="1"/>
    <s v="17IA14.00"/>
    <x v="1"/>
    <x v="1"/>
    <m/>
    <m/>
    <m/>
  </r>
  <r>
    <s v="YK260300139"/>
    <x v="0"/>
    <x v="0"/>
    <n v="1"/>
    <x v="1"/>
    <d v="2026-02-18T09:16:29"/>
    <x v="1"/>
    <x v="1"/>
    <x v="1"/>
    <s v="17IA14.00"/>
    <x v="1"/>
    <x v="1"/>
    <m/>
    <m/>
    <m/>
  </r>
  <r>
    <s v="YK260300140"/>
    <x v="0"/>
    <x v="0"/>
    <n v="1"/>
    <x v="1"/>
    <d v="2026-02-13T07:32:29"/>
    <x v="1"/>
    <x v="1"/>
    <x v="1"/>
    <s v="17IA14.00"/>
    <x v="1"/>
    <x v="1"/>
    <m/>
    <m/>
    <m/>
  </r>
  <r>
    <s v="YK260300141"/>
    <x v="0"/>
    <x v="0"/>
    <n v="1"/>
    <x v="1"/>
    <d v="2026-02-17T11:22:56"/>
    <x v="1"/>
    <x v="1"/>
    <x v="1"/>
    <s v="17IA14.00"/>
    <x v="1"/>
    <x v="1"/>
    <m/>
    <m/>
    <m/>
  </r>
  <r>
    <s v="YK260300142"/>
    <x v="0"/>
    <x v="0"/>
    <n v="1"/>
    <x v="1"/>
    <d v="2026-02-24T13:39:49"/>
    <x v="1"/>
    <x v="1"/>
    <x v="1"/>
    <s v="17IA14.00"/>
    <x v="1"/>
    <x v="1"/>
    <m/>
    <m/>
    <m/>
  </r>
  <r>
    <s v="YK260300143"/>
    <x v="0"/>
    <x v="0"/>
    <n v="1"/>
    <x v="1"/>
    <d v="2026-02-23T08:59:52"/>
    <x v="1"/>
    <x v="1"/>
    <x v="1"/>
    <s v="17IA14.00"/>
    <x v="1"/>
    <x v="1"/>
    <m/>
    <m/>
    <m/>
  </r>
  <r>
    <s v="YK260300144"/>
    <x v="0"/>
    <x v="0"/>
    <n v="1"/>
    <x v="1"/>
    <d v="2026-02-18T06:44:25"/>
    <x v="1"/>
    <x v="1"/>
    <x v="1"/>
    <s v="17IA14.00"/>
    <x v="1"/>
    <x v="1"/>
    <m/>
    <m/>
    <m/>
  </r>
  <r>
    <s v="YK260300145"/>
    <x v="0"/>
    <x v="0"/>
    <n v="1"/>
    <x v="1"/>
    <d v="2026-02-17T11:22:46"/>
    <x v="1"/>
    <x v="1"/>
    <x v="1"/>
    <s v="17IA14.00"/>
    <x v="1"/>
    <x v="1"/>
    <m/>
    <m/>
    <m/>
  </r>
  <r>
    <s v="YK260300146"/>
    <x v="0"/>
    <x v="0"/>
    <n v="1"/>
    <x v="1"/>
    <d v="2026-02-13T10:26:31"/>
    <x v="1"/>
    <x v="1"/>
    <x v="1"/>
    <s v="17IA14.00"/>
    <x v="1"/>
    <x v="1"/>
    <m/>
    <m/>
    <m/>
  </r>
  <r>
    <s v="YK260300147"/>
    <x v="0"/>
    <x v="0"/>
    <n v="1"/>
    <x v="1"/>
    <d v="2026-02-12T10:21:02"/>
    <x v="1"/>
    <x v="1"/>
    <x v="1"/>
    <s v="17IA14.00"/>
    <x v="1"/>
    <x v="1"/>
    <m/>
    <m/>
    <m/>
  </r>
  <r>
    <s v="YK260300148"/>
    <x v="0"/>
    <x v="0"/>
    <n v="1"/>
    <x v="1"/>
    <d v="2026-02-20T06:32:46"/>
    <x v="1"/>
    <x v="1"/>
    <x v="1"/>
    <s v="17IA14.00"/>
    <x v="1"/>
    <x v="1"/>
    <m/>
    <m/>
    <m/>
  </r>
  <r>
    <s v="YK260300149"/>
    <x v="0"/>
    <x v="0"/>
    <n v="1"/>
    <x v="1"/>
    <d v="2026-02-13T10:29:57"/>
    <x v="1"/>
    <x v="1"/>
    <x v="1"/>
    <s v="17IA14.00"/>
    <x v="1"/>
    <x v="1"/>
    <m/>
    <m/>
    <m/>
  </r>
  <r>
    <s v="YK260300150"/>
    <x v="0"/>
    <x v="0"/>
    <n v="1"/>
    <x v="1"/>
    <d v="2026-02-19T09:26:33"/>
    <x v="1"/>
    <x v="1"/>
    <x v="1"/>
    <s v="17IA14.00"/>
    <x v="1"/>
    <x v="1"/>
    <m/>
    <m/>
    <m/>
  </r>
  <r>
    <s v="YK260300151"/>
    <x v="0"/>
    <x v="0"/>
    <n v="1"/>
    <x v="1"/>
    <d v="2026-02-17T11:21:14"/>
    <x v="1"/>
    <x v="1"/>
    <x v="1"/>
    <s v="17IA14.00"/>
    <x v="1"/>
    <x v="1"/>
    <m/>
    <m/>
    <m/>
  </r>
  <r>
    <s v="YK260300152"/>
    <x v="0"/>
    <x v="0"/>
    <n v="1"/>
    <x v="1"/>
    <d v="2026-02-17T11:21:35"/>
    <x v="1"/>
    <x v="1"/>
    <x v="1"/>
    <s v="17IA14.00"/>
    <x v="1"/>
    <x v="1"/>
    <m/>
    <m/>
    <m/>
  </r>
  <r>
    <s v="YK260300153"/>
    <x v="0"/>
    <x v="0"/>
    <n v="1"/>
    <x v="1"/>
    <d v="2026-02-19T11:39:46"/>
    <x v="1"/>
    <x v="1"/>
    <x v="1"/>
    <s v="17IA14.00"/>
    <x v="1"/>
    <x v="1"/>
    <m/>
    <m/>
    <m/>
  </r>
  <r>
    <s v="YK260300154"/>
    <x v="0"/>
    <x v="0"/>
    <n v="1"/>
    <x v="1"/>
    <d v="2026-02-19T11:43:16"/>
    <x v="1"/>
    <x v="1"/>
    <x v="1"/>
    <s v="17IA14.00"/>
    <x v="1"/>
    <x v="1"/>
    <m/>
    <m/>
    <m/>
  </r>
  <r>
    <s v="YK260300155"/>
    <x v="0"/>
    <x v="0"/>
    <n v="1"/>
    <x v="1"/>
    <d v="2026-03-11T11:52:40"/>
    <x v="1"/>
    <x v="1"/>
    <x v="1"/>
    <s v="17IA14.00"/>
    <x v="1"/>
    <x v="1"/>
    <m/>
    <m/>
    <m/>
  </r>
  <r>
    <s v="YK260300156"/>
    <x v="0"/>
    <x v="0"/>
    <n v="1"/>
    <x v="1"/>
    <d v="2026-02-19T06:59:20"/>
    <x v="1"/>
    <x v="1"/>
    <x v="1"/>
    <s v="17IA14.00"/>
    <x v="1"/>
    <x v="1"/>
    <m/>
    <m/>
    <m/>
  </r>
  <r>
    <s v="YK260300157"/>
    <x v="1"/>
    <x v="1"/>
    <n v="1"/>
    <x v="2"/>
    <d v="2026-03-31T07:20:50"/>
    <x v="1"/>
    <x v="1"/>
    <x v="1"/>
    <s v="17IA14.00"/>
    <x v="1"/>
    <x v="1"/>
    <m/>
    <m/>
    <m/>
  </r>
  <r>
    <s v="YK260300158"/>
    <x v="0"/>
    <x v="0"/>
    <n v="1"/>
    <x v="1"/>
    <d v="2026-02-19T09:38:45"/>
    <x v="1"/>
    <x v="1"/>
    <x v="1"/>
    <s v="17IA14.00"/>
    <x v="1"/>
    <x v="1"/>
    <m/>
    <m/>
    <m/>
  </r>
  <r>
    <s v="YK260300159"/>
    <x v="0"/>
    <x v="0"/>
    <n v="1"/>
    <x v="1"/>
    <d v="2026-02-20T08:53:10"/>
    <x v="1"/>
    <x v="1"/>
    <x v="1"/>
    <s v="17IA14.00"/>
    <x v="1"/>
    <x v="1"/>
    <m/>
    <m/>
    <m/>
  </r>
  <r>
    <s v="YK260300160"/>
    <x v="1"/>
    <x v="1"/>
    <n v="1"/>
    <x v="2"/>
    <d v="2026-04-28T11:59:16"/>
    <x v="1"/>
    <x v="1"/>
    <x v="1"/>
    <s v="17IA14.00"/>
    <x v="1"/>
    <x v="1"/>
    <m/>
    <m/>
    <m/>
  </r>
  <r>
    <s v="YK260300161"/>
    <x v="0"/>
    <x v="0"/>
    <n v="1"/>
    <x v="1"/>
    <d v="2026-02-18T06:44:42"/>
    <x v="1"/>
    <x v="1"/>
    <x v="1"/>
    <s v="17IA14.00"/>
    <x v="1"/>
    <x v="1"/>
    <m/>
    <m/>
    <m/>
  </r>
  <r>
    <s v="YK260300162"/>
    <x v="0"/>
    <x v="0"/>
    <n v="1"/>
    <x v="1"/>
    <d v="2026-02-20T08:53:02"/>
    <x v="1"/>
    <x v="1"/>
    <x v="1"/>
    <s v="17IA14.00"/>
    <x v="1"/>
    <x v="1"/>
    <m/>
    <m/>
    <m/>
  </r>
  <r>
    <s v="YK260300163"/>
    <x v="0"/>
    <x v="0"/>
    <n v="1"/>
    <x v="1"/>
    <d v="2026-02-18T06:45:45"/>
    <x v="1"/>
    <x v="1"/>
    <x v="1"/>
    <s v="17IA14.00"/>
    <x v="1"/>
    <x v="1"/>
    <m/>
    <m/>
    <m/>
  </r>
  <r>
    <s v="YK260300164"/>
    <x v="0"/>
    <x v="0"/>
    <n v="1"/>
    <x v="1"/>
    <d v="2026-02-23T08:47:32"/>
    <x v="1"/>
    <x v="1"/>
    <x v="1"/>
    <s v="17IA14.00"/>
    <x v="1"/>
    <x v="1"/>
    <m/>
    <m/>
    <m/>
  </r>
  <r>
    <s v="YK260300165"/>
    <x v="0"/>
    <x v="0"/>
    <n v="1"/>
    <x v="1"/>
    <d v="2026-02-20T08:51:36"/>
    <x v="1"/>
    <x v="1"/>
    <x v="1"/>
    <s v="17IA14.00"/>
    <x v="1"/>
    <x v="1"/>
    <m/>
    <m/>
    <m/>
  </r>
  <r>
    <s v="YK260300166"/>
    <x v="0"/>
    <x v="0"/>
    <n v="1"/>
    <x v="1"/>
    <d v="2026-03-11T11:53:18"/>
    <x v="1"/>
    <x v="1"/>
    <x v="1"/>
    <s v="17IA14.00"/>
    <x v="1"/>
    <x v="1"/>
    <m/>
    <m/>
    <m/>
  </r>
  <r>
    <s v="YK260300167"/>
    <x v="0"/>
    <x v="0"/>
    <n v="1"/>
    <x v="1"/>
    <d v="2026-02-18T09:14:54"/>
    <x v="1"/>
    <x v="1"/>
    <x v="1"/>
    <s v="17IA14.00"/>
    <x v="1"/>
    <x v="1"/>
    <m/>
    <m/>
    <m/>
  </r>
  <r>
    <s v="YK260300168"/>
    <x v="1"/>
    <x v="1"/>
    <n v="1"/>
    <x v="2"/>
    <d v="2026-03-31T07:30:48"/>
    <x v="1"/>
    <x v="1"/>
    <x v="1"/>
    <s v="17IA14.00"/>
    <x v="1"/>
    <x v="1"/>
    <m/>
    <m/>
    <m/>
  </r>
  <r>
    <s v="YK260300169"/>
    <x v="0"/>
    <x v="0"/>
    <n v="1"/>
    <x v="1"/>
    <d v="2026-02-13T10:26:44"/>
    <x v="1"/>
    <x v="1"/>
    <x v="1"/>
    <s v="17IA14.00"/>
    <x v="1"/>
    <x v="1"/>
    <m/>
    <m/>
    <m/>
  </r>
  <r>
    <s v="YK260300170"/>
    <x v="0"/>
    <x v="0"/>
    <n v="1"/>
    <x v="1"/>
    <d v="2026-02-19T06:57:25"/>
    <x v="1"/>
    <x v="1"/>
    <x v="1"/>
    <s v="17IA14.00"/>
    <x v="1"/>
    <x v="1"/>
    <m/>
    <m/>
    <m/>
  </r>
  <r>
    <s v="YK260300171"/>
    <x v="0"/>
    <x v="0"/>
    <n v="1"/>
    <x v="1"/>
    <d v="2026-02-13T07:32:48"/>
    <x v="1"/>
    <x v="1"/>
    <x v="1"/>
    <s v="17IA14.00"/>
    <x v="1"/>
    <x v="1"/>
    <m/>
    <m/>
    <m/>
  </r>
  <r>
    <s v="YK260300172"/>
    <x v="0"/>
    <x v="0"/>
    <n v="1"/>
    <x v="1"/>
    <d v="2026-02-20T08:51:47"/>
    <x v="1"/>
    <x v="1"/>
    <x v="1"/>
    <s v="17IA14.00"/>
    <x v="1"/>
    <x v="1"/>
    <m/>
    <m/>
    <m/>
  </r>
  <r>
    <s v="YK260300173"/>
    <x v="0"/>
    <x v="0"/>
    <n v="1"/>
    <x v="1"/>
    <d v="2026-03-13T14:39:16"/>
    <x v="1"/>
    <x v="1"/>
    <x v="1"/>
    <s v="17IA14.00"/>
    <x v="1"/>
    <x v="1"/>
    <m/>
    <m/>
    <m/>
  </r>
  <r>
    <s v="YK260300174"/>
    <x v="0"/>
    <x v="0"/>
    <n v="1"/>
    <x v="1"/>
    <d v="2026-02-23T08:48:33"/>
    <x v="1"/>
    <x v="1"/>
    <x v="1"/>
    <s v="17IA14.00"/>
    <x v="1"/>
    <x v="1"/>
    <m/>
    <m/>
    <m/>
  </r>
  <r>
    <s v="YK260300175"/>
    <x v="0"/>
    <x v="0"/>
    <n v="1"/>
    <x v="1"/>
    <d v="2026-02-19T11:41:19"/>
    <x v="1"/>
    <x v="1"/>
    <x v="1"/>
    <s v="17IA14.00"/>
    <x v="1"/>
    <x v="1"/>
    <m/>
    <m/>
    <m/>
  </r>
  <r>
    <s v="YK260300176"/>
    <x v="0"/>
    <x v="0"/>
    <n v="1"/>
    <x v="1"/>
    <d v="2026-03-18T13:36:23"/>
    <x v="1"/>
    <x v="1"/>
    <x v="1"/>
    <s v="17IA14.00"/>
    <x v="1"/>
    <x v="1"/>
    <m/>
    <m/>
    <m/>
  </r>
  <r>
    <s v="YK260300177"/>
    <x v="0"/>
    <x v="0"/>
    <n v="1"/>
    <x v="1"/>
    <d v="2026-02-20T06:32:58"/>
    <x v="1"/>
    <x v="1"/>
    <x v="1"/>
    <s v="17IA14.00"/>
    <x v="1"/>
    <x v="1"/>
    <m/>
    <m/>
    <m/>
  </r>
  <r>
    <s v="YK260300178"/>
    <x v="0"/>
    <x v="0"/>
    <n v="1"/>
    <x v="1"/>
    <d v="2026-02-24T14:27:42"/>
    <x v="1"/>
    <x v="1"/>
    <x v="1"/>
    <s v="17IA14.00"/>
    <x v="1"/>
    <x v="1"/>
    <m/>
    <m/>
    <m/>
  </r>
  <r>
    <s v="YK260300179"/>
    <x v="0"/>
    <x v="0"/>
    <n v="1"/>
    <x v="1"/>
    <d v="2026-02-24T14:29:54"/>
    <x v="1"/>
    <x v="1"/>
    <x v="1"/>
    <s v="17IA14.00"/>
    <x v="1"/>
    <x v="1"/>
    <m/>
    <m/>
    <m/>
  </r>
  <r>
    <s v="YK260300180"/>
    <x v="0"/>
    <x v="0"/>
    <n v="1"/>
    <x v="1"/>
    <d v="2026-02-20T06:31:52"/>
    <x v="1"/>
    <x v="1"/>
    <x v="1"/>
    <s v="17IA14.00"/>
    <x v="1"/>
    <x v="1"/>
    <m/>
    <m/>
    <m/>
  </r>
  <r>
    <s v="YK260300181"/>
    <x v="1"/>
    <x v="1"/>
    <n v="1"/>
    <x v="2"/>
    <d v="2026-03-31T07:17:45"/>
    <x v="1"/>
    <x v="1"/>
    <x v="1"/>
    <s v="17IA14.00"/>
    <x v="1"/>
    <x v="1"/>
    <m/>
    <m/>
    <m/>
  </r>
  <r>
    <s v="YK260300182"/>
    <x v="0"/>
    <x v="0"/>
    <n v="1"/>
    <x v="1"/>
    <d v="2026-03-16T07:56:11"/>
    <x v="1"/>
    <x v="1"/>
    <x v="1"/>
    <s v="17IA14.00"/>
    <x v="1"/>
    <x v="1"/>
    <m/>
    <m/>
    <m/>
  </r>
  <r>
    <s v="YK260300183"/>
    <x v="0"/>
    <x v="0"/>
    <n v="1"/>
    <x v="1"/>
    <d v="2026-02-27T10:25:54"/>
    <x v="1"/>
    <x v="1"/>
    <x v="1"/>
    <s v="17IA14.00"/>
    <x v="1"/>
    <x v="1"/>
    <m/>
    <m/>
    <m/>
  </r>
  <r>
    <s v="YK260300184"/>
    <x v="0"/>
    <x v="0"/>
    <n v="1"/>
    <x v="1"/>
    <d v="2026-02-12T10:22:32"/>
    <x v="1"/>
    <x v="1"/>
    <x v="1"/>
    <s v="17IA14.00"/>
    <x v="1"/>
    <x v="1"/>
    <m/>
    <m/>
    <m/>
  </r>
  <r>
    <s v="YK260300185"/>
    <x v="0"/>
    <x v="0"/>
    <n v="1"/>
    <x v="1"/>
    <d v="2026-02-23T08:48:41"/>
    <x v="1"/>
    <x v="1"/>
    <x v="1"/>
    <s v="17IA14.00"/>
    <x v="1"/>
    <x v="1"/>
    <m/>
    <m/>
    <m/>
  </r>
  <r>
    <s v="YK260300186"/>
    <x v="1"/>
    <x v="1"/>
    <n v="1"/>
    <x v="2"/>
    <d v="2026-03-31T07:12:20"/>
    <x v="1"/>
    <x v="1"/>
    <x v="1"/>
    <s v="17IA14.00"/>
    <x v="1"/>
    <x v="1"/>
    <m/>
    <m/>
    <m/>
  </r>
  <r>
    <s v="YK260300187"/>
    <x v="0"/>
    <x v="0"/>
    <n v="1"/>
    <x v="1"/>
    <d v="2026-02-12T10:48:06"/>
    <x v="1"/>
    <x v="1"/>
    <x v="1"/>
    <s v="17IA14.00"/>
    <x v="1"/>
    <x v="1"/>
    <m/>
    <m/>
    <m/>
  </r>
  <r>
    <s v="YK260300188"/>
    <x v="0"/>
    <x v="0"/>
    <n v="1"/>
    <x v="1"/>
    <d v="2026-02-18T09:16:18"/>
    <x v="1"/>
    <x v="1"/>
    <x v="1"/>
    <s v="17IA14.00"/>
    <x v="1"/>
    <x v="1"/>
    <m/>
    <m/>
    <m/>
  </r>
  <r>
    <s v="YK260300189"/>
    <x v="0"/>
    <x v="0"/>
    <n v="1"/>
    <x v="1"/>
    <d v="2026-02-19T06:59:05"/>
    <x v="1"/>
    <x v="1"/>
    <x v="1"/>
    <s v="17IA14.00"/>
    <x v="1"/>
    <x v="1"/>
    <m/>
    <m/>
    <m/>
  </r>
  <r>
    <s v="YK260300190"/>
    <x v="0"/>
    <x v="0"/>
    <n v="1"/>
    <x v="1"/>
    <d v="2026-02-23T08:59:22"/>
    <x v="1"/>
    <x v="1"/>
    <x v="1"/>
    <s v="17IA14.00"/>
    <x v="1"/>
    <x v="1"/>
    <m/>
    <m/>
    <m/>
  </r>
  <r>
    <s v="YK260300201"/>
    <x v="0"/>
    <x v="0"/>
    <n v="1"/>
    <x v="1"/>
    <d v="2026-02-20T06:21:36"/>
    <x v="1"/>
    <x v="1"/>
    <x v="1"/>
    <s v="17IA14.00"/>
    <x v="1"/>
    <x v="1"/>
    <m/>
    <m/>
    <m/>
  </r>
  <r>
    <s v="YK260300202"/>
    <x v="0"/>
    <x v="0"/>
    <n v="1"/>
    <x v="1"/>
    <d v="2026-02-13T07:30:38"/>
    <x v="1"/>
    <x v="1"/>
    <x v="1"/>
    <s v="17IA14.00"/>
    <x v="1"/>
    <x v="1"/>
    <m/>
    <m/>
    <m/>
  </r>
  <r>
    <s v="YK260300043"/>
    <x v="0"/>
    <x v="0"/>
    <n v="1"/>
    <x v="1"/>
    <d v="2026-02-20T08:52:33"/>
    <x v="2"/>
    <x v="2"/>
    <x v="2"/>
    <s v="17IA14.10"/>
    <x v="1"/>
    <x v="1"/>
    <m/>
    <m/>
    <m/>
  </r>
  <r>
    <s v="YK260300044"/>
    <x v="0"/>
    <x v="0"/>
    <n v="1"/>
    <x v="1"/>
    <d v="2026-02-13T07:31:18"/>
    <x v="2"/>
    <x v="2"/>
    <x v="2"/>
    <s v="17IA14.10"/>
    <x v="1"/>
    <x v="1"/>
    <m/>
    <m/>
    <m/>
  </r>
  <r>
    <s v="YK260300045"/>
    <x v="0"/>
    <x v="0"/>
    <n v="1"/>
    <x v="1"/>
    <d v="2026-02-19T11:40:20"/>
    <x v="2"/>
    <x v="2"/>
    <x v="2"/>
    <s v="17IA14.10"/>
    <x v="1"/>
    <x v="1"/>
    <m/>
    <m/>
    <m/>
  </r>
  <r>
    <s v="YK260300046"/>
    <x v="0"/>
    <x v="0"/>
    <n v="1"/>
    <x v="1"/>
    <d v="2026-02-19T09:27:07"/>
    <x v="2"/>
    <x v="2"/>
    <x v="2"/>
    <s v="17IA14.10"/>
    <x v="1"/>
    <x v="1"/>
    <m/>
    <m/>
    <m/>
  </r>
  <r>
    <s v="YK260300047"/>
    <x v="0"/>
    <x v="0"/>
    <n v="1"/>
    <x v="1"/>
    <d v="2026-02-23T08:59:48"/>
    <x v="2"/>
    <x v="2"/>
    <x v="2"/>
    <s v="17IA14.10"/>
    <x v="1"/>
    <x v="1"/>
    <m/>
    <m/>
    <m/>
  </r>
  <r>
    <s v="YK260300048"/>
    <x v="1"/>
    <x v="1"/>
    <n v="1"/>
    <x v="2"/>
    <d v="2026-03-30T14:15:31"/>
    <x v="2"/>
    <x v="2"/>
    <x v="2"/>
    <s v="17IA14.10"/>
    <x v="1"/>
    <x v="1"/>
    <m/>
    <m/>
    <m/>
  </r>
  <r>
    <s v="YK260300049"/>
    <x v="1"/>
    <x v="1"/>
    <n v="1"/>
    <x v="2"/>
    <d v="2026-03-30T12:25:32"/>
    <x v="2"/>
    <x v="2"/>
    <x v="2"/>
    <s v="17IA14.10"/>
    <x v="1"/>
    <x v="1"/>
    <m/>
    <m/>
    <m/>
  </r>
  <r>
    <s v="YK260300050"/>
    <x v="1"/>
    <x v="1"/>
    <n v="1"/>
    <x v="2"/>
    <d v="2026-03-30T14:24:19"/>
    <x v="2"/>
    <x v="2"/>
    <x v="2"/>
    <s v="17IA14.10"/>
    <x v="1"/>
    <x v="1"/>
    <m/>
    <m/>
    <m/>
  </r>
  <r>
    <s v="YK260300051"/>
    <x v="0"/>
    <x v="0"/>
    <n v="1"/>
    <x v="1"/>
    <d v="2026-02-19T06:58:24"/>
    <x v="2"/>
    <x v="2"/>
    <x v="2"/>
    <s v="17IA14.10"/>
    <x v="1"/>
    <x v="1"/>
    <m/>
    <m/>
    <m/>
  </r>
  <r>
    <s v="YK260300052"/>
    <x v="0"/>
    <x v="0"/>
    <n v="1"/>
    <x v="1"/>
    <d v="2026-02-12T10:21:13"/>
    <x v="2"/>
    <x v="2"/>
    <x v="2"/>
    <s v="17IA14.10"/>
    <x v="1"/>
    <x v="1"/>
    <m/>
    <m/>
    <m/>
  </r>
  <r>
    <s v="YK260300053"/>
    <x v="0"/>
    <x v="0"/>
    <n v="1"/>
    <x v="1"/>
    <d v="2026-02-18T06:45:04"/>
    <x v="2"/>
    <x v="2"/>
    <x v="2"/>
    <s v="17IA14.10"/>
    <x v="1"/>
    <x v="1"/>
    <m/>
    <m/>
    <m/>
  </r>
  <r>
    <s v="YK260300054"/>
    <x v="1"/>
    <x v="1"/>
    <n v="1"/>
    <x v="2"/>
    <d v="2026-03-30T14:01:55"/>
    <x v="2"/>
    <x v="2"/>
    <x v="2"/>
    <s v="17IA14.10"/>
    <x v="1"/>
    <x v="1"/>
    <m/>
    <m/>
    <m/>
  </r>
  <r>
    <s v="YK260300055"/>
    <x v="1"/>
    <x v="1"/>
    <n v="1"/>
    <x v="2"/>
    <d v="2026-03-30T12:22:49"/>
    <x v="2"/>
    <x v="2"/>
    <x v="2"/>
    <s v="17IA14.10"/>
    <x v="1"/>
    <x v="1"/>
    <m/>
    <m/>
    <m/>
  </r>
  <r>
    <s v="YK260300056"/>
    <x v="1"/>
    <x v="1"/>
    <n v="1"/>
    <x v="2"/>
    <d v="2026-03-31T07:01:19"/>
    <x v="2"/>
    <x v="2"/>
    <x v="2"/>
    <s v="17IA14.10"/>
    <x v="1"/>
    <x v="1"/>
    <m/>
    <m/>
    <m/>
  </r>
  <r>
    <s v="YK260300057"/>
    <x v="0"/>
    <x v="0"/>
    <n v="1"/>
    <x v="1"/>
    <d v="2026-03-11T11:53:50"/>
    <x v="2"/>
    <x v="2"/>
    <x v="2"/>
    <s v="17IA14.10"/>
    <x v="1"/>
    <x v="1"/>
    <m/>
    <m/>
    <m/>
  </r>
  <r>
    <s v="YK260300058"/>
    <x v="0"/>
    <x v="0"/>
    <n v="1"/>
    <x v="1"/>
    <d v="2026-02-20T08:52:22"/>
    <x v="2"/>
    <x v="2"/>
    <x v="2"/>
    <s v="17IA14.10"/>
    <x v="1"/>
    <x v="1"/>
    <m/>
    <m/>
    <m/>
  </r>
  <r>
    <s v="YK260300059"/>
    <x v="0"/>
    <x v="0"/>
    <n v="1"/>
    <x v="1"/>
    <d v="2026-03-11T11:53:39"/>
    <x v="2"/>
    <x v="2"/>
    <x v="2"/>
    <s v="17IA14.10"/>
    <x v="1"/>
    <x v="1"/>
    <m/>
    <m/>
    <m/>
  </r>
  <r>
    <s v="YK260300060"/>
    <x v="0"/>
    <x v="0"/>
    <n v="1"/>
    <x v="1"/>
    <d v="2026-02-20T06:32:03"/>
    <x v="2"/>
    <x v="2"/>
    <x v="2"/>
    <s v="17IA14.10"/>
    <x v="1"/>
    <x v="1"/>
    <m/>
    <m/>
    <m/>
  </r>
  <r>
    <s v="YK260300061"/>
    <x v="0"/>
    <x v="0"/>
    <n v="1"/>
    <x v="1"/>
    <d v="2026-02-19T11:39:59"/>
    <x v="2"/>
    <x v="2"/>
    <x v="2"/>
    <s v="17IA14.10"/>
    <x v="1"/>
    <x v="1"/>
    <m/>
    <m/>
    <m/>
  </r>
  <r>
    <s v="YK260300062"/>
    <x v="0"/>
    <x v="0"/>
    <n v="1"/>
    <x v="1"/>
    <d v="2026-02-17T11:21:54"/>
    <x v="2"/>
    <x v="2"/>
    <x v="2"/>
    <s v="17IA14.10"/>
    <x v="1"/>
    <x v="1"/>
    <m/>
    <m/>
    <m/>
  </r>
  <r>
    <s v="YK260300063"/>
    <x v="0"/>
    <x v="0"/>
    <n v="1"/>
    <x v="1"/>
    <d v="2026-02-19T06:58:07"/>
    <x v="2"/>
    <x v="2"/>
    <x v="2"/>
    <s v="17IA14.10"/>
    <x v="1"/>
    <x v="1"/>
    <m/>
    <m/>
    <m/>
  </r>
  <r>
    <s v="YK260300064"/>
    <x v="0"/>
    <x v="0"/>
    <n v="1"/>
    <x v="1"/>
    <d v="2026-02-23T08:48:06"/>
    <x v="2"/>
    <x v="2"/>
    <x v="2"/>
    <s v="17IA14.10"/>
    <x v="1"/>
    <x v="1"/>
    <m/>
    <m/>
    <m/>
  </r>
  <r>
    <s v="YK260300065"/>
    <x v="0"/>
    <x v="0"/>
    <n v="1"/>
    <x v="1"/>
    <d v="2026-02-18T13:15:47"/>
    <x v="2"/>
    <x v="2"/>
    <x v="2"/>
    <s v="17IA14.10"/>
    <x v="1"/>
    <x v="1"/>
    <m/>
    <m/>
    <m/>
  </r>
  <r>
    <s v="YK260300066"/>
    <x v="1"/>
    <x v="1"/>
    <n v="1"/>
    <x v="2"/>
    <d v="2026-03-30T12:23:59"/>
    <x v="2"/>
    <x v="2"/>
    <x v="2"/>
    <s v="17IA14.10"/>
    <x v="1"/>
    <x v="1"/>
    <m/>
    <m/>
    <m/>
  </r>
  <r>
    <s v="YK260300067"/>
    <x v="0"/>
    <x v="0"/>
    <n v="1"/>
    <x v="1"/>
    <d v="2026-02-19T09:26:57"/>
    <x v="2"/>
    <x v="2"/>
    <x v="2"/>
    <s v="17IA14.10"/>
    <x v="1"/>
    <x v="1"/>
    <m/>
    <m/>
    <m/>
  </r>
  <r>
    <s v="YK260300068"/>
    <x v="0"/>
    <x v="0"/>
    <n v="1"/>
    <x v="1"/>
    <d v="2026-02-24T11:08:46"/>
    <x v="2"/>
    <x v="2"/>
    <x v="2"/>
    <s v="17IA14.10"/>
    <x v="1"/>
    <x v="1"/>
    <m/>
    <m/>
    <m/>
  </r>
  <r>
    <s v="YK260300069"/>
    <x v="0"/>
    <x v="0"/>
    <n v="1"/>
    <x v="1"/>
    <d v="2026-02-12T10:47:32"/>
    <x v="2"/>
    <x v="2"/>
    <x v="2"/>
    <s v="17IA14.10"/>
    <x v="1"/>
    <x v="1"/>
    <m/>
    <m/>
    <m/>
  </r>
  <r>
    <s v="YK260300070"/>
    <x v="0"/>
    <x v="0"/>
    <n v="1"/>
    <x v="1"/>
    <d v="2026-02-12T10:46:51"/>
    <x v="2"/>
    <x v="2"/>
    <x v="2"/>
    <s v="17IA14.10"/>
    <x v="1"/>
    <x v="1"/>
    <m/>
    <m/>
    <m/>
  </r>
  <r>
    <s v="YK260300071"/>
    <x v="0"/>
    <x v="0"/>
    <n v="1"/>
    <x v="1"/>
    <d v="2026-02-18T06:44:54"/>
    <x v="2"/>
    <x v="2"/>
    <x v="2"/>
    <s v="17IA14.10"/>
    <x v="1"/>
    <x v="1"/>
    <m/>
    <m/>
    <m/>
  </r>
  <r>
    <s v="YK260300072"/>
    <x v="0"/>
    <x v="0"/>
    <n v="1"/>
    <x v="1"/>
    <d v="2026-02-18T06:45:17"/>
    <x v="2"/>
    <x v="2"/>
    <x v="2"/>
    <s v="17IA14.10"/>
    <x v="1"/>
    <x v="1"/>
    <m/>
    <m/>
    <m/>
  </r>
  <r>
    <s v="YK260300073"/>
    <x v="0"/>
    <x v="0"/>
    <n v="1"/>
    <x v="1"/>
    <d v="2026-02-20T08:52:11"/>
    <x v="2"/>
    <x v="2"/>
    <x v="2"/>
    <s v="17IA14.10"/>
    <x v="1"/>
    <x v="1"/>
    <m/>
    <m/>
    <m/>
  </r>
  <r>
    <s v="YK260300074"/>
    <x v="0"/>
    <x v="0"/>
    <n v="1"/>
    <x v="1"/>
    <d v="2026-02-23T08:59:38"/>
    <x v="2"/>
    <x v="2"/>
    <x v="2"/>
    <s v="17IA14.10"/>
    <x v="1"/>
    <x v="1"/>
    <m/>
    <m/>
    <m/>
  </r>
  <r>
    <s v="YK260300075"/>
    <x v="0"/>
    <x v="0"/>
    <n v="1"/>
    <x v="1"/>
    <d v="2026-02-23T08:48:23"/>
    <x v="2"/>
    <x v="2"/>
    <x v="2"/>
    <s v="17IA14.10"/>
    <x v="1"/>
    <x v="1"/>
    <m/>
    <m/>
    <m/>
  </r>
  <r>
    <s v="YK260300076"/>
    <x v="0"/>
    <x v="0"/>
    <n v="1"/>
    <x v="1"/>
    <d v="2026-02-24T14:16:58"/>
    <x v="2"/>
    <x v="2"/>
    <x v="2"/>
    <s v="17IA14.10"/>
    <x v="1"/>
    <x v="1"/>
    <m/>
    <m/>
    <m/>
  </r>
  <r>
    <s v="YK260300077"/>
    <x v="0"/>
    <x v="0"/>
    <n v="1"/>
    <x v="1"/>
    <d v="2026-02-19T11:40:32"/>
    <x v="2"/>
    <x v="2"/>
    <x v="2"/>
    <s v="17IA14.10"/>
    <x v="1"/>
    <x v="1"/>
    <m/>
    <m/>
    <m/>
  </r>
  <r>
    <s v="YK260300078"/>
    <x v="1"/>
    <x v="1"/>
    <n v="1"/>
    <x v="2"/>
    <d v="2026-04-10T12:07:08"/>
    <x v="2"/>
    <x v="2"/>
    <x v="2"/>
    <s v="17IA14.10"/>
    <x v="1"/>
    <x v="1"/>
    <m/>
    <m/>
    <m/>
  </r>
  <r>
    <s v="YK260300079"/>
    <x v="0"/>
    <x v="0"/>
    <n v="1"/>
    <x v="1"/>
    <d v="2026-02-27T10:34:06"/>
    <x v="2"/>
    <x v="2"/>
    <x v="2"/>
    <s v="17IA14.10"/>
    <x v="1"/>
    <x v="1"/>
    <m/>
    <m/>
    <m/>
  </r>
  <r>
    <s v="YK260300080"/>
    <x v="0"/>
    <x v="0"/>
    <n v="1"/>
    <x v="1"/>
    <d v="2026-02-12T10:21:32"/>
    <x v="2"/>
    <x v="2"/>
    <x v="2"/>
    <s v="17IA14.10"/>
    <x v="1"/>
    <x v="1"/>
    <m/>
    <m/>
    <m/>
  </r>
  <r>
    <s v="YK260300081"/>
    <x v="0"/>
    <x v="0"/>
    <n v="1"/>
    <x v="1"/>
    <d v="2026-02-20T06:32:24"/>
    <x v="2"/>
    <x v="2"/>
    <x v="2"/>
    <s v="17IA14.10"/>
    <x v="1"/>
    <x v="1"/>
    <m/>
    <m/>
    <m/>
  </r>
  <r>
    <s v="YK260300082"/>
    <x v="0"/>
    <x v="0"/>
    <n v="1"/>
    <x v="1"/>
    <d v="2026-02-24T14:19:36"/>
    <x v="2"/>
    <x v="2"/>
    <x v="2"/>
    <s v="17IA14.10"/>
    <x v="1"/>
    <x v="1"/>
    <m/>
    <m/>
    <m/>
  </r>
  <r>
    <s v="YK260300083"/>
    <x v="0"/>
    <x v="0"/>
    <n v="1"/>
    <x v="1"/>
    <d v="2026-02-13T10:29:32"/>
    <x v="2"/>
    <x v="2"/>
    <x v="2"/>
    <s v="17IA14.10"/>
    <x v="1"/>
    <x v="1"/>
    <m/>
    <d v="2026-08-14T00:00:00"/>
    <m/>
  </r>
  <r>
    <s v="YK260300084"/>
    <x v="0"/>
    <x v="0"/>
    <n v="1"/>
    <x v="1"/>
    <d v="2026-02-18T13:15:39"/>
    <x v="2"/>
    <x v="2"/>
    <x v="2"/>
    <s v="17IA14.10"/>
    <x v="1"/>
    <x v="1"/>
    <m/>
    <m/>
    <m/>
  </r>
  <r>
    <s v="YK260300085"/>
    <x v="1"/>
    <x v="1"/>
    <n v="1"/>
    <x v="2"/>
    <d v="2026-04-07T12:16:56"/>
    <x v="2"/>
    <x v="2"/>
    <x v="2"/>
    <s v="17IA14.10"/>
    <x v="1"/>
    <x v="1"/>
    <m/>
    <m/>
    <m/>
  </r>
  <r>
    <s v="YK260300086"/>
    <x v="0"/>
    <x v="0"/>
    <n v="1"/>
    <x v="1"/>
    <d v="2026-02-24T11:09:01"/>
    <x v="2"/>
    <x v="2"/>
    <x v="2"/>
    <s v="17IA14.10"/>
    <x v="1"/>
    <x v="1"/>
    <m/>
    <d v="2026-08-14T00:00:00"/>
    <m/>
  </r>
  <r>
    <s v="YK260300087"/>
    <x v="0"/>
    <x v="0"/>
    <n v="1"/>
    <x v="1"/>
    <d v="2026-02-20T06:36:40"/>
    <x v="2"/>
    <x v="2"/>
    <x v="2"/>
    <s v="17IA14.10"/>
    <x v="1"/>
    <x v="1"/>
    <m/>
    <m/>
    <m/>
  </r>
  <r>
    <s v="YK260300088"/>
    <x v="0"/>
    <x v="0"/>
    <n v="1"/>
    <x v="1"/>
    <d v="2026-03-11T11:54:08"/>
    <x v="2"/>
    <x v="2"/>
    <x v="2"/>
    <s v="17IA14.10"/>
    <x v="1"/>
    <x v="1"/>
    <m/>
    <d v="2026-03-24T00:00:00"/>
    <m/>
  </r>
  <r>
    <s v="YK260300089"/>
    <x v="1"/>
    <x v="1"/>
    <n v="1"/>
    <x v="2"/>
    <d v="2026-03-31T06:52:42"/>
    <x v="2"/>
    <x v="2"/>
    <x v="2"/>
    <s v="17IA14.10"/>
    <x v="1"/>
    <x v="1"/>
    <m/>
    <d v="2026-03-24T00:00:00"/>
    <m/>
  </r>
  <r>
    <s v="YK260300090"/>
    <x v="0"/>
    <x v="0"/>
    <n v="1"/>
    <x v="1"/>
    <d v="2026-03-13T14:23:55"/>
    <x v="2"/>
    <x v="2"/>
    <x v="2"/>
    <s v="17IA14.10"/>
    <x v="1"/>
    <x v="1"/>
    <m/>
    <d v="2026-08-14T00:00:00"/>
    <m/>
  </r>
  <r>
    <s v="YK260300091"/>
    <x v="0"/>
    <x v="0"/>
    <n v="1"/>
    <x v="1"/>
    <d v="2026-02-19T09:27:19"/>
    <x v="2"/>
    <x v="2"/>
    <x v="2"/>
    <s v="17IA14.10"/>
    <x v="1"/>
    <x v="1"/>
    <m/>
    <d v="2026-03-24T00:00:00"/>
    <m/>
  </r>
  <r>
    <s v="YK260300092"/>
    <x v="0"/>
    <x v="0"/>
    <n v="1"/>
    <x v="1"/>
    <d v="2026-02-23T08:47:57"/>
    <x v="2"/>
    <x v="2"/>
    <x v="2"/>
    <s v="17IA14.10"/>
    <x v="1"/>
    <x v="1"/>
    <m/>
    <d v="2026-05-14T00:00:00"/>
    <m/>
  </r>
  <r>
    <s v="YK260300093"/>
    <x v="0"/>
    <x v="0"/>
    <n v="1"/>
    <x v="1"/>
    <d v="2026-02-24T14:21:36"/>
    <x v="2"/>
    <x v="2"/>
    <x v="2"/>
    <s v="17IA14.10"/>
    <x v="1"/>
    <x v="1"/>
    <m/>
    <m/>
    <m/>
  </r>
  <r>
    <s v="YK260300094"/>
    <x v="0"/>
    <x v="0"/>
    <n v="1"/>
    <x v="1"/>
    <d v="2026-02-18T09:16:08"/>
    <x v="2"/>
    <x v="2"/>
    <x v="2"/>
    <s v="17IA14.10"/>
    <x v="1"/>
    <x v="1"/>
    <m/>
    <m/>
    <m/>
  </r>
  <r>
    <s v="YK260300095"/>
    <x v="1"/>
    <x v="1"/>
    <n v="1"/>
    <x v="2"/>
    <d v="2026-03-30T14:20:51"/>
    <x v="2"/>
    <x v="2"/>
    <x v="2"/>
    <s v="17IA14.10"/>
    <x v="1"/>
    <x v="1"/>
    <m/>
    <d v="2026-08-14T00:00:00"/>
    <m/>
  </r>
  <r>
    <s v="YK260300096"/>
    <x v="0"/>
    <x v="0"/>
    <n v="1"/>
    <x v="1"/>
    <d v="2026-02-18T09:15:04"/>
    <x v="2"/>
    <x v="2"/>
    <x v="2"/>
    <s v="17IA14.10"/>
    <x v="1"/>
    <x v="1"/>
    <m/>
    <m/>
    <m/>
  </r>
  <r>
    <s v="YK260300097"/>
    <x v="0"/>
    <x v="0"/>
    <n v="1"/>
    <x v="1"/>
    <d v="2026-02-19T09:27:31"/>
    <x v="2"/>
    <x v="2"/>
    <x v="2"/>
    <s v="17IA14.10"/>
    <x v="1"/>
    <x v="1"/>
    <m/>
    <m/>
    <m/>
  </r>
  <r>
    <s v="YK260300098"/>
    <x v="0"/>
    <x v="0"/>
    <n v="1"/>
    <x v="1"/>
    <d v="2026-02-12T10:47:21"/>
    <x v="2"/>
    <x v="2"/>
    <x v="2"/>
    <s v="17IA14.10"/>
    <x v="1"/>
    <x v="1"/>
    <m/>
    <d v="2026-03-16T00:00:00"/>
    <m/>
  </r>
  <r>
    <s v="YK260300099"/>
    <x v="0"/>
    <x v="0"/>
    <n v="1"/>
    <x v="1"/>
    <d v="2026-02-12T10:47:47"/>
    <x v="2"/>
    <x v="2"/>
    <x v="2"/>
    <s v="17IA14.10"/>
    <x v="1"/>
    <x v="1"/>
    <m/>
    <d v="2026-08-14T00:00:00"/>
    <m/>
  </r>
  <r>
    <s v="YK260300100"/>
    <x v="0"/>
    <x v="0"/>
    <n v="1"/>
    <x v="1"/>
    <d v="2026-03-11T11:53:28"/>
    <x v="2"/>
    <x v="2"/>
    <x v="2"/>
    <s v="17IA14.10"/>
    <x v="1"/>
    <x v="1"/>
    <m/>
    <m/>
    <m/>
  </r>
  <r>
    <s v="YK260300101"/>
    <x v="1"/>
    <x v="1"/>
    <n v="1"/>
    <x v="2"/>
    <d v="2026-03-30T14:27:29"/>
    <x v="2"/>
    <x v="2"/>
    <x v="2"/>
    <s v="17IA14.10"/>
    <x v="1"/>
    <x v="1"/>
    <m/>
    <m/>
    <m/>
  </r>
  <r>
    <s v="YK260300102"/>
    <x v="0"/>
    <x v="0"/>
    <n v="1"/>
    <x v="1"/>
    <d v="2026-02-12T10:21:47"/>
    <x v="2"/>
    <x v="2"/>
    <x v="2"/>
    <s v="17IA14.10"/>
    <x v="1"/>
    <x v="1"/>
    <m/>
    <d v="2026-04-16T00:00:00"/>
    <m/>
  </r>
  <r>
    <s v="YK260300103"/>
    <x v="0"/>
    <x v="0"/>
    <n v="1"/>
    <x v="1"/>
    <d v="2026-02-27T10:30:20"/>
    <x v="2"/>
    <x v="2"/>
    <x v="2"/>
    <s v="17IA14.10"/>
    <x v="1"/>
    <x v="1"/>
    <m/>
    <d v="2026-08-14T00:00:00"/>
    <m/>
  </r>
  <r>
    <s v="YK260300104"/>
    <x v="0"/>
    <x v="0"/>
    <n v="1"/>
    <x v="1"/>
    <d v="2026-03-17T12:28:31"/>
    <x v="2"/>
    <x v="2"/>
    <x v="2"/>
    <s v="17IA14.10"/>
    <x v="1"/>
    <x v="1"/>
    <m/>
    <d v="2026-08-14T00:00:00"/>
    <m/>
  </r>
  <r>
    <s v="YK260300105"/>
    <x v="0"/>
    <x v="0"/>
    <n v="1"/>
    <x v="1"/>
    <d v="2026-02-13T10:29:44"/>
    <x v="2"/>
    <x v="2"/>
    <x v="2"/>
    <s v="17IA14.10"/>
    <x v="1"/>
    <x v="1"/>
    <m/>
    <d v="2026-08-14T00:00:00"/>
    <m/>
  </r>
  <r>
    <s v="YK260300106"/>
    <x v="0"/>
    <x v="0"/>
    <n v="1"/>
    <x v="1"/>
    <d v="2026-02-27T10:27:22"/>
    <x v="2"/>
    <x v="2"/>
    <x v="2"/>
    <s v="17IA14.10"/>
    <x v="1"/>
    <x v="1"/>
    <m/>
    <d v="2026-08-14T00:00:00"/>
    <m/>
  </r>
  <r>
    <s v="YK260300107"/>
    <x v="0"/>
    <x v="0"/>
    <n v="1"/>
    <x v="1"/>
    <d v="2026-02-13T10:27:03"/>
    <x v="2"/>
    <x v="2"/>
    <x v="2"/>
    <s v="17IA14.10"/>
    <x v="1"/>
    <x v="1"/>
    <m/>
    <m/>
    <m/>
  </r>
  <r>
    <s v="YK260300108"/>
    <x v="1"/>
    <x v="1"/>
    <n v="1"/>
    <x v="2"/>
    <d v="2026-03-30T12:24:42"/>
    <x v="2"/>
    <x v="2"/>
    <x v="2"/>
    <s v="17IA14.10"/>
    <x v="1"/>
    <x v="1"/>
    <m/>
    <d v="2026-08-14T00:00:00"/>
    <m/>
  </r>
  <r>
    <s v="YK260300109"/>
    <x v="0"/>
    <x v="0"/>
    <n v="1"/>
    <x v="1"/>
    <d v="2026-03-13T14:24:30"/>
    <x v="2"/>
    <x v="2"/>
    <x v="2"/>
    <s v="17IA14.10"/>
    <x v="1"/>
    <x v="1"/>
    <m/>
    <d v="2026-03-16T00:00:00"/>
    <m/>
  </r>
  <r>
    <s v="YK260300110"/>
    <x v="0"/>
    <x v="0"/>
    <n v="1"/>
    <x v="1"/>
    <d v="2026-02-13T10:27:29"/>
    <x v="2"/>
    <x v="2"/>
    <x v="2"/>
    <s v="17IA14.10"/>
    <x v="1"/>
    <x v="1"/>
    <m/>
    <d v="2026-03-24T00:00:00"/>
    <m/>
  </r>
  <r>
    <s v="YK260300111"/>
    <x v="0"/>
    <x v="0"/>
    <n v="1"/>
    <x v="1"/>
    <d v="2026-02-19T11:40:59"/>
    <x v="2"/>
    <x v="2"/>
    <x v="2"/>
    <s v="17IA14.10"/>
    <x v="1"/>
    <x v="1"/>
    <m/>
    <d v="2026-03-31T00:00:00"/>
    <m/>
  </r>
  <r>
    <s v="YK260300112"/>
    <x v="0"/>
    <x v="0"/>
    <n v="1"/>
    <x v="1"/>
    <d v="2026-02-24T14:24:36"/>
    <x v="2"/>
    <x v="2"/>
    <x v="2"/>
    <s v="17IA14.10"/>
    <x v="1"/>
    <x v="1"/>
    <m/>
    <m/>
    <m/>
  </r>
  <r>
    <s v="YK260300113"/>
    <x v="0"/>
    <x v="0"/>
    <n v="1"/>
    <x v="1"/>
    <d v="2026-02-23T08:47:49"/>
    <x v="2"/>
    <x v="2"/>
    <x v="2"/>
    <s v="17IA14.10"/>
    <x v="1"/>
    <x v="1"/>
    <m/>
    <d v="2026-08-14T00:00:00"/>
    <m/>
  </r>
  <r>
    <s v="YK260300114"/>
    <x v="0"/>
    <x v="0"/>
    <n v="1"/>
    <x v="1"/>
    <d v="2026-03-16T08:34:46"/>
    <x v="2"/>
    <x v="2"/>
    <x v="2"/>
    <s v="17IA14.10"/>
    <x v="1"/>
    <x v="1"/>
    <m/>
    <d v="2026-03-24T00:00:00"/>
    <m/>
  </r>
  <r>
    <s v="YK260300115"/>
    <x v="0"/>
    <x v="0"/>
    <n v="1"/>
    <x v="1"/>
    <d v="2026-02-20T08:51:57"/>
    <x v="2"/>
    <x v="2"/>
    <x v="2"/>
    <s v="17IA14.10"/>
    <x v="1"/>
    <x v="1"/>
    <m/>
    <d v="2026-08-14T00:00:00"/>
    <m/>
  </r>
  <r>
    <s v="YK260300116"/>
    <x v="1"/>
    <x v="1"/>
    <n v="1"/>
    <x v="2"/>
    <d v="2026-03-31T06:57:21"/>
    <x v="2"/>
    <x v="2"/>
    <x v="2"/>
    <s v="17IA14.10"/>
    <x v="1"/>
    <x v="1"/>
    <m/>
    <d v="2026-08-14T00:00:00"/>
    <m/>
  </r>
  <r>
    <s v="YK260300117"/>
    <x v="0"/>
    <x v="0"/>
    <n v="1"/>
    <x v="1"/>
    <d v="2026-03-02T11:05:15"/>
    <x v="2"/>
    <x v="2"/>
    <x v="2"/>
    <s v="17IA14.10"/>
    <x v="1"/>
    <x v="1"/>
    <m/>
    <m/>
    <m/>
  </r>
  <r>
    <s v="YK260300118"/>
    <x v="0"/>
    <x v="0"/>
    <n v="1"/>
    <x v="1"/>
    <d v="2026-02-23T09:00:11"/>
    <x v="2"/>
    <x v="2"/>
    <x v="2"/>
    <s v="17IA14.10"/>
    <x v="1"/>
    <x v="1"/>
    <m/>
    <d v="2026-03-16T00:00:00"/>
    <m/>
  </r>
  <r>
    <s v="YK260300119"/>
    <x v="1"/>
    <x v="1"/>
    <n v="1"/>
    <x v="2"/>
    <d v="2026-03-30T13:53:16"/>
    <x v="2"/>
    <x v="2"/>
    <x v="2"/>
    <s v="17IA14.10"/>
    <x v="1"/>
    <x v="1"/>
    <m/>
    <m/>
    <m/>
  </r>
  <r>
    <s v="YK260300120"/>
    <x v="0"/>
    <x v="0"/>
    <n v="1"/>
    <x v="1"/>
    <d v="2026-02-23T08:59:28"/>
    <x v="2"/>
    <x v="2"/>
    <x v="2"/>
    <s v="17IA14.10"/>
    <x v="1"/>
    <x v="1"/>
    <m/>
    <m/>
    <m/>
  </r>
  <r>
    <s v="YK260300121"/>
    <x v="0"/>
    <x v="0"/>
    <n v="1"/>
    <x v="1"/>
    <d v="2026-02-27T10:28:27"/>
    <x v="2"/>
    <x v="2"/>
    <x v="2"/>
    <s v="17IA14.10"/>
    <x v="1"/>
    <x v="1"/>
    <m/>
    <m/>
    <m/>
  </r>
  <r>
    <s v="YK260300122"/>
    <x v="1"/>
    <x v="1"/>
    <n v="1"/>
    <x v="2"/>
    <d v="2026-03-30T14:06:57"/>
    <x v="2"/>
    <x v="2"/>
    <x v="2"/>
    <s v="17IA14.10"/>
    <x v="1"/>
    <x v="1"/>
    <m/>
    <m/>
    <m/>
  </r>
  <r>
    <s v="YK260900001"/>
    <x v="0"/>
    <x v="0"/>
    <n v="1"/>
    <x v="1"/>
    <d v="2026-05-05T09:28:04"/>
    <x v="3"/>
    <x v="3"/>
    <x v="3"/>
    <s v="17IA14.20"/>
    <x v="1"/>
    <x v="1"/>
    <m/>
    <m/>
    <m/>
  </r>
  <r>
    <s v="YK260900002"/>
    <x v="0"/>
    <x v="0"/>
    <n v="1"/>
    <x v="1"/>
    <d v="2026-05-04T06:38:48"/>
    <x v="3"/>
    <x v="3"/>
    <x v="3"/>
    <s v="17IA14.20"/>
    <x v="1"/>
    <x v="1"/>
    <m/>
    <m/>
    <m/>
  </r>
  <r>
    <s v="YK260900003"/>
    <x v="1"/>
    <x v="1"/>
    <n v="1"/>
    <x v="2"/>
    <d v="2026-08-12T13:20:23"/>
    <x v="3"/>
    <x v="3"/>
    <x v="3"/>
    <s v="17IA14.20"/>
    <x v="1"/>
    <x v="1"/>
    <m/>
    <m/>
    <m/>
  </r>
  <r>
    <s v="YK260900004"/>
    <x v="2"/>
    <x v="2"/>
    <n v="1"/>
    <x v="3"/>
    <d v="2026-04-10T09:07:03"/>
    <x v="3"/>
    <x v="3"/>
    <x v="3"/>
    <s v="17IA14.20"/>
    <x v="1"/>
    <x v="1"/>
    <m/>
    <m/>
    <m/>
  </r>
  <r>
    <s v="YK260900005"/>
    <x v="0"/>
    <x v="0"/>
    <n v="1"/>
    <x v="1"/>
    <d v="2026-05-08T09:24:05"/>
    <x v="3"/>
    <x v="3"/>
    <x v="3"/>
    <s v="17IA14.20"/>
    <x v="1"/>
    <x v="1"/>
    <m/>
    <d v="2026-03-31T00:00:00"/>
    <m/>
  </r>
  <r>
    <s v="YK260900006"/>
    <x v="1"/>
    <x v="1"/>
    <n v="1"/>
    <x v="2"/>
    <d v="2026-08-12T13:55:58"/>
    <x v="3"/>
    <x v="3"/>
    <x v="3"/>
    <s v="17IA14.20"/>
    <x v="1"/>
    <x v="1"/>
    <m/>
    <m/>
    <m/>
  </r>
  <r>
    <s v="YK260900007"/>
    <x v="0"/>
    <x v="0"/>
    <n v="1"/>
    <x v="1"/>
    <d v="2026-05-08T09:24:29"/>
    <x v="3"/>
    <x v="3"/>
    <x v="3"/>
    <s v="17IA14.20"/>
    <x v="1"/>
    <x v="1"/>
    <m/>
    <m/>
    <m/>
  </r>
  <r>
    <s v="YK260900008"/>
    <x v="1"/>
    <x v="1"/>
    <n v="1"/>
    <x v="2"/>
    <d v="2026-04-11T06:26:11"/>
    <x v="3"/>
    <x v="3"/>
    <x v="3"/>
    <s v="17IA14.20"/>
    <x v="1"/>
    <x v="1"/>
    <m/>
    <m/>
    <m/>
  </r>
  <r>
    <s v="YK260900009"/>
    <x v="1"/>
    <x v="1"/>
    <n v="1"/>
    <x v="2"/>
    <d v="2026-04-11T06:26:11"/>
    <x v="3"/>
    <x v="3"/>
    <x v="3"/>
    <s v="17IA14.20"/>
    <x v="1"/>
    <x v="1"/>
    <m/>
    <d v="2026-03-31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m/>
    <m/>
  </r>
  <r>
    <s v="YK260900012"/>
    <x v="1"/>
    <x v="1"/>
    <n v="1"/>
    <x v="2"/>
    <d v="2026-05-12T08:56:48"/>
    <x v="3"/>
    <x v="3"/>
    <x v="3"/>
    <s v="17IA14.20"/>
    <x v="1"/>
    <x v="1"/>
    <m/>
    <d v="2026-08-14T00:00:00"/>
    <m/>
  </r>
  <r>
    <s v="YK260900013"/>
    <x v="0"/>
    <x v="0"/>
    <n v="1"/>
    <x v="1"/>
    <d v="2026-05-11T12:07:38"/>
    <x v="3"/>
    <x v="3"/>
    <x v="3"/>
    <s v="17IA14.20"/>
    <x v="1"/>
    <x v="1"/>
    <m/>
    <d v="2026-08-14T00:00:00"/>
    <m/>
  </r>
  <r>
    <s v="YK260900014"/>
    <x v="0"/>
    <x v="0"/>
    <n v="1"/>
    <x v="1"/>
    <d v="2026-04-28T07:27:27"/>
    <x v="3"/>
    <x v="3"/>
    <x v="3"/>
    <s v="17IA14.20"/>
    <x v="1"/>
    <x v="1"/>
    <m/>
    <m/>
    <m/>
  </r>
  <r>
    <s v="YK260900015"/>
    <x v="1"/>
    <x v="1"/>
    <n v="1"/>
    <x v="2"/>
    <d v="2026-08-12T13:53:57"/>
    <x v="3"/>
    <x v="3"/>
    <x v="3"/>
    <s v="17IA14.20"/>
    <x v="1"/>
    <x v="1"/>
    <m/>
    <m/>
    <m/>
  </r>
  <r>
    <s v="YK260900016"/>
    <x v="0"/>
    <x v="0"/>
    <n v="1"/>
    <x v="1"/>
    <d v="2026-05-04T06:38:34"/>
    <x v="3"/>
    <x v="3"/>
    <x v="3"/>
    <s v="17IA14.20"/>
    <x v="1"/>
    <x v="1"/>
    <m/>
    <m/>
    <m/>
  </r>
  <r>
    <s v="YK260900017"/>
    <x v="3"/>
    <x v="3"/>
    <n v="1"/>
    <x v="4"/>
    <d v="2026-04-27T14:05:22"/>
    <x v="3"/>
    <x v="3"/>
    <x v="3"/>
    <s v="17IA14.20"/>
    <x v="1"/>
    <x v="1"/>
    <m/>
    <m/>
    <m/>
  </r>
  <r>
    <s v="YK260900018"/>
    <x v="1"/>
    <x v="1"/>
    <n v="1"/>
    <x v="2"/>
    <d v="2026-04-11T06:26:11"/>
    <x v="3"/>
    <x v="3"/>
    <x v="3"/>
    <s v="17IA14.20"/>
    <x v="1"/>
    <x v="1"/>
    <m/>
    <m/>
    <m/>
  </r>
  <r>
    <s v="YK260900019"/>
    <x v="1"/>
    <x v="1"/>
    <n v="1"/>
    <x v="2"/>
    <d v="2026-08-12T13:59:14"/>
    <x v="3"/>
    <x v="3"/>
    <x v="3"/>
    <s v="17IA14.20"/>
    <x v="1"/>
    <x v="1"/>
    <m/>
    <m/>
    <m/>
  </r>
  <r>
    <s v="YK260900020"/>
    <x v="0"/>
    <x v="0"/>
    <n v="1"/>
    <x v="1"/>
    <d v="2026-05-11T10:25:57"/>
    <x v="3"/>
    <x v="3"/>
    <x v="3"/>
    <s v="17IA14.20"/>
    <x v="1"/>
    <x v="1"/>
    <m/>
    <d v="2026-03-16T00:00:00"/>
    <m/>
  </r>
  <r>
    <s v="YK260900021"/>
    <x v="2"/>
    <x v="2"/>
    <n v="1"/>
    <x v="3"/>
    <d v="2026-04-10T09:09:07"/>
    <x v="3"/>
    <x v="3"/>
    <x v="3"/>
    <s v="17IA14.20"/>
    <x v="1"/>
    <x v="1"/>
    <m/>
    <d v="2026-03-31T00:00:00"/>
    <m/>
  </r>
  <r>
    <s v="YK260900022"/>
    <x v="1"/>
    <x v="1"/>
    <n v="1"/>
    <x v="2"/>
    <d v="2026-06-01T11:24:23"/>
    <x v="3"/>
    <x v="3"/>
    <x v="3"/>
    <s v="17IA14.20"/>
    <x v="1"/>
    <x v="1"/>
    <m/>
    <m/>
    <m/>
  </r>
  <r>
    <s v="YK260900023"/>
    <x v="1"/>
    <x v="1"/>
    <n v="1"/>
    <x v="2"/>
    <d v="2026-08-14T09:37:14"/>
    <x v="3"/>
    <x v="3"/>
    <x v="3"/>
    <s v="17IA14.20"/>
    <x v="1"/>
    <x v="1"/>
    <m/>
    <m/>
    <m/>
  </r>
  <r>
    <s v="YK260900024"/>
    <x v="1"/>
    <x v="1"/>
    <n v="1"/>
    <x v="2"/>
    <d v="2026-08-14T09:35:56"/>
    <x v="3"/>
    <x v="3"/>
    <x v="3"/>
    <s v="17IA14.20"/>
    <x v="1"/>
    <x v="1"/>
    <m/>
    <m/>
    <m/>
  </r>
  <r>
    <s v="YK260900025"/>
    <x v="1"/>
    <x v="1"/>
    <n v="1"/>
    <x v="2"/>
    <d v="2026-08-12T13:21:14"/>
    <x v="3"/>
    <x v="3"/>
    <x v="3"/>
    <s v="17IA14.20"/>
    <x v="1"/>
    <x v="1"/>
    <m/>
    <d v="2026-04-16T00:00:00"/>
    <m/>
  </r>
  <r>
    <s v="YK260900026"/>
    <x v="1"/>
    <x v="1"/>
    <n v="1"/>
    <x v="2"/>
    <d v="2026-08-14T09:37:43"/>
    <x v="3"/>
    <x v="3"/>
    <x v="3"/>
    <s v="17IA14.20"/>
    <x v="1"/>
    <x v="1"/>
    <m/>
    <m/>
    <m/>
  </r>
  <r>
    <s v="YK260900027"/>
    <x v="2"/>
    <x v="2"/>
    <n v="1"/>
    <x v="3"/>
    <d v="2026-04-10T09:09:27"/>
    <x v="3"/>
    <x v="3"/>
    <x v="3"/>
    <s v="17IA14.20"/>
    <x v="1"/>
    <x v="1"/>
    <m/>
    <m/>
    <m/>
  </r>
  <r>
    <s v="YK260900028"/>
    <x v="1"/>
    <x v="1"/>
    <n v="1"/>
    <x v="2"/>
    <d v="2026-08-12T13:25:21"/>
    <x v="3"/>
    <x v="3"/>
    <x v="3"/>
    <s v="17IA14.20"/>
    <x v="1"/>
    <x v="1"/>
    <m/>
    <m/>
    <m/>
  </r>
  <r>
    <s v="YK260900029"/>
    <x v="1"/>
    <x v="1"/>
    <n v="1"/>
    <x v="2"/>
    <d v="2026-04-11T06:26:11"/>
    <x v="3"/>
    <x v="3"/>
    <x v="3"/>
    <s v="17IA14.20"/>
    <x v="1"/>
    <x v="1"/>
    <m/>
    <m/>
    <m/>
  </r>
  <r>
    <s v="YK260900030"/>
    <x v="1"/>
    <x v="1"/>
    <n v="1"/>
    <x v="2"/>
    <d v="2026-04-11T06:26:11"/>
    <x v="3"/>
    <x v="3"/>
    <x v="3"/>
    <s v="17IA14.20"/>
    <x v="1"/>
    <x v="1"/>
    <m/>
    <d v="2026-08-14T00:00:00"/>
    <m/>
  </r>
  <r>
    <s v="YK260900031"/>
    <x v="1"/>
    <x v="1"/>
    <n v="1"/>
    <x v="2"/>
    <d v="2026-04-11T06:26:11"/>
    <x v="3"/>
    <x v="3"/>
    <x v="3"/>
    <s v="17IA14.20"/>
    <x v="1"/>
    <x v="1"/>
    <m/>
    <m/>
    <m/>
  </r>
  <r>
    <s v="YK260900032"/>
    <x v="2"/>
    <x v="2"/>
    <n v="1"/>
    <x v="3"/>
    <d v="2026-04-03T15:41:55"/>
    <x v="3"/>
    <x v="3"/>
    <x v="3"/>
    <s v="17IA14.20"/>
    <x v="1"/>
    <x v="1"/>
    <m/>
    <m/>
    <m/>
  </r>
  <r>
    <s v="YK260900033"/>
    <x v="1"/>
    <x v="1"/>
    <n v="1"/>
    <x v="2"/>
    <d v="2026-08-14T09:38:24"/>
    <x v="3"/>
    <x v="3"/>
    <x v="3"/>
    <s v="17IA14.20"/>
    <x v="1"/>
    <x v="1"/>
    <m/>
    <m/>
    <m/>
  </r>
  <r>
    <s v="YK260900034"/>
    <x v="1"/>
    <x v="1"/>
    <n v="1"/>
    <x v="2"/>
    <d v="2026-04-11T06:26:11"/>
    <x v="3"/>
    <x v="3"/>
    <x v="3"/>
    <s v="17IA14.20"/>
    <x v="1"/>
    <x v="1"/>
    <m/>
    <d v="2026-08-1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m/>
    <m/>
  </r>
  <r>
    <s v="YK260900037"/>
    <x v="2"/>
    <x v="2"/>
    <n v="1"/>
    <x v="3"/>
    <d v="2026-04-03T14:30:54"/>
    <x v="3"/>
    <x v="3"/>
    <x v="3"/>
    <s v="17IA14.20"/>
    <x v="1"/>
    <x v="1"/>
    <m/>
    <d v="2026-08-14T00:00:00"/>
    <m/>
  </r>
  <r>
    <s v="YK260900075"/>
    <x v="1"/>
    <x v="1"/>
    <n v="1"/>
    <x v="2"/>
    <d v="2026-04-11T06:26:11"/>
    <x v="4"/>
    <x v="3"/>
    <x v="4"/>
    <s v="17IA14.21"/>
    <x v="1"/>
    <x v="1"/>
    <m/>
    <d v="2026-08-14T00:00:00"/>
    <m/>
  </r>
  <r>
    <s v="YK260900076"/>
    <x v="0"/>
    <x v="0"/>
    <n v="1"/>
    <x v="1"/>
    <d v="2026-04-28T07:27:12"/>
    <x v="4"/>
    <x v="3"/>
    <x v="4"/>
    <s v="17IA14.21"/>
    <x v="1"/>
    <x v="1"/>
    <m/>
    <m/>
    <m/>
  </r>
  <r>
    <s v="YK260900077"/>
    <x v="1"/>
    <x v="1"/>
    <n v="1"/>
    <x v="2"/>
    <d v="2026-04-29T07:08:22"/>
    <x v="4"/>
    <x v="3"/>
    <x v="4"/>
    <s v="17IA14.21"/>
    <x v="1"/>
    <x v="1"/>
    <m/>
    <d v="2026-08-14T00:00:00"/>
    <m/>
  </r>
  <r>
    <s v="YK260900078"/>
    <x v="1"/>
    <x v="1"/>
    <n v="1"/>
    <x v="2"/>
    <d v="2026-04-29T07:19:32"/>
    <x v="4"/>
    <x v="3"/>
    <x v="4"/>
    <s v="17IA14.21"/>
    <x v="1"/>
    <x v="1"/>
    <m/>
    <m/>
    <m/>
  </r>
  <r>
    <s v="YK260900079"/>
    <x v="1"/>
    <x v="1"/>
    <n v="1"/>
    <x v="2"/>
    <d v="2026-04-29T07:21:00"/>
    <x v="4"/>
    <x v="3"/>
    <x v="4"/>
    <s v="17IA14.21"/>
    <x v="1"/>
    <x v="1"/>
    <m/>
    <m/>
    <m/>
  </r>
  <r>
    <s v="YK260900080"/>
    <x v="0"/>
    <x v="0"/>
    <n v="1"/>
    <x v="1"/>
    <d v="2026-05-12T06:22:26"/>
    <x v="4"/>
    <x v="3"/>
    <x v="4"/>
    <s v="17IA14.21"/>
    <x v="1"/>
    <x v="1"/>
    <m/>
    <m/>
    <m/>
  </r>
  <r>
    <s v="YK260900081"/>
    <x v="0"/>
    <x v="0"/>
    <n v="1"/>
    <x v="1"/>
    <d v="2026-05-12T06:23:00"/>
    <x v="4"/>
    <x v="3"/>
    <x v="4"/>
    <s v="17IA14.21"/>
    <x v="1"/>
    <x v="1"/>
    <m/>
    <m/>
    <m/>
  </r>
  <r>
    <s v="YK260900082"/>
    <x v="2"/>
    <x v="2"/>
    <n v="1"/>
    <x v="3"/>
    <d v="2026-04-10T09:11:54"/>
    <x v="4"/>
    <x v="3"/>
    <x v="4"/>
    <s v="17IA14.21"/>
    <x v="1"/>
    <x v="1"/>
    <m/>
    <d v="2026-03-16T00:00:00"/>
    <m/>
  </r>
  <r>
    <s v="YK260900083"/>
    <x v="1"/>
    <x v="1"/>
    <n v="1"/>
    <x v="2"/>
    <d v="2026-04-29T07:24:43"/>
    <x v="4"/>
    <x v="3"/>
    <x v="4"/>
    <s v="17IA14.21"/>
    <x v="1"/>
    <x v="1"/>
    <m/>
    <m/>
    <m/>
  </r>
  <r>
    <s v="YK260900084"/>
    <x v="1"/>
    <x v="1"/>
    <n v="1"/>
    <x v="2"/>
    <d v="2026-04-11T06:26:11"/>
    <x v="4"/>
    <x v="3"/>
    <x v="4"/>
    <s v="17IA14.21"/>
    <x v="1"/>
    <x v="1"/>
    <m/>
    <d v="2026-03-16T00:00:00"/>
    <m/>
  </r>
  <r>
    <s v="YK260900085"/>
    <x v="0"/>
    <x v="0"/>
    <n v="1"/>
    <x v="1"/>
    <d v="2026-05-12T09:42:21"/>
    <x v="4"/>
    <x v="3"/>
    <x v="4"/>
    <s v="17IA14.21"/>
    <x v="1"/>
    <x v="1"/>
    <m/>
    <d v="2026-03-16T00:00:00"/>
    <m/>
  </r>
  <r>
    <s v="YK260900086"/>
    <x v="0"/>
    <x v="0"/>
    <n v="1"/>
    <x v="1"/>
    <d v="2026-05-08T09:23:37"/>
    <x v="4"/>
    <x v="3"/>
    <x v="4"/>
    <s v="17IA14.21"/>
    <x v="1"/>
    <x v="1"/>
    <m/>
    <d v="2026-05-27T00:00:00"/>
    <m/>
  </r>
  <r>
    <s v="YK260900087"/>
    <x v="0"/>
    <x v="0"/>
    <n v="1"/>
    <x v="1"/>
    <d v="2026-05-04T06:38:19"/>
    <x v="4"/>
    <x v="3"/>
    <x v="4"/>
    <s v="17IA14.21"/>
    <x v="1"/>
    <x v="1"/>
    <m/>
    <d v="2026-08-14T00:00:00"/>
    <m/>
  </r>
  <r>
    <s v="YK260900088"/>
    <x v="1"/>
    <x v="1"/>
    <n v="1"/>
    <x v="2"/>
    <d v="2026-04-11T06:26:11"/>
    <x v="4"/>
    <x v="3"/>
    <x v="4"/>
    <s v="17IA14.21"/>
    <x v="1"/>
    <x v="1"/>
    <m/>
    <m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d v="2026-08-14T00:00:00"/>
    <m/>
  </r>
  <r>
    <s v="YK260900091"/>
    <x v="1"/>
    <x v="1"/>
    <n v="1"/>
    <x v="2"/>
    <d v="2026-08-12T13:37:50"/>
    <x v="4"/>
    <x v="3"/>
    <x v="4"/>
    <s v="17IA14.21"/>
    <x v="1"/>
    <x v="1"/>
    <m/>
    <m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m/>
    <m/>
  </r>
  <r>
    <s v="YK260900094"/>
    <x v="0"/>
    <x v="0"/>
    <n v="1"/>
    <x v="1"/>
    <d v="2026-05-08T11:12:32"/>
    <x v="4"/>
    <x v="3"/>
    <x v="4"/>
    <s v="17IA14.21"/>
    <x v="1"/>
    <x v="1"/>
    <m/>
    <d v="2026-03-16T00:00:00"/>
    <m/>
  </r>
  <r>
    <s v="YK260900095"/>
    <x v="0"/>
    <x v="0"/>
    <n v="1"/>
    <x v="1"/>
    <d v="2026-04-28T07:26:55"/>
    <x v="4"/>
    <x v="3"/>
    <x v="4"/>
    <s v="17IA14.21"/>
    <x v="1"/>
    <x v="1"/>
    <m/>
    <d v="2026-03-16T00:00:00"/>
    <m/>
  </r>
  <r>
    <s v="YK260900096"/>
    <x v="0"/>
    <x v="0"/>
    <n v="1"/>
    <x v="1"/>
    <d v="2026-05-11T12:06:41"/>
    <x v="4"/>
    <x v="3"/>
    <x v="4"/>
    <s v="17IA14.21"/>
    <x v="1"/>
    <x v="1"/>
    <m/>
    <d v="2026-08-14T00:00:00"/>
    <m/>
  </r>
  <r>
    <s v="YK260900097"/>
    <x v="0"/>
    <x v="0"/>
    <n v="1"/>
    <x v="1"/>
    <d v="2026-05-12T09:42:46"/>
    <x v="4"/>
    <x v="3"/>
    <x v="4"/>
    <s v="17IA14.21"/>
    <x v="1"/>
    <x v="1"/>
    <m/>
    <d v="2026-08-14T00:00:00"/>
    <m/>
  </r>
  <r>
    <s v="YK260900098"/>
    <x v="0"/>
    <x v="0"/>
    <n v="1"/>
    <x v="1"/>
    <d v="2026-05-12T06:22:43"/>
    <x v="4"/>
    <x v="3"/>
    <x v="4"/>
    <s v="17IA14.21"/>
    <x v="1"/>
    <x v="1"/>
    <m/>
    <d v="2026-08-14T00:00:00"/>
    <m/>
  </r>
  <r>
    <s v="YK260900099"/>
    <x v="1"/>
    <x v="1"/>
    <n v="1"/>
    <x v="2"/>
    <d v="2026-04-11T06:26:11"/>
    <x v="4"/>
    <x v="3"/>
    <x v="4"/>
    <s v="17IA14.21"/>
    <x v="1"/>
    <x v="1"/>
    <m/>
    <d v="2026-05-27T00:00:00"/>
    <m/>
  </r>
  <r>
    <s v="YK260900100"/>
    <x v="1"/>
    <x v="1"/>
    <n v="1"/>
    <x v="2"/>
    <d v="2026-04-11T06:26:11"/>
    <x v="4"/>
    <x v="3"/>
    <x v="4"/>
    <s v="17IA14.21"/>
    <x v="1"/>
    <x v="1"/>
    <m/>
    <m/>
    <m/>
  </r>
  <r>
    <s v="YK260900101"/>
    <x v="0"/>
    <x v="0"/>
    <n v="1"/>
    <x v="1"/>
    <d v="2026-05-15T10:26:52"/>
    <x v="4"/>
    <x v="3"/>
    <x v="4"/>
    <s v="17IA14.21"/>
    <x v="1"/>
    <x v="1"/>
    <m/>
    <d v="2026-08-14T00:00:00"/>
    <m/>
  </r>
  <r>
    <s v="YK260900102"/>
    <x v="0"/>
    <x v="0"/>
    <n v="1"/>
    <x v="1"/>
    <d v="2026-05-07T13:26:11"/>
    <x v="4"/>
    <x v="3"/>
    <x v="4"/>
    <s v="17IA14.21"/>
    <x v="1"/>
    <x v="1"/>
    <m/>
    <d v="2026-08-14T00:00:00"/>
    <m/>
  </r>
  <r>
    <s v="YK260900103"/>
    <x v="0"/>
    <x v="0"/>
    <n v="1"/>
    <x v="1"/>
    <d v="2026-04-28T07:27:42"/>
    <x v="4"/>
    <x v="3"/>
    <x v="4"/>
    <s v="17IA14.21"/>
    <x v="1"/>
    <x v="1"/>
    <m/>
    <m/>
    <m/>
  </r>
  <r>
    <s v="YK260900104"/>
    <x v="1"/>
    <x v="1"/>
    <n v="1"/>
    <x v="2"/>
    <d v="2026-06-01T11:25:32"/>
    <x v="4"/>
    <x v="3"/>
    <x v="4"/>
    <s v="17IA14.21"/>
    <x v="1"/>
    <x v="1"/>
    <m/>
    <d v="2026-08-14T00:00:00"/>
    <m/>
  </r>
  <r>
    <s v="YK260900105"/>
    <x v="0"/>
    <x v="0"/>
    <n v="1"/>
    <x v="1"/>
    <d v="2026-05-08T09:23:50"/>
    <x v="4"/>
    <x v="3"/>
    <x v="4"/>
    <s v="17IA14.21"/>
    <x v="1"/>
    <x v="1"/>
    <m/>
    <m/>
    <m/>
  </r>
  <r>
    <s v="YK260900106"/>
    <x v="2"/>
    <x v="2"/>
    <n v="1"/>
    <x v="3"/>
    <d v="2026-04-10T08:54:25"/>
    <x v="4"/>
    <x v="3"/>
    <x v="4"/>
    <s v="17IA14.21"/>
    <x v="1"/>
    <x v="1"/>
    <m/>
    <d v="2026-05-27T00:00:00"/>
    <m/>
  </r>
  <r>
    <s v="YK260900107"/>
    <x v="0"/>
    <x v="0"/>
    <n v="1"/>
    <x v="1"/>
    <d v="2026-05-12T06:22:06"/>
    <x v="4"/>
    <x v="3"/>
    <x v="4"/>
    <s v="17IA14.21"/>
    <x v="1"/>
    <x v="1"/>
    <m/>
    <d v="2026-08-14T00:00:00"/>
    <m/>
  </r>
  <r>
    <s v="YK260900108"/>
    <x v="0"/>
    <x v="0"/>
    <n v="1"/>
    <x v="1"/>
    <d v="2026-05-11T12:07:21"/>
    <x v="4"/>
    <x v="3"/>
    <x v="4"/>
    <s v="17IA14.21"/>
    <x v="1"/>
    <x v="1"/>
    <m/>
    <d v="2026-08-14T00:00:00"/>
    <m/>
  </r>
  <r>
    <s v="YK260900109"/>
    <x v="1"/>
    <x v="1"/>
    <n v="1"/>
    <x v="2"/>
    <d v="2026-08-12T13:29:36"/>
    <x v="4"/>
    <x v="3"/>
    <x v="4"/>
    <s v="17IA14.21"/>
    <x v="1"/>
    <x v="1"/>
    <m/>
    <d v="2026-05-14T00:00:00"/>
    <m/>
  </r>
  <r>
    <s v="YK260900110"/>
    <x v="2"/>
    <x v="2"/>
    <n v="1"/>
    <x v="3"/>
    <d v="2026-04-10T08:54:25"/>
    <x v="4"/>
    <x v="3"/>
    <x v="4"/>
    <s v="17IA14.21"/>
    <x v="1"/>
    <x v="1"/>
    <m/>
    <m/>
    <m/>
  </r>
  <r>
    <s v="YK260900111"/>
    <x v="0"/>
    <x v="0"/>
    <n v="1"/>
    <x v="1"/>
    <d v="2026-05-04T06:38:02"/>
    <x v="4"/>
    <x v="3"/>
    <x v="4"/>
    <s v="17IA14.21"/>
    <x v="1"/>
    <x v="1"/>
    <m/>
    <m/>
    <m/>
  </r>
  <r>
    <s v="YK260900038"/>
    <x v="0"/>
    <x v="0"/>
    <n v="1"/>
    <x v="1"/>
    <d v="2026-05-08T07:44:31"/>
    <x v="5"/>
    <x v="4"/>
    <x v="5"/>
    <s v="17IA14.30"/>
    <x v="1"/>
    <x v="1"/>
    <m/>
    <m/>
    <m/>
  </r>
  <r>
    <s v="YK260900039"/>
    <x v="1"/>
    <x v="1"/>
    <n v="1"/>
    <x v="2"/>
    <d v="2026-08-11T06:54:28"/>
    <x v="5"/>
    <x v="4"/>
    <x v="5"/>
    <s v="17IA14.30"/>
    <x v="1"/>
    <x v="1"/>
    <m/>
    <m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m/>
    <m/>
  </r>
  <r>
    <s v="YK260900042"/>
    <x v="1"/>
    <x v="1"/>
    <n v="1"/>
    <x v="2"/>
    <d v="2026-08-11T09:07:47"/>
    <x v="5"/>
    <x v="4"/>
    <x v="5"/>
    <s v="17IA14.30"/>
    <x v="1"/>
    <x v="1"/>
    <m/>
    <m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d v="2026-08-14T00:00:00"/>
    <m/>
  </r>
  <r>
    <s v="YK260900045"/>
    <x v="1"/>
    <x v="1"/>
    <n v="1"/>
    <x v="2"/>
    <d v="2026-08-11T08:38:11"/>
    <x v="5"/>
    <x v="4"/>
    <x v="5"/>
    <s v="17IA14.30"/>
    <x v="1"/>
    <x v="1"/>
    <m/>
    <m/>
    <m/>
  </r>
  <r>
    <s v="YK260900046"/>
    <x v="0"/>
    <x v="0"/>
    <n v="1"/>
    <x v="1"/>
    <d v="2026-05-11T07:08:45"/>
    <x v="5"/>
    <x v="4"/>
    <x v="5"/>
    <s v="17IA14.30"/>
    <x v="1"/>
    <x v="1"/>
    <m/>
    <d v="2026-08-14T00:00:00"/>
    <m/>
  </r>
  <r>
    <s v="YK260900047"/>
    <x v="2"/>
    <x v="2"/>
    <n v="1"/>
    <x v="3"/>
    <d v="2026-04-10T09:10:37"/>
    <x v="5"/>
    <x v="4"/>
    <x v="5"/>
    <s v="17IA14.30"/>
    <x v="1"/>
    <x v="1"/>
    <m/>
    <d v="2026-08-14T00:00:00"/>
    <m/>
  </r>
  <r>
    <s v="YK260900048"/>
    <x v="2"/>
    <x v="2"/>
    <n v="1"/>
    <x v="3"/>
    <d v="2026-04-10T09:11:08"/>
    <x v="5"/>
    <x v="4"/>
    <x v="5"/>
    <s v="17IA14.30"/>
    <x v="1"/>
    <x v="1"/>
    <m/>
    <m/>
    <m/>
  </r>
  <r>
    <s v="YK260900049"/>
    <x v="0"/>
    <x v="0"/>
    <n v="1"/>
    <x v="1"/>
    <d v="2026-05-07T08:48:22"/>
    <x v="5"/>
    <x v="4"/>
    <x v="5"/>
    <s v="17IA14.30"/>
    <x v="1"/>
    <x v="1"/>
    <m/>
    <d v="2026-03-31T00:00:00"/>
    <m/>
  </r>
  <r>
    <s v="YK260900050"/>
    <x v="1"/>
    <x v="1"/>
    <n v="1"/>
    <x v="2"/>
    <d v="2026-04-11T06:26:11"/>
    <x v="5"/>
    <x v="4"/>
    <x v="5"/>
    <s v="17IA14.30"/>
    <x v="1"/>
    <x v="1"/>
    <m/>
    <d v="2026-08-14T00:00:00"/>
    <m/>
  </r>
  <r>
    <s v="YK260900051"/>
    <x v="0"/>
    <x v="0"/>
    <n v="1"/>
    <x v="1"/>
    <d v="2026-05-12T09:43:47"/>
    <x v="5"/>
    <x v="4"/>
    <x v="5"/>
    <s v="17IA14.30"/>
    <x v="1"/>
    <x v="1"/>
    <m/>
    <m/>
    <m/>
  </r>
  <r>
    <s v="YK260900052"/>
    <x v="1"/>
    <x v="1"/>
    <n v="1"/>
    <x v="2"/>
    <d v="2026-04-11T06:26:11"/>
    <x v="5"/>
    <x v="4"/>
    <x v="5"/>
    <s v="17IA14.30"/>
    <x v="1"/>
    <x v="1"/>
    <m/>
    <m/>
    <m/>
  </r>
  <r>
    <s v="YK260900053"/>
    <x v="1"/>
    <x v="1"/>
    <n v="1"/>
    <x v="2"/>
    <d v="2026-04-11T06:26:11"/>
    <x v="5"/>
    <x v="4"/>
    <x v="5"/>
    <s v="17IA14.30"/>
    <x v="1"/>
    <x v="1"/>
    <m/>
    <d v="2026-03-31T00:00:00"/>
    <m/>
  </r>
  <r>
    <s v="YK260900054"/>
    <x v="1"/>
    <x v="1"/>
    <n v="1"/>
    <x v="2"/>
    <d v="2026-05-27T13:40:37"/>
    <x v="5"/>
    <x v="4"/>
    <x v="5"/>
    <s v="17IA14.30"/>
    <x v="1"/>
    <x v="1"/>
    <m/>
    <m/>
    <m/>
  </r>
  <r>
    <s v="YK260900055"/>
    <x v="1"/>
    <x v="1"/>
    <n v="1"/>
    <x v="2"/>
    <d v="2026-08-11T09:09:23"/>
    <x v="5"/>
    <x v="4"/>
    <x v="5"/>
    <s v="17IA14.30"/>
    <x v="1"/>
    <x v="1"/>
    <m/>
    <d v="2026-05-27T00:00:00"/>
    <m/>
  </r>
  <r>
    <s v="YK260900056"/>
    <x v="0"/>
    <x v="0"/>
    <n v="1"/>
    <x v="1"/>
    <d v="2026-05-07T13:25:12"/>
    <x v="5"/>
    <x v="4"/>
    <x v="5"/>
    <s v="17IA14.30"/>
    <x v="1"/>
    <x v="1"/>
    <m/>
    <d v="2026-08-20T00:00:00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d v="2026-08-14T00:00:00"/>
    <m/>
  </r>
  <r>
    <s v="YK260900060"/>
    <x v="1"/>
    <x v="1"/>
    <n v="1"/>
    <x v="2"/>
    <d v="2026-08-11T08:49:28"/>
    <x v="5"/>
    <x v="4"/>
    <x v="5"/>
    <s v="17IA14.30"/>
    <x v="1"/>
    <x v="1"/>
    <m/>
    <m/>
    <m/>
  </r>
  <r>
    <s v="YK260900061"/>
    <x v="0"/>
    <x v="0"/>
    <n v="1"/>
    <x v="1"/>
    <d v="2026-05-05T09:26:57"/>
    <x v="5"/>
    <x v="4"/>
    <x v="5"/>
    <s v="17IA14.30"/>
    <x v="1"/>
    <x v="1"/>
    <m/>
    <d v="2026-05-27T00:00:00"/>
    <m/>
  </r>
  <r>
    <s v="YK260900062"/>
    <x v="1"/>
    <x v="1"/>
    <n v="1"/>
    <x v="2"/>
    <d v="2026-04-11T06:26:11"/>
    <x v="5"/>
    <x v="4"/>
    <x v="5"/>
    <s v="17IA14.30"/>
    <x v="1"/>
    <x v="1"/>
    <m/>
    <m/>
    <m/>
  </r>
  <r>
    <s v="YK260900063"/>
    <x v="1"/>
    <x v="1"/>
    <n v="1"/>
    <x v="2"/>
    <d v="2026-04-11T06:26:11"/>
    <x v="5"/>
    <x v="4"/>
    <x v="5"/>
    <s v="17IA14.30"/>
    <x v="1"/>
    <x v="1"/>
    <m/>
    <d v="2026-03-31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5-14T00:00:00"/>
    <m/>
  </r>
  <r>
    <s v="YK260900066"/>
    <x v="1"/>
    <x v="1"/>
    <n v="1"/>
    <x v="2"/>
    <d v="2026-08-11T09:06:51"/>
    <x v="5"/>
    <x v="4"/>
    <x v="5"/>
    <s v="17IA14.30"/>
    <x v="1"/>
    <x v="1"/>
    <m/>
    <d v="2026-03-31T00:00:00"/>
    <m/>
  </r>
  <r>
    <s v="YK260900067"/>
    <x v="1"/>
    <x v="1"/>
    <n v="1"/>
    <x v="2"/>
    <d v="2026-05-27T11:14:05"/>
    <x v="5"/>
    <x v="4"/>
    <x v="5"/>
    <s v="17IA14.30"/>
    <x v="1"/>
    <x v="1"/>
    <m/>
    <d v="2026-08-14T00:00:00"/>
    <m/>
  </r>
  <r>
    <s v="YK260900068"/>
    <x v="0"/>
    <x v="0"/>
    <n v="1"/>
    <x v="1"/>
    <d v="2026-05-08T07:46:39"/>
    <x v="5"/>
    <x v="4"/>
    <x v="5"/>
    <s v="17IA14.30"/>
    <x v="1"/>
    <x v="1"/>
    <m/>
    <d v="2026-08-14T00:00:00"/>
    <m/>
  </r>
  <r>
    <s v="YK260900069"/>
    <x v="1"/>
    <x v="1"/>
    <n v="1"/>
    <x v="2"/>
    <d v="2026-08-11T08:34:00"/>
    <x v="5"/>
    <x v="4"/>
    <x v="5"/>
    <s v="17IA14.30"/>
    <x v="1"/>
    <x v="1"/>
    <m/>
    <m/>
    <m/>
  </r>
  <r>
    <s v="YK260900070"/>
    <x v="1"/>
    <x v="1"/>
    <n v="1"/>
    <x v="2"/>
    <d v="2026-08-14T08:25:57"/>
    <x v="5"/>
    <x v="4"/>
    <x v="5"/>
    <s v="17IA14.30"/>
    <x v="1"/>
    <x v="1"/>
    <m/>
    <d v="2026-08-20T00:00:00"/>
    <m/>
  </r>
  <r>
    <s v="YK260900071"/>
    <x v="0"/>
    <x v="0"/>
    <n v="1"/>
    <x v="1"/>
    <d v="2026-05-04T06:39:13"/>
    <x v="5"/>
    <x v="4"/>
    <x v="5"/>
    <s v="17IA14.30"/>
    <x v="1"/>
    <x v="1"/>
    <m/>
    <m/>
    <m/>
  </r>
  <r>
    <s v="YK260900072"/>
    <x v="1"/>
    <x v="1"/>
    <n v="1"/>
    <x v="2"/>
    <d v="2026-08-11T06:52:49"/>
    <x v="5"/>
    <x v="4"/>
    <x v="5"/>
    <s v="17IA14.30"/>
    <x v="1"/>
    <x v="1"/>
    <m/>
    <m/>
    <m/>
  </r>
  <r>
    <s v="YK260900073"/>
    <x v="0"/>
    <x v="0"/>
    <n v="1"/>
    <x v="1"/>
    <d v="2026-05-05T08:59:56"/>
    <x v="5"/>
    <x v="4"/>
    <x v="5"/>
    <s v="17IA14.30"/>
    <x v="1"/>
    <x v="1"/>
    <m/>
    <m/>
    <m/>
  </r>
  <r>
    <s v="YK260900074"/>
    <x v="1"/>
    <x v="1"/>
    <n v="1"/>
    <x v="2"/>
    <d v="2026-05-27T10:00:19"/>
    <x v="5"/>
    <x v="4"/>
    <x v="5"/>
    <s v="17IA14.30"/>
    <x v="1"/>
    <x v="1"/>
    <m/>
    <m/>
    <m/>
  </r>
  <r>
    <s v="YK261100763"/>
    <x v="1"/>
    <x v="1"/>
    <n v="1"/>
    <x v="2"/>
    <d v="2026-08-11T08:29:29"/>
    <x v="6"/>
    <x v="4"/>
    <x v="6"/>
    <s v="17IA14.31"/>
    <x v="1"/>
    <x v="1"/>
    <m/>
    <d v="2026-08-20T00:00:00"/>
    <m/>
  </r>
  <r>
    <s v="YK261100764"/>
    <x v="1"/>
    <x v="1"/>
    <n v="1"/>
    <x v="2"/>
    <d v="2026-08-11T07:14:20"/>
    <x v="6"/>
    <x v="4"/>
    <x v="6"/>
    <s v="17IA14.31"/>
    <x v="1"/>
    <x v="1"/>
    <m/>
    <d v="2026-08-20T00:00:00"/>
    <m/>
  </r>
  <r>
    <s v="YK261100765"/>
    <x v="1"/>
    <x v="1"/>
    <n v="1"/>
    <x v="2"/>
    <d v="2026-05-12T08:55:12"/>
    <x v="6"/>
    <x v="4"/>
    <x v="6"/>
    <s v="17IA14.31"/>
    <x v="1"/>
    <x v="1"/>
    <m/>
    <m/>
    <m/>
  </r>
  <r>
    <s v="YK261100766"/>
    <x v="0"/>
    <x v="0"/>
    <n v="1"/>
    <x v="1"/>
    <d v="2026-05-12T06:21:24"/>
    <x v="6"/>
    <x v="4"/>
    <x v="6"/>
    <s v="17IA14.31"/>
    <x v="1"/>
    <x v="1"/>
    <m/>
    <m/>
    <m/>
  </r>
  <r>
    <s v="YK261100767"/>
    <x v="0"/>
    <x v="0"/>
    <n v="1"/>
    <x v="1"/>
    <d v="2026-05-11T12:06:22"/>
    <x v="6"/>
    <x v="4"/>
    <x v="6"/>
    <s v="17IA14.31"/>
    <x v="1"/>
    <x v="1"/>
    <m/>
    <m/>
    <m/>
  </r>
  <r>
    <s v="YK261100768"/>
    <x v="0"/>
    <x v="0"/>
    <n v="1"/>
    <x v="1"/>
    <d v="2026-05-11T10:27:18"/>
    <x v="6"/>
    <x v="4"/>
    <x v="6"/>
    <s v="17IA14.31"/>
    <x v="1"/>
    <x v="1"/>
    <m/>
    <m/>
    <m/>
  </r>
  <r>
    <s v="YK261100769"/>
    <x v="0"/>
    <x v="0"/>
    <n v="1"/>
    <x v="1"/>
    <d v="2026-05-11T12:08:17"/>
    <x v="6"/>
    <x v="4"/>
    <x v="6"/>
    <s v="17IA14.31"/>
    <x v="1"/>
    <x v="1"/>
    <m/>
    <d v="2026-08-14T00:00:00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d v="2026-08-14T00:00:00"/>
    <m/>
  </r>
  <r>
    <s v="YK261100772"/>
    <x v="0"/>
    <x v="0"/>
    <n v="1"/>
    <x v="1"/>
    <d v="2026-05-05T09:28:36"/>
    <x v="6"/>
    <x v="4"/>
    <x v="6"/>
    <s v="17IA14.31"/>
    <x v="1"/>
    <x v="1"/>
    <m/>
    <m/>
    <m/>
  </r>
  <r>
    <s v="YK261100773"/>
    <x v="1"/>
    <x v="1"/>
    <n v="1"/>
    <x v="2"/>
    <d v="2026-08-11T09:21:07"/>
    <x v="6"/>
    <x v="4"/>
    <x v="6"/>
    <s v="17IA14.31"/>
    <x v="1"/>
    <x v="1"/>
    <m/>
    <m/>
    <m/>
  </r>
  <r>
    <s v="YK261100774"/>
    <x v="1"/>
    <x v="1"/>
    <n v="1"/>
    <x v="2"/>
    <d v="2026-08-11T09:09:05"/>
    <x v="6"/>
    <x v="4"/>
    <x v="6"/>
    <s v="17IA14.31"/>
    <x v="1"/>
    <x v="1"/>
    <m/>
    <d v="2026-08-20T00:00:00"/>
    <m/>
  </r>
  <r>
    <s v="YK261100775"/>
    <x v="0"/>
    <x v="0"/>
    <n v="1"/>
    <x v="1"/>
    <d v="2026-05-06T10:39:58"/>
    <x v="6"/>
    <x v="4"/>
    <x v="6"/>
    <s v="17IA14.31"/>
    <x v="1"/>
    <x v="1"/>
    <m/>
    <m/>
    <m/>
  </r>
  <r>
    <s v="YK261100776"/>
    <x v="1"/>
    <x v="1"/>
    <n v="1"/>
    <x v="2"/>
    <d v="2026-08-11T08:49:59"/>
    <x v="6"/>
    <x v="4"/>
    <x v="6"/>
    <s v="17IA14.31"/>
    <x v="1"/>
    <x v="1"/>
    <m/>
    <d v="2026-08-20T00:00:00"/>
    <m/>
  </r>
  <r>
    <s v="YK261100777"/>
    <x v="1"/>
    <x v="1"/>
    <n v="1"/>
    <x v="2"/>
    <d v="2026-08-11T08:50:27"/>
    <x v="6"/>
    <x v="4"/>
    <x v="6"/>
    <s v="17IA14.31"/>
    <x v="1"/>
    <x v="1"/>
    <m/>
    <d v="2026-08-20T00:00:00"/>
    <m/>
  </r>
  <r>
    <s v="YK261100778"/>
    <x v="0"/>
    <x v="0"/>
    <n v="1"/>
    <x v="1"/>
    <d v="2026-05-11T12:07:55"/>
    <x v="6"/>
    <x v="4"/>
    <x v="6"/>
    <s v="17IA14.31"/>
    <x v="1"/>
    <x v="1"/>
    <m/>
    <d v="2026-08-14T00:00:00"/>
    <m/>
  </r>
  <r>
    <s v="YK261100779"/>
    <x v="1"/>
    <x v="1"/>
    <n v="1"/>
    <x v="2"/>
    <d v="2026-04-11T06:26:11"/>
    <x v="6"/>
    <x v="4"/>
    <x v="6"/>
    <s v="17IA14.31"/>
    <x v="1"/>
    <x v="1"/>
    <m/>
    <d v="2026-05-14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d v="2026-08-14T00:00:00"/>
    <m/>
  </r>
  <r>
    <s v="YK261100782"/>
    <x v="0"/>
    <x v="0"/>
    <n v="1"/>
    <x v="1"/>
    <d v="2026-04-28T07:28:12"/>
    <x v="6"/>
    <x v="4"/>
    <x v="6"/>
    <s v="17IA14.31"/>
    <x v="1"/>
    <x v="1"/>
    <m/>
    <d v="2026-08-14T00:00:00"/>
    <m/>
  </r>
  <r>
    <s v="YK261100783"/>
    <x v="1"/>
    <x v="1"/>
    <n v="1"/>
    <x v="2"/>
    <d v="2026-04-11T06:26:11"/>
    <x v="6"/>
    <x v="4"/>
    <x v="6"/>
    <s v="17IA14.31"/>
    <x v="1"/>
    <x v="1"/>
    <m/>
    <d v="2026-08-14T00:00:00"/>
    <m/>
  </r>
  <r>
    <s v="YK261100784"/>
    <x v="0"/>
    <x v="0"/>
    <n v="1"/>
    <x v="1"/>
    <d v="2026-05-04T06:37:44"/>
    <x v="6"/>
    <x v="4"/>
    <x v="6"/>
    <s v="17IA14.31"/>
    <x v="1"/>
    <x v="1"/>
    <m/>
    <d v="2026-08-14T00:00:00"/>
    <m/>
  </r>
  <r>
    <s v="YK261100785"/>
    <x v="1"/>
    <x v="1"/>
    <n v="1"/>
    <x v="2"/>
    <d v="2026-05-27T11:16:30"/>
    <x v="6"/>
    <x v="4"/>
    <x v="6"/>
    <s v="17IA14.31"/>
    <x v="1"/>
    <x v="1"/>
    <m/>
    <m/>
    <m/>
  </r>
  <r>
    <s v="YK261100786"/>
    <x v="1"/>
    <x v="1"/>
    <n v="1"/>
    <x v="2"/>
    <d v="2026-08-12T12:07:35"/>
    <x v="6"/>
    <x v="4"/>
    <x v="6"/>
    <s v="17IA14.31"/>
    <x v="1"/>
    <x v="1"/>
    <m/>
    <d v="2026-08-14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20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d v="2026-08-14T00:00:00"/>
    <m/>
  </r>
  <r>
    <s v="YK261100791"/>
    <x v="1"/>
    <x v="1"/>
    <n v="1"/>
    <x v="2"/>
    <d v="2026-05-27T11:17:43"/>
    <x v="6"/>
    <x v="4"/>
    <x v="6"/>
    <s v="17IA14.31"/>
    <x v="1"/>
    <x v="1"/>
    <m/>
    <d v="2026-08-14T00:00:00"/>
    <m/>
  </r>
  <r>
    <s v="YK261100792"/>
    <x v="2"/>
    <x v="2"/>
    <n v="1"/>
    <x v="3"/>
    <d v="2026-04-10T09:13:03"/>
    <x v="6"/>
    <x v="4"/>
    <x v="6"/>
    <s v="17IA14.31"/>
    <x v="1"/>
    <x v="1"/>
    <m/>
    <d v="2026-08-14T00:00:00"/>
    <m/>
  </r>
  <r>
    <s v="YK261100793"/>
    <x v="1"/>
    <x v="1"/>
    <n v="1"/>
    <x v="2"/>
    <d v="2026-04-11T06:26:11"/>
    <x v="6"/>
    <x v="4"/>
    <x v="6"/>
    <s v="17IA14.31"/>
    <x v="1"/>
    <x v="1"/>
    <m/>
    <d v="2026-08-14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m/>
    <m/>
  </r>
  <r>
    <s v="YK261100796"/>
    <x v="1"/>
    <x v="1"/>
    <n v="1"/>
    <x v="2"/>
    <d v="2026-04-11T06:26:11"/>
    <x v="6"/>
    <x v="4"/>
    <x v="6"/>
    <s v="17IA14.31"/>
    <x v="1"/>
    <x v="1"/>
    <m/>
    <m/>
    <m/>
  </r>
  <r>
    <s v="YK261100797"/>
    <x v="1"/>
    <x v="1"/>
    <n v="1"/>
    <x v="2"/>
    <d v="2026-08-11T07:09:25"/>
    <x v="6"/>
    <x v="4"/>
    <x v="6"/>
    <s v="17IA14.31"/>
    <x v="1"/>
    <x v="1"/>
    <m/>
    <m/>
    <m/>
  </r>
  <r>
    <s v="YK261100798"/>
    <x v="1"/>
    <x v="1"/>
    <n v="1"/>
    <x v="2"/>
    <d v="2026-08-11T06:49:31"/>
    <x v="6"/>
    <x v="4"/>
    <x v="6"/>
    <s v="17IA14.31"/>
    <x v="1"/>
    <x v="1"/>
    <m/>
    <d v="2026-05-27T00:00:00"/>
    <m/>
  </r>
  <r>
    <s v="YK261100799"/>
    <x v="1"/>
    <x v="1"/>
    <n v="1"/>
    <x v="2"/>
    <d v="2026-08-20T10:34:42"/>
    <x v="6"/>
    <x v="4"/>
    <x v="6"/>
    <s v="17IA14.31"/>
    <x v="1"/>
    <x v="1"/>
    <m/>
    <d v="2026-08-14T00:00:00"/>
    <m/>
  </r>
  <r>
    <s v="YK261600001"/>
    <x v="1"/>
    <x v="1"/>
    <n v="1"/>
    <x v="2"/>
    <d v="2026-08-12T13:05:42"/>
    <x v="7"/>
    <x v="3"/>
    <x v="7"/>
    <s v="17IA14.40"/>
    <x v="1"/>
    <x v="1"/>
    <m/>
    <d v="2026-08-14T00:00:00"/>
    <m/>
  </r>
  <r>
    <s v="YK261600002"/>
    <x v="0"/>
    <x v="0"/>
    <n v="1"/>
    <x v="1"/>
    <d v="2026-05-08T11:13:30"/>
    <x v="7"/>
    <x v="3"/>
    <x v="7"/>
    <s v="17IA14.40"/>
    <x v="1"/>
    <x v="1"/>
    <m/>
    <d v="2026-08-14T00:00:00"/>
    <m/>
  </r>
  <r>
    <s v="YK261600003"/>
    <x v="0"/>
    <x v="0"/>
    <n v="1"/>
    <x v="1"/>
    <d v="2026-05-07T13:27:03"/>
    <x v="7"/>
    <x v="3"/>
    <x v="7"/>
    <s v="17IA14.40"/>
    <x v="1"/>
    <x v="1"/>
    <m/>
    <d v="2026-08-14T00:00:00"/>
    <m/>
  </r>
  <r>
    <s v="YK261600004"/>
    <x v="0"/>
    <x v="0"/>
    <n v="1"/>
    <x v="1"/>
    <d v="2026-05-08T11:12:50"/>
    <x v="7"/>
    <x v="3"/>
    <x v="7"/>
    <s v="17IA14.40"/>
    <x v="1"/>
    <x v="1"/>
    <m/>
    <d v="2026-08-14T00:00:00"/>
    <m/>
  </r>
  <r>
    <s v="YK261600005"/>
    <x v="0"/>
    <x v="0"/>
    <n v="1"/>
    <x v="1"/>
    <d v="2026-05-08T11:13:07"/>
    <x v="7"/>
    <x v="3"/>
    <x v="7"/>
    <s v="17IA14.40"/>
    <x v="1"/>
    <x v="1"/>
    <m/>
    <d v="2026-08-14T00:00:00"/>
    <m/>
  </r>
  <r>
    <s v="YK261600006"/>
    <x v="1"/>
    <x v="1"/>
    <n v="1"/>
    <x v="2"/>
    <d v="2026-08-12T13:11:26"/>
    <x v="7"/>
    <x v="3"/>
    <x v="7"/>
    <s v="17IA14.40"/>
    <x v="1"/>
    <x v="1"/>
    <m/>
    <d v="2026-08-14T00:00:00"/>
    <m/>
  </r>
  <r>
    <s v="YK261600007"/>
    <x v="1"/>
    <x v="1"/>
    <n v="1"/>
    <x v="2"/>
    <d v="2026-08-12T13:11:59"/>
    <x v="7"/>
    <x v="3"/>
    <x v="7"/>
    <s v="17IA14.40"/>
    <x v="1"/>
    <x v="1"/>
    <m/>
    <d v="2026-08-14T00:00:00"/>
    <m/>
  </r>
  <r>
    <s v="YK261600008"/>
    <x v="0"/>
    <x v="0"/>
    <n v="1"/>
    <x v="1"/>
    <d v="2026-05-07T13:26:25"/>
    <x v="7"/>
    <x v="3"/>
    <x v="7"/>
    <s v="17IA14.40"/>
    <x v="1"/>
    <x v="1"/>
    <m/>
    <d v="2026-08-14T00:00:00"/>
    <m/>
  </r>
  <r>
    <s v="YK261600009"/>
    <x v="0"/>
    <x v="0"/>
    <n v="1"/>
    <x v="1"/>
    <d v="2026-05-05T08:58:24"/>
    <x v="7"/>
    <x v="3"/>
    <x v="7"/>
    <s v="17IA14.40"/>
    <x v="1"/>
    <x v="1"/>
    <m/>
    <d v="2026-08-14T00:00:00"/>
    <m/>
  </r>
  <r>
    <s v="YK261600010"/>
    <x v="0"/>
    <x v="0"/>
    <n v="1"/>
    <x v="1"/>
    <d v="2026-05-06T10:40:23"/>
    <x v="7"/>
    <x v="3"/>
    <x v="7"/>
    <s v="17IA14.40"/>
    <x v="1"/>
    <x v="1"/>
    <m/>
    <m/>
    <m/>
  </r>
  <r>
    <s v="YK261600011"/>
    <x v="0"/>
    <x v="0"/>
    <n v="1"/>
    <x v="1"/>
    <d v="2026-05-06T10:40:18"/>
    <x v="7"/>
    <x v="3"/>
    <x v="7"/>
    <s v="17IA14.40"/>
    <x v="1"/>
    <x v="1"/>
    <m/>
    <d v="2026-08-14T00:00:00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m/>
    <m/>
  </r>
  <r>
    <s v="YK261600015"/>
    <x v="0"/>
    <x v="0"/>
    <n v="1"/>
    <x v="1"/>
    <d v="2026-05-06T11:16:31"/>
    <x v="7"/>
    <x v="3"/>
    <x v="7"/>
    <s v="17IA14.40"/>
    <x v="1"/>
    <x v="1"/>
    <m/>
    <d v="2026-08-14T00:00:00"/>
    <m/>
  </r>
  <r>
    <s v="YK261600016"/>
    <x v="0"/>
    <x v="0"/>
    <n v="1"/>
    <x v="1"/>
    <d v="2026-05-11T07:07:30"/>
    <x v="7"/>
    <x v="3"/>
    <x v="7"/>
    <s v="17IA14.40"/>
    <x v="1"/>
    <x v="1"/>
    <m/>
    <m/>
    <m/>
  </r>
  <r>
    <s v="YK261600017"/>
    <x v="1"/>
    <x v="1"/>
    <n v="1"/>
    <x v="2"/>
    <d v="2026-08-12T13:08:37"/>
    <x v="7"/>
    <x v="3"/>
    <x v="7"/>
    <s v="17IA14.40"/>
    <x v="1"/>
    <x v="1"/>
    <m/>
    <d v="2026-08-14T00:00:00"/>
    <m/>
  </r>
  <r>
    <s v="YK261600018"/>
    <x v="0"/>
    <x v="0"/>
    <n v="1"/>
    <x v="1"/>
    <d v="2026-05-05T08:58:43"/>
    <x v="7"/>
    <x v="3"/>
    <x v="7"/>
    <s v="17IA14.40"/>
    <x v="1"/>
    <x v="1"/>
    <m/>
    <d v="2026-08-20T00:00:00"/>
    <m/>
  </r>
  <r>
    <s v="YK261600019"/>
    <x v="1"/>
    <x v="1"/>
    <n v="1"/>
    <x v="2"/>
    <d v="2026-08-12T13:03:39"/>
    <x v="7"/>
    <x v="3"/>
    <x v="7"/>
    <s v="17IA14.40"/>
    <x v="1"/>
    <x v="1"/>
    <m/>
    <d v="2026-08-14T00:00:00"/>
    <m/>
  </r>
  <r>
    <s v="YK261600020"/>
    <x v="1"/>
    <x v="1"/>
    <n v="1"/>
    <x v="2"/>
    <d v="2026-08-12T13:09:10"/>
    <x v="7"/>
    <x v="3"/>
    <x v="7"/>
    <s v="17IA14.40"/>
    <x v="1"/>
    <x v="1"/>
    <m/>
    <m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m/>
    <m/>
  </r>
  <r>
    <s v="YK261600023"/>
    <x v="1"/>
    <x v="1"/>
    <n v="1"/>
    <x v="2"/>
    <d v="2026-08-12T13:43:28"/>
    <x v="7"/>
    <x v="3"/>
    <x v="7"/>
    <s v="17IA14.40"/>
    <x v="1"/>
    <x v="1"/>
    <m/>
    <d v="2026-08-20T00:00:00"/>
    <m/>
  </r>
  <r>
    <s v="YK261600024"/>
    <x v="1"/>
    <x v="1"/>
    <n v="1"/>
    <x v="2"/>
    <d v="2026-08-14T07:50:31"/>
    <x v="7"/>
    <x v="3"/>
    <x v="7"/>
    <s v="17IA14.40"/>
    <x v="1"/>
    <x v="1"/>
    <m/>
    <d v="2026-08-20T00:00:00"/>
    <m/>
  </r>
  <r>
    <s v="YK261600025"/>
    <x v="1"/>
    <x v="1"/>
    <n v="1"/>
    <x v="2"/>
    <d v="2026-08-14T09:08:08"/>
    <x v="7"/>
    <x v="3"/>
    <x v="7"/>
    <s v="17IA14.40"/>
    <x v="1"/>
    <x v="1"/>
    <m/>
    <m/>
    <m/>
  </r>
  <r>
    <s v="YK261600026"/>
    <x v="1"/>
    <x v="1"/>
    <n v="1"/>
    <x v="2"/>
    <d v="2026-08-14T09:14:21"/>
    <x v="7"/>
    <x v="3"/>
    <x v="7"/>
    <s v="17IA14.40"/>
    <x v="1"/>
    <x v="1"/>
    <m/>
    <m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d v="2026-08-14T00:00:00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m/>
    <m/>
  </r>
  <r>
    <s v="YK261600033"/>
    <x v="1"/>
    <x v="1"/>
    <n v="1"/>
    <x v="2"/>
    <d v="2026-08-14T09:09:10"/>
    <x v="7"/>
    <x v="3"/>
    <x v="7"/>
    <s v="17IA14.40"/>
    <x v="1"/>
    <x v="1"/>
    <m/>
    <d v="2026-08-20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20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d v="2026-08-14T00:00:00"/>
    <m/>
  </r>
  <r>
    <s v="YK261600039"/>
    <x v="0"/>
    <x v="0"/>
    <n v="1"/>
    <x v="1"/>
    <d v="2026-05-08T07:45:21"/>
    <x v="7"/>
    <x v="3"/>
    <x v="7"/>
    <s v="17IA14.40"/>
    <x v="1"/>
    <x v="1"/>
    <m/>
    <d v="2026-05-27T00:00:00"/>
    <m/>
  </r>
  <r>
    <s v="YK261600040"/>
    <x v="0"/>
    <x v="0"/>
    <n v="1"/>
    <x v="1"/>
    <d v="2026-05-05T09:27:28"/>
    <x v="7"/>
    <x v="3"/>
    <x v="7"/>
    <s v="17IA14.40"/>
    <x v="1"/>
    <x v="1"/>
    <m/>
    <d v="2026-08-14T00:00:00"/>
    <m/>
  </r>
  <r>
    <s v="YK261600041"/>
    <x v="1"/>
    <x v="1"/>
    <n v="1"/>
    <x v="2"/>
    <d v="2026-07-02T09:54:44"/>
    <x v="7"/>
    <x v="3"/>
    <x v="7"/>
    <s v="17IA14.40"/>
    <x v="1"/>
    <x v="1"/>
    <m/>
    <d v="2026-08-14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m/>
    <m/>
  </r>
  <r>
    <s v="YK261600044"/>
    <x v="1"/>
    <x v="1"/>
    <n v="1"/>
    <x v="2"/>
    <d v="2026-08-11T14:07:22"/>
    <x v="7"/>
    <x v="3"/>
    <x v="7"/>
    <s v="17IA14.40"/>
    <x v="1"/>
    <x v="1"/>
    <m/>
    <d v="2026-05-27T00:00:00"/>
    <m/>
  </r>
  <r>
    <s v="YK261600045"/>
    <x v="1"/>
    <x v="1"/>
    <n v="1"/>
    <x v="2"/>
    <d v="2026-08-14T09:13:13"/>
    <x v="7"/>
    <x v="3"/>
    <x v="7"/>
    <s v="17IA14.40"/>
    <x v="1"/>
    <x v="1"/>
    <m/>
    <d v="2026-08-20T00:00:00"/>
    <m/>
  </r>
  <r>
    <s v="YK261600046"/>
    <x v="1"/>
    <x v="1"/>
    <n v="1"/>
    <x v="2"/>
    <d v="2026-08-14T07:57:39"/>
    <x v="7"/>
    <x v="3"/>
    <x v="7"/>
    <s v="17IA14.40"/>
    <x v="1"/>
    <x v="1"/>
    <m/>
    <m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20T00:00:00"/>
    <m/>
  </r>
  <r>
    <s v="YK261600049"/>
    <x v="1"/>
    <x v="1"/>
    <n v="1"/>
    <x v="2"/>
    <d v="2026-08-11T09:35:00"/>
    <x v="7"/>
    <x v="3"/>
    <x v="7"/>
    <s v="17IA14.40"/>
    <x v="1"/>
    <x v="1"/>
    <m/>
    <d v="2026-08-20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20T00:00:00"/>
    <m/>
  </r>
  <r>
    <s v="YK261600052"/>
    <x v="0"/>
    <x v="0"/>
    <n v="1"/>
    <x v="1"/>
    <d v="2026-05-07T08:50:43"/>
    <x v="7"/>
    <x v="3"/>
    <x v="7"/>
    <s v="17IA14.40"/>
    <x v="1"/>
    <x v="1"/>
    <m/>
    <d v="2026-08-14T00:00:00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m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d v="2026-08-14T00:00:00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m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14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d v="2026-08-14T00:00:00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d v="2026-08-14T00:00:00"/>
    <m/>
  </r>
  <r>
    <s v="YK261600065"/>
    <x v="1"/>
    <x v="1"/>
    <n v="1"/>
    <x v="2"/>
    <d v="2026-08-12T13:02:09"/>
    <x v="7"/>
    <x v="3"/>
    <x v="7"/>
    <s v="17IA14.40"/>
    <x v="1"/>
    <x v="1"/>
    <m/>
    <d v="2026-08-14T00:00:00"/>
    <m/>
  </r>
  <r>
    <s v="YK261600066"/>
    <x v="1"/>
    <x v="1"/>
    <n v="1"/>
    <x v="2"/>
    <d v="2026-08-12T13:10:28"/>
    <x v="7"/>
    <x v="3"/>
    <x v="7"/>
    <s v="17IA14.40"/>
    <x v="1"/>
    <x v="1"/>
    <m/>
    <d v="2026-05-27T00:00:00"/>
    <m/>
  </r>
  <r>
    <s v="YK261600067"/>
    <x v="0"/>
    <x v="0"/>
    <n v="1"/>
    <x v="1"/>
    <d v="2026-05-07T08:49:53"/>
    <x v="7"/>
    <x v="3"/>
    <x v="7"/>
    <s v="17IA14.40"/>
    <x v="1"/>
    <x v="1"/>
    <m/>
    <m/>
    <m/>
  </r>
  <r>
    <s v="YK261600068"/>
    <x v="0"/>
    <x v="0"/>
    <n v="1"/>
    <x v="1"/>
    <d v="2026-05-11T10:26:37"/>
    <x v="7"/>
    <x v="3"/>
    <x v="7"/>
    <s v="17IA14.40"/>
    <x v="1"/>
    <x v="1"/>
    <m/>
    <d v="2026-08-14T00:00:00"/>
    <m/>
  </r>
  <r>
    <s v="YK261600069"/>
    <x v="1"/>
    <x v="1"/>
    <n v="1"/>
    <x v="2"/>
    <d v="2026-08-14T08:47:47"/>
    <x v="7"/>
    <x v="3"/>
    <x v="7"/>
    <s v="17IA14.40"/>
    <x v="1"/>
    <x v="1"/>
    <m/>
    <m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m/>
    <m/>
  </r>
  <r>
    <s v="YK261600075"/>
    <x v="1"/>
    <x v="1"/>
    <n v="1"/>
    <x v="2"/>
    <d v="2026-08-12T12:28:48"/>
    <x v="7"/>
    <x v="3"/>
    <x v="7"/>
    <s v="17IA14.40"/>
    <x v="1"/>
    <x v="1"/>
    <m/>
    <d v="2026-08-14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14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8-14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m/>
    <m/>
  </r>
  <r>
    <s v="YK261600084"/>
    <x v="1"/>
    <x v="1"/>
    <n v="1"/>
    <x v="2"/>
    <d v="2026-08-12T13:44:12"/>
    <x v="7"/>
    <x v="3"/>
    <x v="7"/>
    <s v="17IA14.40"/>
    <x v="1"/>
    <x v="1"/>
    <m/>
    <d v="2026-08-20T00:00:00"/>
    <m/>
  </r>
  <r>
    <s v="YK261600085"/>
    <x v="0"/>
    <x v="0"/>
    <n v="1"/>
    <x v="1"/>
    <d v="2026-05-11T07:07:49"/>
    <x v="7"/>
    <x v="3"/>
    <x v="7"/>
    <s v="17IA14.40"/>
    <x v="1"/>
    <x v="1"/>
    <m/>
    <d v="2026-08-14T00:00:00"/>
    <m/>
  </r>
  <r>
    <s v="YK261600086"/>
    <x v="1"/>
    <x v="1"/>
    <n v="1"/>
    <x v="2"/>
    <d v="2026-07-02T09:58:33"/>
    <x v="7"/>
    <x v="3"/>
    <x v="7"/>
    <s v="17IA14.40"/>
    <x v="1"/>
    <x v="1"/>
    <m/>
    <m/>
    <m/>
  </r>
  <r>
    <s v="YK261600087"/>
    <x v="1"/>
    <x v="1"/>
    <n v="1"/>
    <x v="2"/>
    <d v="2026-08-12T13:02:49"/>
    <x v="7"/>
    <x v="3"/>
    <x v="7"/>
    <s v="17IA14.40"/>
    <x v="1"/>
    <x v="1"/>
    <m/>
    <d v="2026-08-14T00:00:00"/>
    <m/>
  </r>
  <r>
    <s v="YK261600088"/>
    <x v="0"/>
    <x v="0"/>
    <n v="1"/>
    <x v="1"/>
    <d v="2026-05-08T07:46:03"/>
    <x v="7"/>
    <x v="3"/>
    <x v="7"/>
    <s v="17IA14.40"/>
    <x v="1"/>
    <x v="1"/>
    <m/>
    <d v="2026-08-14T00:00:00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14T00:00:00"/>
    <m/>
  </r>
  <r>
    <s v="YK261600091"/>
    <x v="1"/>
    <x v="1"/>
    <n v="1"/>
    <x v="2"/>
    <d v="2026-08-12T13:13:06"/>
    <x v="7"/>
    <x v="3"/>
    <x v="7"/>
    <s v="17IA14.40"/>
    <x v="1"/>
    <x v="1"/>
    <m/>
    <d v="2026-08-14T00:00:00"/>
    <m/>
  </r>
  <r>
    <s v="YK261600092"/>
    <x v="1"/>
    <x v="1"/>
    <n v="1"/>
    <x v="2"/>
    <d v="2026-08-14T09:31:06"/>
    <x v="7"/>
    <x v="3"/>
    <x v="7"/>
    <s v="17IA14.40"/>
    <x v="1"/>
    <x v="1"/>
    <m/>
    <d v="2026-04-07T00:00:00"/>
    <m/>
  </r>
  <r>
    <s v="YK261600093"/>
    <x v="1"/>
    <x v="1"/>
    <n v="1"/>
    <x v="2"/>
    <d v="2026-08-12T13:12:34"/>
    <x v="7"/>
    <x v="3"/>
    <x v="7"/>
    <s v="17IA14.40"/>
    <x v="1"/>
    <x v="1"/>
    <m/>
    <d v="2026-08-14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m/>
    <m/>
  </r>
  <r>
    <s v="YK261600096"/>
    <x v="0"/>
    <x v="0"/>
    <n v="1"/>
    <x v="1"/>
    <d v="2026-05-05T08:59:35"/>
    <x v="7"/>
    <x v="3"/>
    <x v="7"/>
    <s v="17IA14.40"/>
    <x v="1"/>
    <x v="1"/>
    <m/>
    <d v="2026-08-14T00:00:00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4-07T00:00:00"/>
    <m/>
  </r>
  <r>
    <s v="YK261600100"/>
    <x v="0"/>
    <x v="0"/>
    <n v="1"/>
    <x v="1"/>
    <d v="2026-05-06T10:40:14"/>
    <x v="7"/>
    <x v="3"/>
    <x v="7"/>
    <s v="17IA14.40"/>
    <x v="1"/>
    <x v="1"/>
    <m/>
    <m/>
    <m/>
  </r>
  <r>
    <s v="YK261600101"/>
    <x v="1"/>
    <x v="1"/>
    <n v="1"/>
    <x v="2"/>
    <d v="2026-08-14T08:47:01"/>
    <x v="7"/>
    <x v="3"/>
    <x v="7"/>
    <s v="17IA14.40"/>
    <x v="1"/>
    <x v="1"/>
    <m/>
    <m/>
    <m/>
  </r>
  <r>
    <s v="YK261600102"/>
    <x v="1"/>
    <x v="1"/>
    <n v="1"/>
    <x v="2"/>
    <d v="2026-08-14T09:19:33"/>
    <x v="7"/>
    <x v="3"/>
    <x v="7"/>
    <s v="17IA14.40"/>
    <x v="1"/>
    <x v="1"/>
    <m/>
    <d v="2026-04-07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m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m/>
    <m/>
  </r>
  <r>
    <s v="YK261600107"/>
    <x v="1"/>
    <x v="1"/>
    <n v="1"/>
    <x v="2"/>
    <d v="2026-08-14T09:26:39"/>
    <x v="7"/>
    <x v="3"/>
    <x v="7"/>
    <s v="17IA14.40"/>
    <x v="1"/>
    <x v="1"/>
    <m/>
    <d v="2026-08-20T00:00:00"/>
    <m/>
  </r>
  <r>
    <s v="YK261600108"/>
    <x v="1"/>
    <x v="1"/>
    <n v="1"/>
    <x v="2"/>
    <d v="2026-07-02T09:44:57"/>
    <x v="7"/>
    <x v="3"/>
    <x v="7"/>
    <s v="17IA14.40"/>
    <x v="1"/>
    <x v="1"/>
    <m/>
    <d v="2026-08-14T00:00:00"/>
    <m/>
  </r>
  <r>
    <s v="YK261600109"/>
    <x v="0"/>
    <x v="0"/>
    <n v="1"/>
    <x v="1"/>
    <d v="2026-05-07T08:49:17"/>
    <x v="7"/>
    <x v="3"/>
    <x v="7"/>
    <s v="17IA14.40"/>
    <x v="1"/>
    <x v="1"/>
    <m/>
    <d v="2026-08-20T00:00:00"/>
    <m/>
  </r>
  <r>
    <s v="YK261600110"/>
    <x v="1"/>
    <x v="1"/>
    <n v="1"/>
    <x v="2"/>
    <d v="2026-08-11T14:18:32"/>
    <x v="7"/>
    <x v="3"/>
    <x v="7"/>
    <s v="17IA14.40"/>
    <x v="1"/>
    <x v="1"/>
    <m/>
    <d v="2026-08-20T00:00:00"/>
    <m/>
  </r>
  <r>
    <s v="YK261600111"/>
    <x v="0"/>
    <x v="0"/>
    <n v="1"/>
    <x v="1"/>
    <d v="2026-05-07T08:50:23"/>
    <x v="7"/>
    <x v="3"/>
    <x v="7"/>
    <s v="17IA14.40"/>
    <x v="1"/>
    <x v="1"/>
    <m/>
    <m/>
    <m/>
  </r>
  <r>
    <s v="YK261600112"/>
    <x v="1"/>
    <x v="1"/>
    <n v="1"/>
    <x v="2"/>
    <d v="2026-08-14T09:31:26"/>
    <x v="7"/>
    <x v="3"/>
    <x v="7"/>
    <s v="17IA14.40"/>
    <x v="1"/>
    <x v="1"/>
    <m/>
    <d v="2026-04-07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m/>
    <m/>
  </r>
  <r>
    <s v="YK261600115"/>
    <x v="1"/>
    <x v="1"/>
    <n v="1"/>
    <x v="2"/>
    <d v="2026-08-12T13:09:45"/>
    <x v="7"/>
    <x v="3"/>
    <x v="7"/>
    <s v="17IA14.40"/>
    <x v="1"/>
    <x v="1"/>
    <m/>
    <d v="2026-08-14T00:00:00"/>
    <m/>
  </r>
  <r>
    <s v="YK261600116"/>
    <x v="0"/>
    <x v="0"/>
    <n v="1"/>
    <x v="1"/>
    <d v="2026-05-05T09:27:13"/>
    <x v="7"/>
    <x v="3"/>
    <x v="7"/>
    <s v="17IA14.40"/>
    <x v="1"/>
    <x v="1"/>
    <m/>
    <d v="2026-08-14T00:00:00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4-07T00:00:00"/>
    <m/>
  </r>
  <r>
    <s v="YK261600119"/>
    <x v="1"/>
    <x v="1"/>
    <n v="1"/>
    <x v="2"/>
    <d v="2026-08-11T14:16:15"/>
    <x v="7"/>
    <x v="3"/>
    <x v="7"/>
    <s v="17IA14.40"/>
    <x v="1"/>
    <x v="1"/>
    <m/>
    <m/>
    <m/>
  </r>
  <r>
    <s v="YK261600120"/>
    <x v="1"/>
    <x v="1"/>
    <n v="1"/>
    <x v="2"/>
    <d v="2026-08-11T14:13:41"/>
    <x v="7"/>
    <x v="3"/>
    <x v="7"/>
    <s v="17IA14.40"/>
    <x v="1"/>
    <x v="1"/>
    <m/>
    <m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m/>
    <m/>
  </r>
  <r>
    <s v="YK261600123"/>
    <x v="1"/>
    <x v="1"/>
    <n v="1"/>
    <x v="2"/>
    <d v="2026-08-11T09:24:47"/>
    <x v="7"/>
    <x v="3"/>
    <x v="7"/>
    <s v="17IA14.40"/>
    <x v="1"/>
    <x v="1"/>
    <m/>
    <d v="2026-05-27T00:00:00"/>
    <m/>
  </r>
  <r>
    <s v="YK261600124"/>
    <x v="1"/>
    <x v="1"/>
    <n v="1"/>
    <x v="2"/>
    <d v="2026-08-14T08:59:09"/>
    <x v="7"/>
    <x v="3"/>
    <x v="7"/>
    <s v="17IA14.40"/>
    <x v="1"/>
    <x v="1"/>
    <m/>
    <m/>
    <m/>
  </r>
  <r>
    <s v="YK261600125"/>
    <x v="0"/>
    <x v="0"/>
    <n v="1"/>
    <x v="1"/>
    <d v="2026-05-11T07:08:28"/>
    <x v="7"/>
    <x v="3"/>
    <x v="7"/>
    <s v="17IA14.40"/>
    <x v="1"/>
    <x v="1"/>
    <m/>
    <d v="2026-08-14T00:00:00"/>
    <m/>
  </r>
  <r>
    <s v="YK261600126"/>
    <x v="1"/>
    <x v="1"/>
    <n v="1"/>
    <x v="2"/>
    <d v="2026-08-12T12:28:02"/>
    <x v="7"/>
    <x v="3"/>
    <x v="7"/>
    <s v="17IA14.40"/>
    <x v="1"/>
    <x v="1"/>
    <m/>
    <m/>
    <m/>
  </r>
  <r>
    <s v="YK261600127"/>
    <x v="1"/>
    <x v="1"/>
    <n v="1"/>
    <x v="2"/>
    <d v="2026-08-14T09:29:09"/>
    <x v="7"/>
    <x v="3"/>
    <x v="7"/>
    <s v="17IA14.40"/>
    <x v="1"/>
    <x v="1"/>
    <m/>
    <m/>
    <m/>
  </r>
  <r>
    <s v="YK261600128"/>
    <x v="0"/>
    <x v="0"/>
    <n v="1"/>
    <x v="1"/>
    <d v="2026-05-12T12:31:19"/>
    <x v="7"/>
    <x v="3"/>
    <x v="7"/>
    <s v="17IA14.40"/>
    <x v="1"/>
    <x v="1"/>
    <m/>
    <m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m/>
    <m/>
  </r>
  <r>
    <s v="YK261400001"/>
    <x v="1"/>
    <x v="1"/>
    <n v="1"/>
    <x v="2"/>
    <d v="2026-08-11T07:57:43"/>
    <x v="8"/>
    <x v="4"/>
    <x v="8"/>
    <s v="17IA14.50"/>
    <x v="1"/>
    <x v="1"/>
    <m/>
    <m/>
    <m/>
  </r>
  <r>
    <s v="YK261400002"/>
    <x v="1"/>
    <x v="1"/>
    <n v="1"/>
    <x v="2"/>
    <d v="2026-04-08T07:30:05"/>
    <x v="8"/>
    <x v="4"/>
    <x v="8"/>
    <s v="17IA14.50"/>
    <x v="1"/>
    <x v="1"/>
    <m/>
    <m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d v="2026-08-20T00:00:00"/>
    <m/>
  </r>
  <r>
    <s v="YK261400006"/>
    <x v="1"/>
    <x v="1"/>
    <n v="1"/>
    <x v="2"/>
    <d v="2026-08-11T07:03:13"/>
    <x v="8"/>
    <x v="4"/>
    <x v="8"/>
    <s v="17IA14.50"/>
    <x v="1"/>
    <x v="1"/>
    <m/>
    <m/>
    <m/>
  </r>
  <r>
    <s v="YK261400007"/>
    <x v="1"/>
    <x v="1"/>
    <n v="1"/>
    <x v="2"/>
    <d v="2026-08-11T08:27:50"/>
    <x v="8"/>
    <x v="4"/>
    <x v="8"/>
    <s v="17IA14.50"/>
    <x v="1"/>
    <x v="1"/>
    <m/>
    <m/>
    <m/>
  </r>
  <r>
    <s v="YK261400008"/>
    <x v="1"/>
    <x v="1"/>
    <n v="1"/>
    <x v="2"/>
    <d v="2026-08-11T09:19:47"/>
    <x v="8"/>
    <x v="4"/>
    <x v="8"/>
    <s v="17IA14.50"/>
    <x v="1"/>
    <x v="1"/>
    <m/>
    <d v="2026-08-20T00:00:00"/>
    <m/>
  </r>
  <r>
    <s v="YK261400009"/>
    <x v="1"/>
    <x v="1"/>
    <n v="1"/>
    <x v="2"/>
    <d v="2026-04-07T12:25:59"/>
    <x v="8"/>
    <x v="4"/>
    <x v="8"/>
    <s v="17IA14.50"/>
    <x v="1"/>
    <x v="1"/>
    <m/>
    <m/>
    <m/>
  </r>
  <r>
    <s v="YK261400010"/>
    <x v="0"/>
    <x v="0"/>
    <n v="1"/>
    <x v="1"/>
    <d v="2026-05-06T10:40:04"/>
    <x v="8"/>
    <x v="4"/>
    <x v="8"/>
    <s v="17IA14.50"/>
    <x v="1"/>
    <x v="1"/>
    <m/>
    <d v="2026-08-20T00:00:00"/>
    <m/>
  </r>
  <r>
    <s v="YK261400011"/>
    <x v="0"/>
    <x v="0"/>
    <n v="1"/>
    <x v="1"/>
    <d v="2026-05-12T06:21:01"/>
    <x v="8"/>
    <x v="4"/>
    <x v="8"/>
    <s v="17IA14.50"/>
    <x v="1"/>
    <x v="1"/>
    <m/>
    <m/>
    <m/>
  </r>
  <r>
    <s v="YK261400012"/>
    <x v="1"/>
    <x v="1"/>
    <n v="1"/>
    <x v="2"/>
    <d v="2026-04-07T12:26:49"/>
    <x v="8"/>
    <x v="4"/>
    <x v="8"/>
    <s v="17IA14.50"/>
    <x v="1"/>
    <x v="1"/>
    <m/>
    <d v="2026-08-14T00:00:00"/>
    <m/>
  </r>
  <r>
    <s v="YK261400013"/>
    <x v="1"/>
    <x v="1"/>
    <n v="1"/>
    <x v="2"/>
    <d v="2026-08-11T09:23:13"/>
    <x v="8"/>
    <x v="4"/>
    <x v="8"/>
    <s v="17IA14.50"/>
    <x v="1"/>
    <x v="1"/>
    <m/>
    <m/>
    <m/>
  </r>
  <r>
    <s v="YK261400014"/>
    <x v="3"/>
    <x v="3"/>
    <n v="1"/>
    <x v="4"/>
    <d v="2026-06-16T06:01:01"/>
    <x v="8"/>
    <x v="4"/>
    <x v="8"/>
    <s v="17IA14.50"/>
    <x v="1"/>
    <x v="1"/>
    <s v="Update to shipped"/>
    <d v="2026-08-20T00:00:00"/>
    <m/>
  </r>
  <r>
    <s v="YK261400015"/>
    <x v="1"/>
    <x v="1"/>
    <n v="1"/>
    <x v="2"/>
    <d v="2026-08-11T08:55:36"/>
    <x v="8"/>
    <x v="4"/>
    <x v="8"/>
    <s v="17IA14.50"/>
    <x v="1"/>
    <x v="1"/>
    <m/>
    <m/>
    <m/>
  </r>
  <r>
    <s v="YK261400016"/>
    <x v="0"/>
    <x v="0"/>
    <n v="1"/>
    <x v="1"/>
    <d v="2026-05-08T07:44:59"/>
    <x v="8"/>
    <x v="4"/>
    <x v="8"/>
    <s v="17IA14.50"/>
    <x v="1"/>
    <x v="1"/>
    <m/>
    <m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m/>
    <m/>
  </r>
  <r>
    <s v="YK261400019"/>
    <x v="1"/>
    <x v="1"/>
    <n v="1"/>
    <x v="2"/>
    <d v="2026-08-12T12:20:05"/>
    <x v="8"/>
    <x v="4"/>
    <x v="8"/>
    <s v="17IA14.50"/>
    <x v="1"/>
    <x v="1"/>
    <m/>
    <m/>
    <m/>
  </r>
  <r>
    <s v="YK261400020"/>
    <x v="1"/>
    <x v="1"/>
    <n v="1"/>
    <x v="2"/>
    <d v="2026-08-12T12:17:26"/>
    <x v="8"/>
    <x v="4"/>
    <x v="8"/>
    <s v="17IA14.50"/>
    <x v="1"/>
    <x v="1"/>
    <m/>
    <m/>
    <m/>
  </r>
  <r>
    <s v="YK261400021"/>
    <x v="2"/>
    <x v="2"/>
    <n v="1"/>
    <x v="3"/>
    <d v="2026-04-22T06:29:39"/>
    <x v="8"/>
    <x v="4"/>
    <x v="8"/>
    <s v="17IA14.50"/>
    <x v="1"/>
    <x v="1"/>
    <m/>
    <m/>
    <m/>
  </r>
  <r>
    <s v="YK261400022"/>
    <x v="1"/>
    <x v="1"/>
    <n v="1"/>
    <x v="2"/>
    <d v="2026-04-07T12:25:28"/>
    <x v="8"/>
    <x v="4"/>
    <x v="8"/>
    <s v="17IA14.50"/>
    <x v="1"/>
    <x v="1"/>
    <m/>
    <d v="2026-08-14T00:00:00"/>
    <m/>
  </r>
  <r>
    <s v="YK261400023"/>
    <x v="1"/>
    <x v="1"/>
    <n v="1"/>
    <x v="2"/>
    <d v="2026-08-11T08:22:25"/>
    <x v="8"/>
    <x v="4"/>
    <x v="8"/>
    <s v="17IA14.50"/>
    <x v="1"/>
    <x v="1"/>
    <m/>
    <m/>
    <m/>
  </r>
  <r>
    <s v="YK261400024"/>
    <x v="0"/>
    <x v="0"/>
    <n v="1"/>
    <x v="1"/>
    <d v="2026-05-05T08:57:43"/>
    <x v="8"/>
    <x v="4"/>
    <x v="8"/>
    <s v="17IA14.50"/>
    <x v="1"/>
    <x v="1"/>
    <m/>
    <m/>
    <m/>
  </r>
  <r>
    <s v="YK261400025"/>
    <x v="1"/>
    <x v="1"/>
    <n v="1"/>
    <x v="2"/>
    <d v="2026-08-11T09:05:47"/>
    <x v="8"/>
    <x v="4"/>
    <x v="8"/>
    <s v="17IA14.50"/>
    <x v="1"/>
    <x v="1"/>
    <m/>
    <m/>
    <m/>
  </r>
  <r>
    <s v="YK261400026"/>
    <x v="1"/>
    <x v="1"/>
    <n v="1"/>
    <x v="2"/>
    <d v="2026-08-11T08:33:25"/>
    <x v="8"/>
    <x v="4"/>
    <x v="8"/>
    <s v="17IA14.50"/>
    <x v="1"/>
    <x v="1"/>
    <m/>
    <m/>
    <m/>
  </r>
  <r>
    <s v="YK261400027"/>
    <x v="1"/>
    <x v="1"/>
    <n v="1"/>
    <x v="2"/>
    <d v="2026-08-11T07:53:48"/>
    <x v="8"/>
    <x v="4"/>
    <x v="8"/>
    <s v="17IA14.50"/>
    <x v="1"/>
    <x v="1"/>
    <m/>
    <m/>
    <m/>
  </r>
  <r>
    <s v="YK261400028"/>
    <x v="1"/>
    <x v="1"/>
    <n v="1"/>
    <x v="2"/>
    <d v="2026-04-07T12:27:57"/>
    <x v="8"/>
    <x v="4"/>
    <x v="8"/>
    <s v="17IA14.50"/>
    <x v="1"/>
    <x v="1"/>
    <m/>
    <m/>
    <m/>
  </r>
  <r>
    <s v="YK261400029"/>
    <x v="0"/>
    <x v="0"/>
    <n v="1"/>
    <x v="1"/>
    <d v="2026-05-05T09:00:12"/>
    <x v="8"/>
    <x v="4"/>
    <x v="8"/>
    <s v="17IA14.50"/>
    <x v="1"/>
    <x v="1"/>
    <m/>
    <m/>
    <m/>
  </r>
  <r>
    <s v="YK261400030"/>
    <x v="3"/>
    <x v="3"/>
    <n v="1"/>
    <x v="4"/>
    <d v="2026-04-10T06:59:57"/>
    <x v="8"/>
    <x v="4"/>
    <x v="8"/>
    <s v="17IA14.50"/>
    <x v="1"/>
    <x v="1"/>
    <m/>
    <m/>
    <m/>
  </r>
  <r>
    <s v="YK261400031"/>
    <x v="1"/>
    <x v="1"/>
    <n v="1"/>
    <x v="2"/>
    <d v="2026-08-11T07:58:21"/>
    <x v="8"/>
    <x v="4"/>
    <x v="8"/>
    <s v="17IA14.50"/>
    <x v="1"/>
    <x v="1"/>
    <m/>
    <m/>
    <m/>
  </r>
  <r>
    <s v="YK261400032"/>
    <x v="0"/>
    <x v="0"/>
    <n v="1"/>
    <x v="1"/>
    <d v="2026-05-05T08:58:01"/>
    <x v="8"/>
    <x v="4"/>
    <x v="8"/>
    <s v="17IA14.50"/>
    <x v="1"/>
    <x v="1"/>
    <m/>
    <d v="2026-08-14T00:00:00"/>
    <m/>
  </r>
  <r>
    <s v="YK261400033"/>
    <x v="1"/>
    <x v="1"/>
    <n v="1"/>
    <x v="2"/>
    <d v="2026-05-27T11:18:56"/>
    <x v="8"/>
    <x v="4"/>
    <x v="8"/>
    <s v="17IA14.50"/>
    <x v="1"/>
    <x v="1"/>
    <m/>
    <m/>
    <m/>
  </r>
  <r>
    <s v="YK261400034"/>
    <x v="3"/>
    <x v="3"/>
    <n v="1"/>
    <x v="4"/>
    <d v="2026-04-10T07:08:09"/>
    <x v="8"/>
    <x v="4"/>
    <x v="8"/>
    <s v="17IA14.50"/>
    <x v="1"/>
    <x v="1"/>
    <m/>
    <d v="2026-08-14T00:00:00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d v="2026-08-20T00:00:00"/>
    <m/>
  </r>
  <r>
    <s v="YK261400037"/>
    <x v="0"/>
    <x v="0"/>
    <n v="1"/>
    <x v="1"/>
    <d v="2026-05-11T07:07:08"/>
    <x v="8"/>
    <x v="4"/>
    <x v="8"/>
    <s v="17IA14.50"/>
    <x v="1"/>
    <x v="1"/>
    <m/>
    <m/>
    <m/>
  </r>
  <r>
    <s v="YK261400038"/>
    <x v="0"/>
    <x v="0"/>
    <n v="1"/>
    <x v="1"/>
    <d v="2026-05-12T06:23:36"/>
    <x v="8"/>
    <x v="4"/>
    <x v="8"/>
    <s v="17IA14.50"/>
    <x v="1"/>
    <x v="1"/>
    <m/>
    <d v="2026-08-14T00:00:00"/>
    <m/>
  </r>
  <r>
    <s v="YK261400039"/>
    <x v="1"/>
    <x v="1"/>
    <n v="1"/>
    <x v="2"/>
    <d v="2026-08-11T06:57:23"/>
    <x v="8"/>
    <x v="4"/>
    <x v="8"/>
    <s v="17IA14.50"/>
    <x v="1"/>
    <x v="1"/>
    <m/>
    <d v="2026-08-20T00:00:00"/>
    <m/>
  </r>
  <r>
    <s v="YK261400040"/>
    <x v="1"/>
    <x v="1"/>
    <n v="1"/>
    <x v="2"/>
    <d v="2026-08-11T09:22:24"/>
    <x v="8"/>
    <x v="4"/>
    <x v="8"/>
    <s v="17IA14.50"/>
    <x v="1"/>
    <x v="1"/>
    <m/>
    <d v="2026-08-20T00:00:00"/>
    <m/>
  </r>
  <r>
    <s v="YK261400041"/>
    <x v="1"/>
    <x v="1"/>
    <n v="1"/>
    <x v="2"/>
    <d v="2026-08-11T08:53:47"/>
    <x v="8"/>
    <x v="4"/>
    <x v="8"/>
    <s v="17IA14.50"/>
    <x v="1"/>
    <x v="1"/>
    <m/>
    <m/>
    <m/>
  </r>
  <r>
    <s v="YK261400042"/>
    <x v="0"/>
    <x v="0"/>
    <n v="1"/>
    <x v="1"/>
    <d v="2026-05-12T06:23:19"/>
    <x v="8"/>
    <x v="4"/>
    <x v="8"/>
    <s v="17IA14.50"/>
    <x v="1"/>
    <x v="1"/>
    <m/>
    <m/>
    <m/>
  </r>
  <r>
    <s v="YK261400043"/>
    <x v="0"/>
    <x v="0"/>
    <n v="1"/>
    <x v="1"/>
    <d v="2026-05-07T08:48:53"/>
    <x v="8"/>
    <x v="4"/>
    <x v="8"/>
    <s v="17IA14.50"/>
    <x v="1"/>
    <x v="1"/>
    <m/>
    <d v="2026-08-20T00:00:00"/>
    <m/>
  </r>
  <r>
    <s v="YK261400044"/>
    <x v="0"/>
    <x v="0"/>
    <n v="1"/>
    <x v="1"/>
    <d v="2026-05-06T10:40:28"/>
    <x v="8"/>
    <x v="4"/>
    <x v="8"/>
    <s v="17IA14.50"/>
    <x v="1"/>
    <x v="1"/>
    <m/>
    <m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20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m/>
    <m/>
  </r>
  <r>
    <s v="YK261400049"/>
    <x v="0"/>
    <x v="0"/>
    <n v="1"/>
    <x v="1"/>
    <d v="2026-05-08T07:46:56"/>
    <x v="8"/>
    <x v="4"/>
    <x v="8"/>
    <s v="17IA14.50"/>
    <x v="1"/>
    <x v="1"/>
    <m/>
    <d v="2026-08-20T00:00:00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14T00:00:00"/>
    <m/>
  </r>
  <r>
    <s v="YK261400051"/>
    <x v="2"/>
    <x v="2"/>
    <n v="1"/>
    <x v="3"/>
    <d v="2026-04-09T15:17:59"/>
    <x v="8"/>
    <x v="4"/>
    <x v="8"/>
    <s v="17IA14.50"/>
    <x v="1"/>
    <x v="1"/>
    <m/>
    <m/>
    <m/>
  </r>
  <r>
    <s v="YK261400052"/>
    <x v="1"/>
    <x v="1"/>
    <n v="1"/>
    <x v="2"/>
    <d v="2026-08-12T12:25:22"/>
    <x v="8"/>
    <x v="4"/>
    <x v="8"/>
    <s v="17IA14.50"/>
    <x v="1"/>
    <x v="1"/>
    <m/>
    <d v="2026-08-14T00:00:00"/>
    <m/>
  </r>
  <r>
    <s v="YK261400053"/>
    <x v="0"/>
    <x v="0"/>
    <n v="1"/>
    <x v="1"/>
    <d v="2026-05-11T10:24:42"/>
    <x v="8"/>
    <x v="4"/>
    <x v="8"/>
    <s v="17IA14.50"/>
    <x v="1"/>
    <x v="1"/>
    <m/>
    <m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d v="2026-05-27T00:00:00"/>
    <m/>
  </r>
  <r>
    <s v="YK261400056"/>
    <x v="2"/>
    <x v="2"/>
    <n v="1"/>
    <x v="3"/>
    <d v="2026-04-11T05:48:14"/>
    <x v="8"/>
    <x v="4"/>
    <x v="8"/>
    <s v="17IA14.50"/>
    <x v="1"/>
    <x v="1"/>
    <m/>
    <d v="2026-08-14T00:00:00"/>
    <m/>
  </r>
  <r>
    <s v="YK261400057"/>
    <x v="3"/>
    <x v="3"/>
    <n v="1"/>
    <x v="4"/>
    <d v="2026-04-10T06:42:03"/>
    <x v="8"/>
    <x v="4"/>
    <x v="8"/>
    <s v="17IA14.50"/>
    <x v="1"/>
    <x v="1"/>
    <m/>
    <d v="2026-08-14T00:00:00"/>
    <m/>
  </r>
  <r>
    <s v="YK261400058"/>
    <x v="0"/>
    <x v="0"/>
    <n v="1"/>
    <x v="1"/>
    <d v="2026-05-07T08:51:59"/>
    <x v="8"/>
    <x v="4"/>
    <x v="8"/>
    <s v="17IA14.50"/>
    <x v="1"/>
    <x v="1"/>
    <m/>
    <d v="2026-08-14T00:00:00"/>
    <m/>
  </r>
  <r>
    <s v="YK261400059"/>
    <x v="1"/>
    <x v="1"/>
    <n v="1"/>
    <x v="2"/>
    <d v="2026-08-12T12:11:37"/>
    <x v="8"/>
    <x v="4"/>
    <x v="8"/>
    <s v="17IA14.50"/>
    <x v="1"/>
    <x v="1"/>
    <m/>
    <d v="2026-05-27T00:00:00"/>
    <m/>
  </r>
  <r>
    <s v="YK261400060"/>
    <x v="0"/>
    <x v="0"/>
    <n v="1"/>
    <x v="1"/>
    <d v="2026-05-12T09:41:57"/>
    <x v="8"/>
    <x v="4"/>
    <x v="8"/>
    <s v="17IA14.50"/>
    <x v="1"/>
    <x v="1"/>
    <m/>
    <d v="2026-08-20T00:00:00"/>
    <m/>
  </r>
  <r>
    <s v="YK261400061"/>
    <x v="0"/>
    <x v="0"/>
    <n v="1"/>
    <x v="1"/>
    <d v="2026-05-11T12:06:03"/>
    <x v="8"/>
    <x v="4"/>
    <x v="8"/>
    <s v="17IA14.50"/>
    <x v="1"/>
    <x v="1"/>
    <m/>
    <d v="2026-08-20T00:00:00"/>
    <m/>
  </r>
  <r>
    <s v="YK261400062"/>
    <x v="0"/>
    <x v="0"/>
    <n v="1"/>
    <x v="1"/>
    <d v="2026-05-08T09:21:45"/>
    <x v="8"/>
    <x v="4"/>
    <x v="8"/>
    <s v="17IA14.50"/>
    <x v="1"/>
    <x v="1"/>
    <m/>
    <d v="2026-08-14T00:00:00"/>
    <m/>
  </r>
  <r>
    <s v="YK261400063"/>
    <x v="2"/>
    <x v="2"/>
    <n v="1"/>
    <x v="3"/>
    <d v="2026-04-23T11:43:23"/>
    <x v="8"/>
    <x v="4"/>
    <x v="8"/>
    <s v="17IA14.50"/>
    <x v="1"/>
    <x v="1"/>
    <s v="Update to shipped"/>
    <d v="2026-08-20T00:00:00"/>
    <m/>
  </r>
  <r>
    <s v="YK261400064"/>
    <x v="1"/>
    <x v="1"/>
    <n v="1"/>
    <x v="2"/>
    <d v="2026-08-11T08:54:09"/>
    <x v="8"/>
    <x v="4"/>
    <x v="8"/>
    <s v="17IA14.50"/>
    <x v="1"/>
    <x v="1"/>
    <m/>
    <m/>
    <m/>
  </r>
  <r>
    <s v="YK261400065"/>
    <x v="3"/>
    <x v="3"/>
    <n v="1"/>
    <x v="4"/>
    <d v="2026-04-10T06:48:59"/>
    <x v="8"/>
    <x v="4"/>
    <x v="8"/>
    <s v="17IA14.50"/>
    <x v="1"/>
    <x v="1"/>
    <m/>
    <d v="2026-08-14T00:00:00"/>
    <m/>
  </r>
  <r>
    <s v="YK261400066"/>
    <x v="0"/>
    <x v="0"/>
    <n v="1"/>
    <x v="1"/>
    <d v="2026-05-15T11:01:02"/>
    <x v="8"/>
    <x v="4"/>
    <x v="8"/>
    <s v="17IA14.50"/>
    <x v="1"/>
    <x v="1"/>
    <m/>
    <d v="2026-08-14T00:00:00"/>
    <m/>
  </r>
  <r>
    <s v="YK261400067"/>
    <x v="0"/>
    <x v="0"/>
    <n v="1"/>
    <x v="1"/>
    <d v="2026-05-14T11:23:10"/>
    <x v="8"/>
    <x v="4"/>
    <x v="8"/>
    <s v="17IA14.50"/>
    <x v="1"/>
    <x v="1"/>
    <m/>
    <d v="2026-08-14T00:00:00"/>
    <m/>
  </r>
  <r>
    <s v="YK261400068"/>
    <x v="0"/>
    <x v="0"/>
    <n v="1"/>
    <x v="1"/>
    <d v="2026-05-07T13:27:43"/>
    <x v="8"/>
    <x v="4"/>
    <x v="8"/>
    <s v="17IA14.50"/>
    <x v="1"/>
    <x v="1"/>
    <m/>
    <d v="2026-08-14T00:00:00"/>
    <m/>
  </r>
  <r>
    <s v="YK261400069"/>
    <x v="0"/>
    <x v="0"/>
    <n v="1"/>
    <x v="1"/>
    <d v="2026-05-07T13:25:56"/>
    <x v="8"/>
    <x v="4"/>
    <x v="8"/>
    <s v="17IA14.50"/>
    <x v="1"/>
    <x v="1"/>
    <m/>
    <d v="2026-08-14T00:00:00"/>
    <m/>
  </r>
  <r>
    <s v="YK261400070"/>
    <x v="0"/>
    <x v="0"/>
    <n v="1"/>
    <x v="1"/>
    <d v="2026-05-08T09:23:24"/>
    <x v="8"/>
    <x v="4"/>
    <x v="8"/>
    <s v="17IA14.50"/>
    <x v="1"/>
    <x v="1"/>
    <m/>
    <d v="2026-08-14T00:00:00"/>
    <m/>
  </r>
  <r>
    <s v="YK261400071"/>
    <x v="0"/>
    <x v="0"/>
    <n v="1"/>
    <x v="1"/>
    <d v="2026-04-28T07:27:59"/>
    <x v="8"/>
    <x v="4"/>
    <x v="8"/>
    <s v="17IA14.50"/>
    <x v="1"/>
    <x v="1"/>
    <m/>
    <d v="2026-08-14T00:00:00"/>
    <m/>
  </r>
  <r>
    <s v="YK261400072"/>
    <x v="0"/>
    <x v="0"/>
    <n v="1"/>
    <x v="1"/>
    <d v="2026-05-11T10:26:57"/>
    <x v="8"/>
    <x v="4"/>
    <x v="8"/>
    <s v="17IA14.50"/>
    <x v="1"/>
    <x v="1"/>
    <m/>
    <d v="2026-08-14T00:00:00"/>
    <m/>
  </r>
  <r>
    <s v="YK261400073"/>
    <x v="0"/>
    <x v="0"/>
    <n v="1"/>
    <x v="1"/>
    <d v="2026-05-14T12:07:57"/>
    <x v="8"/>
    <x v="4"/>
    <x v="8"/>
    <s v="17IA14.50"/>
    <x v="1"/>
    <x v="1"/>
    <m/>
    <d v="2026-08-14T00:00:00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d v="2026-08-14T00:00:00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14T00:00:00"/>
    <m/>
  </r>
  <r>
    <s v="YK261400079"/>
    <x v="0"/>
    <x v="0"/>
    <n v="1"/>
    <x v="1"/>
    <d v="2026-05-12T13:50:50"/>
    <x v="8"/>
    <x v="4"/>
    <x v="8"/>
    <s v="17IA14.50"/>
    <x v="1"/>
    <x v="1"/>
    <m/>
    <d v="2026-05-27T00:00:00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14T00:00:00"/>
    <m/>
  </r>
  <r>
    <s v="YK261400083"/>
    <x v="0"/>
    <x v="0"/>
    <n v="1"/>
    <x v="1"/>
    <d v="2026-05-12T13:51:17"/>
    <x v="8"/>
    <x v="4"/>
    <x v="8"/>
    <s v="17IA14.50"/>
    <x v="1"/>
    <x v="1"/>
    <m/>
    <d v="2026-08-14T00:00:00"/>
    <m/>
  </r>
  <r>
    <s v="YK261400084"/>
    <x v="0"/>
    <x v="0"/>
    <n v="1"/>
    <x v="1"/>
    <d v="2026-04-28T07:24:52"/>
    <x v="8"/>
    <x v="4"/>
    <x v="8"/>
    <s v="17IA14.50"/>
    <x v="1"/>
    <x v="1"/>
    <m/>
    <d v="2026-08-14T00:00:00"/>
    <m/>
  </r>
  <r>
    <s v="YK261400085"/>
    <x v="1"/>
    <x v="1"/>
    <n v="1"/>
    <x v="2"/>
    <d v="2026-08-12T12:16:49"/>
    <x v="8"/>
    <x v="4"/>
    <x v="8"/>
    <s v="17IA14.50"/>
    <x v="1"/>
    <x v="1"/>
    <m/>
    <d v="2026-08-14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d v="2026-08-14T00:00:00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14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d v="2026-08-14T00:00:00"/>
    <m/>
  </r>
  <r>
    <s v="YK261400091"/>
    <x v="1"/>
    <x v="1"/>
    <n v="1"/>
    <x v="2"/>
    <d v="2026-08-12T12:23:44"/>
    <x v="8"/>
    <x v="4"/>
    <x v="8"/>
    <s v="17IA14.50"/>
    <x v="1"/>
    <x v="1"/>
    <m/>
    <m/>
    <m/>
  </r>
  <r>
    <s v="YK261400092"/>
    <x v="2"/>
    <x v="2"/>
    <n v="1"/>
    <x v="3"/>
    <d v="2026-04-22T10:54:16"/>
    <x v="8"/>
    <x v="4"/>
    <x v="8"/>
    <s v="17IA14.50"/>
    <x v="1"/>
    <x v="1"/>
    <m/>
    <m/>
    <m/>
  </r>
  <r>
    <s v="YK261400093"/>
    <x v="0"/>
    <x v="0"/>
    <n v="1"/>
    <x v="1"/>
    <d v="2026-05-11T07:09:09"/>
    <x v="8"/>
    <x v="4"/>
    <x v="8"/>
    <s v="17IA14.50"/>
    <x v="1"/>
    <x v="1"/>
    <m/>
    <m/>
    <m/>
  </r>
  <r>
    <s v="YK261400094"/>
    <x v="1"/>
    <x v="1"/>
    <n v="1"/>
    <x v="2"/>
    <d v="2026-08-11T08:32:47"/>
    <x v="8"/>
    <x v="4"/>
    <x v="8"/>
    <s v="17IA14.50"/>
    <x v="1"/>
    <x v="1"/>
    <m/>
    <m/>
    <m/>
  </r>
  <r>
    <s v="YK261400095"/>
    <x v="3"/>
    <x v="3"/>
    <n v="1"/>
    <x v="4"/>
    <d v="2026-04-15T08:29:51"/>
    <x v="8"/>
    <x v="4"/>
    <x v="8"/>
    <s v="17IA14.50"/>
    <x v="1"/>
    <x v="1"/>
    <m/>
    <m/>
    <m/>
  </r>
  <r>
    <s v="YK261400096"/>
    <x v="1"/>
    <x v="1"/>
    <n v="1"/>
    <x v="2"/>
    <d v="2026-08-11T08:35:52"/>
    <x v="8"/>
    <x v="4"/>
    <x v="8"/>
    <s v="17IA14.50"/>
    <x v="1"/>
    <x v="1"/>
    <m/>
    <m/>
    <m/>
  </r>
  <r>
    <s v="YK261400097"/>
    <x v="1"/>
    <x v="1"/>
    <n v="1"/>
    <x v="2"/>
    <d v="2026-05-27T11:20:36"/>
    <x v="8"/>
    <x v="4"/>
    <x v="8"/>
    <s v="17IA14.50"/>
    <x v="1"/>
    <x v="1"/>
    <m/>
    <m/>
    <m/>
  </r>
  <r>
    <s v="YK261400098"/>
    <x v="1"/>
    <x v="1"/>
    <n v="1"/>
    <x v="2"/>
    <d v="2026-08-11T09:19:18"/>
    <x v="8"/>
    <x v="4"/>
    <x v="8"/>
    <s v="17IA14.50"/>
    <x v="1"/>
    <x v="1"/>
    <m/>
    <m/>
    <m/>
  </r>
  <r>
    <s v="YK261400099"/>
    <x v="1"/>
    <x v="1"/>
    <n v="1"/>
    <x v="2"/>
    <d v="2026-08-11T08:55:11"/>
    <x v="8"/>
    <x v="4"/>
    <x v="8"/>
    <s v="17IA14.50"/>
    <x v="1"/>
    <x v="1"/>
    <m/>
    <m/>
    <m/>
  </r>
  <r>
    <s v="YK261400100"/>
    <x v="1"/>
    <x v="1"/>
    <n v="1"/>
    <x v="2"/>
    <d v="2026-08-11T09:11:01"/>
    <x v="8"/>
    <x v="4"/>
    <x v="8"/>
    <s v="17IA14.50"/>
    <x v="1"/>
    <x v="1"/>
    <m/>
    <m/>
    <m/>
  </r>
  <r>
    <s v="YK261400101"/>
    <x v="1"/>
    <x v="1"/>
    <n v="1"/>
    <x v="2"/>
    <d v="2026-05-27T11:22:50"/>
    <x v="8"/>
    <x v="4"/>
    <x v="8"/>
    <s v="17IA14.50"/>
    <x v="1"/>
    <x v="1"/>
    <m/>
    <m/>
    <m/>
  </r>
  <r>
    <s v="YK261400102"/>
    <x v="1"/>
    <x v="1"/>
    <n v="1"/>
    <x v="2"/>
    <d v="2026-08-12T12:26:26"/>
    <x v="8"/>
    <x v="4"/>
    <x v="8"/>
    <s v="17IA14.50"/>
    <x v="1"/>
    <x v="1"/>
    <m/>
    <m/>
    <m/>
  </r>
  <r>
    <s v="YK261400103"/>
    <x v="1"/>
    <x v="1"/>
    <n v="1"/>
    <x v="2"/>
    <d v="2026-08-12T12:26:03"/>
    <x v="8"/>
    <x v="4"/>
    <x v="8"/>
    <s v="17IA14.50"/>
    <x v="1"/>
    <x v="1"/>
    <m/>
    <m/>
    <m/>
  </r>
  <r>
    <s v="YK261400104"/>
    <x v="1"/>
    <x v="1"/>
    <n v="1"/>
    <x v="2"/>
    <d v="2026-08-11T09:11:50"/>
    <x v="8"/>
    <x v="4"/>
    <x v="8"/>
    <s v="17IA14.50"/>
    <x v="1"/>
    <x v="1"/>
    <m/>
    <m/>
    <m/>
  </r>
  <r>
    <s v="YK261400105"/>
    <x v="4"/>
    <x v="4"/>
    <n v="1"/>
    <x v="5"/>
    <d v="2026-05-15T10:59:52"/>
    <x v="8"/>
    <x v="4"/>
    <x v="8"/>
    <s v="17IA14.50"/>
    <x v="1"/>
    <x v="1"/>
    <m/>
    <m/>
    <m/>
  </r>
  <r>
    <s v="YK261400106"/>
    <x v="0"/>
    <x v="0"/>
    <n v="1"/>
    <x v="1"/>
    <d v="2026-05-11T07:06:46"/>
    <x v="8"/>
    <x v="4"/>
    <x v="8"/>
    <s v="17IA14.50"/>
    <x v="1"/>
    <x v="1"/>
    <m/>
    <m/>
    <m/>
  </r>
  <r>
    <s v="YK261400107"/>
    <x v="1"/>
    <x v="1"/>
    <n v="1"/>
    <x v="2"/>
    <d v="2026-08-11T07:52:54"/>
    <x v="8"/>
    <x v="4"/>
    <x v="8"/>
    <s v="17IA14.50"/>
    <x v="1"/>
    <x v="1"/>
    <m/>
    <m/>
    <m/>
  </r>
  <r>
    <s v="YK261400108"/>
    <x v="1"/>
    <x v="1"/>
    <n v="1"/>
    <x v="2"/>
    <d v="2026-08-11T08:59:08"/>
    <x v="8"/>
    <x v="4"/>
    <x v="8"/>
    <s v="17IA14.50"/>
    <x v="1"/>
    <x v="1"/>
    <m/>
    <m/>
    <m/>
  </r>
  <r>
    <s v="YK261400109"/>
    <x v="1"/>
    <x v="1"/>
    <n v="1"/>
    <x v="2"/>
    <d v="2026-08-11T09:09:59"/>
    <x v="8"/>
    <x v="4"/>
    <x v="8"/>
    <s v="17IA14.50"/>
    <x v="1"/>
    <x v="1"/>
    <m/>
    <m/>
    <m/>
  </r>
  <r>
    <s v="YK261400110"/>
    <x v="1"/>
    <x v="1"/>
    <n v="1"/>
    <x v="2"/>
    <d v="2026-08-11T06:43:26"/>
    <x v="8"/>
    <x v="4"/>
    <x v="8"/>
    <s v="17IA14.50"/>
    <x v="1"/>
    <x v="1"/>
    <m/>
    <m/>
    <m/>
  </r>
  <r>
    <s v="YK261400111"/>
    <x v="1"/>
    <x v="1"/>
    <n v="1"/>
    <x v="2"/>
    <d v="2026-08-11T07:56:16"/>
    <x v="8"/>
    <x v="4"/>
    <x v="8"/>
    <s v="17IA14.50"/>
    <x v="1"/>
    <x v="1"/>
    <m/>
    <m/>
    <m/>
  </r>
  <r>
    <s v="YK261400112"/>
    <x v="1"/>
    <x v="1"/>
    <n v="1"/>
    <x v="2"/>
    <d v="2026-08-11T07:51:56"/>
    <x v="8"/>
    <x v="4"/>
    <x v="8"/>
    <s v="17IA14.50"/>
    <x v="1"/>
    <x v="1"/>
    <m/>
    <m/>
    <m/>
  </r>
  <r>
    <s v="YK261400113"/>
    <x v="1"/>
    <x v="1"/>
    <n v="1"/>
    <x v="2"/>
    <d v="2026-08-11T06:58:02"/>
    <x v="8"/>
    <x v="4"/>
    <x v="8"/>
    <s v="17IA14.50"/>
    <x v="1"/>
    <x v="1"/>
    <m/>
    <m/>
    <m/>
  </r>
  <r>
    <s v="YK261400114"/>
    <x v="1"/>
    <x v="1"/>
    <n v="1"/>
    <x v="2"/>
    <d v="2026-08-11T06:59:20"/>
    <x v="8"/>
    <x v="4"/>
    <x v="8"/>
    <s v="17IA14.50"/>
    <x v="1"/>
    <x v="1"/>
    <m/>
    <m/>
    <m/>
  </r>
  <r>
    <s v="YK261400115"/>
    <x v="1"/>
    <x v="1"/>
    <n v="1"/>
    <x v="2"/>
    <d v="2026-08-11T06:59:50"/>
    <x v="8"/>
    <x v="4"/>
    <x v="8"/>
    <s v="17IA14.50"/>
    <x v="1"/>
    <x v="1"/>
    <m/>
    <m/>
    <m/>
  </r>
  <r>
    <s v="YK261400116"/>
    <x v="1"/>
    <x v="1"/>
    <n v="1"/>
    <x v="2"/>
    <d v="2026-08-11T09:00:06"/>
    <x v="8"/>
    <x v="4"/>
    <x v="8"/>
    <s v="17IA14.50"/>
    <x v="1"/>
    <x v="1"/>
    <m/>
    <m/>
    <m/>
  </r>
  <r>
    <s v="YK261400117"/>
    <x v="1"/>
    <x v="1"/>
    <n v="1"/>
    <x v="2"/>
    <d v="2026-08-11T07:02:33"/>
    <x v="8"/>
    <x v="4"/>
    <x v="8"/>
    <s v="17IA14.50"/>
    <x v="1"/>
    <x v="1"/>
    <m/>
    <m/>
    <m/>
  </r>
  <r>
    <s v="YK261400118"/>
    <x v="1"/>
    <x v="1"/>
    <n v="1"/>
    <x v="2"/>
    <d v="2026-08-11T06:55:39"/>
    <x v="8"/>
    <x v="4"/>
    <x v="8"/>
    <s v="17IA14.50"/>
    <x v="1"/>
    <x v="1"/>
    <m/>
    <m/>
    <m/>
  </r>
  <r>
    <s v="YK261400119"/>
    <x v="1"/>
    <x v="1"/>
    <n v="1"/>
    <x v="2"/>
    <d v="2026-08-11T07:04:03"/>
    <x v="8"/>
    <x v="4"/>
    <x v="8"/>
    <s v="17IA14.50"/>
    <x v="1"/>
    <x v="1"/>
    <m/>
    <d v="2026-08-07T00:00:00"/>
    <m/>
  </r>
  <r>
    <s v="YK261400120"/>
    <x v="1"/>
    <x v="1"/>
    <n v="1"/>
    <x v="2"/>
    <d v="2026-08-11T06:44:58"/>
    <x v="8"/>
    <x v="4"/>
    <x v="8"/>
    <s v="17IA14.50"/>
    <x v="1"/>
    <x v="1"/>
    <m/>
    <d v="2026-08-07T00:00:00"/>
    <m/>
  </r>
  <r>
    <s v="YK261400121"/>
    <x v="1"/>
    <x v="1"/>
    <n v="1"/>
    <x v="2"/>
    <d v="2026-05-27T11:23:51"/>
    <x v="8"/>
    <x v="4"/>
    <x v="8"/>
    <s v="17IA14.50"/>
    <x v="1"/>
    <x v="1"/>
    <m/>
    <d v="2026-08-07T00:00:00"/>
    <m/>
  </r>
  <r>
    <s v="YK261400122"/>
    <x v="1"/>
    <x v="1"/>
    <n v="1"/>
    <x v="2"/>
    <d v="2026-08-11T08:56:37"/>
    <x v="8"/>
    <x v="4"/>
    <x v="8"/>
    <s v="17IA14.50"/>
    <x v="1"/>
    <x v="1"/>
    <m/>
    <m/>
    <m/>
  </r>
  <r>
    <s v="YK261400123"/>
    <x v="1"/>
    <x v="1"/>
    <n v="1"/>
    <x v="2"/>
    <d v="2026-08-12T12:23:02"/>
    <x v="8"/>
    <x v="4"/>
    <x v="8"/>
    <s v="17IA14.50"/>
    <x v="1"/>
    <x v="1"/>
    <m/>
    <d v="2026-08-07T00:00:00"/>
    <m/>
  </r>
  <r>
    <s v="YK261400124"/>
    <x v="1"/>
    <x v="1"/>
    <n v="1"/>
    <x v="2"/>
    <d v="2026-08-11T06:58:41"/>
    <x v="8"/>
    <x v="4"/>
    <x v="8"/>
    <s v="17IA14.50"/>
    <x v="1"/>
    <x v="1"/>
    <m/>
    <d v="2026-08-07T00:00:00"/>
    <m/>
  </r>
  <r>
    <s v="YK261400125"/>
    <x v="1"/>
    <x v="1"/>
    <n v="1"/>
    <x v="2"/>
    <d v="2026-08-11T07:00:19"/>
    <x v="8"/>
    <x v="4"/>
    <x v="8"/>
    <s v="17IA14.50"/>
    <x v="1"/>
    <x v="1"/>
    <m/>
    <d v="2026-08-07T00:00:00"/>
    <m/>
  </r>
  <r>
    <s v="YK261400126"/>
    <x v="1"/>
    <x v="1"/>
    <n v="1"/>
    <x v="2"/>
    <d v="2026-08-11T07:55:44"/>
    <x v="8"/>
    <x v="4"/>
    <x v="8"/>
    <s v="17IA14.50"/>
    <x v="1"/>
    <x v="1"/>
    <m/>
    <m/>
    <m/>
  </r>
  <r>
    <s v="YK261400127"/>
    <x v="1"/>
    <x v="1"/>
    <n v="1"/>
    <x v="2"/>
    <d v="2026-08-11T08:21:31"/>
    <x v="8"/>
    <x v="4"/>
    <x v="8"/>
    <s v="17IA14.50"/>
    <x v="1"/>
    <x v="1"/>
    <m/>
    <m/>
    <m/>
  </r>
  <r>
    <s v="YK261400128"/>
    <x v="3"/>
    <x v="3"/>
    <n v="1"/>
    <x v="4"/>
    <d v="2026-04-15T08:56:25"/>
    <x v="8"/>
    <x v="4"/>
    <x v="8"/>
    <s v="17IA14.50"/>
    <x v="1"/>
    <x v="1"/>
    <m/>
    <m/>
    <m/>
  </r>
  <r>
    <s v="YK261400129"/>
    <x v="1"/>
    <x v="1"/>
    <n v="1"/>
    <x v="2"/>
    <d v="2026-08-11T06:51:36"/>
    <x v="8"/>
    <x v="4"/>
    <x v="8"/>
    <s v="17IA14.50"/>
    <x v="1"/>
    <x v="1"/>
    <m/>
    <m/>
    <m/>
  </r>
  <r>
    <s v="YK261400130"/>
    <x v="1"/>
    <x v="1"/>
    <n v="1"/>
    <x v="2"/>
    <d v="2026-08-11T06:46:55"/>
    <x v="8"/>
    <x v="4"/>
    <x v="8"/>
    <s v="17IA14.50"/>
    <x v="1"/>
    <x v="1"/>
    <m/>
    <m/>
    <m/>
  </r>
  <r>
    <s v="YK261400131"/>
    <x v="1"/>
    <x v="1"/>
    <n v="1"/>
    <x v="2"/>
    <d v="2026-08-12T12:20:57"/>
    <x v="8"/>
    <x v="4"/>
    <x v="8"/>
    <s v="17IA14.50"/>
    <x v="1"/>
    <x v="1"/>
    <m/>
    <m/>
    <m/>
  </r>
  <r>
    <s v="YK261400132"/>
    <x v="1"/>
    <x v="1"/>
    <n v="1"/>
    <x v="2"/>
    <d v="2026-08-11T07:55:03"/>
    <x v="8"/>
    <x v="4"/>
    <x v="8"/>
    <s v="17IA14.50"/>
    <x v="1"/>
    <x v="1"/>
    <m/>
    <m/>
    <m/>
  </r>
  <r>
    <s v="YK262701275"/>
    <x v="3"/>
    <x v="3"/>
    <n v="1"/>
    <x v="4"/>
    <d v="2026-08-19T14:26:39"/>
    <x v="9"/>
    <x v="5"/>
    <x v="9"/>
    <s v="17IA14.60"/>
    <x v="1"/>
    <x v="1"/>
    <m/>
    <m/>
    <m/>
  </r>
  <r>
    <s v="YK262701276"/>
    <x v="0"/>
    <x v="0"/>
    <n v="1"/>
    <x v="1"/>
    <d v="2026-09-16T11:35:02"/>
    <x v="9"/>
    <x v="5"/>
    <x v="9"/>
    <s v="17IA14.60"/>
    <x v="1"/>
    <x v="1"/>
    <m/>
    <m/>
    <m/>
  </r>
  <r>
    <s v="YK262701277"/>
    <x v="5"/>
    <x v="5"/>
    <n v="1"/>
    <x v="6"/>
    <d v="2026-09-03T12:30:21"/>
    <x v="9"/>
    <x v="5"/>
    <x v="9"/>
    <s v="17IA14.60"/>
    <x v="1"/>
    <x v="1"/>
    <m/>
    <d v="2026-08-07T00:00:00"/>
    <m/>
  </r>
  <r>
    <s v="YK262701278"/>
    <x v="0"/>
    <x v="0"/>
    <n v="1"/>
    <x v="1"/>
    <d v="2026-09-15T09:50:03"/>
    <x v="9"/>
    <x v="5"/>
    <x v="9"/>
    <s v="17IA14.60"/>
    <x v="1"/>
    <x v="1"/>
    <m/>
    <d v="2026-08-07T00:00:00"/>
    <m/>
  </r>
  <r>
    <s v="YK262701279"/>
    <x v="3"/>
    <x v="3"/>
    <n v="1"/>
    <x v="4"/>
    <d v="2026-08-07T15:50:20"/>
    <x v="9"/>
    <x v="5"/>
    <x v="9"/>
    <s v="17IA14.60"/>
    <x v="1"/>
    <x v="1"/>
    <m/>
    <m/>
    <m/>
  </r>
  <r>
    <s v="YK262701280"/>
    <x v="0"/>
    <x v="0"/>
    <n v="1"/>
    <x v="1"/>
    <d v="2026-09-11T10:39:15"/>
    <x v="9"/>
    <x v="5"/>
    <x v="9"/>
    <s v="17IA14.60"/>
    <x v="1"/>
    <x v="1"/>
    <m/>
    <m/>
    <m/>
  </r>
  <r>
    <s v="YK262701281"/>
    <x v="0"/>
    <x v="0"/>
    <n v="1"/>
    <x v="1"/>
    <d v="2026-09-15T09:50:02"/>
    <x v="9"/>
    <x v="5"/>
    <x v="9"/>
    <s v="17IA14.60"/>
    <x v="1"/>
    <x v="1"/>
    <m/>
    <m/>
    <m/>
  </r>
  <r>
    <s v="YK262701282"/>
    <x v="0"/>
    <x v="0"/>
    <n v="1"/>
    <x v="1"/>
    <d v="2026-09-16T11:36:06"/>
    <x v="9"/>
    <x v="5"/>
    <x v="9"/>
    <s v="17IA14.60"/>
    <x v="1"/>
    <x v="1"/>
    <m/>
    <m/>
    <m/>
  </r>
  <r>
    <s v="YK262701283"/>
    <x v="3"/>
    <x v="3"/>
    <n v="1"/>
    <x v="4"/>
    <d v="2026-08-12T08:32:50"/>
    <x v="9"/>
    <x v="5"/>
    <x v="9"/>
    <s v="17IA14.60"/>
    <x v="1"/>
    <x v="1"/>
    <m/>
    <m/>
    <m/>
  </r>
  <r>
    <s v="YK262701284"/>
    <x v="0"/>
    <x v="0"/>
    <n v="1"/>
    <x v="1"/>
    <d v="2026-09-16T11:35:09"/>
    <x v="9"/>
    <x v="5"/>
    <x v="9"/>
    <s v="17IA14.60"/>
    <x v="1"/>
    <x v="1"/>
    <m/>
    <m/>
    <m/>
  </r>
  <r>
    <s v="YK262701285"/>
    <x v="2"/>
    <x v="2"/>
    <n v="1"/>
    <x v="3"/>
    <d v="2026-09-08T07:53:39"/>
    <x v="9"/>
    <x v="5"/>
    <x v="9"/>
    <s v="17IA14.60"/>
    <x v="1"/>
    <x v="1"/>
    <m/>
    <m/>
    <m/>
  </r>
  <r>
    <s v="YK262701286"/>
    <x v="0"/>
    <x v="0"/>
    <n v="1"/>
    <x v="1"/>
    <d v="2026-09-16T11:35:16"/>
    <x v="9"/>
    <x v="5"/>
    <x v="9"/>
    <s v="17IA14.60"/>
    <x v="1"/>
    <x v="1"/>
    <m/>
    <m/>
    <m/>
  </r>
  <r>
    <s v="YK262701287"/>
    <x v="0"/>
    <x v="0"/>
    <n v="1"/>
    <x v="1"/>
    <d v="2026-09-16T11:36:12"/>
    <x v="9"/>
    <x v="5"/>
    <x v="9"/>
    <s v="17IA14.60"/>
    <x v="1"/>
    <x v="1"/>
    <m/>
    <m/>
    <m/>
  </r>
  <r>
    <s v="YK262701288"/>
    <x v="0"/>
    <x v="0"/>
    <n v="1"/>
    <x v="1"/>
    <d v="2026-09-16T11:36:19"/>
    <x v="9"/>
    <x v="5"/>
    <x v="9"/>
    <s v="17IA14.60"/>
    <x v="1"/>
    <x v="1"/>
    <m/>
    <m/>
    <m/>
  </r>
  <r>
    <s v="YK262701289"/>
    <x v="0"/>
    <x v="0"/>
    <n v="1"/>
    <x v="1"/>
    <d v="2026-08-25T15:07:10"/>
    <x v="9"/>
    <x v="5"/>
    <x v="9"/>
    <s v="17IA14.60"/>
    <x v="1"/>
    <x v="1"/>
    <m/>
    <m/>
    <m/>
  </r>
  <r>
    <s v="YK262701290"/>
    <x v="0"/>
    <x v="0"/>
    <n v="1"/>
    <x v="1"/>
    <d v="2026-09-11T10:38:28"/>
    <x v="9"/>
    <x v="5"/>
    <x v="9"/>
    <s v="17IA14.60"/>
    <x v="1"/>
    <x v="1"/>
    <m/>
    <m/>
    <m/>
  </r>
  <r>
    <s v="YK262701291"/>
    <x v="0"/>
    <x v="0"/>
    <n v="1"/>
    <x v="1"/>
    <d v="2026-08-25T11:05:20"/>
    <x v="9"/>
    <x v="5"/>
    <x v="9"/>
    <s v="17IA14.60"/>
    <x v="1"/>
    <x v="1"/>
    <m/>
    <m/>
    <m/>
  </r>
  <r>
    <s v="YK262701292"/>
    <x v="3"/>
    <x v="3"/>
    <n v="1"/>
    <x v="4"/>
    <d v="2026-08-06T13:33:57"/>
    <x v="9"/>
    <x v="5"/>
    <x v="9"/>
    <s v="17IA14.60"/>
    <x v="1"/>
    <x v="1"/>
    <m/>
    <d v="2026-08-07T00:00:00"/>
    <m/>
  </r>
  <r>
    <s v="YK262701293"/>
    <x v="0"/>
    <x v="0"/>
    <n v="1"/>
    <x v="1"/>
    <d v="2026-09-11T10:38:32"/>
    <x v="9"/>
    <x v="5"/>
    <x v="9"/>
    <s v="17IA14.60"/>
    <x v="1"/>
    <x v="1"/>
    <m/>
    <m/>
    <m/>
  </r>
  <r>
    <s v="YK262701294"/>
    <x v="3"/>
    <x v="3"/>
    <n v="1"/>
    <x v="4"/>
    <d v="2026-08-06T21:23:30"/>
    <x v="9"/>
    <x v="5"/>
    <x v="9"/>
    <s v="17IA14.60"/>
    <x v="1"/>
    <x v="1"/>
    <m/>
    <d v="2026-08-07T00:00:00"/>
    <m/>
  </r>
  <r>
    <s v="YK262701295"/>
    <x v="0"/>
    <x v="0"/>
    <n v="1"/>
    <x v="1"/>
    <d v="2026-08-25T11:05:14"/>
    <x v="9"/>
    <x v="5"/>
    <x v="9"/>
    <s v="17IA14.60"/>
    <x v="1"/>
    <x v="1"/>
    <m/>
    <m/>
    <m/>
  </r>
  <r>
    <s v="YK262701296"/>
    <x v="3"/>
    <x v="3"/>
    <n v="1"/>
    <x v="4"/>
    <d v="2026-08-06T21:35:04"/>
    <x v="9"/>
    <x v="5"/>
    <x v="9"/>
    <s v="17IA14.60"/>
    <x v="1"/>
    <x v="1"/>
    <m/>
    <m/>
    <m/>
  </r>
  <r>
    <s v="YK262701297"/>
    <x v="0"/>
    <x v="0"/>
    <n v="1"/>
    <x v="1"/>
    <d v="2026-08-25T11:05:10"/>
    <x v="9"/>
    <x v="5"/>
    <x v="9"/>
    <s v="17IA14.60"/>
    <x v="1"/>
    <x v="1"/>
    <m/>
    <m/>
    <m/>
  </r>
  <r>
    <s v="YK262701298"/>
    <x v="3"/>
    <x v="3"/>
    <n v="1"/>
    <x v="4"/>
    <d v="2026-08-06T20:57:03"/>
    <x v="9"/>
    <x v="5"/>
    <x v="9"/>
    <s v="17IA14.60"/>
    <x v="1"/>
    <x v="1"/>
    <m/>
    <m/>
    <m/>
  </r>
  <r>
    <s v="YK262701299"/>
    <x v="0"/>
    <x v="0"/>
    <n v="1"/>
    <x v="1"/>
    <d v="2026-09-16T11:34:57"/>
    <x v="9"/>
    <x v="5"/>
    <x v="9"/>
    <s v="17IA14.60"/>
    <x v="1"/>
    <x v="1"/>
    <m/>
    <m/>
    <m/>
  </r>
  <r>
    <s v="YK262701300"/>
    <x v="0"/>
    <x v="0"/>
    <n v="1"/>
    <x v="1"/>
    <d v="2026-08-25T11:05:19"/>
    <x v="9"/>
    <x v="5"/>
    <x v="9"/>
    <s v="17IA14.60"/>
    <x v="1"/>
    <x v="1"/>
    <m/>
    <m/>
    <m/>
  </r>
  <r>
    <s v="YK262701301"/>
    <x v="0"/>
    <x v="0"/>
    <n v="1"/>
    <x v="1"/>
    <d v="2026-09-16T16:28:57"/>
    <x v="9"/>
    <x v="5"/>
    <x v="9"/>
    <s v="17IA14.60"/>
    <x v="1"/>
    <x v="1"/>
    <m/>
    <m/>
    <m/>
  </r>
  <r>
    <s v="YK262701302"/>
    <x v="0"/>
    <x v="0"/>
    <n v="1"/>
    <x v="1"/>
    <d v="2026-09-15T09:50:07"/>
    <x v="9"/>
    <x v="5"/>
    <x v="9"/>
    <s v="17IA14.60"/>
    <x v="1"/>
    <x v="1"/>
    <m/>
    <m/>
    <m/>
  </r>
  <r>
    <s v="YK262701303"/>
    <x v="1"/>
    <x v="1"/>
    <n v="1"/>
    <x v="2"/>
    <d v="2026-08-07T13:57:55"/>
    <x v="9"/>
    <x v="5"/>
    <x v="9"/>
    <s v="17IA14.60"/>
    <x v="1"/>
    <x v="1"/>
    <m/>
    <m/>
    <m/>
  </r>
  <r>
    <s v="YK262701304"/>
    <x v="1"/>
    <x v="1"/>
    <n v="1"/>
    <x v="2"/>
    <d v="2026-08-07T13:59:57"/>
    <x v="9"/>
    <x v="5"/>
    <x v="9"/>
    <s v="17IA14.60"/>
    <x v="1"/>
    <x v="1"/>
    <m/>
    <m/>
    <m/>
  </r>
  <r>
    <s v="YK262701305"/>
    <x v="1"/>
    <x v="1"/>
    <n v="1"/>
    <x v="2"/>
    <d v="2026-08-07T14:00:18"/>
    <x v="9"/>
    <x v="5"/>
    <x v="9"/>
    <s v="17IA14.60"/>
    <x v="1"/>
    <x v="1"/>
    <m/>
    <m/>
    <m/>
  </r>
  <r>
    <s v="YK262701306"/>
    <x v="2"/>
    <x v="2"/>
    <n v="1"/>
    <x v="3"/>
    <d v="2026-09-08T07:54:55"/>
    <x v="9"/>
    <x v="5"/>
    <x v="9"/>
    <s v="17IA14.60"/>
    <x v="1"/>
    <x v="1"/>
    <m/>
    <m/>
    <m/>
  </r>
  <r>
    <s v="YK262701307"/>
    <x v="1"/>
    <x v="1"/>
    <n v="1"/>
    <x v="2"/>
    <d v="2026-08-07T14:04:47"/>
    <x v="9"/>
    <x v="5"/>
    <x v="9"/>
    <s v="17IA14.60"/>
    <x v="1"/>
    <x v="1"/>
    <m/>
    <m/>
    <m/>
  </r>
  <r>
    <s v="YK262701308"/>
    <x v="1"/>
    <x v="1"/>
    <n v="1"/>
    <x v="2"/>
    <d v="2026-08-07T13:58:32"/>
    <x v="9"/>
    <x v="5"/>
    <x v="9"/>
    <s v="17IA14.60"/>
    <x v="1"/>
    <x v="1"/>
    <m/>
    <m/>
    <m/>
  </r>
  <r>
    <s v="YK262701309"/>
    <x v="1"/>
    <x v="1"/>
    <n v="1"/>
    <x v="2"/>
    <d v="2026-08-07T13:59:25"/>
    <x v="9"/>
    <x v="5"/>
    <x v="9"/>
    <s v="17IA14.60"/>
    <x v="1"/>
    <x v="1"/>
    <m/>
    <d v="2026-07-31T00:00:00"/>
    <m/>
  </r>
  <r>
    <s v="YK262701310"/>
    <x v="0"/>
    <x v="0"/>
    <n v="1"/>
    <x v="1"/>
    <d v="2026-09-15T09:49:59"/>
    <x v="9"/>
    <x v="5"/>
    <x v="9"/>
    <s v="17IA14.60"/>
    <x v="1"/>
    <x v="1"/>
    <m/>
    <m/>
    <m/>
  </r>
  <r>
    <s v="YK262701311"/>
    <x v="3"/>
    <x v="3"/>
    <n v="1"/>
    <x v="4"/>
    <d v="2026-08-07T09:33:04"/>
    <x v="9"/>
    <x v="5"/>
    <x v="9"/>
    <s v="17IA14.60"/>
    <x v="1"/>
    <x v="1"/>
    <m/>
    <m/>
    <m/>
  </r>
  <r>
    <s v="YK262701312"/>
    <x v="3"/>
    <x v="3"/>
    <n v="1"/>
    <x v="4"/>
    <d v="2026-08-06T14:58:06"/>
    <x v="9"/>
    <x v="5"/>
    <x v="9"/>
    <s v="17IA14.60"/>
    <x v="1"/>
    <x v="1"/>
    <m/>
    <m/>
    <m/>
  </r>
  <r>
    <s v="YK262701313"/>
    <x v="6"/>
    <x v="6"/>
    <n v="1"/>
    <x v="7"/>
    <d v="2026-09-07T14:44:45"/>
    <x v="9"/>
    <x v="5"/>
    <x v="9"/>
    <s v="17IA14.60"/>
    <x v="1"/>
    <x v="1"/>
    <m/>
    <d v="2026-07-31T00:00:00"/>
    <m/>
  </r>
  <r>
    <s v="YK262701314"/>
    <x v="3"/>
    <x v="3"/>
    <n v="1"/>
    <x v="4"/>
    <d v="2026-08-06T21:02:42"/>
    <x v="9"/>
    <x v="5"/>
    <x v="9"/>
    <s v="17IA14.60"/>
    <x v="1"/>
    <x v="1"/>
    <m/>
    <m/>
    <m/>
  </r>
  <r>
    <s v="YK262701315"/>
    <x v="3"/>
    <x v="3"/>
    <n v="1"/>
    <x v="4"/>
    <d v="2026-08-06T20:49:04"/>
    <x v="9"/>
    <x v="5"/>
    <x v="9"/>
    <s v="17IA14.60"/>
    <x v="1"/>
    <x v="1"/>
    <m/>
    <m/>
    <m/>
  </r>
  <r>
    <s v="YK262701316"/>
    <x v="0"/>
    <x v="0"/>
    <n v="1"/>
    <x v="1"/>
    <d v="2026-09-11T10:40:04"/>
    <x v="9"/>
    <x v="5"/>
    <x v="9"/>
    <s v="17IA14.60"/>
    <x v="1"/>
    <x v="1"/>
    <m/>
    <d v="2026-07-31T00:00:00"/>
    <m/>
  </r>
  <r>
    <s v="YK262701317"/>
    <x v="0"/>
    <x v="0"/>
    <n v="1"/>
    <x v="1"/>
    <d v="2026-08-25T11:05:27"/>
    <x v="9"/>
    <x v="5"/>
    <x v="9"/>
    <s v="17IA14.60"/>
    <x v="1"/>
    <x v="1"/>
    <m/>
    <m/>
    <m/>
  </r>
  <r>
    <s v="YK262701318"/>
    <x v="0"/>
    <x v="0"/>
    <n v="1"/>
    <x v="1"/>
    <d v="2026-09-11T10:40:00"/>
    <x v="9"/>
    <x v="5"/>
    <x v="9"/>
    <s v="17IA14.60"/>
    <x v="1"/>
    <x v="1"/>
    <m/>
    <m/>
    <m/>
  </r>
  <r>
    <s v="YK262701319"/>
    <x v="1"/>
    <x v="1"/>
    <n v="1"/>
    <x v="2"/>
    <d v="2026-08-07T14:02:31"/>
    <x v="9"/>
    <x v="5"/>
    <x v="9"/>
    <s v="17IA14.60"/>
    <x v="1"/>
    <x v="1"/>
    <m/>
    <m/>
    <m/>
  </r>
  <r>
    <s v="YK262701320"/>
    <x v="1"/>
    <x v="1"/>
    <n v="1"/>
    <x v="2"/>
    <d v="2026-08-07T13:57:06"/>
    <x v="9"/>
    <x v="5"/>
    <x v="9"/>
    <s v="17IA14.60"/>
    <x v="1"/>
    <x v="1"/>
    <m/>
    <m/>
    <m/>
  </r>
  <r>
    <s v="YK262701321"/>
    <x v="0"/>
    <x v="0"/>
    <n v="1"/>
    <x v="1"/>
    <d v="2026-09-11T10:38:57"/>
    <x v="9"/>
    <x v="5"/>
    <x v="9"/>
    <s v="17IA14.60"/>
    <x v="1"/>
    <x v="1"/>
    <m/>
    <m/>
    <m/>
  </r>
  <r>
    <s v="YK262701322"/>
    <x v="0"/>
    <x v="0"/>
    <n v="1"/>
    <x v="1"/>
    <d v="2026-08-25T14:51:46"/>
    <x v="9"/>
    <x v="5"/>
    <x v="9"/>
    <s v="17IA14.60"/>
    <x v="1"/>
    <x v="1"/>
    <m/>
    <m/>
    <m/>
  </r>
  <r>
    <s v="YK262701323"/>
    <x v="3"/>
    <x v="3"/>
    <n v="1"/>
    <x v="4"/>
    <d v="2026-08-19T14:10:42"/>
    <x v="9"/>
    <x v="5"/>
    <x v="9"/>
    <s v="17IA14.60"/>
    <x v="1"/>
    <x v="1"/>
    <m/>
    <d v="2026-07-31T00:00:00"/>
    <m/>
  </r>
  <r>
    <s v="YK262701324"/>
    <x v="3"/>
    <x v="3"/>
    <n v="1"/>
    <x v="4"/>
    <d v="2026-08-07T16:19:56"/>
    <x v="9"/>
    <x v="5"/>
    <x v="9"/>
    <s v="17IA14.60"/>
    <x v="1"/>
    <x v="1"/>
    <m/>
    <m/>
    <m/>
  </r>
  <r>
    <s v="YK262701325"/>
    <x v="3"/>
    <x v="3"/>
    <n v="1"/>
    <x v="4"/>
    <d v="2026-08-06T20:00:18"/>
    <x v="9"/>
    <x v="5"/>
    <x v="9"/>
    <s v="17IA14.60"/>
    <x v="1"/>
    <x v="1"/>
    <m/>
    <m/>
    <m/>
  </r>
  <r>
    <s v="YK262701326"/>
    <x v="3"/>
    <x v="3"/>
    <n v="1"/>
    <x v="4"/>
    <d v="2026-08-26T13:05:29"/>
    <x v="9"/>
    <x v="5"/>
    <x v="9"/>
    <s v="17IA14.60"/>
    <x v="1"/>
    <x v="1"/>
    <m/>
    <d v="2026-07-31T00:00:00"/>
    <m/>
  </r>
  <r>
    <s v="YK262701327"/>
    <x v="7"/>
    <x v="7"/>
    <n v="1"/>
    <x v="3"/>
    <d v="2026-08-28T09:39:15"/>
    <x v="9"/>
    <x v="5"/>
    <x v="9"/>
    <s v="17IA14.60"/>
    <x v="1"/>
    <x v="1"/>
    <m/>
    <m/>
    <m/>
  </r>
  <r>
    <s v="YK262701328"/>
    <x v="0"/>
    <x v="0"/>
    <n v="1"/>
    <x v="1"/>
    <d v="2026-08-25T14:52:41"/>
    <x v="9"/>
    <x v="5"/>
    <x v="9"/>
    <s v="17IA14.60"/>
    <x v="1"/>
    <x v="1"/>
    <m/>
    <m/>
    <m/>
  </r>
  <r>
    <s v="YK262701329"/>
    <x v="3"/>
    <x v="3"/>
    <n v="1"/>
    <x v="4"/>
    <d v="2026-08-06T13:48:59"/>
    <x v="9"/>
    <x v="5"/>
    <x v="9"/>
    <s v="17IA14.60"/>
    <x v="1"/>
    <x v="1"/>
    <m/>
    <m/>
    <m/>
  </r>
  <r>
    <s v="YK262701330"/>
    <x v="3"/>
    <x v="3"/>
    <n v="1"/>
    <x v="4"/>
    <d v="2026-08-06T13:38:41"/>
    <x v="9"/>
    <x v="5"/>
    <x v="9"/>
    <s v="17IA14.60"/>
    <x v="1"/>
    <x v="1"/>
    <m/>
    <m/>
    <m/>
  </r>
  <r>
    <s v="YK262701331"/>
    <x v="3"/>
    <x v="3"/>
    <n v="1"/>
    <x v="4"/>
    <d v="2026-08-06T21:29:46"/>
    <x v="9"/>
    <x v="5"/>
    <x v="9"/>
    <s v="17IA14.60"/>
    <x v="1"/>
    <x v="1"/>
    <m/>
    <m/>
    <m/>
  </r>
  <r>
    <s v="YK262701332"/>
    <x v="0"/>
    <x v="0"/>
    <n v="1"/>
    <x v="1"/>
    <d v="2026-09-16T11:36:23"/>
    <x v="9"/>
    <x v="5"/>
    <x v="9"/>
    <s v="17IA14.60"/>
    <x v="1"/>
    <x v="1"/>
    <m/>
    <d v="2026-08-27T00:00:00"/>
    <m/>
  </r>
  <r>
    <s v="YK262701333"/>
    <x v="3"/>
    <x v="3"/>
    <n v="1"/>
    <x v="4"/>
    <d v="2026-08-07T15:23:58"/>
    <x v="9"/>
    <x v="5"/>
    <x v="9"/>
    <s v="17IA14.60"/>
    <x v="1"/>
    <x v="1"/>
    <m/>
    <m/>
    <m/>
  </r>
  <r>
    <s v="YK262701334"/>
    <x v="1"/>
    <x v="1"/>
    <n v="1"/>
    <x v="2"/>
    <d v="2026-08-07T14:01:18"/>
    <x v="9"/>
    <x v="5"/>
    <x v="9"/>
    <s v="17IA14.60"/>
    <x v="1"/>
    <x v="1"/>
    <m/>
    <m/>
    <m/>
  </r>
  <r>
    <s v="YK262701335"/>
    <x v="0"/>
    <x v="0"/>
    <n v="1"/>
    <x v="1"/>
    <d v="2026-09-16T16:29:00"/>
    <x v="9"/>
    <x v="5"/>
    <x v="9"/>
    <s v="17IA14.60"/>
    <x v="1"/>
    <x v="1"/>
    <m/>
    <m/>
    <m/>
  </r>
  <r>
    <s v="YK262701336"/>
    <x v="1"/>
    <x v="1"/>
    <n v="1"/>
    <x v="2"/>
    <d v="2026-08-07T14:03:09"/>
    <x v="9"/>
    <x v="5"/>
    <x v="9"/>
    <s v="17IA14.60"/>
    <x v="1"/>
    <x v="1"/>
    <m/>
    <m/>
    <m/>
  </r>
  <r>
    <s v="YK262701337"/>
    <x v="0"/>
    <x v="0"/>
    <n v="1"/>
    <x v="1"/>
    <d v="2026-08-25T11:05:38"/>
    <x v="9"/>
    <x v="5"/>
    <x v="9"/>
    <s v="17IA14.60"/>
    <x v="1"/>
    <x v="1"/>
    <m/>
    <m/>
    <m/>
  </r>
  <r>
    <s v="YK262701338"/>
    <x v="0"/>
    <x v="0"/>
    <n v="1"/>
    <x v="1"/>
    <d v="2026-08-25T11:05:42"/>
    <x v="9"/>
    <x v="5"/>
    <x v="9"/>
    <s v="17IA14.60"/>
    <x v="1"/>
    <x v="1"/>
    <m/>
    <m/>
    <m/>
  </r>
  <r>
    <s v="YK262701339"/>
    <x v="0"/>
    <x v="0"/>
    <n v="1"/>
    <x v="1"/>
    <d v="2026-08-25T15:07:23"/>
    <x v="9"/>
    <x v="5"/>
    <x v="9"/>
    <s v="17IA14.60"/>
    <x v="1"/>
    <x v="1"/>
    <m/>
    <m/>
    <m/>
  </r>
  <r>
    <s v="YK262701340"/>
    <x v="0"/>
    <x v="0"/>
    <n v="1"/>
    <x v="1"/>
    <d v="2026-08-25T11:05:29"/>
    <x v="9"/>
    <x v="5"/>
    <x v="9"/>
    <s v="17IA14.60"/>
    <x v="1"/>
    <x v="1"/>
    <m/>
    <m/>
    <m/>
  </r>
  <r>
    <s v="YK262701341"/>
    <x v="3"/>
    <x v="3"/>
    <n v="1"/>
    <x v="4"/>
    <d v="2026-08-06T21:54:15"/>
    <x v="9"/>
    <x v="5"/>
    <x v="9"/>
    <s v="17IA14.60"/>
    <x v="1"/>
    <x v="1"/>
    <m/>
    <m/>
    <m/>
  </r>
  <r>
    <s v="YK262701342"/>
    <x v="6"/>
    <x v="6"/>
    <n v="1"/>
    <x v="7"/>
    <d v="2026-09-07T14:00:53"/>
    <x v="9"/>
    <x v="5"/>
    <x v="9"/>
    <s v="17IA14.60"/>
    <x v="1"/>
    <x v="1"/>
    <m/>
    <m/>
    <m/>
  </r>
  <r>
    <s v="YK262701343"/>
    <x v="3"/>
    <x v="3"/>
    <n v="1"/>
    <x v="4"/>
    <d v="2026-08-20T07:26:19"/>
    <x v="9"/>
    <x v="5"/>
    <x v="9"/>
    <s v="17IA14.60"/>
    <x v="1"/>
    <x v="1"/>
    <m/>
    <d v="2026-08-27T00:00:00"/>
    <m/>
  </r>
  <r>
    <s v="YK262701344"/>
    <x v="0"/>
    <x v="0"/>
    <n v="1"/>
    <x v="1"/>
    <d v="2026-09-11T10:40:11"/>
    <x v="9"/>
    <x v="5"/>
    <x v="9"/>
    <s v="17IA14.60"/>
    <x v="1"/>
    <x v="1"/>
    <m/>
    <m/>
    <m/>
  </r>
  <r>
    <s v="YK262701345"/>
    <x v="3"/>
    <x v="3"/>
    <n v="1"/>
    <x v="4"/>
    <d v="2026-08-06T21:41:43"/>
    <x v="9"/>
    <x v="5"/>
    <x v="9"/>
    <s v="17IA14.60"/>
    <x v="1"/>
    <x v="1"/>
    <m/>
    <m/>
    <m/>
  </r>
  <r>
    <s v="YK262701346"/>
    <x v="0"/>
    <x v="0"/>
    <n v="1"/>
    <x v="1"/>
    <d v="2026-09-11T10:39:52"/>
    <x v="9"/>
    <x v="5"/>
    <x v="9"/>
    <s v="17IA14.60"/>
    <x v="1"/>
    <x v="1"/>
    <m/>
    <m/>
    <m/>
  </r>
  <r>
    <s v="YK262701347"/>
    <x v="0"/>
    <x v="0"/>
    <n v="1"/>
    <x v="1"/>
    <d v="2026-09-16T16:29:03"/>
    <x v="9"/>
    <x v="5"/>
    <x v="9"/>
    <s v="17IA14.60"/>
    <x v="1"/>
    <x v="1"/>
    <m/>
    <m/>
    <m/>
  </r>
  <r>
    <s v="YK262701348"/>
    <x v="0"/>
    <x v="0"/>
    <n v="1"/>
    <x v="1"/>
    <d v="2026-09-16T16:28:53"/>
    <x v="9"/>
    <x v="5"/>
    <x v="9"/>
    <s v="17IA14.60"/>
    <x v="1"/>
    <x v="1"/>
    <m/>
    <m/>
    <m/>
  </r>
  <r>
    <s v="YK262800001"/>
    <x v="4"/>
    <x v="4"/>
    <n v="1"/>
    <x v="5"/>
    <d v="2026-09-10T11:12:52"/>
    <x v="10"/>
    <x v="6"/>
    <x v="10"/>
    <s v="17IA14.70"/>
    <x v="1"/>
    <x v="1"/>
    <m/>
    <d v="2026-08-27T00:00:00"/>
    <m/>
  </r>
  <r>
    <s v="YK262800002"/>
    <x v="8"/>
    <x v="8"/>
    <n v="1"/>
    <x v="7"/>
    <d v="2026-09-15T09:25:18"/>
    <x v="10"/>
    <x v="6"/>
    <x v="10"/>
    <s v="17IA14.70"/>
    <x v="1"/>
    <x v="1"/>
    <m/>
    <d v="2026-07-31T00:00:00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m/>
    <m/>
  </r>
  <r>
    <s v="YK262800005"/>
    <x v="3"/>
    <x v="3"/>
    <n v="1"/>
    <x v="4"/>
    <d v="2026-09-10T11:24:37"/>
    <x v="10"/>
    <x v="6"/>
    <x v="10"/>
    <s v="17IA14.70"/>
    <x v="1"/>
    <x v="1"/>
    <m/>
    <m/>
    <m/>
  </r>
  <r>
    <s v="YK262800006"/>
    <x v="0"/>
    <x v="0"/>
    <n v="1"/>
    <x v="1"/>
    <d v="2026-08-25T14:52:51"/>
    <x v="10"/>
    <x v="6"/>
    <x v="10"/>
    <s v="17IA14.70"/>
    <x v="1"/>
    <x v="1"/>
    <m/>
    <m/>
    <m/>
  </r>
  <r>
    <s v="YK262800007"/>
    <x v="1"/>
    <x v="1"/>
    <n v="1"/>
    <x v="2"/>
    <d v="2026-08-04T07:13:46"/>
    <x v="10"/>
    <x v="6"/>
    <x v="10"/>
    <s v="17IA14.70"/>
    <x v="1"/>
    <x v="1"/>
    <m/>
    <m/>
    <m/>
  </r>
  <r>
    <s v="YK262800008"/>
    <x v="0"/>
    <x v="0"/>
    <n v="1"/>
    <x v="1"/>
    <d v="2026-08-25T14:51:37"/>
    <x v="10"/>
    <x v="6"/>
    <x v="10"/>
    <s v="17IA14.70"/>
    <x v="1"/>
    <x v="1"/>
    <m/>
    <m/>
    <m/>
  </r>
  <r>
    <s v="YK262800009"/>
    <x v="3"/>
    <x v="3"/>
    <n v="1"/>
    <x v="4"/>
    <d v="2026-09-10T13:03:42"/>
    <x v="10"/>
    <x v="6"/>
    <x v="10"/>
    <s v="17IA14.70"/>
    <x v="1"/>
    <x v="1"/>
    <m/>
    <m/>
    <m/>
  </r>
  <r>
    <s v="YK262800010"/>
    <x v="1"/>
    <x v="1"/>
    <n v="1"/>
    <x v="2"/>
    <d v="2026-08-04T07:11:47"/>
    <x v="10"/>
    <x v="6"/>
    <x v="10"/>
    <s v="17IA14.70"/>
    <x v="1"/>
    <x v="1"/>
    <m/>
    <m/>
    <m/>
  </r>
  <r>
    <s v="YK262800011"/>
    <x v="0"/>
    <x v="0"/>
    <n v="1"/>
    <x v="1"/>
    <d v="2026-09-11T10:33:33"/>
    <x v="10"/>
    <x v="6"/>
    <x v="10"/>
    <s v="17IA14.70"/>
    <x v="1"/>
    <x v="1"/>
    <m/>
    <m/>
    <m/>
  </r>
  <r>
    <s v="YK262800012"/>
    <x v="4"/>
    <x v="4"/>
    <n v="1"/>
    <x v="5"/>
    <d v="2026-09-10T10:05:23"/>
    <x v="10"/>
    <x v="6"/>
    <x v="10"/>
    <s v="17IA14.70"/>
    <x v="1"/>
    <x v="1"/>
    <m/>
    <m/>
    <m/>
  </r>
  <r>
    <s v="YK262800013"/>
    <x v="8"/>
    <x v="8"/>
    <n v="1"/>
    <x v="7"/>
    <d v="2026-09-11T06:44:38"/>
    <x v="10"/>
    <x v="6"/>
    <x v="10"/>
    <s v="17IA14.70"/>
    <x v="1"/>
    <x v="1"/>
    <m/>
    <m/>
    <m/>
  </r>
  <r>
    <s v="YK262800014"/>
    <x v="0"/>
    <x v="0"/>
    <n v="1"/>
    <x v="1"/>
    <d v="2026-09-16T16:29:05"/>
    <x v="10"/>
    <x v="6"/>
    <x v="10"/>
    <s v="17IA14.70"/>
    <x v="1"/>
    <x v="1"/>
    <m/>
    <m/>
    <m/>
  </r>
  <r>
    <s v="YK262800015"/>
    <x v="0"/>
    <x v="0"/>
    <n v="1"/>
    <x v="1"/>
    <d v="2026-09-16T11:36:44"/>
    <x v="10"/>
    <x v="6"/>
    <x v="10"/>
    <s v="17IA14.70"/>
    <x v="1"/>
    <x v="1"/>
    <m/>
    <m/>
    <m/>
  </r>
  <r>
    <s v="YK262800016"/>
    <x v="0"/>
    <x v="0"/>
    <n v="1"/>
    <x v="1"/>
    <d v="2026-09-16T11:35:21"/>
    <x v="10"/>
    <x v="6"/>
    <x v="10"/>
    <s v="17IA14.70"/>
    <x v="1"/>
    <x v="1"/>
    <m/>
    <m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m/>
    <m/>
  </r>
  <r>
    <s v="YK262800019"/>
    <x v="0"/>
    <x v="0"/>
    <n v="1"/>
    <x v="1"/>
    <d v="2026-09-16T11:35:58"/>
    <x v="10"/>
    <x v="6"/>
    <x v="10"/>
    <s v="17IA14.70"/>
    <x v="1"/>
    <x v="1"/>
    <m/>
    <m/>
    <m/>
  </r>
  <r>
    <s v="YK262800020"/>
    <x v="1"/>
    <x v="1"/>
    <n v="1"/>
    <x v="2"/>
    <d v="2026-08-04T07:10:27"/>
    <x v="10"/>
    <x v="6"/>
    <x v="10"/>
    <s v="17IA14.70"/>
    <x v="1"/>
    <x v="1"/>
    <m/>
    <m/>
    <m/>
  </r>
  <r>
    <s v="YK262800021"/>
    <x v="8"/>
    <x v="8"/>
    <n v="1"/>
    <x v="7"/>
    <d v="2026-09-16T09:53:39"/>
    <x v="10"/>
    <x v="6"/>
    <x v="10"/>
    <s v="17IA14.70"/>
    <x v="1"/>
    <x v="1"/>
    <m/>
    <m/>
    <m/>
  </r>
  <r>
    <s v="YK262800022"/>
    <x v="0"/>
    <x v="0"/>
    <n v="1"/>
    <x v="1"/>
    <d v="2026-09-15T09:50:11"/>
    <x v="10"/>
    <x v="6"/>
    <x v="10"/>
    <s v="17IA14.70"/>
    <x v="1"/>
    <x v="1"/>
    <m/>
    <d v="2026-07-31T00:00:00"/>
    <m/>
  </r>
  <r>
    <s v="YK262800023"/>
    <x v="3"/>
    <x v="3"/>
    <n v="1"/>
    <x v="4"/>
    <d v="2026-09-10T11:11:34"/>
    <x v="10"/>
    <x v="6"/>
    <x v="10"/>
    <s v="17IA14.70"/>
    <x v="1"/>
    <x v="1"/>
    <m/>
    <d v="2026-07-31T00:00:00"/>
    <m/>
  </r>
  <r>
    <s v="YK262800024"/>
    <x v="0"/>
    <x v="0"/>
    <n v="1"/>
    <x v="1"/>
    <d v="2026-09-16T11:35:27"/>
    <x v="10"/>
    <x v="6"/>
    <x v="10"/>
    <s v="17IA14.70"/>
    <x v="1"/>
    <x v="1"/>
    <m/>
    <m/>
    <m/>
  </r>
  <r>
    <s v="YK262800025"/>
    <x v="0"/>
    <x v="0"/>
    <n v="1"/>
    <x v="1"/>
    <d v="2026-09-10T13:54:31"/>
    <x v="10"/>
    <x v="6"/>
    <x v="10"/>
    <s v="17IA14.70"/>
    <x v="1"/>
    <x v="1"/>
    <m/>
    <m/>
    <m/>
  </r>
  <r>
    <s v="YK262800026"/>
    <x v="1"/>
    <x v="1"/>
    <n v="1"/>
    <x v="2"/>
    <d v="2026-08-28T09:04:02"/>
    <x v="10"/>
    <x v="6"/>
    <x v="10"/>
    <s v="17IA14.70"/>
    <x v="1"/>
    <x v="1"/>
    <m/>
    <m/>
    <m/>
  </r>
  <r>
    <s v="YK262800027"/>
    <x v="0"/>
    <x v="0"/>
    <n v="1"/>
    <x v="1"/>
    <d v="2026-09-16T16:28:47"/>
    <x v="10"/>
    <x v="6"/>
    <x v="10"/>
    <s v="17IA14.70"/>
    <x v="1"/>
    <x v="1"/>
    <m/>
    <m/>
    <m/>
  </r>
  <r>
    <s v="YK262800028"/>
    <x v="3"/>
    <x v="3"/>
    <n v="1"/>
    <x v="4"/>
    <d v="2026-09-10T11:00:17"/>
    <x v="10"/>
    <x v="6"/>
    <x v="10"/>
    <s v="17IA14.70"/>
    <x v="1"/>
    <x v="1"/>
    <m/>
    <m/>
    <m/>
  </r>
  <r>
    <s v="YK262800029"/>
    <x v="0"/>
    <x v="0"/>
    <n v="1"/>
    <x v="1"/>
    <d v="2026-09-11T10:33:27"/>
    <x v="10"/>
    <x v="6"/>
    <x v="10"/>
    <s v="17IA14.70"/>
    <x v="1"/>
    <x v="1"/>
    <m/>
    <m/>
    <m/>
  </r>
  <r>
    <s v="YK262800030"/>
    <x v="0"/>
    <x v="0"/>
    <n v="1"/>
    <x v="1"/>
    <d v="2026-09-16T11:36:27"/>
    <x v="10"/>
    <x v="6"/>
    <x v="10"/>
    <s v="17IA14.70"/>
    <x v="1"/>
    <x v="1"/>
    <m/>
    <m/>
    <m/>
  </r>
  <r>
    <s v="YK262800031"/>
    <x v="0"/>
    <x v="0"/>
    <n v="1"/>
    <x v="1"/>
    <d v="2026-09-10T11:52:00"/>
    <x v="10"/>
    <x v="6"/>
    <x v="10"/>
    <s v="17IA14.70"/>
    <x v="1"/>
    <x v="1"/>
    <m/>
    <m/>
    <m/>
  </r>
  <r>
    <s v="YK262800032"/>
    <x v="2"/>
    <x v="2"/>
    <n v="1"/>
    <x v="3"/>
    <d v="2026-09-10T06:44:47"/>
    <x v="10"/>
    <x v="6"/>
    <x v="10"/>
    <s v="17IA14.70"/>
    <x v="1"/>
    <x v="1"/>
    <m/>
    <m/>
    <m/>
  </r>
  <r>
    <s v="YK262800033"/>
    <x v="8"/>
    <x v="8"/>
    <n v="1"/>
    <x v="7"/>
    <d v="2026-09-10T13:53:42"/>
    <x v="10"/>
    <x v="6"/>
    <x v="10"/>
    <s v="17IA14.70"/>
    <x v="1"/>
    <x v="1"/>
    <m/>
    <m/>
    <m/>
  </r>
  <r>
    <s v="YK262800034"/>
    <x v="3"/>
    <x v="3"/>
    <n v="1"/>
    <x v="4"/>
    <d v="2026-09-10T12:57:47"/>
    <x v="10"/>
    <x v="6"/>
    <x v="10"/>
    <s v="17IA14.70"/>
    <x v="1"/>
    <x v="1"/>
    <m/>
    <m/>
    <m/>
  </r>
  <r>
    <s v="YK262800035"/>
    <x v="0"/>
    <x v="0"/>
    <n v="1"/>
    <x v="1"/>
    <d v="2026-09-11T10:34:03"/>
    <x v="10"/>
    <x v="6"/>
    <x v="10"/>
    <s v="17IA14.70"/>
    <x v="1"/>
    <x v="1"/>
    <m/>
    <m/>
    <m/>
  </r>
  <r>
    <s v="YK262800036"/>
    <x v="0"/>
    <x v="0"/>
    <n v="1"/>
    <x v="1"/>
    <d v="2026-09-10T11:52:06"/>
    <x v="10"/>
    <x v="6"/>
    <x v="10"/>
    <s v="17IA14.70"/>
    <x v="1"/>
    <x v="1"/>
    <m/>
    <m/>
    <m/>
  </r>
  <r>
    <s v="YK262800037"/>
    <x v="1"/>
    <x v="1"/>
    <n v="1"/>
    <x v="2"/>
    <d v="2026-08-28T09:03:17"/>
    <x v="10"/>
    <x v="6"/>
    <x v="10"/>
    <s v="17IA14.70"/>
    <x v="1"/>
    <x v="1"/>
    <m/>
    <m/>
    <m/>
  </r>
  <r>
    <s v="YK262800038"/>
    <x v="3"/>
    <x v="3"/>
    <n v="1"/>
    <x v="4"/>
    <d v="2026-09-10T13:15:24"/>
    <x v="10"/>
    <x v="6"/>
    <x v="10"/>
    <s v="17IA14.70"/>
    <x v="1"/>
    <x v="1"/>
    <m/>
    <m/>
    <m/>
  </r>
  <r>
    <s v="YK262800039"/>
    <x v="0"/>
    <x v="0"/>
    <n v="1"/>
    <x v="1"/>
    <d v="2026-09-15T09:49:55"/>
    <x v="10"/>
    <x v="6"/>
    <x v="10"/>
    <s v="17IA14.70"/>
    <x v="1"/>
    <x v="1"/>
    <m/>
    <m/>
    <m/>
  </r>
  <r>
    <s v="YK262800040"/>
    <x v="0"/>
    <x v="0"/>
    <n v="1"/>
    <x v="1"/>
    <d v="2026-09-10T11:52:15"/>
    <x v="10"/>
    <x v="6"/>
    <x v="10"/>
    <s v="17IA14.70"/>
    <x v="1"/>
    <x v="1"/>
    <m/>
    <m/>
    <m/>
  </r>
  <r>
    <s v="YK262800041"/>
    <x v="0"/>
    <x v="0"/>
    <n v="1"/>
    <x v="1"/>
    <d v="2026-09-16T16:29:09"/>
    <x v="10"/>
    <x v="6"/>
    <x v="10"/>
    <s v="17IA14.70"/>
    <x v="1"/>
    <x v="1"/>
    <m/>
    <m/>
    <m/>
  </r>
  <r>
    <s v="YK262800042"/>
    <x v="8"/>
    <x v="8"/>
    <n v="1"/>
    <x v="7"/>
    <d v="2026-09-11T08:59:35"/>
    <x v="10"/>
    <x v="6"/>
    <x v="10"/>
    <s v="17IA14.70"/>
    <x v="1"/>
    <x v="1"/>
    <m/>
    <m/>
    <m/>
  </r>
  <r>
    <s v="YK262800043"/>
    <x v="1"/>
    <x v="1"/>
    <n v="1"/>
    <x v="2"/>
    <d v="2026-08-28T09:04:50"/>
    <x v="10"/>
    <x v="6"/>
    <x v="10"/>
    <s v="17IA14.70"/>
    <x v="1"/>
    <x v="1"/>
    <m/>
    <m/>
    <m/>
  </r>
  <r>
    <s v="YK262800044"/>
    <x v="1"/>
    <x v="1"/>
    <n v="1"/>
    <x v="2"/>
    <d v="2026-08-04T07:15:18"/>
    <x v="10"/>
    <x v="6"/>
    <x v="10"/>
    <s v="17IA14.70"/>
    <x v="1"/>
    <x v="1"/>
    <m/>
    <m/>
    <m/>
  </r>
  <r>
    <s v="YK262800045"/>
    <x v="1"/>
    <x v="1"/>
    <n v="1"/>
    <x v="2"/>
    <d v="2026-08-04T07:15:43"/>
    <x v="10"/>
    <x v="6"/>
    <x v="10"/>
    <s v="17IA14.70"/>
    <x v="1"/>
    <x v="1"/>
    <m/>
    <m/>
    <m/>
  </r>
  <r>
    <s v="YK262800046"/>
    <x v="0"/>
    <x v="0"/>
    <n v="1"/>
    <x v="1"/>
    <d v="2026-09-11T10:34:07"/>
    <x v="10"/>
    <x v="6"/>
    <x v="10"/>
    <s v="17IA14.70"/>
    <x v="1"/>
    <x v="1"/>
    <m/>
    <m/>
    <m/>
  </r>
  <r>
    <s v="YK262800047"/>
    <x v="0"/>
    <x v="0"/>
    <n v="1"/>
    <x v="1"/>
    <d v="2026-09-11T10:34:01"/>
    <x v="10"/>
    <x v="6"/>
    <x v="10"/>
    <s v="17IA14.70"/>
    <x v="1"/>
    <x v="1"/>
    <m/>
    <m/>
    <m/>
  </r>
  <r>
    <s v="YK262800048"/>
    <x v="0"/>
    <x v="0"/>
    <n v="1"/>
    <x v="1"/>
    <d v="2026-09-15T09:49:51"/>
    <x v="10"/>
    <x v="6"/>
    <x v="10"/>
    <s v="17IA14.70"/>
    <x v="1"/>
    <x v="1"/>
    <m/>
    <m/>
    <m/>
  </r>
  <r>
    <s v="YK262800049"/>
    <x v="0"/>
    <x v="0"/>
    <n v="1"/>
    <x v="1"/>
    <d v="2026-09-16T11:36:02"/>
    <x v="10"/>
    <x v="6"/>
    <x v="10"/>
    <s v="17IA14.70"/>
    <x v="1"/>
    <x v="1"/>
    <m/>
    <m/>
    <m/>
  </r>
  <r>
    <s v="YK262800050"/>
    <x v="0"/>
    <x v="0"/>
    <n v="1"/>
    <x v="1"/>
    <d v="2026-08-25T14:53:23"/>
    <x v="10"/>
    <x v="6"/>
    <x v="10"/>
    <s v="17IA14.70"/>
    <x v="1"/>
    <x v="1"/>
    <m/>
    <m/>
    <m/>
  </r>
  <r>
    <s v="YK262800051"/>
    <x v="4"/>
    <x v="4"/>
    <n v="1"/>
    <x v="5"/>
    <d v="2026-09-10T13:34:14"/>
    <x v="10"/>
    <x v="6"/>
    <x v="10"/>
    <s v="17IA14.70"/>
    <x v="1"/>
    <x v="1"/>
    <m/>
    <m/>
    <m/>
  </r>
  <r>
    <s v="YK262800052"/>
    <x v="0"/>
    <x v="0"/>
    <n v="1"/>
    <x v="1"/>
    <d v="2026-09-11T10:52:01"/>
    <x v="10"/>
    <x v="6"/>
    <x v="10"/>
    <s v="17IA14.70"/>
    <x v="1"/>
    <x v="1"/>
    <m/>
    <m/>
    <m/>
  </r>
  <r>
    <s v="YK262800053"/>
    <x v="0"/>
    <x v="0"/>
    <n v="1"/>
    <x v="1"/>
    <d v="2026-09-11T10:34:00"/>
    <x v="10"/>
    <x v="6"/>
    <x v="10"/>
    <s v="17IA14.70"/>
    <x v="1"/>
    <x v="1"/>
    <m/>
    <m/>
    <m/>
  </r>
  <r>
    <s v="YK262800054"/>
    <x v="0"/>
    <x v="0"/>
    <n v="1"/>
    <x v="1"/>
    <d v="2026-09-15T09:50:14"/>
    <x v="10"/>
    <x v="6"/>
    <x v="10"/>
    <s v="17IA14.70"/>
    <x v="1"/>
    <x v="1"/>
    <m/>
    <m/>
    <m/>
  </r>
  <r>
    <s v="YK262800055"/>
    <x v="3"/>
    <x v="3"/>
    <n v="1"/>
    <x v="4"/>
    <d v="2026-09-10T13:26:19"/>
    <x v="10"/>
    <x v="6"/>
    <x v="10"/>
    <s v="17IA14.70"/>
    <x v="1"/>
    <x v="1"/>
    <m/>
    <m/>
    <m/>
  </r>
  <r>
    <s v="YK262800056"/>
    <x v="0"/>
    <x v="0"/>
    <n v="1"/>
    <x v="1"/>
    <d v="2026-09-11T10:33:38"/>
    <x v="10"/>
    <x v="6"/>
    <x v="10"/>
    <s v="17IA14.70"/>
    <x v="1"/>
    <x v="1"/>
    <m/>
    <m/>
    <m/>
  </r>
  <r>
    <s v="YK262800057"/>
    <x v="2"/>
    <x v="2"/>
    <n v="1"/>
    <x v="3"/>
    <d v="2026-09-10T06:44:47"/>
    <x v="10"/>
    <x v="6"/>
    <x v="10"/>
    <s v="17IA14.70"/>
    <x v="1"/>
    <x v="1"/>
    <m/>
    <m/>
    <m/>
  </r>
  <r>
    <s v="YK262800058"/>
    <x v="0"/>
    <x v="0"/>
    <n v="1"/>
    <x v="1"/>
    <d v="2026-09-16T11:34:53"/>
    <x v="10"/>
    <x v="6"/>
    <x v="10"/>
    <s v="17IA14.70"/>
    <x v="1"/>
    <x v="1"/>
    <m/>
    <m/>
    <m/>
  </r>
  <r>
    <s v="YK262800059"/>
    <x v="1"/>
    <x v="1"/>
    <n v="1"/>
    <x v="2"/>
    <d v="2026-08-04T07:17:09"/>
    <x v="10"/>
    <x v="6"/>
    <x v="10"/>
    <s v="17IA14.70"/>
    <x v="1"/>
    <x v="1"/>
    <m/>
    <m/>
    <m/>
  </r>
  <r>
    <s v="YK262800060"/>
    <x v="0"/>
    <x v="0"/>
    <n v="1"/>
    <x v="1"/>
    <d v="2026-09-11T10:53:23"/>
    <x v="10"/>
    <x v="6"/>
    <x v="10"/>
    <s v="17IA14.70"/>
    <x v="1"/>
    <x v="1"/>
    <m/>
    <m/>
    <m/>
  </r>
  <r>
    <s v="YK262800061"/>
    <x v="2"/>
    <x v="2"/>
    <n v="1"/>
    <x v="3"/>
    <d v="2026-09-10T06:44:46"/>
    <x v="10"/>
    <x v="6"/>
    <x v="10"/>
    <s v="17IA14.70"/>
    <x v="1"/>
    <x v="1"/>
    <m/>
    <m/>
    <m/>
  </r>
  <r>
    <s v="YK262800062"/>
    <x v="0"/>
    <x v="0"/>
    <n v="1"/>
    <x v="1"/>
    <d v="2026-08-25T14:51:43"/>
    <x v="10"/>
    <x v="6"/>
    <x v="10"/>
    <s v="17IA14.70"/>
    <x v="1"/>
    <x v="1"/>
    <m/>
    <m/>
    <m/>
  </r>
  <r>
    <s v="YK262800063"/>
    <x v="8"/>
    <x v="8"/>
    <n v="1"/>
    <x v="7"/>
    <d v="2026-09-10T09:55:10"/>
    <x v="10"/>
    <x v="6"/>
    <x v="10"/>
    <s v="17IA14.70"/>
    <x v="1"/>
    <x v="1"/>
    <m/>
    <m/>
    <m/>
  </r>
  <r>
    <s v="YK262800064"/>
    <x v="1"/>
    <x v="1"/>
    <n v="1"/>
    <x v="2"/>
    <d v="2026-08-04T07:17:43"/>
    <x v="10"/>
    <x v="6"/>
    <x v="10"/>
    <s v="17IA14.70"/>
    <x v="1"/>
    <x v="1"/>
    <m/>
    <m/>
    <m/>
  </r>
  <r>
    <s v="YK262800065"/>
    <x v="1"/>
    <x v="1"/>
    <n v="1"/>
    <x v="2"/>
    <d v="2026-08-04T07:18:08"/>
    <x v="10"/>
    <x v="6"/>
    <x v="10"/>
    <s v="17IA14.70"/>
    <x v="1"/>
    <x v="1"/>
    <m/>
    <m/>
    <m/>
  </r>
  <r>
    <s v="YK262800066"/>
    <x v="8"/>
    <x v="8"/>
    <n v="1"/>
    <x v="7"/>
    <d v="2026-09-11T10:01:44"/>
    <x v="10"/>
    <x v="6"/>
    <x v="10"/>
    <s v="17IA14.70"/>
    <x v="1"/>
    <x v="1"/>
    <m/>
    <m/>
    <m/>
  </r>
  <r>
    <s v="YK262800067"/>
    <x v="0"/>
    <x v="0"/>
    <n v="1"/>
    <x v="1"/>
    <d v="2026-09-16T11:34:48"/>
    <x v="10"/>
    <x v="6"/>
    <x v="10"/>
    <s v="17IA14.70"/>
    <x v="1"/>
    <x v="1"/>
    <m/>
    <m/>
    <m/>
  </r>
  <r>
    <s v="YK262800068"/>
    <x v="8"/>
    <x v="8"/>
    <n v="1"/>
    <x v="7"/>
    <d v="2026-09-10T06:50:19"/>
    <x v="10"/>
    <x v="6"/>
    <x v="10"/>
    <s v="17IA14.70"/>
    <x v="1"/>
    <x v="1"/>
    <m/>
    <m/>
    <m/>
  </r>
  <r>
    <s v="YK262800069"/>
    <x v="8"/>
    <x v="8"/>
    <n v="1"/>
    <x v="7"/>
    <d v="2026-09-10T09:47:43"/>
    <x v="10"/>
    <x v="6"/>
    <x v="10"/>
    <s v="17IA14.70"/>
    <x v="1"/>
    <x v="1"/>
    <m/>
    <m/>
    <m/>
  </r>
  <r>
    <s v="YK262800070"/>
    <x v="8"/>
    <x v="8"/>
    <n v="1"/>
    <x v="7"/>
    <d v="2026-09-11T07:30:50"/>
    <x v="10"/>
    <x v="6"/>
    <x v="10"/>
    <s v="17IA14.70"/>
    <x v="1"/>
    <x v="1"/>
    <m/>
    <m/>
    <m/>
  </r>
  <r>
    <s v="YK262800071"/>
    <x v="0"/>
    <x v="0"/>
    <n v="1"/>
    <x v="1"/>
    <d v="2026-09-16T16:28:51"/>
    <x v="10"/>
    <x v="6"/>
    <x v="10"/>
    <s v="17IA14.70"/>
    <x v="1"/>
    <x v="1"/>
    <m/>
    <m/>
    <m/>
  </r>
  <r>
    <s v="YK262800072"/>
    <x v="8"/>
    <x v="8"/>
    <n v="1"/>
    <x v="7"/>
    <d v="2026-09-10T06:50:19"/>
    <x v="10"/>
    <x v="6"/>
    <x v="10"/>
    <s v="17IA14.70"/>
    <x v="1"/>
    <x v="1"/>
    <m/>
    <m/>
    <m/>
  </r>
  <r>
    <s v="YK262800073"/>
    <x v="0"/>
    <x v="0"/>
    <n v="1"/>
    <x v="1"/>
    <d v="2026-09-11T10:53:16"/>
    <x v="10"/>
    <x v="6"/>
    <x v="10"/>
    <s v="17IA14.70"/>
    <x v="1"/>
    <x v="1"/>
    <m/>
    <m/>
    <m/>
  </r>
  <r>
    <s v="YK262800074"/>
    <x v="0"/>
    <x v="0"/>
    <n v="1"/>
    <x v="1"/>
    <d v="2026-09-11T10:52:07"/>
    <x v="10"/>
    <x v="6"/>
    <x v="10"/>
    <s v="17IA14.70"/>
    <x v="1"/>
    <x v="1"/>
    <m/>
    <m/>
    <m/>
  </r>
  <r>
    <s v="YK263301702"/>
    <x v="2"/>
    <x v="2"/>
    <n v="1"/>
    <x v="3"/>
    <d v="2026-09-08T07:51:10"/>
    <x v="11"/>
    <x v="5"/>
    <x v="11"/>
    <s v="17IA14.80"/>
    <x v="1"/>
    <x v="1"/>
    <m/>
    <m/>
    <m/>
  </r>
  <r>
    <s v="YK263301703"/>
    <x v="9"/>
    <x v="9"/>
    <n v="1"/>
    <x v="3"/>
    <d v="2026-08-22T07:40:34"/>
    <x v="11"/>
    <x v="5"/>
    <x v="11"/>
    <s v="17IA14.80"/>
    <x v="1"/>
    <x v="1"/>
    <m/>
    <m/>
    <m/>
  </r>
  <r>
    <s v="YK263301704"/>
    <x v="9"/>
    <x v="9"/>
    <n v="1"/>
    <x v="3"/>
    <d v="2026-08-22T07:48:37"/>
    <x v="11"/>
    <x v="5"/>
    <x v="11"/>
    <s v="17IA14.80"/>
    <x v="1"/>
    <x v="1"/>
    <m/>
    <m/>
    <m/>
  </r>
  <r>
    <s v="YK263301705"/>
    <x v="7"/>
    <x v="7"/>
    <n v="1"/>
    <x v="3"/>
    <d v="2026-09-02T22:54:24"/>
    <x v="11"/>
    <x v="5"/>
    <x v="11"/>
    <s v="17IA14.80"/>
    <x v="1"/>
    <x v="1"/>
    <m/>
    <m/>
    <m/>
  </r>
  <r>
    <s v="YK263301706"/>
    <x v="9"/>
    <x v="9"/>
    <n v="1"/>
    <x v="3"/>
    <d v="2026-08-22T07:50:49"/>
    <x v="11"/>
    <x v="5"/>
    <x v="11"/>
    <s v="17IA14.80"/>
    <x v="1"/>
    <x v="1"/>
    <m/>
    <m/>
    <m/>
  </r>
  <r>
    <s v="YK263301707"/>
    <x v="7"/>
    <x v="7"/>
    <n v="1"/>
    <x v="3"/>
    <d v="2026-09-02T22:43:55"/>
    <x v="11"/>
    <x v="5"/>
    <x v="11"/>
    <s v="17IA14.80"/>
    <x v="1"/>
    <x v="1"/>
    <m/>
    <m/>
    <m/>
  </r>
  <r>
    <s v="YK263301708"/>
    <x v="9"/>
    <x v="9"/>
    <n v="1"/>
    <x v="3"/>
    <d v="2026-08-22T07:53:14"/>
    <x v="11"/>
    <x v="5"/>
    <x v="11"/>
    <s v="17IA14.80"/>
    <x v="1"/>
    <x v="1"/>
    <m/>
    <m/>
    <m/>
  </r>
  <r>
    <s v="YK263301709"/>
    <x v="7"/>
    <x v="7"/>
    <n v="1"/>
    <x v="3"/>
    <d v="2026-09-02T22:37:38"/>
    <x v="11"/>
    <x v="5"/>
    <x v="11"/>
    <s v="17IA14.80"/>
    <x v="1"/>
    <x v="1"/>
    <m/>
    <m/>
    <m/>
  </r>
  <r>
    <s v="YK263301710"/>
    <x v="7"/>
    <x v="7"/>
    <n v="1"/>
    <x v="3"/>
    <d v="2026-09-02T22:33:04"/>
    <x v="11"/>
    <x v="5"/>
    <x v="11"/>
    <s v="17IA14.80"/>
    <x v="1"/>
    <x v="1"/>
    <m/>
    <m/>
    <m/>
  </r>
  <r>
    <s v="YK263301711"/>
    <x v="9"/>
    <x v="9"/>
    <n v="1"/>
    <x v="3"/>
    <d v="2026-08-22T07:47:49"/>
    <x v="11"/>
    <x v="5"/>
    <x v="11"/>
    <s v="17IA14.80"/>
    <x v="1"/>
    <x v="1"/>
    <m/>
    <m/>
    <m/>
  </r>
  <r>
    <s v="YK263301712"/>
    <x v="7"/>
    <x v="7"/>
    <n v="1"/>
    <x v="3"/>
    <d v="2026-09-02T22:59:23"/>
    <x v="11"/>
    <x v="5"/>
    <x v="11"/>
    <s v="17IA14.80"/>
    <x v="1"/>
    <x v="1"/>
    <m/>
    <m/>
    <m/>
  </r>
  <r>
    <s v="YK263301713"/>
    <x v="9"/>
    <x v="9"/>
    <n v="1"/>
    <x v="3"/>
    <d v="2026-08-22T07:57:29"/>
    <x v="11"/>
    <x v="5"/>
    <x v="11"/>
    <s v="17IA14.80"/>
    <x v="1"/>
    <x v="1"/>
    <m/>
    <m/>
    <m/>
  </r>
  <r>
    <s v="YK263301714"/>
    <x v="2"/>
    <x v="2"/>
    <n v="1"/>
    <x v="3"/>
    <d v="2026-09-08T11:05:02"/>
    <x v="11"/>
    <x v="5"/>
    <x v="11"/>
    <s v="17IA14.80"/>
    <x v="1"/>
    <x v="1"/>
    <m/>
    <m/>
    <m/>
  </r>
  <r>
    <s v="YK263301715"/>
    <x v="9"/>
    <x v="9"/>
    <n v="1"/>
    <x v="3"/>
    <d v="2026-08-22T07:59:29"/>
    <x v="11"/>
    <x v="5"/>
    <x v="11"/>
    <s v="17IA14.80"/>
    <x v="1"/>
    <x v="1"/>
    <m/>
    <m/>
    <m/>
  </r>
  <r>
    <s v="YK263301716"/>
    <x v="7"/>
    <x v="7"/>
    <n v="1"/>
    <x v="3"/>
    <d v="2026-09-02T23:26:58"/>
    <x v="11"/>
    <x v="5"/>
    <x v="11"/>
    <s v="17IA14.80"/>
    <x v="1"/>
    <x v="1"/>
    <m/>
    <m/>
    <m/>
  </r>
  <r>
    <s v="YK263301717"/>
    <x v="7"/>
    <x v="7"/>
    <n v="1"/>
    <x v="3"/>
    <d v="2026-09-02T23:22:15"/>
    <x v="11"/>
    <x v="5"/>
    <x v="11"/>
    <s v="17IA14.80"/>
    <x v="1"/>
    <x v="1"/>
    <m/>
    <m/>
    <m/>
  </r>
  <r>
    <s v="YK263301718"/>
    <x v="7"/>
    <x v="7"/>
    <n v="1"/>
    <x v="3"/>
    <d v="2026-09-02T23:18:26"/>
    <x v="11"/>
    <x v="5"/>
    <x v="11"/>
    <s v="17IA14.80"/>
    <x v="1"/>
    <x v="1"/>
    <m/>
    <m/>
    <m/>
  </r>
  <r>
    <s v="YK263301719"/>
    <x v="7"/>
    <x v="7"/>
    <n v="1"/>
    <x v="3"/>
    <d v="2026-09-02T23:14:30"/>
    <x v="11"/>
    <x v="5"/>
    <x v="11"/>
    <s v="17IA14.80"/>
    <x v="1"/>
    <x v="1"/>
    <m/>
    <m/>
    <m/>
  </r>
  <r>
    <s v="YK263301720"/>
    <x v="9"/>
    <x v="9"/>
    <n v="1"/>
    <x v="3"/>
    <d v="2026-09-15T11:46:57"/>
    <x v="11"/>
    <x v="5"/>
    <x v="11"/>
    <s v="17IA14.80"/>
    <x v="1"/>
    <x v="1"/>
    <m/>
    <m/>
    <m/>
  </r>
  <r>
    <s v="YK263301721"/>
    <x v="7"/>
    <x v="7"/>
    <n v="1"/>
    <x v="3"/>
    <d v="2026-09-03T00:07:15"/>
    <x v="11"/>
    <x v="5"/>
    <x v="11"/>
    <s v="17IA14.80"/>
    <x v="1"/>
    <x v="1"/>
    <m/>
    <m/>
    <m/>
  </r>
  <r>
    <s v="YK263301722"/>
    <x v="6"/>
    <x v="6"/>
    <n v="1"/>
    <x v="7"/>
    <d v="2026-09-11T14:26:27"/>
    <x v="11"/>
    <x v="5"/>
    <x v="11"/>
    <s v="17IA14.80"/>
    <x v="1"/>
    <x v="1"/>
    <m/>
    <m/>
    <m/>
  </r>
  <r>
    <s v="YK263301723"/>
    <x v="7"/>
    <x v="7"/>
    <n v="1"/>
    <x v="3"/>
    <d v="2026-09-02T23:49:31"/>
    <x v="11"/>
    <x v="5"/>
    <x v="11"/>
    <s v="17IA14.80"/>
    <x v="1"/>
    <x v="1"/>
    <m/>
    <m/>
    <m/>
  </r>
  <r>
    <s v="YK263301724"/>
    <x v="7"/>
    <x v="7"/>
    <n v="1"/>
    <x v="3"/>
    <d v="2026-09-12T05:32:00"/>
    <x v="11"/>
    <x v="5"/>
    <x v="11"/>
    <s v="17IA14.80"/>
    <x v="1"/>
    <x v="1"/>
    <m/>
    <m/>
    <m/>
  </r>
  <r>
    <s v="YK263301725"/>
    <x v="7"/>
    <x v="7"/>
    <n v="1"/>
    <x v="3"/>
    <d v="2026-09-03T00:15:56"/>
    <x v="11"/>
    <x v="5"/>
    <x v="11"/>
    <s v="17IA14.80"/>
    <x v="1"/>
    <x v="1"/>
    <m/>
    <m/>
    <m/>
  </r>
  <r>
    <s v="YK263301726"/>
    <x v="2"/>
    <x v="2"/>
    <n v="1"/>
    <x v="3"/>
    <d v="2026-09-08T07:49:50"/>
    <x v="11"/>
    <x v="5"/>
    <x v="11"/>
    <s v="17IA14.80"/>
    <x v="1"/>
    <x v="1"/>
    <m/>
    <m/>
    <m/>
  </r>
  <r>
    <s v="YK263301727"/>
    <x v="7"/>
    <x v="7"/>
    <n v="1"/>
    <x v="3"/>
    <d v="2026-09-03T00:02:31"/>
    <x v="11"/>
    <x v="5"/>
    <x v="11"/>
    <s v="17IA14.80"/>
    <x v="1"/>
    <x v="1"/>
    <m/>
    <m/>
    <m/>
  </r>
  <r>
    <s v="YK263301728"/>
    <x v="7"/>
    <x v="7"/>
    <n v="1"/>
    <x v="3"/>
    <d v="2026-09-03T00:13:55"/>
    <x v="11"/>
    <x v="5"/>
    <x v="11"/>
    <s v="17IA14.80"/>
    <x v="1"/>
    <x v="1"/>
    <m/>
    <m/>
    <m/>
  </r>
  <r>
    <s v="YK263301729"/>
    <x v="7"/>
    <x v="7"/>
    <n v="1"/>
    <x v="3"/>
    <d v="2026-09-07T13:56:23"/>
    <x v="11"/>
    <x v="5"/>
    <x v="11"/>
    <s v="17IA14.80"/>
    <x v="1"/>
    <x v="1"/>
    <m/>
    <m/>
    <m/>
  </r>
  <r>
    <s v="YK263301730"/>
    <x v="7"/>
    <x v="7"/>
    <n v="1"/>
    <x v="3"/>
    <d v="2026-09-07T14:01:21"/>
    <x v="11"/>
    <x v="5"/>
    <x v="11"/>
    <s v="17IA14.80"/>
    <x v="1"/>
    <x v="1"/>
    <m/>
    <m/>
    <m/>
  </r>
  <r>
    <s v="YK263301731"/>
    <x v="7"/>
    <x v="7"/>
    <n v="1"/>
    <x v="3"/>
    <d v="2026-09-07T14:05:51"/>
    <x v="11"/>
    <x v="5"/>
    <x v="11"/>
    <s v="17IA14.80"/>
    <x v="1"/>
    <x v="1"/>
    <m/>
    <m/>
    <m/>
  </r>
  <r>
    <s v="YK263301732"/>
    <x v="10"/>
    <x v="10"/>
    <n v="1"/>
    <x v="7"/>
    <d v="2026-09-07T14:10:17"/>
    <x v="11"/>
    <x v="5"/>
    <x v="11"/>
    <s v="17IA14.80"/>
    <x v="1"/>
    <x v="1"/>
    <m/>
    <m/>
    <m/>
  </r>
  <r>
    <s v="YK263301733"/>
    <x v="7"/>
    <x v="7"/>
    <n v="1"/>
    <x v="3"/>
    <d v="2026-09-07T14:18:32"/>
    <x v="11"/>
    <x v="5"/>
    <x v="11"/>
    <s v="17IA14.80"/>
    <x v="1"/>
    <x v="1"/>
    <m/>
    <m/>
    <m/>
  </r>
  <r>
    <s v="YK263301734"/>
    <x v="2"/>
    <x v="2"/>
    <n v="1"/>
    <x v="3"/>
    <d v="2026-09-11T17:09:33"/>
    <x v="11"/>
    <x v="5"/>
    <x v="11"/>
    <s v="17IA14.80"/>
    <x v="1"/>
    <x v="1"/>
    <m/>
    <m/>
    <m/>
  </r>
  <r>
    <s v="YK263301735"/>
    <x v="2"/>
    <x v="2"/>
    <n v="1"/>
    <x v="3"/>
    <d v="2026-09-11T17:06:57"/>
    <x v="11"/>
    <x v="5"/>
    <x v="11"/>
    <s v="17IA14.80"/>
    <x v="1"/>
    <x v="1"/>
    <m/>
    <m/>
    <m/>
  </r>
  <r>
    <s v="YK263301736"/>
    <x v="7"/>
    <x v="7"/>
    <n v="1"/>
    <x v="3"/>
    <d v="2026-09-07T14:22:35"/>
    <x v="11"/>
    <x v="5"/>
    <x v="11"/>
    <s v="17IA14.80"/>
    <x v="1"/>
    <x v="1"/>
    <m/>
    <m/>
    <m/>
  </r>
  <r>
    <s v="YK263301737"/>
    <x v="7"/>
    <x v="7"/>
    <n v="1"/>
    <x v="3"/>
    <d v="2026-09-07T16:20:14"/>
    <x v="11"/>
    <x v="5"/>
    <x v="11"/>
    <s v="17IA14.80"/>
    <x v="1"/>
    <x v="1"/>
    <m/>
    <m/>
    <m/>
  </r>
  <r>
    <s v="YK263301738"/>
    <x v="2"/>
    <x v="2"/>
    <n v="1"/>
    <x v="3"/>
    <d v="2026-09-11T16:37:11"/>
    <x v="11"/>
    <x v="5"/>
    <x v="11"/>
    <s v="17IA14.80"/>
    <x v="1"/>
    <x v="1"/>
    <m/>
    <m/>
    <m/>
  </r>
  <r>
    <s v="YK263301739"/>
    <x v="2"/>
    <x v="2"/>
    <n v="1"/>
    <x v="3"/>
    <d v="2026-09-11T17:11:57"/>
    <x v="11"/>
    <x v="5"/>
    <x v="11"/>
    <s v="17IA14.80"/>
    <x v="1"/>
    <x v="1"/>
    <m/>
    <m/>
    <m/>
  </r>
  <r>
    <s v="YK263301740"/>
    <x v="7"/>
    <x v="7"/>
    <n v="1"/>
    <x v="3"/>
    <d v="2026-09-07T21:35:35"/>
    <x v="11"/>
    <x v="5"/>
    <x v="11"/>
    <s v="17IA14.80"/>
    <x v="1"/>
    <x v="1"/>
    <m/>
    <m/>
    <m/>
  </r>
  <r>
    <s v="YK263301741"/>
    <x v="2"/>
    <x v="2"/>
    <n v="1"/>
    <x v="3"/>
    <d v="2026-09-10T14:57:41"/>
    <x v="11"/>
    <x v="5"/>
    <x v="11"/>
    <s v="17IA14.80"/>
    <x v="1"/>
    <x v="1"/>
    <m/>
    <m/>
    <m/>
  </r>
  <r>
    <s v="YK263301742"/>
    <x v="7"/>
    <x v="7"/>
    <n v="1"/>
    <x v="3"/>
    <d v="2026-09-10T12:44:15"/>
    <x v="11"/>
    <x v="5"/>
    <x v="11"/>
    <s v="17IA14.80"/>
    <x v="1"/>
    <x v="1"/>
    <m/>
    <m/>
    <m/>
  </r>
  <r>
    <s v="YK263301743"/>
    <x v="7"/>
    <x v="7"/>
    <n v="1"/>
    <x v="3"/>
    <d v="2026-09-10T12:46:48"/>
    <x v="11"/>
    <x v="5"/>
    <x v="11"/>
    <s v="17IA14.80"/>
    <x v="1"/>
    <x v="1"/>
    <m/>
    <m/>
    <m/>
  </r>
  <r>
    <s v="YK263301744"/>
    <x v="10"/>
    <x v="10"/>
    <n v="1"/>
    <x v="7"/>
    <d v="2026-08-31T13:59:28"/>
    <x v="11"/>
    <x v="5"/>
    <x v="11"/>
    <s v="17IA14.80"/>
    <x v="1"/>
    <x v="1"/>
    <m/>
    <m/>
    <m/>
  </r>
  <r>
    <s v="YK263301745"/>
    <x v="10"/>
    <x v="10"/>
    <n v="1"/>
    <x v="7"/>
    <d v="2026-08-31T13:55:28"/>
    <x v="11"/>
    <x v="5"/>
    <x v="11"/>
    <s v="17IA14.80"/>
    <x v="1"/>
    <x v="1"/>
    <m/>
    <m/>
    <m/>
  </r>
  <r>
    <s v="YK263301746"/>
    <x v="7"/>
    <x v="7"/>
    <n v="1"/>
    <x v="3"/>
    <d v="2026-09-10T12:49:41"/>
    <x v="11"/>
    <x v="5"/>
    <x v="11"/>
    <s v="17IA14.80"/>
    <x v="1"/>
    <x v="1"/>
    <m/>
    <m/>
    <m/>
  </r>
  <r>
    <s v="YK263301747"/>
    <x v="7"/>
    <x v="7"/>
    <n v="1"/>
    <x v="3"/>
    <d v="2026-09-10T12:42:06"/>
    <x v="11"/>
    <x v="5"/>
    <x v="11"/>
    <s v="17IA14.80"/>
    <x v="1"/>
    <x v="1"/>
    <m/>
    <m/>
    <m/>
  </r>
  <r>
    <s v="YK263301748"/>
    <x v="7"/>
    <x v="7"/>
    <n v="1"/>
    <x v="3"/>
    <d v="2026-09-07T21:05:02"/>
    <x v="11"/>
    <x v="5"/>
    <x v="11"/>
    <s v="17IA14.80"/>
    <x v="1"/>
    <x v="1"/>
    <m/>
    <m/>
    <m/>
  </r>
  <r>
    <s v="YK263301749"/>
    <x v="2"/>
    <x v="2"/>
    <n v="1"/>
    <x v="3"/>
    <d v="2026-09-15T19:12:52"/>
    <x v="11"/>
    <x v="5"/>
    <x v="11"/>
    <s v="17IA14.80"/>
    <x v="1"/>
    <x v="1"/>
    <m/>
    <m/>
    <m/>
  </r>
  <r>
    <s v="YK263301750"/>
    <x v="2"/>
    <x v="2"/>
    <n v="1"/>
    <x v="3"/>
    <d v="2026-09-10T14:50:31"/>
    <x v="11"/>
    <x v="5"/>
    <x v="11"/>
    <s v="17IA14.80"/>
    <x v="1"/>
    <x v="1"/>
    <m/>
    <m/>
    <m/>
  </r>
  <r>
    <s v="YK263301751"/>
    <x v="10"/>
    <x v="10"/>
    <n v="1"/>
    <x v="7"/>
    <d v="2026-09-12T06:18:56"/>
    <x v="11"/>
    <x v="5"/>
    <x v="11"/>
    <s v="17IA14.80"/>
    <x v="1"/>
    <x v="1"/>
    <m/>
    <m/>
    <m/>
  </r>
  <r>
    <s v="YK263301752"/>
    <x v="10"/>
    <x v="10"/>
    <n v="1"/>
    <x v="7"/>
    <d v="2026-09-12T06:16:21"/>
    <x v="11"/>
    <x v="5"/>
    <x v="11"/>
    <s v="17IA14.80"/>
    <x v="1"/>
    <x v="1"/>
    <m/>
    <m/>
    <m/>
  </r>
  <r>
    <s v="YK263301753"/>
    <x v="2"/>
    <x v="2"/>
    <n v="1"/>
    <x v="3"/>
    <d v="2026-09-11T16:36:20"/>
    <x v="11"/>
    <x v="5"/>
    <x v="11"/>
    <s v="17IA14.80"/>
    <x v="1"/>
    <x v="1"/>
    <m/>
    <m/>
    <m/>
  </r>
  <r>
    <s v="YK263301754"/>
    <x v="10"/>
    <x v="10"/>
    <n v="1"/>
    <x v="7"/>
    <d v="2026-09-12T06:15:21"/>
    <x v="11"/>
    <x v="5"/>
    <x v="11"/>
    <s v="17IA14.80"/>
    <x v="1"/>
    <x v="1"/>
    <m/>
    <m/>
    <m/>
  </r>
  <r>
    <s v="YK263301755"/>
    <x v="2"/>
    <x v="2"/>
    <n v="1"/>
    <x v="3"/>
    <d v="2026-09-11T16:34:38"/>
    <x v="11"/>
    <x v="5"/>
    <x v="11"/>
    <s v="17IA14.80"/>
    <x v="1"/>
    <x v="1"/>
    <m/>
    <m/>
    <m/>
  </r>
  <r>
    <s v="YK263301756"/>
    <x v="2"/>
    <x v="2"/>
    <n v="1"/>
    <x v="3"/>
    <d v="2026-09-11T16:34:12"/>
    <x v="11"/>
    <x v="5"/>
    <x v="11"/>
    <s v="17IA14.80"/>
    <x v="1"/>
    <x v="1"/>
    <m/>
    <m/>
    <m/>
  </r>
  <r>
    <s v="YK263301757"/>
    <x v="2"/>
    <x v="2"/>
    <n v="1"/>
    <x v="3"/>
    <d v="2026-09-15T19:12:37"/>
    <x v="11"/>
    <x v="5"/>
    <x v="11"/>
    <s v="17IA14.80"/>
    <x v="1"/>
    <x v="1"/>
    <m/>
    <m/>
    <m/>
  </r>
  <r>
    <s v="YK263301758"/>
    <x v="2"/>
    <x v="2"/>
    <n v="1"/>
    <x v="3"/>
    <d v="2026-09-11T17:12:21"/>
    <x v="11"/>
    <x v="5"/>
    <x v="11"/>
    <s v="17IA14.80"/>
    <x v="1"/>
    <x v="1"/>
    <m/>
    <m/>
    <m/>
  </r>
  <r>
    <s v="YK263301759"/>
    <x v="7"/>
    <x v="7"/>
    <n v="1"/>
    <x v="3"/>
    <d v="2026-09-03T00:19:26"/>
    <x v="11"/>
    <x v="5"/>
    <x v="11"/>
    <s v="17IA14.80"/>
    <x v="1"/>
    <x v="1"/>
    <m/>
    <m/>
    <m/>
  </r>
  <r>
    <s v="YK263301760"/>
    <x v="2"/>
    <x v="2"/>
    <n v="1"/>
    <x v="3"/>
    <d v="2026-09-11T16:37:43"/>
    <x v="11"/>
    <x v="5"/>
    <x v="11"/>
    <s v="17IA14.80"/>
    <x v="1"/>
    <x v="1"/>
    <m/>
    <m/>
    <m/>
  </r>
  <r>
    <s v="YK263301761"/>
    <x v="2"/>
    <x v="2"/>
    <n v="1"/>
    <x v="3"/>
    <d v="2026-09-11T17:08:53"/>
    <x v="11"/>
    <x v="5"/>
    <x v="11"/>
    <s v="17IA14.80"/>
    <x v="1"/>
    <x v="1"/>
    <m/>
    <m/>
    <m/>
  </r>
  <r>
    <s v="YK263301762"/>
    <x v="6"/>
    <x v="6"/>
    <n v="1"/>
    <x v="7"/>
    <d v="2026-09-07T15:05:32"/>
    <x v="11"/>
    <x v="5"/>
    <x v="11"/>
    <s v="17IA14.80"/>
    <x v="1"/>
    <x v="1"/>
    <m/>
    <m/>
    <m/>
  </r>
  <r>
    <s v="YK263301763"/>
    <x v="10"/>
    <x v="10"/>
    <n v="1"/>
    <x v="7"/>
    <d v="2026-09-12T06:22:13"/>
    <x v="11"/>
    <x v="5"/>
    <x v="11"/>
    <s v="17IA14.80"/>
    <x v="1"/>
    <x v="1"/>
    <m/>
    <m/>
    <m/>
  </r>
  <r>
    <s v="YK263301764"/>
    <x v="6"/>
    <x v="6"/>
    <n v="1"/>
    <x v="7"/>
    <d v="2026-09-07T14:54:10"/>
    <x v="11"/>
    <x v="5"/>
    <x v="11"/>
    <s v="17IA14.80"/>
    <x v="1"/>
    <x v="1"/>
    <m/>
    <m/>
    <m/>
  </r>
  <r>
    <s v="YK263301765"/>
    <x v="2"/>
    <x v="2"/>
    <n v="1"/>
    <x v="3"/>
    <d v="2026-09-11T16:32:48"/>
    <x v="11"/>
    <x v="5"/>
    <x v="11"/>
    <s v="17IA14.80"/>
    <x v="1"/>
    <x v="1"/>
    <m/>
    <m/>
    <m/>
  </r>
  <r>
    <s v="YK263301766"/>
    <x v="9"/>
    <x v="9"/>
    <n v="1"/>
    <x v="3"/>
    <d v="2026-09-15T11:17:21"/>
    <x v="11"/>
    <x v="5"/>
    <x v="11"/>
    <s v="17IA14.80"/>
    <x v="1"/>
    <x v="1"/>
    <m/>
    <m/>
    <m/>
  </r>
  <r>
    <s v="YK263301767"/>
    <x v="10"/>
    <x v="10"/>
    <n v="1"/>
    <x v="7"/>
    <d v="2026-09-07T09:57:21"/>
    <x v="11"/>
    <x v="5"/>
    <x v="11"/>
    <s v="17IA14.80"/>
    <x v="1"/>
    <x v="1"/>
    <m/>
    <m/>
    <m/>
  </r>
  <r>
    <s v="YK263301768"/>
    <x v="10"/>
    <x v="10"/>
    <n v="1"/>
    <x v="7"/>
    <d v="2026-09-07T09:52:20"/>
    <x v="11"/>
    <x v="5"/>
    <x v="11"/>
    <s v="17IA14.80"/>
    <x v="1"/>
    <x v="1"/>
    <m/>
    <m/>
    <m/>
  </r>
  <r>
    <s v="YK263301769"/>
    <x v="10"/>
    <x v="10"/>
    <n v="1"/>
    <x v="7"/>
    <d v="2026-09-12T06:05:04"/>
    <x v="11"/>
    <x v="5"/>
    <x v="11"/>
    <s v="17IA14.80"/>
    <x v="1"/>
    <x v="1"/>
    <m/>
    <m/>
    <m/>
  </r>
  <r>
    <s v="YK263301770"/>
    <x v="6"/>
    <x v="6"/>
    <n v="1"/>
    <x v="7"/>
    <d v="2026-09-07T15:17:57"/>
    <x v="11"/>
    <x v="5"/>
    <x v="11"/>
    <s v="17IA14.80"/>
    <x v="1"/>
    <x v="1"/>
    <m/>
    <m/>
    <m/>
  </r>
  <r>
    <s v="YK263301771"/>
    <x v="6"/>
    <x v="6"/>
    <n v="1"/>
    <x v="7"/>
    <d v="2026-09-10T10:58:08"/>
    <x v="11"/>
    <x v="5"/>
    <x v="11"/>
    <s v="17IA14.80"/>
    <x v="1"/>
    <x v="1"/>
    <m/>
    <m/>
    <m/>
  </r>
  <r>
    <s v="YK263301772"/>
    <x v="2"/>
    <x v="2"/>
    <n v="1"/>
    <x v="3"/>
    <d v="2026-09-11T16:33:25"/>
    <x v="11"/>
    <x v="5"/>
    <x v="11"/>
    <s v="17IA14.80"/>
    <x v="1"/>
    <x v="1"/>
    <m/>
    <m/>
    <m/>
  </r>
  <r>
    <s v="YK263301773"/>
    <x v="6"/>
    <x v="6"/>
    <n v="1"/>
    <x v="7"/>
    <d v="2026-09-11T14:28:23"/>
    <x v="11"/>
    <x v="5"/>
    <x v="11"/>
    <s v="17IA14.80"/>
    <x v="1"/>
    <x v="1"/>
    <m/>
    <m/>
    <m/>
  </r>
  <r>
    <s v="YK263301774"/>
    <x v="2"/>
    <x v="2"/>
    <n v="1"/>
    <x v="3"/>
    <d v="2026-09-08T07:52:24"/>
    <x v="11"/>
    <x v="5"/>
    <x v="11"/>
    <s v="17IA14.80"/>
    <x v="1"/>
    <x v="1"/>
    <m/>
    <m/>
    <m/>
  </r>
  <r>
    <s v="YK263301775"/>
    <x v="10"/>
    <x v="10"/>
    <n v="1"/>
    <x v="7"/>
    <d v="2026-09-07T10:55:24"/>
    <x v="11"/>
    <x v="5"/>
    <x v="11"/>
    <s v="17IA14.80"/>
    <x v="1"/>
    <x v="1"/>
    <m/>
    <m/>
    <m/>
  </r>
  <r>
    <s v="YK263301776"/>
    <x v="7"/>
    <x v="7"/>
    <n v="1"/>
    <x v="3"/>
    <d v="2026-09-07T10:48:02"/>
    <x v="11"/>
    <x v="5"/>
    <x v="11"/>
    <s v="17IA14.80"/>
    <x v="1"/>
    <x v="1"/>
    <m/>
    <m/>
    <m/>
  </r>
  <r>
    <s v="YK263301777"/>
    <x v="2"/>
    <x v="2"/>
    <n v="1"/>
    <x v="3"/>
    <d v="2026-09-11T17:07:46"/>
    <x v="11"/>
    <x v="5"/>
    <x v="11"/>
    <s v="17IA14.80"/>
    <x v="1"/>
    <x v="1"/>
    <m/>
    <m/>
    <m/>
  </r>
  <r>
    <s v="YK263301778"/>
    <x v="7"/>
    <x v="7"/>
    <n v="1"/>
    <x v="3"/>
    <d v="2026-09-07T10:27:05"/>
    <x v="11"/>
    <x v="5"/>
    <x v="11"/>
    <s v="17IA14.80"/>
    <x v="1"/>
    <x v="1"/>
    <m/>
    <m/>
    <m/>
  </r>
  <r>
    <s v="YK263301779"/>
    <x v="7"/>
    <x v="7"/>
    <n v="1"/>
    <x v="3"/>
    <d v="2026-09-02T18:14:36"/>
    <x v="11"/>
    <x v="5"/>
    <x v="11"/>
    <s v="17IA14.80"/>
    <x v="1"/>
    <x v="1"/>
    <m/>
    <m/>
    <m/>
  </r>
  <r>
    <s v="YK263301780"/>
    <x v="7"/>
    <x v="7"/>
    <n v="1"/>
    <x v="3"/>
    <d v="2026-09-02T20:25:50"/>
    <x v="11"/>
    <x v="5"/>
    <x v="11"/>
    <s v="17IA14.80"/>
    <x v="1"/>
    <x v="1"/>
    <m/>
    <m/>
    <m/>
  </r>
  <r>
    <s v="YK263301781"/>
    <x v="9"/>
    <x v="9"/>
    <n v="1"/>
    <x v="3"/>
    <d v="2026-08-25T13:56:45"/>
    <x v="11"/>
    <x v="5"/>
    <x v="11"/>
    <s v="17IA14.80"/>
    <x v="1"/>
    <x v="1"/>
    <m/>
    <m/>
    <m/>
  </r>
  <r>
    <s v="YK263301782"/>
    <x v="7"/>
    <x v="7"/>
    <n v="1"/>
    <x v="3"/>
    <d v="2026-09-02T20:21:38"/>
    <x v="11"/>
    <x v="5"/>
    <x v="11"/>
    <s v="17IA14.80"/>
    <x v="1"/>
    <x v="1"/>
    <m/>
    <m/>
    <m/>
  </r>
  <r>
    <s v="YK263301783"/>
    <x v="7"/>
    <x v="7"/>
    <n v="1"/>
    <x v="3"/>
    <d v="2026-09-02T20:44:37"/>
    <x v="11"/>
    <x v="5"/>
    <x v="11"/>
    <s v="17IA14.80"/>
    <x v="1"/>
    <x v="1"/>
    <m/>
    <m/>
    <m/>
  </r>
  <r>
    <s v="YK263301784"/>
    <x v="9"/>
    <x v="9"/>
    <n v="1"/>
    <x v="3"/>
    <d v="2026-09-15T11:25:10"/>
    <x v="11"/>
    <x v="5"/>
    <x v="11"/>
    <s v="17IA14.80"/>
    <x v="1"/>
    <x v="1"/>
    <m/>
    <m/>
    <m/>
  </r>
  <r>
    <s v="YK263301785"/>
    <x v="7"/>
    <x v="7"/>
    <n v="1"/>
    <x v="3"/>
    <d v="2026-09-02T19:40:04"/>
    <x v="11"/>
    <x v="5"/>
    <x v="11"/>
    <s v="17IA14.80"/>
    <x v="1"/>
    <x v="1"/>
    <m/>
    <m/>
    <m/>
  </r>
  <r>
    <s v="YK263301786"/>
    <x v="7"/>
    <x v="7"/>
    <n v="1"/>
    <x v="3"/>
    <d v="2026-09-02T22:11:46"/>
    <x v="11"/>
    <x v="5"/>
    <x v="11"/>
    <s v="17IA14.80"/>
    <x v="1"/>
    <x v="1"/>
    <m/>
    <m/>
    <m/>
  </r>
  <r>
    <s v="YK263301787"/>
    <x v="7"/>
    <x v="7"/>
    <n v="1"/>
    <x v="3"/>
    <d v="2026-09-02T22:03:59"/>
    <x v="11"/>
    <x v="5"/>
    <x v="11"/>
    <s v="17IA14.80"/>
    <x v="1"/>
    <x v="1"/>
    <m/>
    <m/>
    <m/>
  </r>
  <r>
    <s v="YK263301788"/>
    <x v="7"/>
    <x v="7"/>
    <n v="1"/>
    <x v="3"/>
    <d v="2026-09-02T21:54:43"/>
    <x v="11"/>
    <x v="5"/>
    <x v="11"/>
    <s v="17IA14.80"/>
    <x v="1"/>
    <x v="1"/>
    <m/>
    <m/>
    <m/>
  </r>
  <r>
    <s v="YK263301789"/>
    <x v="7"/>
    <x v="7"/>
    <n v="1"/>
    <x v="3"/>
    <d v="2026-09-02T20:54:03"/>
    <x v="11"/>
    <x v="5"/>
    <x v="11"/>
    <s v="17IA14.80"/>
    <x v="1"/>
    <x v="1"/>
    <m/>
    <m/>
    <m/>
  </r>
  <r>
    <s v="YK263301790"/>
    <x v="7"/>
    <x v="7"/>
    <n v="1"/>
    <x v="3"/>
    <d v="2026-09-02T19:34:21"/>
    <x v="11"/>
    <x v="5"/>
    <x v="11"/>
    <s v="17IA14.80"/>
    <x v="1"/>
    <x v="1"/>
    <m/>
    <m/>
    <m/>
  </r>
  <r>
    <s v="YK263301791"/>
    <x v="9"/>
    <x v="9"/>
    <n v="1"/>
    <x v="3"/>
    <d v="2026-08-25T15:08:08"/>
    <x v="11"/>
    <x v="5"/>
    <x v="11"/>
    <s v="17IA14.80"/>
    <x v="1"/>
    <x v="1"/>
    <m/>
    <m/>
    <m/>
  </r>
  <r>
    <s v="YK263301792"/>
    <x v="7"/>
    <x v="7"/>
    <n v="1"/>
    <x v="3"/>
    <d v="2026-09-02T18:20:33"/>
    <x v="11"/>
    <x v="5"/>
    <x v="11"/>
    <s v="17IA14.80"/>
    <x v="1"/>
    <x v="1"/>
    <m/>
    <m/>
    <m/>
  </r>
  <r>
    <s v="YK263301793"/>
    <x v="7"/>
    <x v="7"/>
    <n v="1"/>
    <x v="3"/>
    <d v="2026-09-02T20:03:30"/>
    <x v="11"/>
    <x v="5"/>
    <x v="11"/>
    <s v="17IA14.80"/>
    <x v="1"/>
    <x v="1"/>
    <m/>
    <m/>
    <m/>
  </r>
  <r>
    <s v="YK263301794"/>
    <x v="7"/>
    <x v="7"/>
    <n v="1"/>
    <x v="3"/>
    <d v="2026-09-02T20:39:59"/>
    <x v="11"/>
    <x v="5"/>
    <x v="11"/>
    <s v="17IA14.80"/>
    <x v="1"/>
    <x v="1"/>
    <m/>
    <m/>
    <m/>
  </r>
  <r>
    <s v="YK263301795"/>
    <x v="7"/>
    <x v="7"/>
    <n v="1"/>
    <x v="3"/>
    <d v="2026-09-02T20:34:29"/>
    <x v="11"/>
    <x v="5"/>
    <x v="11"/>
    <s v="17IA14.80"/>
    <x v="1"/>
    <x v="1"/>
    <m/>
    <m/>
    <m/>
  </r>
  <r>
    <s v="YK263301796"/>
    <x v="7"/>
    <x v="7"/>
    <n v="1"/>
    <x v="3"/>
    <d v="2026-09-02T19:52:31"/>
    <x v="11"/>
    <x v="5"/>
    <x v="11"/>
    <s v="17IA14.80"/>
    <x v="1"/>
    <x v="1"/>
    <m/>
    <m/>
    <m/>
  </r>
  <r>
    <s v="YK263301797"/>
    <x v="7"/>
    <x v="7"/>
    <n v="1"/>
    <x v="3"/>
    <d v="2026-09-02T19:46:33"/>
    <x v="11"/>
    <x v="5"/>
    <x v="11"/>
    <s v="17IA14.80"/>
    <x v="1"/>
    <x v="1"/>
    <m/>
    <m/>
    <m/>
  </r>
  <r>
    <s v="YK263301798"/>
    <x v="7"/>
    <x v="7"/>
    <n v="1"/>
    <x v="3"/>
    <d v="2026-09-02T20:58:35"/>
    <x v="11"/>
    <x v="5"/>
    <x v="11"/>
    <s v="17IA14.80"/>
    <x v="1"/>
    <x v="1"/>
    <m/>
    <m/>
    <m/>
  </r>
  <r>
    <s v="YK263301799"/>
    <x v="7"/>
    <x v="7"/>
    <n v="1"/>
    <x v="3"/>
    <d v="2026-09-02T21:50:51"/>
    <x v="11"/>
    <x v="5"/>
    <x v="11"/>
    <s v="17IA14.80"/>
    <x v="1"/>
    <x v="1"/>
    <m/>
    <m/>
    <m/>
  </r>
  <r>
    <s v="YK263301800"/>
    <x v="7"/>
    <x v="7"/>
    <n v="1"/>
    <x v="3"/>
    <d v="2026-09-02T21:47:00"/>
    <x v="11"/>
    <x v="5"/>
    <x v="11"/>
    <s v="17IA14.80"/>
    <x v="1"/>
    <x v="1"/>
    <m/>
    <m/>
    <m/>
  </r>
  <r>
    <s v="YK263301801"/>
    <x v="7"/>
    <x v="7"/>
    <n v="1"/>
    <x v="3"/>
    <d v="2026-09-02T21:58:32"/>
    <x v="11"/>
    <x v="5"/>
    <x v="11"/>
    <s v="17IA14.80"/>
    <x v="1"/>
    <x v="1"/>
    <m/>
    <m/>
    <m/>
  </r>
  <r>
    <s v="YK263301802"/>
    <x v="7"/>
    <x v="7"/>
    <n v="1"/>
    <x v="3"/>
    <d v="2026-09-02T19:29:26"/>
    <x v="11"/>
    <x v="5"/>
    <x v="11"/>
    <s v="17IA14.80"/>
    <x v="1"/>
    <x v="1"/>
    <m/>
    <m/>
    <m/>
  </r>
  <r>
    <s v="YK263301803"/>
    <x v="2"/>
    <x v="2"/>
    <n v="1"/>
    <x v="3"/>
    <d v="2026-09-08T11:04:34"/>
    <x v="11"/>
    <x v="5"/>
    <x v="11"/>
    <s v="17IA14.80"/>
    <x v="1"/>
    <x v="1"/>
    <m/>
    <m/>
    <m/>
  </r>
  <r>
    <s v="YK263301804"/>
    <x v="7"/>
    <x v="7"/>
    <n v="1"/>
    <x v="3"/>
    <d v="2026-09-01T07:21:10"/>
    <x v="11"/>
    <x v="5"/>
    <x v="11"/>
    <s v="17IA14.80"/>
    <x v="1"/>
    <x v="1"/>
    <m/>
    <m/>
    <m/>
  </r>
  <r>
    <s v="YK263301805"/>
    <x v="2"/>
    <x v="2"/>
    <n v="1"/>
    <x v="3"/>
    <d v="2026-09-05T12:14:47"/>
    <x v="11"/>
    <x v="5"/>
    <x v="11"/>
    <s v="17IA14.80"/>
    <x v="1"/>
    <x v="1"/>
    <m/>
    <m/>
    <m/>
  </r>
  <r>
    <s v="YK263301806"/>
    <x v="7"/>
    <x v="7"/>
    <n v="1"/>
    <x v="3"/>
    <d v="2026-09-01T09:26:28"/>
    <x v="11"/>
    <x v="5"/>
    <x v="11"/>
    <s v="17IA14.80"/>
    <x v="1"/>
    <x v="1"/>
    <m/>
    <m/>
    <m/>
  </r>
  <r>
    <s v="YK263301807"/>
    <x v="7"/>
    <x v="7"/>
    <n v="1"/>
    <x v="3"/>
    <d v="2026-09-02T17:48:33"/>
    <x v="11"/>
    <x v="5"/>
    <x v="11"/>
    <s v="17IA14.80"/>
    <x v="1"/>
    <x v="1"/>
    <m/>
    <m/>
    <m/>
  </r>
  <r>
    <s v="YK263301808"/>
    <x v="7"/>
    <x v="7"/>
    <n v="1"/>
    <x v="3"/>
    <d v="2026-09-02T18:56:58"/>
    <x v="11"/>
    <x v="5"/>
    <x v="11"/>
    <s v="17IA14.80"/>
    <x v="1"/>
    <x v="1"/>
    <m/>
    <m/>
    <m/>
  </r>
  <r>
    <s v="YK263301809"/>
    <x v="10"/>
    <x v="10"/>
    <n v="1"/>
    <x v="7"/>
    <d v="2026-09-12T06:10:59"/>
    <x v="11"/>
    <x v="5"/>
    <x v="11"/>
    <s v="17IA14.80"/>
    <x v="1"/>
    <x v="1"/>
    <m/>
    <m/>
    <m/>
  </r>
  <r>
    <s v="YK263301810"/>
    <x v="9"/>
    <x v="9"/>
    <n v="1"/>
    <x v="3"/>
    <d v="2026-09-15T11:26:37"/>
    <x v="11"/>
    <x v="5"/>
    <x v="11"/>
    <s v="17IA14.80"/>
    <x v="1"/>
    <x v="1"/>
    <m/>
    <m/>
    <m/>
  </r>
  <r>
    <s v="YK263301811"/>
    <x v="9"/>
    <x v="9"/>
    <n v="1"/>
    <x v="3"/>
    <d v="2026-08-25T15:16:01"/>
    <x v="11"/>
    <x v="5"/>
    <x v="11"/>
    <s v="17IA14.80"/>
    <x v="1"/>
    <x v="1"/>
    <m/>
    <m/>
    <m/>
  </r>
  <r>
    <s v="YK263301812"/>
    <x v="2"/>
    <x v="2"/>
    <n v="1"/>
    <x v="3"/>
    <d v="2026-09-05T12:13:15"/>
    <x v="11"/>
    <x v="5"/>
    <x v="11"/>
    <s v="17IA14.80"/>
    <x v="1"/>
    <x v="1"/>
    <m/>
    <m/>
    <m/>
  </r>
  <r>
    <s v="YK263301813"/>
    <x v="7"/>
    <x v="7"/>
    <n v="1"/>
    <x v="3"/>
    <d v="2026-08-31T23:14:39"/>
    <x v="11"/>
    <x v="5"/>
    <x v="11"/>
    <s v="17IA14.80"/>
    <x v="1"/>
    <x v="1"/>
    <m/>
    <m/>
    <m/>
  </r>
  <r>
    <s v="YK263301814"/>
    <x v="9"/>
    <x v="9"/>
    <n v="1"/>
    <x v="3"/>
    <d v="2026-09-15T11:49:17"/>
    <x v="11"/>
    <x v="5"/>
    <x v="11"/>
    <s v="17IA14.80"/>
    <x v="1"/>
    <x v="1"/>
    <m/>
    <m/>
    <m/>
  </r>
  <r>
    <s v="YK263301815"/>
    <x v="7"/>
    <x v="7"/>
    <n v="1"/>
    <x v="3"/>
    <d v="2026-08-31T23:37:04"/>
    <x v="11"/>
    <x v="5"/>
    <x v="11"/>
    <s v="17IA14.80"/>
    <x v="1"/>
    <x v="1"/>
    <m/>
    <m/>
    <m/>
  </r>
  <r>
    <s v="YK263301816"/>
    <x v="10"/>
    <x v="10"/>
    <n v="1"/>
    <x v="7"/>
    <d v="2026-09-01T07:22:03"/>
    <x v="11"/>
    <x v="5"/>
    <x v="11"/>
    <s v="17IA14.80"/>
    <x v="1"/>
    <x v="1"/>
    <m/>
    <m/>
    <m/>
  </r>
  <r>
    <s v="YK263301817"/>
    <x v="7"/>
    <x v="7"/>
    <n v="1"/>
    <x v="3"/>
    <d v="2026-09-01T07:34:43"/>
    <x v="11"/>
    <x v="5"/>
    <x v="11"/>
    <s v="17IA14.80"/>
    <x v="1"/>
    <x v="1"/>
    <m/>
    <m/>
    <m/>
  </r>
  <r>
    <s v="YK263301818"/>
    <x v="7"/>
    <x v="7"/>
    <n v="1"/>
    <x v="3"/>
    <d v="2026-09-01T09:26:35"/>
    <x v="11"/>
    <x v="5"/>
    <x v="11"/>
    <s v="17IA14.80"/>
    <x v="1"/>
    <x v="1"/>
    <m/>
    <m/>
    <m/>
  </r>
  <r>
    <s v="YK263301819"/>
    <x v="10"/>
    <x v="10"/>
    <n v="1"/>
    <x v="7"/>
    <d v="2026-09-01T08:16:19"/>
    <x v="11"/>
    <x v="5"/>
    <x v="11"/>
    <s v="17IA14.80"/>
    <x v="1"/>
    <x v="1"/>
    <m/>
    <m/>
    <m/>
  </r>
  <r>
    <s v="YK263301820"/>
    <x v="9"/>
    <x v="9"/>
    <n v="1"/>
    <x v="3"/>
    <d v="2026-09-15T11:13:38"/>
    <x v="11"/>
    <x v="5"/>
    <x v="11"/>
    <s v="17IA14.80"/>
    <x v="1"/>
    <x v="1"/>
    <m/>
    <m/>
    <m/>
  </r>
  <r>
    <s v="YK263301821"/>
    <x v="10"/>
    <x v="10"/>
    <n v="1"/>
    <x v="7"/>
    <d v="2026-09-12T06:06:57"/>
    <x v="11"/>
    <x v="5"/>
    <x v="11"/>
    <s v="17IA14.80"/>
    <x v="1"/>
    <x v="1"/>
    <m/>
    <m/>
    <m/>
  </r>
  <r>
    <s v="YK263301822"/>
    <x v="7"/>
    <x v="7"/>
    <n v="1"/>
    <x v="3"/>
    <d v="2026-09-01T11:06:55"/>
    <x v="11"/>
    <x v="5"/>
    <x v="11"/>
    <s v="17IA14.80"/>
    <x v="1"/>
    <x v="1"/>
    <m/>
    <m/>
    <m/>
  </r>
  <r>
    <s v="YK263301823"/>
    <x v="9"/>
    <x v="9"/>
    <n v="1"/>
    <x v="3"/>
    <d v="2026-08-25T15:21:11"/>
    <x v="11"/>
    <x v="5"/>
    <x v="11"/>
    <s v="17IA14.80"/>
    <x v="1"/>
    <x v="1"/>
    <m/>
    <m/>
    <m/>
  </r>
  <r>
    <s v="YK263301824"/>
    <x v="7"/>
    <x v="7"/>
    <n v="1"/>
    <x v="3"/>
    <d v="2026-08-31T23:28:06"/>
    <x v="11"/>
    <x v="5"/>
    <x v="11"/>
    <s v="17IA14.80"/>
    <x v="1"/>
    <x v="1"/>
    <m/>
    <m/>
    <m/>
  </r>
  <r>
    <s v="YK263301825"/>
    <x v="7"/>
    <x v="7"/>
    <n v="1"/>
    <x v="3"/>
    <d v="2026-09-01T09:26:50"/>
    <x v="11"/>
    <x v="5"/>
    <x v="11"/>
    <s v="17IA14.80"/>
    <x v="1"/>
    <x v="1"/>
    <m/>
    <m/>
    <m/>
  </r>
  <r>
    <s v="YK263301826"/>
    <x v="7"/>
    <x v="7"/>
    <n v="1"/>
    <x v="3"/>
    <d v="2026-09-01T09:26:44"/>
    <x v="11"/>
    <x v="5"/>
    <x v="11"/>
    <s v="17IA14.80"/>
    <x v="1"/>
    <x v="1"/>
    <m/>
    <m/>
    <m/>
  </r>
  <r>
    <s v="YK263301827"/>
    <x v="2"/>
    <x v="2"/>
    <n v="1"/>
    <x v="3"/>
    <d v="2026-09-01T07:19:12"/>
    <x v="11"/>
    <x v="5"/>
    <x v="11"/>
    <s v="17IA14.80"/>
    <x v="1"/>
    <x v="1"/>
    <m/>
    <m/>
    <m/>
  </r>
  <r>
    <s v="YK263301828"/>
    <x v="2"/>
    <x v="2"/>
    <n v="1"/>
    <x v="3"/>
    <d v="2026-09-01T07:18:15"/>
    <x v="11"/>
    <x v="5"/>
    <x v="11"/>
    <s v="17IA14.80"/>
    <x v="1"/>
    <x v="1"/>
    <m/>
    <m/>
    <m/>
  </r>
  <r>
    <s v="YK263301829"/>
    <x v="2"/>
    <x v="2"/>
    <n v="1"/>
    <x v="3"/>
    <d v="2026-09-01T07:19:06"/>
    <x v="11"/>
    <x v="5"/>
    <x v="11"/>
    <s v="17IA14.80"/>
    <x v="1"/>
    <x v="1"/>
    <m/>
    <m/>
    <m/>
  </r>
  <r>
    <s v="YK263301830"/>
    <x v="4"/>
    <x v="4"/>
    <n v="1"/>
    <x v="5"/>
    <d v="2026-09-01T15:05:31"/>
    <x v="11"/>
    <x v="5"/>
    <x v="11"/>
    <s v="17IA14.80"/>
    <x v="1"/>
    <x v="1"/>
    <m/>
    <m/>
    <m/>
  </r>
  <r>
    <s v="YK263301831"/>
    <x v="2"/>
    <x v="2"/>
    <n v="1"/>
    <x v="3"/>
    <d v="2026-09-01T07:18:26"/>
    <x v="11"/>
    <x v="5"/>
    <x v="11"/>
    <s v="17IA14.80"/>
    <x v="1"/>
    <x v="1"/>
    <m/>
    <m/>
    <m/>
  </r>
  <r>
    <s v="YK263301832"/>
    <x v="10"/>
    <x v="10"/>
    <n v="1"/>
    <x v="7"/>
    <d v="2026-08-29T11:12:54"/>
    <x v="11"/>
    <x v="5"/>
    <x v="11"/>
    <s v="17IA14.80"/>
    <x v="1"/>
    <x v="1"/>
    <m/>
    <m/>
    <m/>
  </r>
  <r>
    <s v="YK263301833"/>
    <x v="4"/>
    <x v="4"/>
    <n v="1"/>
    <x v="5"/>
    <d v="2026-09-01T14:46:32"/>
    <x v="11"/>
    <x v="5"/>
    <x v="11"/>
    <s v="17IA14.80"/>
    <x v="1"/>
    <x v="1"/>
    <m/>
    <m/>
    <m/>
  </r>
  <r>
    <s v="YK263301834"/>
    <x v="2"/>
    <x v="2"/>
    <n v="1"/>
    <x v="3"/>
    <d v="2026-09-05T12:16:11"/>
    <x v="11"/>
    <x v="5"/>
    <x v="11"/>
    <s v="17IA14.80"/>
    <x v="1"/>
    <x v="1"/>
    <m/>
    <m/>
    <m/>
  </r>
  <r>
    <s v="YK263301835"/>
    <x v="4"/>
    <x v="4"/>
    <n v="1"/>
    <x v="5"/>
    <d v="2026-09-01T14:39:41"/>
    <x v="11"/>
    <x v="5"/>
    <x v="11"/>
    <s v="17IA14.80"/>
    <x v="1"/>
    <x v="1"/>
    <m/>
    <m/>
    <m/>
  </r>
  <r>
    <s v="YK263301836"/>
    <x v="2"/>
    <x v="2"/>
    <n v="1"/>
    <x v="3"/>
    <d v="2026-09-08T11:04:49"/>
    <x v="11"/>
    <x v="5"/>
    <x v="11"/>
    <s v="17IA14.80"/>
    <x v="1"/>
    <x v="1"/>
    <m/>
    <m/>
    <m/>
  </r>
  <r>
    <s v="YK263301837"/>
    <x v="6"/>
    <x v="6"/>
    <n v="1"/>
    <x v="7"/>
    <d v="2026-09-11T15:32:01"/>
    <x v="11"/>
    <x v="5"/>
    <x v="11"/>
    <s v="17IA14.80"/>
    <x v="1"/>
    <x v="1"/>
    <m/>
    <m/>
    <m/>
  </r>
  <r>
    <s v="YK263301838"/>
    <x v="2"/>
    <x v="2"/>
    <n v="1"/>
    <x v="3"/>
    <d v="2026-09-10T17:42:30"/>
    <x v="11"/>
    <x v="5"/>
    <x v="11"/>
    <s v="17IA14.80"/>
    <x v="1"/>
    <x v="1"/>
    <m/>
    <m/>
    <m/>
  </r>
  <r>
    <s v="YK263301839"/>
    <x v="7"/>
    <x v="7"/>
    <n v="1"/>
    <x v="3"/>
    <d v="2026-08-28T23:26:05"/>
    <x v="11"/>
    <x v="5"/>
    <x v="11"/>
    <s v="17IA14.80"/>
    <x v="1"/>
    <x v="1"/>
    <m/>
    <m/>
    <m/>
  </r>
  <r>
    <s v="YK263301840"/>
    <x v="2"/>
    <x v="2"/>
    <n v="1"/>
    <x v="3"/>
    <d v="2026-09-10T17:42:09"/>
    <x v="11"/>
    <x v="5"/>
    <x v="11"/>
    <s v="17IA14.80"/>
    <x v="1"/>
    <x v="1"/>
    <m/>
    <m/>
    <m/>
  </r>
  <r>
    <s v="YK263301841"/>
    <x v="7"/>
    <x v="7"/>
    <n v="1"/>
    <x v="3"/>
    <d v="2026-09-01T06:44:10"/>
    <x v="11"/>
    <x v="5"/>
    <x v="11"/>
    <s v="17IA14.80"/>
    <x v="1"/>
    <x v="1"/>
    <m/>
    <m/>
    <m/>
  </r>
  <r>
    <s v="YK263301842"/>
    <x v="7"/>
    <x v="7"/>
    <n v="1"/>
    <x v="3"/>
    <d v="2026-09-10T12:47:56"/>
    <x v="11"/>
    <x v="5"/>
    <x v="11"/>
    <s v="17IA14.80"/>
    <x v="1"/>
    <x v="1"/>
    <m/>
    <m/>
    <m/>
  </r>
  <r>
    <s v="YK263301843"/>
    <x v="7"/>
    <x v="7"/>
    <n v="1"/>
    <x v="3"/>
    <d v="2026-09-01T06:48:22"/>
    <x v="11"/>
    <x v="5"/>
    <x v="11"/>
    <s v="17IA14.80"/>
    <x v="1"/>
    <x v="1"/>
    <m/>
    <m/>
    <m/>
  </r>
  <r>
    <s v="YK263301844"/>
    <x v="7"/>
    <x v="7"/>
    <n v="1"/>
    <x v="3"/>
    <d v="2026-09-01T07:21:19"/>
    <x v="11"/>
    <x v="5"/>
    <x v="11"/>
    <s v="17IA14.80"/>
    <x v="1"/>
    <x v="1"/>
    <m/>
    <m/>
    <m/>
  </r>
  <r>
    <s v="YK263301845"/>
    <x v="2"/>
    <x v="2"/>
    <n v="1"/>
    <x v="3"/>
    <d v="2026-09-08T11:04:14"/>
    <x v="11"/>
    <x v="5"/>
    <x v="11"/>
    <s v="17IA14.80"/>
    <x v="1"/>
    <x v="1"/>
    <m/>
    <m/>
    <m/>
  </r>
  <r>
    <s v="YK263301846"/>
    <x v="7"/>
    <x v="7"/>
    <n v="1"/>
    <x v="3"/>
    <d v="2026-09-01T07:21:15"/>
    <x v="11"/>
    <x v="5"/>
    <x v="11"/>
    <s v="17IA14.80"/>
    <x v="1"/>
    <x v="1"/>
    <m/>
    <m/>
    <m/>
  </r>
  <r>
    <s v="YK263301847"/>
    <x v="2"/>
    <x v="2"/>
    <n v="1"/>
    <x v="3"/>
    <d v="2026-09-10T14:53:23"/>
    <x v="11"/>
    <x v="5"/>
    <x v="11"/>
    <s v="17IA14.80"/>
    <x v="1"/>
    <x v="1"/>
    <m/>
    <m/>
    <m/>
  </r>
  <r>
    <s v="YK263301848"/>
    <x v="2"/>
    <x v="2"/>
    <n v="1"/>
    <x v="3"/>
    <d v="2026-09-11T16:35:57"/>
    <x v="11"/>
    <x v="5"/>
    <x v="11"/>
    <s v="17IA14.80"/>
    <x v="1"/>
    <x v="1"/>
    <m/>
    <m/>
    <m/>
  </r>
  <r>
    <s v="YK263301849"/>
    <x v="6"/>
    <x v="6"/>
    <n v="1"/>
    <x v="7"/>
    <d v="2026-09-11T15:31:05"/>
    <x v="11"/>
    <x v="5"/>
    <x v="11"/>
    <s v="17IA14.80"/>
    <x v="1"/>
    <x v="1"/>
    <m/>
    <m/>
    <m/>
  </r>
  <r>
    <s v="YK263301850"/>
    <x v="9"/>
    <x v="9"/>
    <n v="1"/>
    <x v="3"/>
    <d v="2026-08-26T14:23:54"/>
    <x v="11"/>
    <x v="5"/>
    <x v="11"/>
    <s v="17IA14.80"/>
    <x v="1"/>
    <x v="1"/>
    <m/>
    <m/>
    <m/>
  </r>
  <r>
    <s v="YK263301851"/>
    <x v="7"/>
    <x v="7"/>
    <n v="1"/>
    <x v="3"/>
    <d v="2026-08-31T14:02:43"/>
    <x v="11"/>
    <x v="5"/>
    <x v="11"/>
    <s v="17IA14.80"/>
    <x v="1"/>
    <x v="1"/>
    <m/>
    <m/>
    <m/>
  </r>
  <r>
    <s v="YK263301852"/>
    <x v="7"/>
    <x v="7"/>
    <n v="1"/>
    <x v="3"/>
    <d v="2026-08-28T23:51:17"/>
    <x v="11"/>
    <x v="5"/>
    <x v="11"/>
    <s v="17IA14.80"/>
    <x v="1"/>
    <x v="1"/>
    <m/>
    <m/>
    <m/>
  </r>
  <r>
    <s v="YK263301853"/>
    <x v="9"/>
    <x v="9"/>
    <n v="1"/>
    <x v="3"/>
    <d v="2026-08-26T14:29:45"/>
    <x v="11"/>
    <x v="5"/>
    <x v="11"/>
    <s v="17IA14.80"/>
    <x v="1"/>
    <x v="1"/>
    <m/>
    <m/>
    <m/>
  </r>
  <r>
    <s v="YK263301854"/>
    <x v="7"/>
    <x v="7"/>
    <n v="1"/>
    <x v="3"/>
    <d v="2026-08-29T00:15:24"/>
    <x v="11"/>
    <x v="5"/>
    <x v="11"/>
    <s v="17IA14.80"/>
    <x v="1"/>
    <x v="1"/>
    <m/>
    <m/>
    <m/>
  </r>
  <r>
    <s v="YK263301855"/>
    <x v="7"/>
    <x v="7"/>
    <n v="1"/>
    <x v="3"/>
    <d v="2026-08-29T08:07:37"/>
    <x v="11"/>
    <x v="5"/>
    <x v="11"/>
    <s v="17IA14.80"/>
    <x v="1"/>
    <x v="1"/>
    <m/>
    <m/>
    <m/>
  </r>
  <r>
    <s v="YK263301856"/>
    <x v="2"/>
    <x v="2"/>
    <n v="1"/>
    <x v="3"/>
    <d v="2026-09-01T07:19:38"/>
    <x v="11"/>
    <x v="5"/>
    <x v="11"/>
    <s v="17IA14.80"/>
    <x v="1"/>
    <x v="1"/>
    <m/>
    <m/>
    <m/>
  </r>
  <r>
    <s v="YK263301857"/>
    <x v="2"/>
    <x v="2"/>
    <n v="1"/>
    <x v="3"/>
    <d v="2026-09-01T07:19:46"/>
    <x v="11"/>
    <x v="5"/>
    <x v="11"/>
    <s v="17IA14.80"/>
    <x v="1"/>
    <x v="1"/>
    <m/>
    <m/>
    <m/>
  </r>
  <r>
    <s v="YK263301858"/>
    <x v="7"/>
    <x v="7"/>
    <n v="1"/>
    <x v="3"/>
    <d v="2026-08-29T08:16:15"/>
    <x v="11"/>
    <x v="5"/>
    <x v="11"/>
    <s v="17IA14.80"/>
    <x v="1"/>
    <x v="1"/>
    <m/>
    <m/>
    <m/>
  </r>
  <r>
    <s v="YK263301859"/>
    <x v="2"/>
    <x v="2"/>
    <n v="1"/>
    <x v="3"/>
    <d v="2026-09-01T07:19:15"/>
    <x v="11"/>
    <x v="5"/>
    <x v="11"/>
    <s v="17IA14.80"/>
    <x v="1"/>
    <x v="1"/>
    <m/>
    <m/>
    <m/>
  </r>
  <r>
    <s v="YK263301860"/>
    <x v="2"/>
    <x v="2"/>
    <n v="1"/>
    <x v="3"/>
    <d v="2026-09-05T08:14:34"/>
    <x v="11"/>
    <x v="5"/>
    <x v="11"/>
    <s v="17IA14.80"/>
    <x v="1"/>
    <x v="1"/>
    <m/>
    <m/>
    <m/>
  </r>
  <r>
    <s v="YK263301861"/>
    <x v="2"/>
    <x v="2"/>
    <n v="1"/>
    <x v="3"/>
    <d v="2026-09-01T07:18:08"/>
    <x v="11"/>
    <x v="5"/>
    <x v="11"/>
    <s v="17IA14.80"/>
    <x v="1"/>
    <x v="1"/>
    <m/>
    <m/>
    <m/>
  </r>
  <r>
    <s v="YK263301862"/>
    <x v="7"/>
    <x v="7"/>
    <n v="1"/>
    <x v="3"/>
    <d v="2026-08-29T08:44:02"/>
    <x v="11"/>
    <x v="5"/>
    <x v="11"/>
    <s v="17IA14.80"/>
    <x v="1"/>
    <x v="1"/>
    <m/>
    <m/>
    <m/>
  </r>
  <r>
    <s v="YK263301863"/>
    <x v="2"/>
    <x v="2"/>
    <n v="1"/>
    <x v="3"/>
    <d v="2026-09-01T07:20:15"/>
    <x v="11"/>
    <x v="5"/>
    <x v="11"/>
    <s v="17IA14.80"/>
    <x v="1"/>
    <x v="1"/>
    <m/>
    <m/>
    <m/>
  </r>
  <r>
    <s v="YK263301864"/>
    <x v="7"/>
    <x v="7"/>
    <n v="1"/>
    <x v="3"/>
    <d v="2026-08-29T08:29:08"/>
    <x v="11"/>
    <x v="5"/>
    <x v="11"/>
    <s v="17IA14.80"/>
    <x v="1"/>
    <x v="1"/>
    <m/>
    <m/>
    <m/>
  </r>
  <r>
    <s v="YK263301865"/>
    <x v="2"/>
    <x v="2"/>
    <n v="1"/>
    <x v="3"/>
    <d v="2026-09-01T07:19:55"/>
    <x v="11"/>
    <x v="5"/>
    <x v="11"/>
    <s v="17IA14.80"/>
    <x v="1"/>
    <x v="1"/>
    <m/>
    <m/>
    <m/>
  </r>
  <r>
    <s v="YK263301866"/>
    <x v="2"/>
    <x v="2"/>
    <n v="1"/>
    <x v="3"/>
    <d v="2026-09-05T12:17:35"/>
    <x v="11"/>
    <x v="5"/>
    <x v="11"/>
    <s v="17IA14.80"/>
    <x v="1"/>
    <x v="1"/>
    <m/>
    <m/>
    <m/>
  </r>
  <r>
    <s v="YK263301867"/>
    <x v="4"/>
    <x v="4"/>
    <n v="1"/>
    <x v="5"/>
    <d v="2026-09-01T14:34:28"/>
    <x v="11"/>
    <x v="5"/>
    <x v="11"/>
    <s v="17IA14.80"/>
    <x v="1"/>
    <x v="1"/>
    <m/>
    <m/>
    <m/>
  </r>
  <r>
    <s v="YK263301868"/>
    <x v="2"/>
    <x v="2"/>
    <n v="1"/>
    <x v="3"/>
    <d v="2026-09-01T07:18:35"/>
    <x v="11"/>
    <x v="5"/>
    <x v="11"/>
    <s v="17IA14.80"/>
    <x v="1"/>
    <x v="1"/>
    <m/>
    <m/>
    <m/>
  </r>
  <r>
    <s v="YK263301869"/>
    <x v="10"/>
    <x v="10"/>
    <n v="1"/>
    <x v="7"/>
    <d v="2026-08-29T12:30:40"/>
    <x v="11"/>
    <x v="5"/>
    <x v="11"/>
    <s v="17IA14.80"/>
    <x v="1"/>
    <x v="1"/>
    <m/>
    <m/>
    <m/>
  </r>
  <r>
    <s v="YK263301870"/>
    <x v="2"/>
    <x v="2"/>
    <n v="1"/>
    <x v="3"/>
    <d v="2026-09-01T07:19:32"/>
    <x v="11"/>
    <x v="5"/>
    <x v="11"/>
    <s v="17IA14.80"/>
    <x v="1"/>
    <x v="1"/>
    <m/>
    <m/>
    <m/>
  </r>
  <r>
    <s v="YK263301871"/>
    <x v="10"/>
    <x v="10"/>
    <n v="1"/>
    <x v="7"/>
    <d v="2026-08-29T10:12:13"/>
    <x v="11"/>
    <x v="5"/>
    <x v="11"/>
    <s v="17IA14.80"/>
    <x v="1"/>
    <x v="1"/>
    <m/>
    <m/>
    <m/>
  </r>
  <r>
    <s v="YK263301872"/>
    <x v="2"/>
    <x v="2"/>
    <n v="1"/>
    <x v="3"/>
    <d v="2026-09-10T19:40:59"/>
    <x v="11"/>
    <x v="5"/>
    <x v="11"/>
    <s v="17IA14.80"/>
    <x v="1"/>
    <x v="1"/>
    <m/>
    <m/>
    <m/>
  </r>
  <r>
    <s v="YK263301873"/>
    <x v="2"/>
    <x v="2"/>
    <n v="1"/>
    <x v="3"/>
    <d v="2026-09-10T17:44:10"/>
    <x v="11"/>
    <x v="5"/>
    <x v="11"/>
    <s v="17IA14.80"/>
    <x v="1"/>
    <x v="1"/>
    <m/>
    <m/>
    <m/>
  </r>
  <r>
    <s v="YK263301874"/>
    <x v="2"/>
    <x v="2"/>
    <n v="1"/>
    <x v="3"/>
    <d v="2026-09-01T07:19:24"/>
    <x v="11"/>
    <x v="5"/>
    <x v="11"/>
    <s v="17IA14.80"/>
    <x v="1"/>
    <x v="1"/>
    <m/>
    <m/>
    <m/>
  </r>
  <r>
    <s v="YK263301875"/>
    <x v="7"/>
    <x v="7"/>
    <n v="1"/>
    <x v="3"/>
    <d v="2026-08-28T11:59:30"/>
    <x v="11"/>
    <x v="5"/>
    <x v="11"/>
    <s v="17IA14.80"/>
    <x v="1"/>
    <x v="1"/>
    <m/>
    <m/>
    <m/>
  </r>
  <r>
    <s v="YK263301876"/>
    <x v="7"/>
    <x v="7"/>
    <n v="1"/>
    <x v="3"/>
    <d v="2026-08-28T11:59:26"/>
    <x v="11"/>
    <x v="5"/>
    <x v="11"/>
    <s v="17IA14.80"/>
    <x v="1"/>
    <x v="1"/>
    <m/>
    <m/>
    <m/>
  </r>
  <r>
    <s v="YK263301877"/>
    <x v="6"/>
    <x v="6"/>
    <n v="1"/>
    <x v="7"/>
    <d v="2026-09-11T14:37:32"/>
    <x v="11"/>
    <x v="5"/>
    <x v="11"/>
    <s v="17IA14.80"/>
    <x v="1"/>
    <x v="1"/>
    <m/>
    <m/>
    <m/>
  </r>
  <r>
    <s v="YK263301878"/>
    <x v="7"/>
    <x v="7"/>
    <n v="1"/>
    <x v="3"/>
    <d v="2026-08-28T11:46:13"/>
    <x v="11"/>
    <x v="5"/>
    <x v="11"/>
    <s v="17IA14.80"/>
    <x v="1"/>
    <x v="1"/>
    <m/>
    <m/>
    <m/>
  </r>
  <r>
    <s v="YK263301879"/>
    <x v="7"/>
    <x v="7"/>
    <n v="1"/>
    <x v="3"/>
    <d v="2026-08-28T11:59:21"/>
    <x v="11"/>
    <x v="5"/>
    <x v="11"/>
    <s v="17IA14.80"/>
    <x v="1"/>
    <x v="1"/>
    <m/>
    <m/>
    <m/>
  </r>
  <r>
    <s v="YK263301880"/>
    <x v="6"/>
    <x v="6"/>
    <n v="1"/>
    <x v="7"/>
    <d v="2026-09-07T21:30:43"/>
    <x v="11"/>
    <x v="5"/>
    <x v="11"/>
    <s v="17IA14.80"/>
    <x v="1"/>
    <x v="1"/>
    <m/>
    <m/>
    <m/>
  </r>
  <r>
    <s v="YK263301881"/>
    <x v="7"/>
    <x v="7"/>
    <n v="1"/>
    <x v="3"/>
    <d v="2026-08-28T11:45:19"/>
    <x v="11"/>
    <x v="5"/>
    <x v="11"/>
    <s v="17IA14.80"/>
    <x v="1"/>
    <x v="1"/>
    <m/>
    <m/>
    <m/>
  </r>
  <r>
    <s v="YK263301882"/>
    <x v="2"/>
    <x v="2"/>
    <n v="1"/>
    <x v="3"/>
    <d v="2026-09-10T17:43:48"/>
    <x v="11"/>
    <x v="5"/>
    <x v="11"/>
    <s v="17IA14.80"/>
    <x v="1"/>
    <x v="1"/>
    <m/>
    <m/>
    <m/>
  </r>
  <r>
    <s v="YK263301883"/>
    <x v="2"/>
    <x v="2"/>
    <n v="1"/>
    <x v="3"/>
    <d v="2026-09-08T07:38:53"/>
    <x v="11"/>
    <x v="5"/>
    <x v="11"/>
    <s v="17IA14.80"/>
    <x v="1"/>
    <x v="1"/>
    <m/>
    <m/>
    <m/>
  </r>
  <r>
    <s v="YK263301884"/>
    <x v="6"/>
    <x v="6"/>
    <n v="1"/>
    <x v="7"/>
    <d v="2026-09-07T21:53:09"/>
    <x v="11"/>
    <x v="5"/>
    <x v="11"/>
    <s v="17IA14.80"/>
    <x v="1"/>
    <x v="1"/>
    <m/>
    <m/>
    <m/>
  </r>
  <r>
    <s v="YK263301885"/>
    <x v="2"/>
    <x v="2"/>
    <n v="1"/>
    <x v="3"/>
    <d v="2026-09-08T07:40:54"/>
    <x v="11"/>
    <x v="5"/>
    <x v="11"/>
    <s v="17IA14.80"/>
    <x v="1"/>
    <x v="1"/>
    <m/>
    <m/>
    <m/>
  </r>
  <r>
    <s v="YK263301886"/>
    <x v="6"/>
    <x v="6"/>
    <n v="1"/>
    <x v="7"/>
    <d v="2026-09-07T21:47:48"/>
    <x v="11"/>
    <x v="5"/>
    <x v="11"/>
    <s v="17IA14.80"/>
    <x v="1"/>
    <x v="1"/>
    <m/>
    <m/>
    <m/>
  </r>
  <r>
    <s v="YK263301887"/>
    <x v="11"/>
    <x v="11"/>
    <n v="1"/>
    <x v="5"/>
    <d v="2026-09-09T10:56:39"/>
    <x v="11"/>
    <x v="5"/>
    <x v="11"/>
    <s v="17IA14.80"/>
    <x v="1"/>
    <x v="1"/>
    <m/>
    <m/>
    <m/>
  </r>
  <r>
    <s v="YK263301888"/>
    <x v="7"/>
    <x v="7"/>
    <n v="1"/>
    <x v="3"/>
    <d v="2026-08-28T14:23:04"/>
    <x v="11"/>
    <x v="5"/>
    <x v="11"/>
    <s v="17IA14.80"/>
    <x v="1"/>
    <x v="1"/>
    <m/>
    <m/>
    <m/>
  </r>
  <r>
    <s v="YK263301889"/>
    <x v="7"/>
    <x v="7"/>
    <n v="1"/>
    <x v="3"/>
    <d v="2026-08-28T14:23:19"/>
    <x v="11"/>
    <x v="5"/>
    <x v="11"/>
    <s v="17IA14.80"/>
    <x v="1"/>
    <x v="1"/>
    <m/>
    <m/>
    <m/>
  </r>
  <r>
    <s v="YK263301890"/>
    <x v="7"/>
    <x v="7"/>
    <n v="1"/>
    <x v="3"/>
    <d v="2026-08-28T14:22:59"/>
    <x v="11"/>
    <x v="5"/>
    <x v="11"/>
    <s v="17IA14.80"/>
    <x v="1"/>
    <x v="1"/>
    <m/>
    <m/>
    <m/>
  </r>
  <r>
    <s v="YK263301891"/>
    <x v="7"/>
    <x v="7"/>
    <n v="1"/>
    <x v="3"/>
    <d v="2026-08-28T14:23:14"/>
    <x v="11"/>
    <x v="5"/>
    <x v="11"/>
    <s v="17IA14.80"/>
    <x v="1"/>
    <x v="1"/>
    <m/>
    <m/>
    <m/>
  </r>
  <r>
    <s v="YK263301892"/>
    <x v="7"/>
    <x v="7"/>
    <n v="1"/>
    <x v="3"/>
    <d v="2026-08-28T14:22:54"/>
    <x v="11"/>
    <x v="5"/>
    <x v="11"/>
    <s v="17IA14.80"/>
    <x v="1"/>
    <x v="1"/>
    <m/>
    <m/>
    <m/>
  </r>
  <r>
    <s v="YK263301893"/>
    <x v="7"/>
    <x v="7"/>
    <n v="1"/>
    <x v="3"/>
    <d v="2026-08-28T23:39:39"/>
    <x v="11"/>
    <x v="5"/>
    <x v="11"/>
    <s v="17IA14.80"/>
    <x v="1"/>
    <x v="1"/>
    <m/>
    <m/>
    <m/>
  </r>
  <r>
    <s v="YK263301894"/>
    <x v="7"/>
    <x v="7"/>
    <n v="1"/>
    <x v="3"/>
    <d v="2026-09-12T05:32:30"/>
    <x v="11"/>
    <x v="5"/>
    <x v="11"/>
    <s v="17IA14.80"/>
    <x v="1"/>
    <x v="1"/>
    <m/>
    <m/>
    <m/>
  </r>
  <r>
    <s v="YK263301895"/>
    <x v="2"/>
    <x v="2"/>
    <n v="1"/>
    <x v="3"/>
    <d v="2026-09-08T11:04:41"/>
    <x v="11"/>
    <x v="5"/>
    <x v="11"/>
    <s v="17IA14.80"/>
    <x v="1"/>
    <x v="1"/>
    <m/>
    <m/>
    <m/>
  </r>
  <r>
    <s v="YK263301896"/>
    <x v="2"/>
    <x v="2"/>
    <n v="1"/>
    <x v="3"/>
    <d v="2026-09-08T11:04:28"/>
    <x v="11"/>
    <x v="5"/>
    <x v="11"/>
    <s v="17IA14.80"/>
    <x v="1"/>
    <x v="1"/>
    <m/>
    <m/>
    <m/>
  </r>
  <r>
    <s v="YK263301897"/>
    <x v="7"/>
    <x v="7"/>
    <n v="1"/>
    <x v="3"/>
    <d v="2026-08-28T10:58:42"/>
    <x v="11"/>
    <x v="5"/>
    <x v="11"/>
    <s v="17IA14.80"/>
    <x v="1"/>
    <x v="1"/>
    <m/>
    <m/>
    <m/>
  </r>
  <r>
    <s v="YK263301898"/>
    <x v="2"/>
    <x v="2"/>
    <n v="1"/>
    <x v="3"/>
    <d v="2026-09-10T14:55:07"/>
    <x v="11"/>
    <x v="5"/>
    <x v="11"/>
    <s v="17IA14.80"/>
    <x v="1"/>
    <x v="1"/>
    <m/>
    <m/>
    <m/>
  </r>
  <r>
    <s v="YK263301899"/>
    <x v="7"/>
    <x v="7"/>
    <n v="1"/>
    <x v="3"/>
    <d v="2026-08-28T23:43:48"/>
    <x v="11"/>
    <x v="5"/>
    <x v="11"/>
    <s v="17IA14.80"/>
    <x v="1"/>
    <x v="1"/>
    <m/>
    <m/>
    <m/>
  </r>
  <r>
    <s v="YK263301900"/>
    <x v="7"/>
    <x v="7"/>
    <n v="1"/>
    <x v="3"/>
    <d v="2026-08-28T11:45:54"/>
    <x v="11"/>
    <x v="5"/>
    <x v="11"/>
    <s v="17IA14.80"/>
    <x v="1"/>
    <x v="1"/>
    <m/>
    <m/>
    <m/>
  </r>
  <r>
    <s v="YK263301901"/>
    <x v="7"/>
    <x v="7"/>
    <n v="1"/>
    <x v="3"/>
    <d v="2026-08-28T11:03:08"/>
    <x v="11"/>
    <x v="5"/>
    <x v="11"/>
    <s v="17IA14.80"/>
    <x v="1"/>
    <x v="1"/>
    <m/>
    <m/>
    <m/>
  </r>
  <r>
    <s v="YK263301902"/>
    <x v="7"/>
    <x v="7"/>
    <n v="1"/>
    <x v="3"/>
    <d v="2026-08-29T00:21:32"/>
    <x v="11"/>
    <x v="5"/>
    <x v="11"/>
    <s v="17IA14.80"/>
    <x v="1"/>
    <x v="1"/>
    <m/>
    <m/>
    <m/>
  </r>
  <r>
    <s v="YK263301903"/>
    <x v="7"/>
    <x v="7"/>
    <n v="1"/>
    <x v="3"/>
    <d v="2026-08-28T11:46:02"/>
    <x v="11"/>
    <x v="5"/>
    <x v="11"/>
    <s v="17IA14.80"/>
    <x v="1"/>
    <x v="1"/>
    <m/>
    <m/>
    <m/>
  </r>
  <r>
    <s v="YK263301904"/>
    <x v="7"/>
    <x v="7"/>
    <n v="1"/>
    <x v="3"/>
    <d v="2026-08-28T23:56:01"/>
    <x v="11"/>
    <x v="5"/>
    <x v="11"/>
    <s v="17IA14.80"/>
    <x v="1"/>
    <x v="1"/>
    <m/>
    <m/>
    <m/>
  </r>
  <r>
    <s v="YK263301905"/>
    <x v="7"/>
    <x v="7"/>
    <n v="1"/>
    <x v="3"/>
    <d v="2026-08-29T00:01:00"/>
    <x v="11"/>
    <x v="5"/>
    <x v="11"/>
    <s v="17IA14.80"/>
    <x v="1"/>
    <x v="1"/>
    <m/>
    <m/>
    <m/>
  </r>
  <r>
    <s v="YK263301906"/>
    <x v="7"/>
    <x v="7"/>
    <n v="1"/>
    <x v="3"/>
    <d v="2026-08-28T11:45:24"/>
    <x v="11"/>
    <x v="5"/>
    <x v="11"/>
    <s v="17IA14.80"/>
    <x v="1"/>
    <x v="1"/>
    <m/>
    <m/>
    <m/>
  </r>
  <r>
    <s v="YK263301907"/>
    <x v="10"/>
    <x v="10"/>
    <n v="1"/>
    <x v="7"/>
    <d v="2026-08-28T11:04:15"/>
    <x v="11"/>
    <x v="5"/>
    <x v="11"/>
    <s v="17IA14.80"/>
    <x v="1"/>
    <x v="1"/>
    <m/>
    <m/>
    <m/>
  </r>
  <r>
    <s v="YK263301908"/>
    <x v="7"/>
    <x v="7"/>
    <n v="1"/>
    <x v="3"/>
    <d v="2026-08-28T10:58:47"/>
    <x v="11"/>
    <x v="5"/>
    <x v="11"/>
    <s v="17IA14.80"/>
    <x v="1"/>
    <x v="1"/>
    <m/>
    <m/>
    <m/>
  </r>
  <r>
    <s v="YK263301909"/>
    <x v="7"/>
    <x v="7"/>
    <n v="1"/>
    <x v="3"/>
    <d v="2026-08-28T11:46:08"/>
    <x v="11"/>
    <x v="5"/>
    <x v="11"/>
    <s v="17IA14.80"/>
    <x v="1"/>
    <x v="1"/>
    <m/>
    <m/>
    <m/>
  </r>
  <r>
    <s v="YK263301910"/>
    <x v="7"/>
    <x v="7"/>
    <n v="1"/>
    <x v="3"/>
    <d v="2026-08-29T00:19:55"/>
    <x v="11"/>
    <x v="5"/>
    <x v="11"/>
    <s v="17IA14.80"/>
    <x v="1"/>
    <x v="1"/>
    <m/>
    <m/>
    <m/>
  </r>
  <r>
    <s v="YK263301911"/>
    <x v="2"/>
    <x v="2"/>
    <n v="1"/>
    <x v="3"/>
    <d v="2026-09-08T11:04:20"/>
    <x v="11"/>
    <x v="5"/>
    <x v="11"/>
    <s v="17IA14.80"/>
    <x v="1"/>
    <x v="1"/>
    <m/>
    <m/>
    <m/>
  </r>
  <r>
    <s v="YK263301912"/>
    <x v="2"/>
    <x v="2"/>
    <n v="1"/>
    <x v="3"/>
    <d v="2026-09-10T14:55:50"/>
    <x v="11"/>
    <x v="5"/>
    <x v="11"/>
    <s v="17IA14.80"/>
    <x v="1"/>
    <x v="1"/>
    <m/>
    <m/>
    <m/>
  </r>
  <r>
    <s v="YK263301913"/>
    <x v="7"/>
    <x v="7"/>
    <n v="1"/>
    <x v="3"/>
    <d v="2026-08-29T00:10:09"/>
    <x v="11"/>
    <x v="5"/>
    <x v="11"/>
    <s v="17IA14.80"/>
    <x v="1"/>
    <x v="1"/>
    <m/>
    <m/>
    <m/>
  </r>
  <r>
    <s v="YK263301914"/>
    <x v="7"/>
    <x v="7"/>
    <n v="1"/>
    <x v="3"/>
    <d v="2026-08-29T07:00:31"/>
    <x v="11"/>
    <x v="5"/>
    <x v="11"/>
    <s v="17IA14.80"/>
    <x v="1"/>
    <x v="1"/>
    <m/>
    <m/>
    <m/>
  </r>
  <r>
    <s v="YK263301915"/>
    <x v="2"/>
    <x v="2"/>
    <n v="1"/>
    <x v="3"/>
    <d v="2026-09-01T07:20:09"/>
    <x v="11"/>
    <x v="5"/>
    <x v="11"/>
    <s v="17IA14.80"/>
    <x v="1"/>
    <x v="1"/>
    <m/>
    <m/>
    <m/>
  </r>
  <r>
    <s v="YK263301916"/>
    <x v="2"/>
    <x v="2"/>
    <n v="1"/>
    <x v="3"/>
    <d v="2026-09-08T07:42:28"/>
    <x v="11"/>
    <x v="5"/>
    <x v="11"/>
    <s v="17IA14.80"/>
    <x v="1"/>
    <x v="1"/>
    <m/>
    <m/>
    <m/>
  </r>
  <r>
    <s v="YK263301917"/>
    <x v="10"/>
    <x v="10"/>
    <n v="1"/>
    <x v="7"/>
    <d v="2026-08-29T09:00:44"/>
    <x v="11"/>
    <x v="5"/>
    <x v="11"/>
    <s v="17IA14.80"/>
    <x v="1"/>
    <x v="1"/>
    <m/>
    <m/>
    <m/>
  </r>
  <r>
    <s v="YK263301918"/>
    <x v="2"/>
    <x v="2"/>
    <n v="1"/>
    <x v="3"/>
    <d v="2026-09-01T07:20:00"/>
    <x v="11"/>
    <x v="5"/>
    <x v="11"/>
    <s v="17IA14.80"/>
    <x v="1"/>
    <x v="1"/>
    <m/>
    <m/>
    <m/>
  </r>
  <r>
    <s v="YK263301919"/>
    <x v="7"/>
    <x v="7"/>
    <n v="1"/>
    <x v="3"/>
    <d v="2026-08-29T08:35:14"/>
    <x v="11"/>
    <x v="5"/>
    <x v="11"/>
    <s v="17IA14.80"/>
    <x v="1"/>
    <x v="1"/>
    <m/>
    <m/>
    <m/>
  </r>
  <r>
    <s v="YK263301920"/>
    <x v="7"/>
    <x v="7"/>
    <n v="1"/>
    <x v="3"/>
    <d v="2026-08-28T23:47:56"/>
    <x v="11"/>
    <x v="5"/>
    <x v="11"/>
    <s v="17IA14.80"/>
    <x v="1"/>
    <x v="1"/>
    <m/>
    <m/>
    <m/>
  </r>
  <r>
    <s v="YK263301921"/>
    <x v="7"/>
    <x v="7"/>
    <n v="1"/>
    <x v="3"/>
    <d v="2026-08-29T08:11:43"/>
    <x v="11"/>
    <x v="5"/>
    <x v="11"/>
    <s v="17IA14.80"/>
    <x v="1"/>
    <x v="1"/>
    <m/>
    <m/>
    <m/>
  </r>
  <r>
    <s v="YK263301922"/>
    <x v="7"/>
    <x v="7"/>
    <n v="1"/>
    <x v="3"/>
    <d v="2026-08-28T09:22:22"/>
    <x v="11"/>
    <x v="5"/>
    <x v="11"/>
    <s v="17IA14.80"/>
    <x v="1"/>
    <x v="1"/>
    <m/>
    <m/>
    <m/>
  </r>
  <r>
    <s v="YK263301923"/>
    <x v="7"/>
    <x v="7"/>
    <n v="1"/>
    <x v="3"/>
    <d v="2026-08-28T09:38:07"/>
    <x v="11"/>
    <x v="5"/>
    <x v="11"/>
    <s v="17IA14.80"/>
    <x v="1"/>
    <x v="1"/>
    <m/>
    <m/>
    <m/>
  </r>
  <r>
    <s v="YK263301924"/>
    <x v="7"/>
    <x v="7"/>
    <n v="1"/>
    <x v="3"/>
    <d v="2026-08-29T08:21:14"/>
    <x v="11"/>
    <x v="5"/>
    <x v="11"/>
    <s v="17IA14.80"/>
    <x v="1"/>
    <x v="1"/>
    <m/>
    <m/>
    <m/>
  </r>
  <r>
    <s v="YK263301925"/>
    <x v="7"/>
    <x v="7"/>
    <n v="1"/>
    <x v="3"/>
    <d v="2026-08-28T10:09:48"/>
    <x v="11"/>
    <x v="5"/>
    <x v="11"/>
    <s v="17IA14.80"/>
    <x v="1"/>
    <x v="1"/>
    <m/>
    <m/>
    <m/>
  </r>
  <r>
    <s v="YK263301926"/>
    <x v="7"/>
    <x v="7"/>
    <n v="1"/>
    <x v="3"/>
    <d v="2026-08-28T09:39:19"/>
    <x v="11"/>
    <x v="5"/>
    <x v="11"/>
    <s v="17IA14.80"/>
    <x v="1"/>
    <x v="1"/>
    <m/>
    <m/>
    <m/>
  </r>
  <r>
    <s v="YK263301927"/>
    <x v="7"/>
    <x v="7"/>
    <n v="1"/>
    <x v="3"/>
    <d v="2026-08-28T09:38:25"/>
    <x v="11"/>
    <x v="5"/>
    <x v="11"/>
    <s v="17IA14.80"/>
    <x v="1"/>
    <x v="1"/>
    <m/>
    <m/>
    <m/>
  </r>
  <r>
    <s v="YK263300001"/>
    <x v="10"/>
    <x v="10"/>
    <n v="1"/>
    <x v="7"/>
    <d v="2026-09-09T09:12:48"/>
    <x v="12"/>
    <x v="6"/>
    <x v="12"/>
    <s v="17IA14.90"/>
    <x v="1"/>
    <x v="1"/>
    <m/>
    <m/>
    <m/>
  </r>
  <r>
    <s v="YK263300002"/>
    <x v="11"/>
    <x v="11"/>
    <n v="1"/>
    <x v="5"/>
    <d v="2026-09-09T10:52:23"/>
    <x v="12"/>
    <x v="6"/>
    <x v="12"/>
    <s v="17IA14.90"/>
    <x v="1"/>
    <x v="1"/>
    <m/>
    <m/>
    <m/>
  </r>
  <r>
    <s v="YK263300003"/>
    <x v="11"/>
    <x v="11"/>
    <n v="1"/>
    <x v="5"/>
    <d v="2026-09-09T10:57:38"/>
    <x v="12"/>
    <x v="6"/>
    <x v="12"/>
    <s v="17IA14.90"/>
    <x v="1"/>
    <x v="1"/>
    <m/>
    <m/>
    <m/>
  </r>
  <r>
    <s v="YK263300004"/>
    <x v="11"/>
    <x v="11"/>
    <n v="1"/>
    <x v="5"/>
    <d v="2026-09-09T10:51:40"/>
    <x v="12"/>
    <x v="6"/>
    <x v="12"/>
    <s v="17IA14.90"/>
    <x v="1"/>
    <x v="1"/>
    <m/>
    <m/>
    <m/>
  </r>
  <r>
    <s v="YK263300005"/>
    <x v="11"/>
    <x v="11"/>
    <n v="1"/>
    <x v="5"/>
    <d v="2026-09-09T10:55:11"/>
    <x v="12"/>
    <x v="6"/>
    <x v="12"/>
    <s v="17IA14.90"/>
    <x v="1"/>
    <x v="1"/>
    <m/>
    <m/>
    <m/>
  </r>
  <r>
    <s v="YK263300006"/>
    <x v="11"/>
    <x v="11"/>
    <n v="1"/>
    <x v="5"/>
    <d v="2026-09-09T10:53:34"/>
    <x v="12"/>
    <x v="6"/>
    <x v="12"/>
    <s v="17IA14.90"/>
    <x v="1"/>
    <x v="1"/>
    <m/>
    <m/>
    <m/>
  </r>
  <r>
    <s v="YK263300007"/>
    <x v="11"/>
    <x v="11"/>
    <n v="1"/>
    <x v="5"/>
    <d v="2026-09-09T10:54:15"/>
    <x v="12"/>
    <x v="6"/>
    <x v="12"/>
    <s v="17IA14.90"/>
    <x v="1"/>
    <x v="1"/>
    <m/>
    <m/>
    <m/>
  </r>
  <r>
    <s v="YK263300008"/>
    <x v="11"/>
    <x v="11"/>
    <n v="1"/>
    <x v="5"/>
    <d v="2026-09-09T10:55:59"/>
    <x v="12"/>
    <x v="6"/>
    <x v="12"/>
    <s v="17IA14.90"/>
    <x v="1"/>
    <x v="1"/>
    <m/>
    <m/>
    <m/>
  </r>
  <r>
    <s v="YK263300009"/>
    <x v="11"/>
    <x v="11"/>
    <n v="1"/>
    <x v="5"/>
    <d v="2026-09-09T10:50:19"/>
    <x v="12"/>
    <x v="6"/>
    <x v="12"/>
    <s v="17IA14.90"/>
    <x v="1"/>
    <x v="1"/>
    <m/>
    <m/>
    <m/>
  </r>
  <r>
    <s v="YK263300010"/>
    <x v="11"/>
    <x v="11"/>
    <n v="1"/>
    <x v="5"/>
    <d v="2026-09-09T10:58:08"/>
    <x v="12"/>
    <x v="6"/>
    <x v="12"/>
    <s v="17IA14.90"/>
    <x v="1"/>
    <x v="1"/>
    <m/>
    <m/>
    <m/>
  </r>
  <r>
    <s v="YK263300011"/>
    <x v="10"/>
    <x v="10"/>
    <n v="1"/>
    <x v="7"/>
    <d v="2026-09-09T09:09:08"/>
    <x v="12"/>
    <x v="6"/>
    <x v="12"/>
    <s v="17IA14.90"/>
    <x v="1"/>
    <x v="1"/>
    <m/>
    <m/>
    <m/>
  </r>
  <r>
    <s v="YK263300012"/>
    <x v="10"/>
    <x v="10"/>
    <n v="1"/>
    <x v="7"/>
    <d v="2026-09-09T09:10:32"/>
    <x v="12"/>
    <x v="6"/>
    <x v="12"/>
    <s v="17IA14.90"/>
    <x v="1"/>
    <x v="1"/>
    <m/>
    <m/>
    <m/>
  </r>
  <r>
    <s v="YK263300013"/>
    <x v="11"/>
    <x v="11"/>
    <n v="1"/>
    <x v="5"/>
    <d v="2026-09-09T10:52:52"/>
    <x v="12"/>
    <x v="6"/>
    <x v="12"/>
    <s v="17IA14.90"/>
    <x v="1"/>
    <x v="1"/>
    <m/>
    <m/>
    <m/>
  </r>
  <r>
    <s v="YK263300014"/>
    <x v="11"/>
    <x v="11"/>
    <n v="1"/>
    <x v="5"/>
    <d v="2026-09-09T10:57:05"/>
    <x v="12"/>
    <x v="6"/>
    <x v="12"/>
    <s v="17IA14.90"/>
    <x v="1"/>
    <x v="1"/>
    <m/>
    <m/>
    <m/>
  </r>
  <r>
    <s v="YK263300015"/>
    <x v="11"/>
    <x v="11"/>
    <n v="1"/>
    <x v="5"/>
    <d v="2026-09-09T10:54:39"/>
    <x v="12"/>
    <x v="6"/>
    <x v="12"/>
    <s v="17IA14.90"/>
    <x v="1"/>
    <x v="1"/>
    <m/>
    <m/>
    <m/>
  </r>
  <r>
    <s v="YK263300016"/>
    <x v="10"/>
    <x v="10"/>
    <n v="1"/>
    <x v="7"/>
    <d v="2026-09-09T09:12:24"/>
    <x v="12"/>
    <x v="6"/>
    <x v="12"/>
    <s v="17IA14.90"/>
    <x v="1"/>
    <x v="1"/>
    <m/>
    <m/>
    <m/>
  </r>
  <r>
    <s v="YK263300017"/>
    <x v="7"/>
    <x v="7"/>
    <n v="1"/>
    <x v="3"/>
    <d v="2026-09-16T13:39:27"/>
    <x v="12"/>
    <x v="6"/>
    <x v="12"/>
    <s v="17IA14.90"/>
    <x v="1"/>
    <x v="1"/>
    <m/>
    <m/>
    <m/>
  </r>
  <r>
    <s v="YK263300018"/>
    <x v="10"/>
    <x v="10"/>
    <n v="1"/>
    <x v="7"/>
    <d v="2026-09-16T14:38:56"/>
    <x v="12"/>
    <x v="6"/>
    <x v="12"/>
    <s v="17IA14.90"/>
    <x v="1"/>
    <x v="1"/>
    <m/>
    <m/>
    <m/>
  </r>
  <r>
    <s v="YK263300019"/>
    <x v="9"/>
    <x v="9"/>
    <n v="1"/>
    <x v="3"/>
    <d v="2026-08-19T11:27:24"/>
    <x v="12"/>
    <x v="6"/>
    <x v="12"/>
    <s v="17IA14.90"/>
    <x v="1"/>
    <x v="1"/>
    <m/>
    <m/>
    <m/>
  </r>
  <r>
    <s v="YK263300020"/>
    <x v="9"/>
    <x v="9"/>
    <n v="1"/>
    <x v="3"/>
    <d v="2026-08-19T11:28:04"/>
    <x v="12"/>
    <x v="6"/>
    <x v="12"/>
    <s v="17IA14.90"/>
    <x v="1"/>
    <x v="1"/>
    <m/>
    <m/>
    <m/>
  </r>
  <r>
    <s v="YK263300021"/>
    <x v="9"/>
    <x v="9"/>
    <n v="1"/>
    <x v="3"/>
    <d v="2026-09-09T06:27:51"/>
    <x v="12"/>
    <x v="6"/>
    <x v="12"/>
    <s v="17IA14.90"/>
    <x v="1"/>
    <x v="1"/>
    <m/>
    <m/>
    <m/>
  </r>
  <r>
    <s v="YK263300022"/>
    <x v="9"/>
    <x v="9"/>
    <n v="1"/>
    <x v="3"/>
    <d v="2026-09-09T08:09:11"/>
    <x v="12"/>
    <x v="6"/>
    <x v="12"/>
    <s v="17IA14.90"/>
    <x v="1"/>
    <x v="1"/>
    <m/>
    <m/>
    <m/>
  </r>
  <r>
    <s v="YK263300023"/>
    <x v="9"/>
    <x v="9"/>
    <n v="1"/>
    <x v="3"/>
    <d v="2026-09-09T08:09:23"/>
    <x v="12"/>
    <x v="6"/>
    <x v="12"/>
    <s v="17IA14.90"/>
    <x v="1"/>
    <x v="1"/>
    <m/>
    <m/>
    <m/>
  </r>
  <r>
    <s v="YK263300024"/>
    <x v="9"/>
    <x v="9"/>
    <n v="1"/>
    <x v="3"/>
    <d v="2026-09-09T08:09:35"/>
    <x v="12"/>
    <x v="6"/>
    <x v="12"/>
    <s v="17IA14.90"/>
    <x v="1"/>
    <x v="1"/>
    <m/>
    <m/>
    <m/>
  </r>
  <r>
    <s v="YK263300025"/>
    <x v="9"/>
    <x v="9"/>
    <n v="1"/>
    <x v="3"/>
    <d v="2026-09-09T08:09:46"/>
    <x v="12"/>
    <x v="6"/>
    <x v="12"/>
    <s v="17IA14.90"/>
    <x v="1"/>
    <x v="1"/>
    <m/>
    <m/>
    <m/>
  </r>
  <r>
    <s v="YK263300026"/>
    <x v="9"/>
    <x v="9"/>
    <n v="1"/>
    <x v="3"/>
    <d v="2026-09-09T08:10:01"/>
    <x v="12"/>
    <x v="6"/>
    <x v="12"/>
    <s v="17IA14.90"/>
    <x v="1"/>
    <x v="1"/>
    <m/>
    <m/>
    <m/>
  </r>
  <r>
    <s v="YK263300027"/>
    <x v="9"/>
    <x v="9"/>
    <n v="1"/>
    <x v="3"/>
    <d v="2026-09-09T08:10:12"/>
    <x v="12"/>
    <x v="6"/>
    <x v="12"/>
    <s v="17IA14.90"/>
    <x v="1"/>
    <x v="1"/>
    <m/>
    <m/>
    <m/>
  </r>
  <r>
    <s v="YK263300028"/>
    <x v="9"/>
    <x v="9"/>
    <n v="1"/>
    <x v="3"/>
    <d v="2026-09-09T08:10:23"/>
    <x v="12"/>
    <x v="6"/>
    <x v="12"/>
    <s v="17IA14.90"/>
    <x v="1"/>
    <x v="1"/>
    <m/>
    <m/>
    <m/>
  </r>
  <r>
    <s v="YK263300029"/>
    <x v="9"/>
    <x v="9"/>
    <n v="1"/>
    <x v="3"/>
    <d v="2026-09-09T08:10:33"/>
    <x v="12"/>
    <x v="6"/>
    <x v="12"/>
    <s v="17IA14.90"/>
    <x v="1"/>
    <x v="1"/>
    <m/>
    <m/>
    <m/>
  </r>
  <r>
    <s v="YK263300030"/>
    <x v="9"/>
    <x v="9"/>
    <n v="1"/>
    <x v="3"/>
    <d v="2026-09-09T08:11:03"/>
    <x v="12"/>
    <x v="6"/>
    <x v="12"/>
    <s v="17IA14.90"/>
    <x v="1"/>
    <x v="1"/>
    <m/>
    <m/>
    <m/>
  </r>
  <r>
    <s v="YK263300031"/>
    <x v="9"/>
    <x v="9"/>
    <n v="1"/>
    <x v="3"/>
    <d v="2026-09-09T08:08:23"/>
    <x v="12"/>
    <x v="6"/>
    <x v="12"/>
    <s v="17IA14.90"/>
    <x v="1"/>
    <x v="1"/>
    <m/>
    <m/>
    <m/>
  </r>
  <r>
    <s v="YK263300032"/>
    <x v="9"/>
    <x v="9"/>
    <n v="1"/>
    <x v="3"/>
    <d v="2026-09-09T08:11:17"/>
    <x v="12"/>
    <x v="6"/>
    <x v="12"/>
    <s v="17IA14.90"/>
    <x v="1"/>
    <x v="1"/>
    <m/>
    <m/>
    <m/>
  </r>
  <r>
    <s v="YK263300033"/>
    <x v="9"/>
    <x v="9"/>
    <n v="1"/>
    <x v="3"/>
    <d v="2026-09-09T08:11:31"/>
    <x v="12"/>
    <x v="6"/>
    <x v="12"/>
    <s v="17IA14.90"/>
    <x v="1"/>
    <x v="1"/>
    <m/>
    <m/>
    <m/>
  </r>
  <r>
    <s v="YK263300034"/>
    <x v="9"/>
    <x v="9"/>
    <n v="1"/>
    <x v="3"/>
    <d v="2026-09-09T08:11:47"/>
    <x v="12"/>
    <x v="6"/>
    <x v="12"/>
    <s v="17IA14.90"/>
    <x v="1"/>
    <x v="1"/>
    <m/>
    <m/>
    <m/>
  </r>
  <r>
    <s v="YK263300035"/>
    <x v="9"/>
    <x v="9"/>
    <n v="1"/>
    <x v="3"/>
    <d v="2026-09-09T08:11:57"/>
    <x v="12"/>
    <x v="6"/>
    <x v="12"/>
    <s v="17IA14.90"/>
    <x v="1"/>
    <x v="1"/>
    <m/>
    <m/>
    <m/>
  </r>
  <r>
    <s v="YK263300036"/>
    <x v="9"/>
    <x v="9"/>
    <n v="1"/>
    <x v="3"/>
    <d v="2026-09-09T08:12:17"/>
    <x v="12"/>
    <x v="6"/>
    <x v="12"/>
    <s v="17IA14.90"/>
    <x v="1"/>
    <x v="1"/>
    <m/>
    <m/>
    <m/>
  </r>
  <r>
    <s v="YK263300037"/>
    <x v="9"/>
    <x v="9"/>
    <n v="1"/>
    <x v="3"/>
    <d v="2026-09-09T08:12:29"/>
    <x v="12"/>
    <x v="6"/>
    <x v="12"/>
    <s v="17IA14.90"/>
    <x v="1"/>
    <x v="1"/>
    <m/>
    <m/>
    <m/>
  </r>
  <r>
    <s v="YK263300038"/>
    <x v="9"/>
    <x v="9"/>
    <n v="1"/>
    <x v="3"/>
    <d v="2026-09-09T08:12:40"/>
    <x v="12"/>
    <x v="6"/>
    <x v="12"/>
    <s v="17IA14.90"/>
    <x v="1"/>
    <x v="1"/>
    <m/>
    <m/>
    <m/>
  </r>
  <r>
    <s v="YK263300039"/>
    <x v="9"/>
    <x v="9"/>
    <n v="1"/>
    <x v="3"/>
    <d v="2026-09-09T08:12:50"/>
    <x v="12"/>
    <x v="6"/>
    <x v="12"/>
    <s v="17IA14.90"/>
    <x v="1"/>
    <x v="1"/>
    <m/>
    <m/>
    <m/>
  </r>
  <r>
    <s v="YK263300040"/>
    <x v="9"/>
    <x v="9"/>
    <n v="1"/>
    <x v="3"/>
    <d v="2026-09-09T08:13:01"/>
    <x v="12"/>
    <x v="6"/>
    <x v="12"/>
    <s v="17IA14.90"/>
    <x v="1"/>
    <x v="1"/>
    <m/>
    <m/>
    <m/>
  </r>
  <r>
    <s v="YK263300041"/>
    <x v="9"/>
    <x v="9"/>
    <n v="1"/>
    <x v="3"/>
    <d v="2026-09-09T08:13:49"/>
    <x v="12"/>
    <x v="6"/>
    <x v="12"/>
    <s v="17IA14.90"/>
    <x v="1"/>
    <x v="1"/>
    <m/>
    <m/>
    <m/>
  </r>
  <r>
    <s v="YK263300042"/>
    <x v="9"/>
    <x v="9"/>
    <n v="1"/>
    <x v="3"/>
    <d v="2026-09-09T08:14:03"/>
    <x v="12"/>
    <x v="6"/>
    <x v="12"/>
    <s v="17IA14.90"/>
    <x v="1"/>
    <x v="1"/>
    <m/>
    <m/>
    <m/>
  </r>
  <r>
    <s v="YK263300043"/>
    <x v="9"/>
    <x v="9"/>
    <n v="1"/>
    <x v="3"/>
    <d v="2026-09-09T08:14:34"/>
    <x v="12"/>
    <x v="6"/>
    <x v="12"/>
    <s v="17IA14.90"/>
    <x v="1"/>
    <x v="1"/>
    <m/>
    <m/>
    <m/>
  </r>
  <r>
    <s v="YK263300044"/>
    <x v="9"/>
    <x v="9"/>
    <n v="1"/>
    <x v="3"/>
    <d v="2026-09-09T08:14:44"/>
    <x v="12"/>
    <x v="6"/>
    <x v="12"/>
    <s v="17IA14.90"/>
    <x v="1"/>
    <x v="1"/>
    <m/>
    <m/>
    <m/>
  </r>
  <r>
    <s v="YK263300045"/>
    <x v="9"/>
    <x v="9"/>
    <n v="1"/>
    <x v="3"/>
    <d v="2026-09-09T08:15:15"/>
    <x v="12"/>
    <x v="6"/>
    <x v="12"/>
    <s v="17IA14.90"/>
    <x v="1"/>
    <x v="1"/>
    <m/>
    <m/>
    <m/>
  </r>
  <r>
    <s v="YK263300046"/>
    <x v="9"/>
    <x v="9"/>
    <n v="1"/>
    <x v="3"/>
    <d v="2026-09-09T08:15:25"/>
    <x v="12"/>
    <x v="6"/>
    <x v="12"/>
    <s v="17IA14.90"/>
    <x v="1"/>
    <x v="1"/>
    <m/>
    <m/>
    <m/>
  </r>
  <r>
    <s v="YK263300047"/>
    <x v="9"/>
    <x v="9"/>
    <n v="1"/>
    <x v="3"/>
    <d v="2026-09-09T08:16:01"/>
    <x v="12"/>
    <x v="6"/>
    <x v="12"/>
    <s v="17IA14.90"/>
    <x v="1"/>
    <x v="1"/>
    <m/>
    <m/>
    <m/>
  </r>
  <r>
    <s v="YK263300048"/>
    <x v="9"/>
    <x v="9"/>
    <n v="1"/>
    <x v="3"/>
    <d v="2026-09-09T08:16:13"/>
    <x v="12"/>
    <x v="6"/>
    <x v="12"/>
    <s v="17IA14.90"/>
    <x v="1"/>
    <x v="1"/>
    <m/>
    <m/>
    <m/>
  </r>
  <r>
    <s v="YK263300049"/>
    <x v="9"/>
    <x v="9"/>
    <n v="1"/>
    <x v="3"/>
    <d v="2026-09-09T08:16:43"/>
    <x v="12"/>
    <x v="6"/>
    <x v="12"/>
    <s v="17IA14.90"/>
    <x v="1"/>
    <x v="1"/>
    <m/>
    <m/>
    <m/>
  </r>
  <r>
    <s v="YK263300050"/>
    <x v="9"/>
    <x v="9"/>
    <n v="1"/>
    <x v="3"/>
    <d v="2026-09-09T08:16:57"/>
    <x v="12"/>
    <x v="6"/>
    <x v="12"/>
    <s v="17IA14.90"/>
    <x v="1"/>
    <x v="1"/>
    <m/>
    <m/>
    <m/>
  </r>
  <r>
    <s v="YK263300051"/>
    <x v="9"/>
    <x v="9"/>
    <n v="1"/>
    <x v="3"/>
    <d v="2026-09-09T09:54:51"/>
    <x v="12"/>
    <x v="6"/>
    <x v="12"/>
    <s v="17IA14.90"/>
    <x v="1"/>
    <x v="1"/>
    <m/>
    <m/>
    <m/>
  </r>
  <r>
    <s v="YK263300052"/>
    <x v="9"/>
    <x v="9"/>
    <n v="1"/>
    <x v="3"/>
    <d v="2026-09-09T09:55:05"/>
    <x v="12"/>
    <x v="6"/>
    <x v="12"/>
    <s v="17IA14.90"/>
    <x v="1"/>
    <x v="1"/>
    <m/>
    <m/>
    <m/>
  </r>
  <r>
    <s v="YK263300053"/>
    <x v="9"/>
    <x v="9"/>
    <n v="1"/>
    <x v="3"/>
    <d v="2026-09-09T09:55:23"/>
    <x v="12"/>
    <x v="6"/>
    <x v="12"/>
    <s v="17IA14.90"/>
    <x v="1"/>
    <x v="1"/>
    <m/>
    <m/>
    <m/>
  </r>
  <r>
    <s v="YK263300054"/>
    <x v="9"/>
    <x v="9"/>
    <n v="1"/>
    <x v="3"/>
    <d v="2026-09-09T09:56:00"/>
    <x v="12"/>
    <x v="6"/>
    <x v="12"/>
    <s v="17IA14.90"/>
    <x v="1"/>
    <x v="1"/>
    <m/>
    <m/>
    <m/>
  </r>
  <r>
    <s v="YK263300055"/>
    <x v="9"/>
    <x v="9"/>
    <n v="1"/>
    <x v="3"/>
    <d v="2026-09-09T09:56:08"/>
    <x v="12"/>
    <x v="6"/>
    <x v="12"/>
    <s v="17IA14.90"/>
    <x v="1"/>
    <x v="1"/>
    <m/>
    <m/>
    <m/>
  </r>
  <r>
    <s v="YK263300056"/>
    <x v="9"/>
    <x v="9"/>
    <n v="1"/>
    <x v="3"/>
    <d v="2026-09-09T09:56:43"/>
    <x v="12"/>
    <x v="6"/>
    <x v="12"/>
    <s v="17IA14.90"/>
    <x v="1"/>
    <x v="1"/>
    <m/>
    <m/>
    <m/>
  </r>
  <r>
    <s v="YK263300057"/>
    <x v="9"/>
    <x v="9"/>
    <n v="1"/>
    <x v="3"/>
    <d v="2026-09-09T09:56:58"/>
    <x v="12"/>
    <x v="6"/>
    <x v="12"/>
    <s v="17IA14.90"/>
    <x v="1"/>
    <x v="1"/>
    <m/>
    <m/>
    <m/>
  </r>
  <r>
    <s v="YK263300058"/>
    <x v="9"/>
    <x v="9"/>
    <n v="1"/>
    <x v="3"/>
    <d v="2026-09-09T09:57:40"/>
    <x v="12"/>
    <x v="6"/>
    <x v="12"/>
    <s v="17IA14.90"/>
    <x v="1"/>
    <x v="1"/>
    <m/>
    <m/>
    <m/>
  </r>
  <r>
    <s v="YK263300059"/>
    <x v="9"/>
    <x v="9"/>
    <n v="1"/>
    <x v="3"/>
    <d v="2026-09-09T09:57:53"/>
    <x v="12"/>
    <x v="6"/>
    <x v="12"/>
    <s v="17IA14.90"/>
    <x v="1"/>
    <x v="1"/>
    <m/>
    <m/>
    <m/>
  </r>
  <r>
    <s v="YK263300060"/>
    <x v="9"/>
    <x v="9"/>
    <n v="1"/>
    <x v="3"/>
    <d v="2026-09-09T09:58:06"/>
    <x v="12"/>
    <x v="6"/>
    <x v="12"/>
    <s v="17IA14.90"/>
    <x v="1"/>
    <x v="1"/>
    <m/>
    <m/>
    <m/>
  </r>
  <r>
    <s v="YK263300061"/>
    <x v="0"/>
    <x v="0"/>
    <n v="1"/>
    <x v="0"/>
    <d v="2026-08-11T06:42:41"/>
    <x v="12"/>
    <x v="6"/>
    <x v="12"/>
    <s v="17IA14.90"/>
    <x v="1"/>
    <x v="1"/>
    <m/>
    <m/>
    <m/>
  </r>
  <r>
    <s v="YK263300062"/>
    <x v="0"/>
    <x v="0"/>
    <n v="1"/>
    <x v="0"/>
    <d v="2026-08-11T06:42:41"/>
    <x v="12"/>
    <x v="6"/>
    <x v="12"/>
    <s v="17IA14.90"/>
    <x v="1"/>
    <x v="1"/>
    <m/>
    <m/>
    <m/>
  </r>
  <r>
    <s v="YK263300063"/>
    <x v="0"/>
    <x v="0"/>
    <n v="1"/>
    <x v="0"/>
    <d v="2026-08-11T06:42:41"/>
    <x v="12"/>
    <x v="6"/>
    <x v="12"/>
    <s v="17IA14.90"/>
    <x v="1"/>
    <x v="1"/>
    <m/>
    <m/>
    <m/>
  </r>
  <r>
    <s v="YK263300064"/>
    <x v="0"/>
    <x v="0"/>
    <n v="1"/>
    <x v="0"/>
    <d v="2026-08-11T06:42:41"/>
    <x v="12"/>
    <x v="6"/>
    <x v="12"/>
    <s v="17IA14.90"/>
    <x v="1"/>
    <x v="1"/>
    <m/>
    <m/>
    <m/>
  </r>
  <r>
    <s v="YK263300065"/>
    <x v="0"/>
    <x v="0"/>
    <n v="1"/>
    <x v="0"/>
    <d v="2026-08-11T06:42:41"/>
    <x v="12"/>
    <x v="6"/>
    <x v="12"/>
    <s v="17IA14.90"/>
    <x v="1"/>
    <x v="1"/>
    <m/>
    <m/>
    <m/>
  </r>
  <r>
    <s v="YK263300066"/>
    <x v="0"/>
    <x v="0"/>
    <n v="1"/>
    <x v="0"/>
    <d v="2026-08-11T06:42:41"/>
    <x v="12"/>
    <x v="6"/>
    <x v="12"/>
    <s v="17IA14.90"/>
    <x v="1"/>
    <x v="1"/>
    <m/>
    <m/>
    <m/>
  </r>
  <r>
    <s v="YK263300067"/>
    <x v="0"/>
    <x v="0"/>
    <n v="1"/>
    <x v="0"/>
    <d v="2026-08-11T06:42:41"/>
    <x v="12"/>
    <x v="6"/>
    <x v="12"/>
    <s v="17IA14.90"/>
    <x v="1"/>
    <x v="1"/>
    <m/>
    <m/>
    <m/>
  </r>
  <r>
    <s v="YK263300068"/>
    <x v="0"/>
    <x v="0"/>
    <n v="1"/>
    <x v="0"/>
    <d v="2026-08-11T06:42:41"/>
    <x v="12"/>
    <x v="6"/>
    <x v="12"/>
    <s v="17IA14.90"/>
    <x v="1"/>
    <x v="1"/>
    <m/>
    <m/>
    <m/>
  </r>
  <r>
    <s v="YK263300069"/>
    <x v="0"/>
    <x v="0"/>
    <n v="1"/>
    <x v="0"/>
    <d v="2026-08-11T06:42:41"/>
    <x v="12"/>
    <x v="6"/>
    <x v="12"/>
    <s v="17IA14.90"/>
    <x v="1"/>
    <x v="1"/>
    <m/>
    <m/>
    <m/>
  </r>
  <r>
    <s v="YK263300070"/>
    <x v="0"/>
    <x v="0"/>
    <n v="1"/>
    <x v="0"/>
    <d v="2026-08-11T06:42:41"/>
    <x v="12"/>
    <x v="6"/>
    <x v="12"/>
    <s v="17IA14.90"/>
    <x v="1"/>
    <x v="1"/>
    <m/>
    <m/>
    <m/>
  </r>
  <r>
    <s v="YK263300071"/>
    <x v="0"/>
    <x v="0"/>
    <n v="1"/>
    <x v="0"/>
    <d v="2026-08-11T06:42:41"/>
    <x v="12"/>
    <x v="6"/>
    <x v="12"/>
    <s v="17IA14.90"/>
    <x v="1"/>
    <x v="1"/>
    <m/>
    <m/>
    <m/>
  </r>
  <r>
    <s v="YK263300072"/>
    <x v="0"/>
    <x v="0"/>
    <n v="1"/>
    <x v="0"/>
    <d v="2026-08-11T06:42:41"/>
    <x v="12"/>
    <x v="6"/>
    <x v="12"/>
    <s v="17IA14.90"/>
    <x v="1"/>
    <x v="1"/>
    <m/>
    <m/>
    <m/>
  </r>
  <r>
    <s v="YK263300073"/>
    <x v="0"/>
    <x v="0"/>
    <n v="1"/>
    <x v="0"/>
    <d v="2026-08-11T06:42:41"/>
    <x v="12"/>
    <x v="6"/>
    <x v="12"/>
    <s v="17IA14.90"/>
    <x v="1"/>
    <x v="1"/>
    <m/>
    <m/>
    <m/>
  </r>
  <r>
    <s v="YK263300074"/>
    <x v="0"/>
    <x v="0"/>
    <n v="1"/>
    <x v="0"/>
    <d v="2026-08-11T06:42:41"/>
    <x v="12"/>
    <x v="6"/>
    <x v="12"/>
    <s v="17IA14.90"/>
    <x v="1"/>
    <x v="1"/>
    <m/>
    <m/>
    <m/>
  </r>
  <r>
    <s v="YK263300075"/>
    <x v="0"/>
    <x v="0"/>
    <n v="1"/>
    <x v="0"/>
    <d v="2026-08-11T06:42:41"/>
    <x v="12"/>
    <x v="6"/>
    <x v="12"/>
    <s v="17IA14.90"/>
    <x v="1"/>
    <x v="1"/>
    <m/>
    <m/>
    <m/>
  </r>
  <r>
    <s v="YK263300076"/>
    <x v="0"/>
    <x v="0"/>
    <n v="1"/>
    <x v="0"/>
    <d v="2026-08-11T06:42:41"/>
    <x v="12"/>
    <x v="6"/>
    <x v="12"/>
    <s v="17IA14.90"/>
    <x v="1"/>
    <x v="1"/>
    <m/>
    <m/>
    <m/>
  </r>
  <r>
    <s v="YK263300077"/>
    <x v="0"/>
    <x v="0"/>
    <n v="1"/>
    <x v="0"/>
    <d v="2026-08-11T06:42:41"/>
    <x v="12"/>
    <x v="6"/>
    <x v="12"/>
    <s v="17IA14.90"/>
    <x v="1"/>
    <x v="1"/>
    <m/>
    <m/>
    <m/>
  </r>
  <r>
    <s v="YK263300078"/>
    <x v="0"/>
    <x v="0"/>
    <n v="1"/>
    <x v="0"/>
    <d v="2026-08-11T06:42:41"/>
    <x v="12"/>
    <x v="6"/>
    <x v="12"/>
    <s v="17IA14.90"/>
    <x v="1"/>
    <x v="1"/>
    <m/>
    <m/>
    <m/>
  </r>
  <r>
    <s v="YK263300079"/>
    <x v="0"/>
    <x v="0"/>
    <n v="1"/>
    <x v="0"/>
    <d v="2026-08-11T06:42:41"/>
    <x v="12"/>
    <x v="6"/>
    <x v="12"/>
    <s v="17IA14.90"/>
    <x v="1"/>
    <x v="1"/>
    <m/>
    <m/>
    <m/>
  </r>
  <r>
    <s v="YK263300080"/>
    <x v="0"/>
    <x v="0"/>
    <n v="1"/>
    <x v="0"/>
    <d v="2026-08-11T06:42:41"/>
    <x v="12"/>
    <x v="6"/>
    <x v="12"/>
    <s v="17IA14.90"/>
    <x v="1"/>
    <x v="1"/>
    <m/>
    <m/>
    <m/>
  </r>
  <r>
    <s v="YK263300081"/>
    <x v="0"/>
    <x v="0"/>
    <n v="1"/>
    <x v="0"/>
    <d v="2026-08-11T06:42:41"/>
    <x v="12"/>
    <x v="6"/>
    <x v="12"/>
    <s v="17IA14.90"/>
    <x v="1"/>
    <x v="1"/>
    <m/>
    <m/>
    <m/>
  </r>
  <r>
    <s v="YK263300082"/>
    <x v="0"/>
    <x v="0"/>
    <n v="1"/>
    <x v="0"/>
    <d v="2026-08-11T06:42:41"/>
    <x v="12"/>
    <x v="6"/>
    <x v="12"/>
    <s v="17IA14.90"/>
    <x v="1"/>
    <x v="1"/>
    <m/>
    <m/>
    <m/>
  </r>
  <r>
    <s v="YK263300083"/>
    <x v="0"/>
    <x v="0"/>
    <n v="1"/>
    <x v="0"/>
    <d v="2026-08-11T06:42:41"/>
    <x v="12"/>
    <x v="6"/>
    <x v="12"/>
    <s v="17IA14.90"/>
    <x v="1"/>
    <x v="1"/>
    <m/>
    <m/>
    <m/>
  </r>
  <r>
    <s v="YK263300084"/>
    <x v="0"/>
    <x v="0"/>
    <n v="1"/>
    <x v="0"/>
    <d v="2026-08-11T06:42:41"/>
    <x v="12"/>
    <x v="6"/>
    <x v="12"/>
    <s v="17IA14.90"/>
    <x v="1"/>
    <x v="1"/>
    <m/>
    <m/>
    <m/>
  </r>
  <r>
    <s v="YK263300085"/>
    <x v="0"/>
    <x v="0"/>
    <n v="1"/>
    <x v="0"/>
    <d v="2026-08-11T06:42:41"/>
    <x v="12"/>
    <x v="6"/>
    <x v="12"/>
    <s v="17IA14.90"/>
    <x v="1"/>
    <x v="1"/>
    <m/>
    <m/>
    <m/>
  </r>
  <r>
    <s v="YK263300086"/>
    <x v="0"/>
    <x v="0"/>
    <n v="1"/>
    <x v="0"/>
    <d v="2026-08-11T06:42:41"/>
    <x v="12"/>
    <x v="6"/>
    <x v="12"/>
    <s v="17IA14.90"/>
    <x v="1"/>
    <x v="1"/>
    <m/>
    <m/>
    <m/>
  </r>
  <r>
    <s v="YK263300087"/>
    <x v="0"/>
    <x v="0"/>
    <n v="1"/>
    <x v="0"/>
    <d v="2026-08-11T06:42:41"/>
    <x v="12"/>
    <x v="6"/>
    <x v="12"/>
    <s v="17IA14.90"/>
    <x v="1"/>
    <x v="1"/>
    <m/>
    <m/>
    <m/>
  </r>
  <r>
    <s v="YK263300088"/>
    <x v="0"/>
    <x v="0"/>
    <n v="1"/>
    <x v="0"/>
    <d v="2026-08-11T06:42:41"/>
    <x v="12"/>
    <x v="6"/>
    <x v="12"/>
    <s v="17IA14.90"/>
    <x v="1"/>
    <x v="1"/>
    <m/>
    <m/>
    <m/>
  </r>
  <r>
    <s v="YK263300089"/>
    <x v="0"/>
    <x v="0"/>
    <n v="1"/>
    <x v="0"/>
    <d v="2026-08-11T06:42:41"/>
    <x v="12"/>
    <x v="6"/>
    <x v="12"/>
    <s v="17IA14.90"/>
    <x v="1"/>
    <x v="1"/>
    <m/>
    <m/>
    <m/>
  </r>
  <r>
    <s v="YK263300090"/>
    <x v="0"/>
    <x v="0"/>
    <n v="1"/>
    <x v="0"/>
    <d v="2026-08-11T06:42:41"/>
    <x v="12"/>
    <x v="6"/>
    <x v="12"/>
    <s v="17IA14.90"/>
    <x v="1"/>
    <x v="1"/>
    <m/>
    <m/>
    <m/>
  </r>
  <r>
    <s v="YK263300091"/>
    <x v="0"/>
    <x v="0"/>
    <n v="1"/>
    <x v="0"/>
    <d v="2026-08-11T06:42:41"/>
    <x v="12"/>
    <x v="6"/>
    <x v="12"/>
    <s v="17IA14.90"/>
    <x v="1"/>
    <x v="1"/>
    <m/>
    <m/>
    <m/>
  </r>
  <r>
    <s v="YK263300092"/>
    <x v="0"/>
    <x v="0"/>
    <n v="1"/>
    <x v="0"/>
    <d v="2026-08-11T06:42:41"/>
    <x v="12"/>
    <x v="6"/>
    <x v="12"/>
    <s v="17IA14.90"/>
    <x v="1"/>
    <x v="1"/>
    <m/>
    <m/>
    <m/>
  </r>
  <r>
    <s v="YK263300093"/>
    <x v="0"/>
    <x v="0"/>
    <n v="1"/>
    <x v="0"/>
    <d v="2026-08-11T06:42:41"/>
    <x v="12"/>
    <x v="6"/>
    <x v="12"/>
    <s v="17IA14.90"/>
    <x v="1"/>
    <x v="1"/>
    <m/>
    <m/>
    <m/>
  </r>
  <r>
    <s v="YK263300094"/>
    <x v="0"/>
    <x v="0"/>
    <n v="1"/>
    <x v="0"/>
    <d v="2026-08-11T06:42:41"/>
    <x v="12"/>
    <x v="6"/>
    <x v="12"/>
    <s v="17IA14.90"/>
    <x v="1"/>
    <x v="1"/>
    <m/>
    <m/>
    <m/>
  </r>
  <r>
    <s v="YK263300095"/>
    <x v="0"/>
    <x v="0"/>
    <n v="1"/>
    <x v="0"/>
    <d v="2026-08-11T06:42:41"/>
    <x v="12"/>
    <x v="6"/>
    <x v="12"/>
    <s v="17IA14.90"/>
    <x v="1"/>
    <x v="1"/>
    <m/>
    <m/>
    <m/>
  </r>
  <r>
    <s v="YK263300096"/>
    <x v="0"/>
    <x v="0"/>
    <n v="1"/>
    <x v="0"/>
    <d v="2026-08-11T06:42:41"/>
    <x v="12"/>
    <x v="6"/>
    <x v="12"/>
    <s v="17IA14.90"/>
    <x v="1"/>
    <x v="1"/>
    <m/>
    <m/>
    <m/>
  </r>
  <r>
    <s v="YK263300097"/>
    <x v="0"/>
    <x v="0"/>
    <n v="1"/>
    <x v="0"/>
    <d v="2026-08-11T06:42:41"/>
    <x v="12"/>
    <x v="6"/>
    <x v="12"/>
    <s v="17IA14.90"/>
    <x v="1"/>
    <x v="1"/>
    <m/>
    <m/>
    <m/>
  </r>
  <r>
    <s v="YK263300098"/>
    <x v="0"/>
    <x v="0"/>
    <n v="1"/>
    <x v="0"/>
    <d v="2026-08-11T06:42:41"/>
    <x v="12"/>
    <x v="6"/>
    <x v="12"/>
    <s v="17IA14.90"/>
    <x v="1"/>
    <x v="1"/>
    <m/>
    <m/>
    <m/>
  </r>
  <r>
    <s v="YK263300099"/>
    <x v="0"/>
    <x v="0"/>
    <n v="1"/>
    <x v="0"/>
    <d v="2026-08-11T06:42:41"/>
    <x v="12"/>
    <x v="6"/>
    <x v="12"/>
    <s v="17IA14.90"/>
    <x v="1"/>
    <x v="1"/>
    <m/>
    <m/>
    <m/>
  </r>
  <r>
    <s v="YK263300100"/>
    <x v="0"/>
    <x v="0"/>
    <n v="1"/>
    <x v="0"/>
    <d v="2026-08-11T06:42:41"/>
    <x v="12"/>
    <x v="6"/>
    <x v="12"/>
    <s v="17IA14.90"/>
    <x v="1"/>
    <x v="1"/>
    <m/>
    <m/>
    <m/>
  </r>
  <r>
    <s v="YK263300101"/>
    <x v="0"/>
    <x v="0"/>
    <n v="1"/>
    <x v="0"/>
    <d v="2026-08-11T06:42:41"/>
    <x v="12"/>
    <x v="6"/>
    <x v="12"/>
    <s v="17IA14.90"/>
    <x v="1"/>
    <x v="1"/>
    <m/>
    <m/>
    <m/>
  </r>
  <r>
    <s v="YK263300102"/>
    <x v="0"/>
    <x v="0"/>
    <n v="1"/>
    <x v="0"/>
    <d v="2026-08-11T06:42:41"/>
    <x v="12"/>
    <x v="6"/>
    <x v="12"/>
    <s v="17IA14.90"/>
    <x v="1"/>
    <x v="1"/>
    <m/>
    <m/>
    <m/>
  </r>
  <r>
    <s v="YK263300103"/>
    <x v="0"/>
    <x v="0"/>
    <n v="1"/>
    <x v="0"/>
    <d v="2026-08-11T06:42:41"/>
    <x v="12"/>
    <x v="6"/>
    <x v="12"/>
    <s v="17IA14.90"/>
    <x v="1"/>
    <x v="1"/>
    <m/>
    <m/>
    <m/>
  </r>
  <r>
    <s v="YK263300104"/>
    <x v="0"/>
    <x v="0"/>
    <n v="1"/>
    <x v="0"/>
    <d v="2026-08-11T06:42:41"/>
    <x v="12"/>
    <x v="6"/>
    <x v="12"/>
    <s v="17IA14.90"/>
    <x v="1"/>
    <x v="1"/>
    <m/>
    <m/>
    <m/>
  </r>
  <r>
    <s v="YK263300105"/>
    <x v="0"/>
    <x v="0"/>
    <n v="1"/>
    <x v="0"/>
    <d v="2026-08-11T06:42:41"/>
    <x v="12"/>
    <x v="6"/>
    <x v="12"/>
    <s v="17IA14.90"/>
    <x v="1"/>
    <x v="1"/>
    <m/>
    <m/>
    <m/>
  </r>
  <r>
    <s v="YK263300106"/>
    <x v="0"/>
    <x v="0"/>
    <n v="1"/>
    <x v="0"/>
    <d v="2026-08-11T06:42:41"/>
    <x v="12"/>
    <x v="6"/>
    <x v="12"/>
    <s v="17IA14.90"/>
    <x v="1"/>
    <x v="1"/>
    <m/>
    <m/>
    <m/>
  </r>
  <r>
    <s v="YK263300107"/>
    <x v="0"/>
    <x v="0"/>
    <n v="1"/>
    <x v="0"/>
    <d v="2026-08-11T06:42:41"/>
    <x v="12"/>
    <x v="6"/>
    <x v="12"/>
    <s v="17IA14.90"/>
    <x v="1"/>
    <x v="1"/>
    <m/>
    <m/>
    <m/>
  </r>
  <r>
    <s v="YK263300108"/>
    <x v="0"/>
    <x v="0"/>
    <n v="1"/>
    <x v="0"/>
    <d v="2026-08-11T06:42:41"/>
    <x v="12"/>
    <x v="6"/>
    <x v="12"/>
    <s v="17IA14.90"/>
    <x v="1"/>
    <x v="1"/>
    <m/>
    <m/>
    <m/>
  </r>
  <r>
    <s v="YK263300109"/>
    <x v="0"/>
    <x v="0"/>
    <n v="1"/>
    <x v="0"/>
    <d v="2026-08-11T06:42:41"/>
    <x v="12"/>
    <x v="6"/>
    <x v="12"/>
    <s v="17IA14.90"/>
    <x v="1"/>
    <x v="1"/>
    <m/>
    <m/>
    <m/>
  </r>
  <r>
    <s v="YK263300110"/>
    <x v="0"/>
    <x v="0"/>
    <n v="1"/>
    <x v="0"/>
    <d v="2026-08-11T06:42:41"/>
    <x v="12"/>
    <x v="6"/>
    <x v="12"/>
    <s v="17IA14.90"/>
    <x v="1"/>
    <x v="1"/>
    <m/>
    <m/>
    <m/>
  </r>
  <r>
    <s v="YK263300111"/>
    <x v="0"/>
    <x v="0"/>
    <n v="1"/>
    <x v="0"/>
    <d v="2026-08-11T06:42:41"/>
    <x v="12"/>
    <x v="6"/>
    <x v="12"/>
    <s v="17IA14.90"/>
    <x v="1"/>
    <x v="1"/>
    <m/>
    <m/>
    <m/>
  </r>
  <r>
    <s v="YK263300112"/>
    <x v="0"/>
    <x v="0"/>
    <n v="1"/>
    <x v="0"/>
    <d v="2026-08-11T06:42:41"/>
    <x v="12"/>
    <x v="6"/>
    <x v="12"/>
    <s v="17IA14.90"/>
    <x v="1"/>
    <x v="1"/>
    <m/>
    <m/>
    <m/>
  </r>
  <r>
    <s v="YK263300113"/>
    <x v="0"/>
    <x v="0"/>
    <n v="1"/>
    <x v="0"/>
    <d v="2026-08-11T06:42:41"/>
    <x v="12"/>
    <x v="6"/>
    <x v="12"/>
    <s v="17IA14.90"/>
    <x v="1"/>
    <x v="1"/>
    <m/>
    <m/>
    <m/>
  </r>
  <r>
    <s v="YK263300114"/>
    <x v="0"/>
    <x v="0"/>
    <n v="1"/>
    <x v="0"/>
    <d v="2026-08-11T06:42:41"/>
    <x v="12"/>
    <x v="6"/>
    <x v="12"/>
    <s v="17IA14.90"/>
    <x v="1"/>
    <x v="1"/>
    <m/>
    <m/>
    <m/>
  </r>
  <r>
    <s v="YK263300115"/>
    <x v="0"/>
    <x v="0"/>
    <n v="1"/>
    <x v="0"/>
    <d v="2026-08-11T06:42:41"/>
    <x v="12"/>
    <x v="6"/>
    <x v="12"/>
    <s v="17IA14.90"/>
    <x v="1"/>
    <x v="1"/>
    <m/>
    <m/>
    <m/>
  </r>
  <r>
    <s v="YK263300116"/>
    <x v="0"/>
    <x v="0"/>
    <n v="1"/>
    <x v="0"/>
    <d v="2026-08-11T06:42:41"/>
    <x v="12"/>
    <x v="6"/>
    <x v="12"/>
    <s v="17IA14.90"/>
    <x v="1"/>
    <x v="1"/>
    <m/>
    <m/>
    <m/>
  </r>
  <r>
    <s v="YK263300117"/>
    <x v="0"/>
    <x v="0"/>
    <n v="1"/>
    <x v="0"/>
    <d v="2026-08-11T06:42:41"/>
    <x v="12"/>
    <x v="6"/>
    <x v="12"/>
    <s v="17IA14.90"/>
    <x v="1"/>
    <x v="1"/>
    <m/>
    <m/>
    <m/>
  </r>
  <r>
    <s v="YK263300118"/>
    <x v="0"/>
    <x v="0"/>
    <n v="1"/>
    <x v="0"/>
    <d v="2026-08-11T06:42:41"/>
    <x v="12"/>
    <x v="6"/>
    <x v="12"/>
    <s v="17IA14.90"/>
    <x v="1"/>
    <x v="1"/>
    <m/>
    <m/>
    <m/>
  </r>
  <r>
    <s v="YK263300119"/>
    <x v="0"/>
    <x v="0"/>
    <n v="1"/>
    <x v="0"/>
    <d v="2026-08-11T06:42:41"/>
    <x v="12"/>
    <x v="6"/>
    <x v="12"/>
    <s v="17IA14.90"/>
    <x v="1"/>
    <x v="1"/>
    <m/>
    <m/>
    <m/>
  </r>
  <r>
    <s v="YK263300120"/>
    <x v="0"/>
    <x v="0"/>
    <n v="1"/>
    <x v="0"/>
    <d v="2026-08-11T06:42:41"/>
    <x v="12"/>
    <x v="6"/>
    <x v="12"/>
    <s v="17IA14.90"/>
    <x v="1"/>
    <x v="1"/>
    <m/>
    <m/>
    <m/>
  </r>
  <r>
    <s v="YK263300121"/>
    <x v="0"/>
    <x v="0"/>
    <n v="1"/>
    <x v="0"/>
    <d v="2026-08-11T06:42:41"/>
    <x v="12"/>
    <x v="6"/>
    <x v="12"/>
    <s v="17IA14.90"/>
    <x v="1"/>
    <x v="1"/>
    <m/>
    <m/>
    <m/>
  </r>
  <r>
    <s v="YK263300122"/>
    <x v="0"/>
    <x v="0"/>
    <n v="1"/>
    <x v="0"/>
    <d v="2026-08-11T06:42:41"/>
    <x v="12"/>
    <x v="6"/>
    <x v="12"/>
    <s v="17IA14.90"/>
    <x v="1"/>
    <x v="1"/>
    <m/>
    <m/>
    <m/>
  </r>
  <r>
    <s v="YK263300123"/>
    <x v="0"/>
    <x v="0"/>
    <n v="1"/>
    <x v="0"/>
    <d v="2026-08-11T06:42:41"/>
    <x v="12"/>
    <x v="6"/>
    <x v="12"/>
    <s v="17IA14.90"/>
    <x v="1"/>
    <x v="1"/>
    <m/>
    <m/>
    <m/>
  </r>
  <r>
    <s v="YK263300124"/>
    <x v="0"/>
    <x v="0"/>
    <n v="1"/>
    <x v="0"/>
    <d v="2026-08-11T06:42:41"/>
    <x v="12"/>
    <x v="6"/>
    <x v="12"/>
    <s v="17IA14.90"/>
    <x v="1"/>
    <x v="1"/>
    <m/>
    <m/>
    <m/>
  </r>
  <r>
    <s v="YK263300125"/>
    <x v="0"/>
    <x v="0"/>
    <n v="1"/>
    <x v="0"/>
    <d v="2026-08-11T06:42:41"/>
    <x v="12"/>
    <x v="6"/>
    <x v="12"/>
    <s v="17IA14.90"/>
    <x v="1"/>
    <x v="1"/>
    <m/>
    <m/>
    <m/>
  </r>
  <r>
    <s v="YK263300126"/>
    <x v="0"/>
    <x v="0"/>
    <n v="1"/>
    <x v="0"/>
    <d v="2026-08-11T06:42:41"/>
    <x v="12"/>
    <x v="6"/>
    <x v="12"/>
    <s v="17IA14.90"/>
    <x v="1"/>
    <x v="1"/>
    <m/>
    <m/>
    <m/>
  </r>
  <r>
    <s v="YK263300127"/>
    <x v="0"/>
    <x v="0"/>
    <n v="1"/>
    <x v="0"/>
    <d v="2026-08-11T06:42:41"/>
    <x v="12"/>
    <x v="6"/>
    <x v="12"/>
    <s v="17IA14.90"/>
    <x v="1"/>
    <x v="1"/>
    <m/>
    <m/>
    <m/>
  </r>
  <r>
    <s v="YK263300128"/>
    <x v="0"/>
    <x v="0"/>
    <n v="1"/>
    <x v="0"/>
    <d v="2026-08-11T06:42:41"/>
    <x v="12"/>
    <x v="6"/>
    <x v="12"/>
    <s v="17IA14.90"/>
    <x v="1"/>
    <x v="1"/>
    <m/>
    <m/>
    <m/>
  </r>
  <r>
    <s v="YK263300129"/>
    <x v="0"/>
    <x v="0"/>
    <n v="1"/>
    <x v="0"/>
    <d v="2026-08-11T06:42:41"/>
    <x v="12"/>
    <x v="6"/>
    <x v="12"/>
    <s v="17IA14.90"/>
    <x v="1"/>
    <x v="1"/>
    <m/>
    <m/>
    <m/>
  </r>
  <r>
    <s v="YK263300130"/>
    <x v="0"/>
    <x v="0"/>
    <n v="1"/>
    <x v="0"/>
    <d v="2026-08-11T06:42:41"/>
    <x v="12"/>
    <x v="6"/>
    <x v="12"/>
    <s v="17IA14.90"/>
    <x v="1"/>
    <x v="1"/>
    <m/>
    <m/>
    <m/>
  </r>
  <r>
    <s v="YK263300131"/>
    <x v="0"/>
    <x v="0"/>
    <n v="1"/>
    <x v="0"/>
    <d v="2026-08-11T06:42:41"/>
    <x v="12"/>
    <x v="6"/>
    <x v="12"/>
    <s v="17IA14.90"/>
    <x v="1"/>
    <x v="1"/>
    <m/>
    <m/>
    <m/>
  </r>
  <r>
    <s v="YK263300132"/>
    <x v="0"/>
    <x v="0"/>
    <n v="1"/>
    <x v="0"/>
    <d v="2026-08-11T06:42:41"/>
    <x v="12"/>
    <x v="6"/>
    <x v="12"/>
    <s v="17IA14.90"/>
    <x v="1"/>
    <x v="1"/>
    <m/>
    <m/>
    <m/>
  </r>
  <r>
    <s v="YK263300133"/>
    <x v="0"/>
    <x v="0"/>
    <n v="1"/>
    <x v="0"/>
    <d v="2026-08-11T06:42:41"/>
    <x v="12"/>
    <x v="6"/>
    <x v="12"/>
    <s v="17IA14.90"/>
    <x v="1"/>
    <x v="1"/>
    <m/>
    <m/>
    <m/>
  </r>
  <r>
    <s v="YK263300134"/>
    <x v="0"/>
    <x v="0"/>
    <n v="1"/>
    <x v="0"/>
    <d v="2026-08-11T06:42:41"/>
    <x v="12"/>
    <x v="6"/>
    <x v="12"/>
    <s v="17IA14.90"/>
    <x v="1"/>
    <x v="1"/>
    <m/>
    <m/>
    <m/>
  </r>
  <r>
    <s v="YK263300135"/>
    <x v="0"/>
    <x v="0"/>
    <n v="1"/>
    <x v="0"/>
    <d v="2026-08-11T06:42:41"/>
    <x v="12"/>
    <x v="6"/>
    <x v="12"/>
    <s v="17IA14.90"/>
    <x v="1"/>
    <x v="1"/>
    <m/>
    <m/>
    <m/>
  </r>
  <r>
    <s v="YK263300136"/>
    <x v="0"/>
    <x v="0"/>
    <n v="1"/>
    <x v="0"/>
    <d v="2026-08-11T06:42:41"/>
    <x v="12"/>
    <x v="6"/>
    <x v="12"/>
    <s v="17IA14.90"/>
    <x v="1"/>
    <x v="1"/>
    <m/>
    <m/>
    <m/>
  </r>
  <r>
    <s v="YK263300137"/>
    <x v="0"/>
    <x v="0"/>
    <n v="1"/>
    <x v="0"/>
    <d v="2026-08-11T06:42:41"/>
    <x v="12"/>
    <x v="6"/>
    <x v="12"/>
    <s v="17IA14.90"/>
    <x v="1"/>
    <x v="1"/>
    <m/>
    <m/>
    <m/>
  </r>
  <r>
    <s v="YK263300138"/>
    <x v="0"/>
    <x v="0"/>
    <n v="1"/>
    <x v="0"/>
    <d v="2026-08-11T06:42:41"/>
    <x v="12"/>
    <x v="6"/>
    <x v="12"/>
    <s v="17IA14.90"/>
    <x v="1"/>
    <x v="1"/>
    <m/>
    <m/>
    <m/>
  </r>
  <r>
    <s v="YK263300139"/>
    <x v="0"/>
    <x v="0"/>
    <n v="1"/>
    <x v="0"/>
    <d v="2026-08-11T06:42:41"/>
    <x v="12"/>
    <x v="6"/>
    <x v="12"/>
    <s v="17IA14.90"/>
    <x v="1"/>
    <x v="1"/>
    <m/>
    <m/>
    <m/>
  </r>
  <r>
    <s v="YK263300140"/>
    <x v="0"/>
    <x v="0"/>
    <n v="1"/>
    <x v="0"/>
    <d v="2026-08-11T06:42:41"/>
    <x v="12"/>
    <x v="6"/>
    <x v="12"/>
    <s v="17IA14.90"/>
    <x v="1"/>
    <x v="1"/>
    <m/>
    <m/>
    <m/>
  </r>
  <r>
    <s v="YK263300141"/>
    <x v="0"/>
    <x v="0"/>
    <n v="1"/>
    <x v="0"/>
    <d v="2026-08-11T06:42:41"/>
    <x v="12"/>
    <x v="6"/>
    <x v="12"/>
    <s v="17IA14.90"/>
    <x v="1"/>
    <x v="1"/>
    <m/>
    <m/>
    <m/>
  </r>
  <r>
    <s v="YK263300142"/>
    <x v="0"/>
    <x v="0"/>
    <n v="1"/>
    <x v="0"/>
    <d v="2026-08-11T06:42:41"/>
    <x v="12"/>
    <x v="6"/>
    <x v="12"/>
    <s v="17IA14.90"/>
    <x v="1"/>
    <x v="1"/>
    <m/>
    <m/>
    <m/>
  </r>
  <r>
    <s v="YK263300143"/>
    <x v="0"/>
    <x v="0"/>
    <n v="1"/>
    <x v="0"/>
    <d v="2026-08-11T06:42:41"/>
    <x v="12"/>
    <x v="6"/>
    <x v="12"/>
    <s v="17IA14.90"/>
    <x v="1"/>
    <x v="1"/>
    <m/>
    <m/>
    <m/>
  </r>
  <r>
    <s v="YK263300144"/>
    <x v="0"/>
    <x v="0"/>
    <n v="1"/>
    <x v="0"/>
    <d v="2026-08-11T06:42:41"/>
    <x v="12"/>
    <x v="6"/>
    <x v="12"/>
    <s v="17IA14.90"/>
    <x v="1"/>
    <x v="1"/>
    <m/>
    <m/>
    <m/>
  </r>
  <r>
    <s v="YK263300145"/>
    <x v="0"/>
    <x v="0"/>
    <n v="1"/>
    <x v="0"/>
    <d v="2026-08-11T06:42:41"/>
    <x v="12"/>
    <x v="6"/>
    <x v="12"/>
    <s v="17IA14.90"/>
    <x v="1"/>
    <x v="1"/>
    <m/>
    <m/>
    <m/>
  </r>
  <r>
    <s v="YK263300146"/>
    <x v="0"/>
    <x v="0"/>
    <n v="1"/>
    <x v="0"/>
    <d v="2026-08-11T06:42:41"/>
    <x v="12"/>
    <x v="6"/>
    <x v="12"/>
    <s v="17IA14.90"/>
    <x v="1"/>
    <x v="1"/>
    <m/>
    <m/>
    <m/>
  </r>
  <r>
    <s v="YK263300147"/>
    <x v="0"/>
    <x v="0"/>
    <n v="1"/>
    <x v="0"/>
    <d v="2026-08-11T06:42:41"/>
    <x v="12"/>
    <x v="6"/>
    <x v="12"/>
    <s v="17IA14.90"/>
    <x v="1"/>
    <x v="1"/>
    <m/>
    <m/>
    <m/>
  </r>
  <r>
    <s v="YK263300148"/>
    <x v="0"/>
    <x v="0"/>
    <n v="1"/>
    <x v="0"/>
    <d v="2026-08-11T06:42:41"/>
    <x v="12"/>
    <x v="6"/>
    <x v="12"/>
    <s v="17IA14.90"/>
    <x v="1"/>
    <x v="1"/>
    <m/>
    <m/>
    <m/>
  </r>
  <r>
    <s v="YK263300149"/>
    <x v="0"/>
    <x v="0"/>
    <n v="1"/>
    <x v="0"/>
    <d v="2026-08-11T06:42:41"/>
    <x v="12"/>
    <x v="6"/>
    <x v="12"/>
    <s v="17IA14.90"/>
    <x v="1"/>
    <x v="1"/>
    <m/>
    <m/>
    <m/>
  </r>
  <r>
    <s v="YK263300150"/>
    <x v="0"/>
    <x v="0"/>
    <n v="1"/>
    <x v="0"/>
    <d v="2026-08-11T06:42:41"/>
    <x v="12"/>
    <x v="6"/>
    <x v="12"/>
    <s v="17IA14.90"/>
    <x v="1"/>
    <x v="1"/>
    <m/>
    <m/>
    <m/>
  </r>
  <r>
    <s v="YK263300151"/>
    <x v="0"/>
    <x v="0"/>
    <n v="1"/>
    <x v="0"/>
    <d v="2026-08-11T06:42:41"/>
    <x v="12"/>
    <x v="6"/>
    <x v="12"/>
    <s v="17IA14.90"/>
    <x v="1"/>
    <x v="1"/>
    <m/>
    <m/>
    <m/>
  </r>
  <r>
    <s v="YK263300152"/>
    <x v="0"/>
    <x v="0"/>
    <n v="1"/>
    <x v="0"/>
    <d v="2026-08-11T06:42:41"/>
    <x v="12"/>
    <x v="6"/>
    <x v="12"/>
    <s v="17IA14.90"/>
    <x v="1"/>
    <x v="1"/>
    <m/>
    <m/>
    <m/>
  </r>
  <r>
    <s v="YK263300153"/>
    <x v="0"/>
    <x v="0"/>
    <n v="1"/>
    <x v="0"/>
    <d v="2026-08-11T06:42:41"/>
    <x v="12"/>
    <x v="6"/>
    <x v="12"/>
    <s v="17IA14.90"/>
    <x v="1"/>
    <x v="1"/>
    <m/>
    <m/>
    <m/>
  </r>
  <r>
    <s v="YK263300154"/>
    <x v="0"/>
    <x v="0"/>
    <n v="1"/>
    <x v="0"/>
    <d v="2026-08-11T06:42:41"/>
    <x v="12"/>
    <x v="6"/>
    <x v="12"/>
    <s v="17IA14.90"/>
    <x v="1"/>
    <x v="1"/>
    <m/>
    <m/>
    <m/>
  </r>
  <r>
    <s v="YK263300155"/>
    <x v="0"/>
    <x v="0"/>
    <n v="1"/>
    <x v="0"/>
    <d v="2026-08-11T06:42:41"/>
    <x v="12"/>
    <x v="6"/>
    <x v="12"/>
    <s v="17IA14.90"/>
    <x v="1"/>
    <x v="1"/>
    <m/>
    <m/>
    <m/>
  </r>
  <r>
    <s v="YK263300156"/>
    <x v="0"/>
    <x v="0"/>
    <n v="1"/>
    <x v="0"/>
    <d v="2026-08-11T06:42:41"/>
    <x v="12"/>
    <x v="6"/>
    <x v="12"/>
    <s v="17IA14.90"/>
    <x v="1"/>
    <x v="1"/>
    <m/>
    <m/>
    <m/>
  </r>
  <r>
    <s v="YK263300157"/>
    <x v="0"/>
    <x v="0"/>
    <n v="1"/>
    <x v="0"/>
    <d v="2026-08-11T06:42:41"/>
    <x v="12"/>
    <x v="6"/>
    <x v="12"/>
    <s v="17IA14.90"/>
    <x v="1"/>
    <x v="1"/>
    <m/>
    <m/>
    <m/>
  </r>
  <r>
    <s v="YK263300158"/>
    <x v="0"/>
    <x v="0"/>
    <n v="1"/>
    <x v="0"/>
    <d v="2026-08-11T06:42:41"/>
    <x v="12"/>
    <x v="6"/>
    <x v="12"/>
    <s v="17IA14.90"/>
    <x v="1"/>
    <x v="1"/>
    <m/>
    <m/>
    <m/>
  </r>
  <r>
    <s v="YK263300159"/>
    <x v="0"/>
    <x v="0"/>
    <n v="1"/>
    <x v="0"/>
    <d v="2026-08-11T06:42:41"/>
    <x v="12"/>
    <x v="6"/>
    <x v="12"/>
    <s v="17IA14.90"/>
    <x v="1"/>
    <x v="1"/>
    <m/>
    <m/>
    <m/>
  </r>
  <r>
    <s v="YK263300160"/>
    <x v="0"/>
    <x v="0"/>
    <n v="1"/>
    <x v="0"/>
    <d v="2026-08-11T06:42:41"/>
    <x v="12"/>
    <x v="6"/>
    <x v="12"/>
    <s v="17IA14.90"/>
    <x v="1"/>
    <x v="1"/>
    <m/>
    <m/>
    <m/>
  </r>
  <r>
    <s v="YK263300161"/>
    <x v="0"/>
    <x v="0"/>
    <n v="1"/>
    <x v="0"/>
    <d v="2026-08-11T06:42:41"/>
    <x v="12"/>
    <x v="6"/>
    <x v="12"/>
    <s v="17IA14.90"/>
    <x v="1"/>
    <x v="1"/>
    <m/>
    <m/>
    <m/>
  </r>
  <r>
    <s v="YK263300162"/>
    <x v="0"/>
    <x v="0"/>
    <n v="1"/>
    <x v="0"/>
    <d v="2026-08-11T06:42:41"/>
    <x v="12"/>
    <x v="6"/>
    <x v="12"/>
    <s v="17IA14.90"/>
    <x v="1"/>
    <x v="1"/>
    <m/>
    <m/>
    <m/>
  </r>
  <r>
    <s v="YK263300163"/>
    <x v="0"/>
    <x v="0"/>
    <n v="1"/>
    <x v="0"/>
    <d v="2026-08-11T06:42:41"/>
    <x v="12"/>
    <x v="6"/>
    <x v="12"/>
    <s v="17IA14.90"/>
    <x v="1"/>
    <x v="1"/>
    <m/>
    <m/>
    <m/>
  </r>
  <r>
    <s v="YK263300164"/>
    <x v="0"/>
    <x v="0"/>
    <n v="1"/>
    <x v="0"/>
    <d v="2026-08-11T06:42:41"/>
    <x v="12"/>
    <x v="6"/>
    <x v="12"/>
    <s v="17IA14.90"/>
    <x v="1"/>
    <x v="1"/>
    <m/>
    <m/>
    <m/>
  </r>
  <r>
    <s v="YK263300165"/>
    <x v="0"/>
    <x v="0"/>
    <n v="1"/>
    <x v="0"/>
    <d v="2026-08-11T06:42:41"/>
    <x v="12"/>
    <x v="6"/>
    <x v="12"/>
    <s v="17IA14.90"/>
    <x v="1"/>
    <x v="1"/>
    <m/>
    <m/>
    <m/>
  </r>
  <r>
    <s v="YK263300166"/>
    <x v="0"/>
    <x v="0"/>
    <n v="1"/>
    <x v="0"/>
    <d v="2026-08-11T06:42:41"/>
    <x v="12"/>
    <x v="6"/>
    <x v="12"/>
    <s v="17IA14.90"/>
    <x v="1"/>
    <x v="1"/>
    <m/>
    <m/>
    <m/>
  </r>
  <r>
    <s v="YK263300167"/>
    <x v="0"/>
    <x v="0"/>
    <n v="1"/>
    <x v="0"/>
    <d v="2026-08-11T06:42:41"/>
    <x v="12"/>
    <x v="6"/>
    <x v="12"/>
    <s v="17IA14.90"/>
    <x v="1"/>
    <x v="1"/>
    <m/>
    <m/>
    <m/>
  </r>
  <r>
    <s v="YK263300168"/>
    <x v="0"/>
    <x v="0"/>
    <n v="1"/>
    <x v="0"/>
    <d v="2026-08-11T06:42:41"/>
    <x v="12"/>
    <x v="6"/>
    <x v="12"/>
    <s v="17IA14.90"/>
    <x v="1"/>
    <x v="1"/>
    <m/>
    <m/>
    <m/>
  </r>
  <r>
    <s v="YK263300169"/>
    <x v="0"/>
    <x v="0"/>
    <n v="1"/>
    <x v="0"/>
    <d v="2026-08-11T06:42:41"/>
    <x v="12"/>
    <x v="6"/>
    <x v="12"/>
    <s v="17IA14.90"/>
    <x v="1"/>
    <x v="1"/>
    <m/>
    <m/>
    <m/>
  </r>
  <r>
    <s v="YK263300170"/>
    <x v="0"/>
    <x v="0"/>
    <n v="1"/>
    <x v="0"/>
    <d v="2026-08-11T06:42:41"/>
    <x v="12"/>
    <x v="6"/>
    <x v="12"/>
    <s v="17IA14.90"/>
    <x v="1"/>
    <x v="1"/>
    <m/>
    <m/>
    <m/>
  </r>
  <r>
    <s v="YK263300171"/>
    <x v="0"/>
    <x v="0"/>
    <n v="1"/>
    <x v="0"/>
    <d v="2026-08-11T06:42:41"/>
    <x v="12"/>
    <x v="6"/>
    <x v="12"/>
    <s v="17IA14.90"/>
    <x v="1"/>
    <x v="1"/>
    <m/>
    <m/>
    <m/>
  </r>
  <r>
    <s v="YK263300172"/>
    <x v="0"/>
    <x v="0"/>
    <n v="1"/>
    <x v="0"/>
    <d v="2026-08-11T06:42:41"/>
    <x v="12"/>
    <x v="6"/>
    <x v="12"/>
    <s v="17IA14.90"/>
    <x v="1"/>
    <x v="1"/>
    <m/>
    <m/>
    <m/>
  </r>
  <r>
    <s v="YK263300173"/>
    <x v="0"/>
    <x v="0"/>
    <n v="1"/>
    <x v="0"/>
    <d v="2026-08-11T06:42:41"/>
    <x v="12"/>
    <x v="6"/>
    <x v="12"/>
    <s v="17IA14.90"/>
    <x v="1"/>
    <x v="1"/>
    <m/>
    <m/>
    <m/>
  </r>
  <r>
    <s v="YK263300174"/>
    <x v="0"/>
    <x v="0"/>
    <n v="1"/>
    <x v="0"/>
    <d v="2026-08-11T06:42:41"/>
    <x v="12"/>
    <x v="6"/>
    <x v="12"/>
    <s v="17IA14.90"/>
    <x v="1"/>
    <x v="1"/>
    <m/>
    <m/>
    <m/>
  </r>
  <r>
    <s v="YK263300175"/>
    <x v="0"/>
    <x v="0"/>
    <n v="1"/>
    <x v="0"/>
    <d v="2026-08-11T06:42:41"/>
    <x v="12"/>
    <x v="6"/>
    <x v="12"/>
    <s v="17IA14.90"/>
    <x v="1"/>
    <x v="1"/>
    <m/>
    <m/>
    <m/>
  </r>
  <r>
    <s v="YK263300176"/>
    <x v="0"/>
    <x v="0"/>
    <n v="1"/>
    <x v="0"/>
    <d v="2026-08-11T06:42:41"/>
    <x v="12"/>
    <x v="6"/>
    <x v="12"/>
    <s v="17IA14.90"/>
    <x v="1"/>
    <x v="1"/>
    <m/>
    <m/>
    <m/>
  </r>
  <r>
    <s v="YK263300177"/>
    <x v="0"/>
    <x v="0"/>
    <n v="1"/>
    <x v="0"/>
    <d v="2026-08-11T06:42:41"/>
    <x v="12"/>
    <x v="6"/>
    <x v="12"/>
    <s v="17IA14.90"/>
    <x v="1"/>
    <x v="1"/>
    <m/>
    <m/>
    <m/>
  </r>
  <r>
    <s v="YK263300178"/>
    <x v="0"/>
    <x v="0"/>
    <n v="1"/>
    <x v="0"/>
    <d v="2026-08-11T06:42:41"/>
    <x v="12"/>
    <x v="6"/>
    <x v="12"/>
    <s v="17IA14.90"/>
    <x v="1"/>
    <x v="1"/>
    <m/>
    <m/>
    <m/>
  </r>
  <r>
    <s v="YK263300179"/>
    <x v="0"/>
    <x v="0"/>
    <n v="1"/>
    <x v="0"/>
    <d v="2026-08-11T06:42:41"/>
    <x v="12"/>
    <x v="6"/>
    <x v="12"/>
    <s v="17IA14.90"/>
    <x v="1"/>
    <x v="1"/>
    <m/>
    <m/>
    <m/>
  </r>
  <r>
    <s v="YK263300180"/>
    <x v="0"/>
    <x v="0"/>
    <n v="1"/>
    <x v="0"/>
    <d v="2026-08-11T06:42:41"/>
    <x v="12"/>
    <x v="6"/>
    <x v="12"/>
    <s v="17IA14.90"/>
    <x v="1"/>
    <x v="1"/>
    <m/>
    <m/>
    <m/>
  </r>
  <r>
    <s v="YK263300181"/>
    <x v="0"/>
    <x v="0"/>
    <n v="1"/>
    <x v="0"/>
    <d v="2026-08-11T06:42:41"/>
    <x v="12"/>
    <x v="6"/>
    <x v="12"/>
    <s v="17IA14.90"/>
    <x v="1"/>
    <x v="1"/>
    <m/>
    <m/>
    <m/>
  </r>
  <r>
    <s v="YK263300182"/>
    <x v="0"/>
    <x v="0"/>
    <n v="1"/>
    <x v="0"/>
    <d v="2026-08-11T06:42:41"/>
    <x v="12"/>
    <x v="6"/>
    <x v="12"/>
    <s v="17IA14.90"/>
    <x v="1"/>
    <x v="1"/>
    <m/>
    <m/>
    <m/>
  </r>
  <r>
    <s v="YK263300183"/>
    <x v="0"/>
    <x v="0"/>
    <n v="1"/>
    <x v="0"/>
    <d v="2026-08-11T06:42:41"/>
    <x v="12"/>
    <x v="6"/>
    <x v="12"/>
    <s v="17IA14.90"/>
    <x v="1"/>
    <x v="1"/>
    <m/>
    <m/>
    <m/>
  </r>
  <r>
    <s v="YK263300184"/>
    <x v="0"/>
    <x v="0"/>
    <n v="1"/>
    <x v="0"/>
    <d v="2026-08-11T06:42:41"/>
    <x v="12"/>
    <x v="6"/>
    <x v="12"/>
    <s v="17IA14.90"/>
    <x v="1"/>
    <x v="1"/>
    <m/>
    <m/>
    <m/>
  </r>
  <r>
    <s v="YK263300185"/>
    <x v="0"/>
    <x v="0"/>
    <n v="1"/>
    <x v="0"/>
    <d v="2026-08-11T06:42:41"/>
    <x v="12"/>
    <x v="6"/>
    <x v="12"/>
    <s v="17IA14.90"/>
    <x v="1"/>
    <x v="1"/>
    <m/>
    <m/>
    <m/>
  </r>
  <r>
    <s v="YK263300186"/>
    <x v="0"/>
    <x v="0"/>
    <n v="1"/>
    <x v="0"/>
    <d v="2026-08-11T06:42:41"/>
    <x v="12"/>
    <x v="6"/>
    <x v="12"/>
    <s v="17IA14.90"/>
    <x v="1"/>
    <x v="1"/>
    <m/>
    <m/>
    <m/>
  </r>
  <r>
    <s v="YK263300187"/>
    <x v="0"/>
    <x v="0"/>
    <n v="1"/>
    <x v="0"/>
    <d v="2026-08-11T06:42:41"/>
    <x v="12"/>
    <x v="6"/>
    <x v="12"/>
    <s v="17IA14.90"/>
    <x v="1"/>
    <x v="1"/>
    <m/>
    <m/>
    <m/>
  </r>
  <r>
    <s v="YK263300188"/>
    <x v="0"/>
    <x v="0"/>
    <n v="1"/>
    <x v="0"/>
    <d v="2026-08-11T06:42:41"/>
    <x v="12"/>
    <x v="6"/>
    <x v="12"/>
    <s v="17IA14.90"/>
    <x v="1"/>
    <x v="1"/>
    <m/>
    <m/>
    <m/>
  </r>
  <r>
    <s v="YK263300189"/>
    <x v="0"/>
    <x v="0"/>
    <n v="1"/>
    <x v="0"/>
    <d v="2026-08-11T06:42:41"/>
    <x v="12"/>
    <x v="6"/>
    <x v="12"/>
    <s v="17IA14.90"/>
    <x v="1"/>
    <x v="1"/>
    <m/>
    <m/>
    <m/>
  </r>
  <r>
    <s v="YK263300190"/>
    <x v="0"/>
    <x v="0"/>
    <n v="1"/>
    <x v="0"/>
    <d v="2026-08-11T06:42:41"/>
    <x v="12"/>
    <x v="6"/>
    <x v="12"/>
    <s v="17IA14.90"/>
    <x v="1"/>
    <x v="1"/>
    <m/>
    <m/>
    <m/>
  </r>
  <r>
    <s v="YK263300191"/>
    <x v="0"/>
    <x v="0"/>
    <n v="1"/>
    <x v="0"/>
    <d v="2026-08-11T06:42:41"/>
    <x v="12"/>
    <x v="6"/>
    <x v="12"/>
    <s v="17IA14.90"/>
    <x v="1"/>
    <x v="1"/>
    <m/>
    <m/>
    <m/>
  </r>
  <r>
    <s v="YK263300192"/>
    <x v="0"/>
    <x v="0"/>
    <n v="1"/>
    <x v="0"/>
    <d v="2026-08-11T06:42:41"/>
    <x v="12"/>
    <x v="6"/>
    <x v="12"/>
    <s v="17IA14.90"/>
    <x v="1"/>
    <x v="1"/>
    <m/>
    <m/>
    <m/>
  </r>
  <r>
    <s v="YK263300193"/>
    <x v="0"/>
    <x v="0"/>
    <n v="1"/>
    <x v="0"/>
    <d v="2026-08-11T06:42:41"/>
    <x v="12"/>
    <x v="6"/>
    <x v="12"/>
    <s v="17IA14.90"/>
    <x v="1"/>
    <x v="1"/>
    <m/>
    <m/>
    <m/>
  </r>
  <r>
    <s v="YK263300194"/>
    <x v="0"/>
    <x v="0"/>
    <n v="1"/>
    <x v="0"/>
    <d v="2026-08-11T06:42:41"/>
    <x v="12"/>
    <x v="6"/>
    <x v="12"/>
    <s v="17IA14.90"/>
    <x v="1"/>
    <x v="1"/>
    <m/>
    <m/>
    <m/>
  </r>
  <r>
    <s v="YK263300195"/>
    <x v="0"/>
    <x v="0"/>
    <n v="1"/>
    <x v="0"/>
    <d v="2026-08-11T06:42:41"/>
    <x v="12"/>
    <x v="6"/>
    <x v="12"/>
    <s v="17IA14.90"/>
    <x v="1"/>
    <x v="1"/>
    <m/>
    <m/>
    <m/>
  </r>
  <r>
    <s v="YK263300196"/>
    <x v="0"/>
    <x v="0"/>
    <n v="1"/>
    <x v="0"/>
    <d v="2026-08-11T06:42:41"/>
    <x v="12"/>
    <x v="6"/>
    <x v="12"/>
    <s v="17IA14.90"/>
    <x v="1"/>
    <x v="1"/>
    <m/>
    <m/>
    <m/>
  </r>
  <r>
    <s v="YK263300197"/>
    <x v="0"/>
    <x v="0"/>
    <n v="1"/>
    <x v="0"/>
    <d v="2026-08-11T06:42:41"/>
    <x v="12"/>
    <x v="6"/>
    <x v="12"/>
    <s v="17IA14.90"/>
    <x v="1"/>
    <x v="1"/>
    <m/>
    <m/>
    <m/>
  </r>
  <r>
    <s v="YK263300198"/>
    <x v="0"/>
    <x v="0"/>
    <n v="1"/>
    <x v="0"/>
    <d v="2026-08-11T06:42:41"/>
    <x v="12"/>
    <x v="6"/>
    <x v="12"/>
    <s v="17IA14.90"/>
    <x v="1"/>
    <x v="1"/>
    <m/>
    <m/>
    <m/>
  </r>
  <r>
    <s v="YK263300199"/>
    <x v="0"/>
    <x v="0"/>
    <n v="1"/>
    <x v="0"/>
    <d v="2026-08-11T06:42:41"/>
    <x v="12"/>
    <x v="6"/>
    <x v="12"/>
    <s v="17IA14.90"/>
    <x v="1"/>
    <x v="1"/>
    <m/>
    <d v="2026-07-08T00:00:00"/>
    <m/>
  </r>
  <r>
    <s v="YK263300200"/>
    <x v="0"/>
    <x v="0"/>
    <n v="1"/>
    <x v="0"/>
    <d v="2026-08-11T06:42:41"/>
    <x v="12"/>
    <x v="6"/>
    <x v="12"/>
    <s v="17IA14.90"/>
    <x v="1"/>
    <x v="1"/>
    <m/>
    <m/>
    <m/>
  </r>
  <r>
    <s v="YK263300201"/>
    <x v="0"/>
    <x v="0"/>
    <n v="1"/>
    <x v="0"/>
    <d v="2026-08-11T06:42:41"/>
    <x v="12"/>
    <x v="6"/>
    <x v="12"/>
    <s v="17IA14.90"/>
    <x v="1"/>
    <x v="1"/>
    <m/>
    <m/>
    <m/>
  </r>
  <r>
    <s v="YK263300202"/>
    <x v="0"/>
    <x v="0"/>
    <n v="1"/>
    <x v="0"/>
    <d v="2026-08-11T06:42:41"/>
    <x v="12"/>
    <x v="6"/>
    <x v="12"/>
    <s v="17IA14.90"/>
    <x v="1"/>
    <x v="1"/>
    <m/>
    <m/>
    <m/>
  </r>
  <r>
    <s v="YK263300203"/>
    <x v="0"/>
    <x v="0"/>
    <n v="1"/>
    <x v="0"/>
    <d v="2026-08-11T06:42:41"/>
    <x v="12"/>
    <x v="6"/>
    <x v="12"/>
    <s v="17IA14.90"/>
    <x v="1"/>
    <x v="1"/>
    <m/>
    <m/>
    <m/>
  </r>
  <r>
    <s v="YK263300204"/>
    <x v="0"/>
    <x v="0"/>
    <n v="1"/>
    <x v="0"/>
    <d v="2026-08-11T06:42:41"/>
    <x v="12"/>
    <x v="6"/>
    <x v="12"/>
    <s v="17IA14.90"/>
    <x v="1"/>
    <x v="1"/>
    <m/>
    <m/>
    <m/>
  </r>
  <r>
    <s v="YK263300205"/>
    <x v="0"/>
    <x v="0"/>
    <n v="1"/>
    <x v="0"/>
    <d v="2026-08-11T06:42:41"/>
    <x v="12"/>
    <x v="6"/>
    <x v="12"/>
    <s v="17IA14.90"/>
    <x v="1"/>
    <x v="1"/>
    <m/>
    <m/>
    <m/>
  </r>
  <r>
    <s v="YK263300206"/>
    <x v="0"/>
    <x v="0"/>
    <n v="1"/>
    <x v="0"/>
    <d v="2026-08-11T06:42:41"/>
    <x v="12"/>
    <x v="6"/>
    <x v="12"/>
    <s v="17IA14.90"/>
    <x v="1"/>
    <x v="1"/>
    <m/>
    <m/>
    <m/>
  </r>
  <r>
    <s v="YK263300207"/>
    <x v="0"/>
    <x v="0"/>
    <n v="1"/>
    <x v="0"/>
    <d v="2026-08-11T06:42:41"/>
    <x v="12"/>
    <x v="6"/>
    <x v="12"/>
    <s v="17IA14.90"/>
    <x v="1"/>
    <x v="1"/>
    <m/>
    <m/>
    <m/>
  </r>
  <r>
    <s v="YK263300208"/>
    <x v="0"/>
    <x v="0"/>
    <n v="1"/>
    <x v="0"/>
    <d v="2026-08-11T06:42:41"/>
    <x v="12"/>
    <x v="6"/>
    <x v="12"/>
    <s v="17IA14.90"/>
    <x v="1"/>
    <x v="1"/>
    <m/>
    <m/>
    <m/>
  </r>
  <r>
    <s v="YK263300209"/>
    <x v="0"/>
    <x v="0"/>
    <n v="1"/>
    <x v="0"/>
    <d v="2026-08-11T06:42:41"/>
    <x v="12"/>
    <x v="6"/>
    <x v="12"/>
    <s v="17IA14.90"/>
    <x v="1"/>
    <x v="1"/>
    <m/>
    <m/>
    <m/>
  </r>
  <r>
    <s v="YK263300210"/>
    <x v="0"/>
    <x v="0"/>
    <n v="1"/>
    <x v="0"/>
    <d v="2026-08-11T06:42:41"/>
    <x v="12"/>
    <x v="6"/>
    <x v="12"/>
    <s v="17IA14.90"/>
    <x v="1"/>
    <x v="1"/>
    <m/>
    <m/>
    <m/>
  </r>
  <r>
    <s v="YK263300211"/>
    <x v="0"/>
    <x v="0"/>
    <n v="1"/>
    <x v="0"/>
    <d v="2026-08-11T06:42:41"/>
    <x v="12"/>
    <x v="6"/>
    <x v="12"/>
    <s v="17IA14.90"/>
    <x v="1"/>
    <x v="1"/>
    <m/>
    <m/>
    <m/>
  </r>
  <r>
    <s v="YK263300212"/>
    <x v="0"/>
    <x v="0"/>
    <n v="1"/>
    <x v="0"/>
    <d v="2026-08-11T06:42:41"/>
    <x v="12"/>
    <x v="6"/>
    <x v="12"/>
    <s v="17IA14.90"/>
    <x v="1"/>
    <x v="1"/>
    <m/>
    <m/>
    <m/>
  </r>
  <r>
    <s v="YK263300213"/>
    <x v="0"/>
    <x v="0"/>
    <n v="1"/>
    <x v="0"/>
    <d v="2026-08-11T06:42:41"/>
    <x v="12"/>
    <x v="6"/>
    <x v="12"/>
    <s v="17IA14.90"/>
    <x v="1"/>
    <x v="1"/>
    <m/>
    <m/>
    <m/>
  </r>
  <r>
    <s v="YK263300214"/>
    <x v="0"/>
    <x v="0"/>
    <n v="1"/>
    <x v="0"/>
    <d v="2026-08-11T06:42:41"/>
    <x v="12"/>
    <x v="6"/>
    <x v="12"/>
    <s v="17IA14.90"/>
    <x v="1"/>
    <x v="1"/>
    <m/>
    <m/>
    <m/>
  </r>
  <r>
    <s v="YK263300215"/>
    <x v="0"/>
    <x v="0"/>
    <n v="1"/>
    <x v="0"/>
    <d v="2026-08-11T06:42:41"/>
    <x v="12"/>
    <x v="6"/>
    <x v="12"/>
    <s v="17IA14.90"/>
    <x v="1"/>
    <x v="1"/>
    <m/>
    <m/>
    <m/>
  </r>
  <r>
    <s v="YK263300216"/>
    <x v="0"/>
    <x v="0"/>
    <n v="1"/>
    <x v="0"/>
    <d v="2026-08-11T06:42:41"/>
    <x v="12"/>
    <x v="6"/>
    <x v="12"/>
    <s v="17IA14.90"/>
    <x v="1"/>
    <x v="1"/>
    <m/>
    <m/>
    <m/>
  </r>
  <r>
    <s v="YK263300217"/>
    <x v="0"/>
    <x v="0"/>
    <n v="1"/>
    <x v="0"/>
    <d v="2026-08-11T06:42:41"/>
    <x v="12"/>
    <x v="6"/>
    <x v="12"/>
    <s v="17IA14.90"/>
    <x v="1"/>
    <x v="1"/>
    <m/>
    <m/>
    <m/>
  </r>
  <r>
    <s v="YK263300218"/>
    <x v="0"/>
    <x v="0"/>
    <n v="1"/>
    <x v="0"/>
    <d v="2026-08-11T06:42:41"/>
    <x v="12"/>
    <x v="6"/>
    <x v="12"/>
    <s v="17IA14.90"/>
    <x v="1"/>
    <x v="1"/>
    <m/>
    <m/>
    <m/>
  </r>
  <r>
    <s v="YK263300219"/>
    <x v="0"/>
    <x v="0"/>
    <n v="1"/>
    <x v="0"/>
    <d v="2026-08-11T06:42:41"/>
    <x v="12"/>
    <x v="6"/>
    <x v="12"/>
    <s v="17IA14.90"/>
    <x v="1"/>
    <x v="1"/>
    <m/>
    <m/>
    <m/>
  </r>
  <r>
    <s v="YK263300220"/>
    <x v="0"/>
    <x v="0"/>
    <n v="1"/>
    <x v="0"/>
    <d v="2026-08-11T06:42:41"/>
    <x v="12"/>
    <x v="6"/>
    <x v="12"/>
    <s v="17IA14.90"/>
    <x v="1"/>
    <x v="1"/>
    <m/>
    <m/>
    <m/>
  </r>
  <r>
    <s v="YK263300221"/>
    <x v="0"/>
    <x v="0"/>
    <n v="1"/>
    <x v="0"/>
    <d v="2026-08-11T06:42:41"/>
    <x v="12"/>
    <x v="6"/>
    <x v="12"/>
    <s v="17IA14.90"/>
    <x v="1"/>
    <x v="1"/>
    <m/>
    <m/>
    <m/>
  </r>
  <r>
    <s v="YK263300222"/>
    <x v="0"/>
    <x v="0"/>
    <n v="1"/>
    <x v="0"/>
    <d v="2026-08-11T06:42:41"/>
    <x v="12"/>
    <x v="6"/>
    <x v="12"/>
    <s v="17IA14.90"/>
    <x v="1"/>
    <x v="1"/>
    <m/>
    <m/>
    <m/>
  </r>
  <r>
    <s v="YK263300223"/>
    <x v="0"/>
    <x v="0"/>
    <n v="1"/>
    <x v="0"/>
    <d v="2026-08-11T06:42:41"/>
    <x v="12"/>
    <x v="6"/>
    <x v="12"/>
    <s v="17IA14.90"/>
    <x v="1"/>
    <x v="1"/>
    <m/>
    <m/>
    <m/>
  </r>
  <r>
    <s v="YK263300224"/>
    <x v="0"/>
    <x v="0"/>
    <n v="1"/>
    <x v="0"/>
    <d v="2026-08-11T06:42:41"/>
    <x v="12"/>
    <x v="6"/>
    <x v="12"/>
    <s v="17IA14.90"/>
    <x v="1"/>
    <x v="1"/>
    <m/>
    <m/>
    <m/>
  </r>
  <r>
    <s v="YK263300225"/>
    <x v="0"/>
    <x v="0"/>
    <n v="1"/>
    <x v="0"/>
    <d v="2026-08-11T06:42:41"/>
    <x v="12"/>
    <x v="6"/>
    <x v="12"/>
    <s v="17IA14.90"/>
    <x v="1"/>
    <x v="1"/>
    <m/>
    <m/>
    <m/>
  </r>
  <r>
    <s v="YK263300226"/>
    <x v="0"/>
    <x v="0"/>
    <n v="1"/>
    <x v="0"/>
    <d v="2026-08-11T06:42:41"/>
    <x v="12"/>
    <x v="6"/>
    <x v="12"/>
    <s v="17IA14.90"/>
    <x v="1"/>
    <x v="1"/>
    <m/>
    <m/>
    <m/>
  </r>
  <r>
    <s v="YK262300189"/>
    <x v="0"/>
    <x v="0"/>
    <n v="1"/>
    <x v="1"/>
    <d v="2026-07-14T06:24:02"/>
    <x v="13"/>
    <x v="7"/>
    <x v="13"/>
    <s v="17IA15.60"/>
    <x v="1"/>
    <x v="1"/>
    <m/>
    <m/>
    <m/>
  </r>
  <r>
    <s v="YK262300190"/>
    <x v="0"/>
    <x v="0"/>
    <n v="1"/>
    <x v="1"/>
    <d v="2026-07-09T06:48:15"/>
    <x v="13"/>
    <x v="7"/>
    <x v="13"/>
    <s v="17IA15.60"/>
    <x v="1"/>
    <x v="1"/>
    <m/>
    <m/>
    <m/>
  </r>
  <r>
    <s v="YK262300191"/>
    <x v="0"/>
    <x v="0"/>
    <n v="1"/>
    <x v="1"/>
    <d v="2026-07-16T09:06:26"/>
    <x v="13"/>
    <x v="7"/>
    <x v="13"/>
    <s v="17IA15.60"/>
    <x v="1"/>
    <x v="1"/>
    <m/>
    <m/>
    <m/>
  </r>
  <r>
    <s v="YK262300192"/>
    <x v="0"/>
    <x v="0"/>
    <n v="1"/>
    <x v="1"/>
    <d v="2026-07-14T12:27:39"/>
    <x v="13"/>
    <x v="7"/>
    <x v="13"/>
    <s v="17IA15.60"/>
    <x v="1"/>
    <x v="1"/>
    <m/>
    <m/>
    <m/>
  </r>
  <r>
    <s v="YK262300193"/>
    <x v="0"/>
    <x v="0"/>
    <n v="1"/>
    <x v="1"/>
    <d v="2026-07-06T11:20:26"/>
    <x v="13"/>
    <x v="7"/>
    <x v="13"/>
    <s v="17IA15.60"/>
    <x v="1"/>
    <x v="1"/>
    <m/>
    <m/>
    <m/>
  </r>
  <r>
    <s v="YK262300194"/>
    <x v="0"/>
    <x v="0"/>
    <n v="1"/>
    <x v="1"/>
    <d v="2026-07-14T09:05:26"/>
    <x v="13"/>
    <x v="7"/>
    <x v="13"/>
    <s v="17IA15.60"/>
    <x v="1"/>
    <x v="1"/>
    <m/>
    <m/>
    <m/>
  </r>
  <r>
    <s v="YK262300195"/>
    <x v="0"/>
    <x v="0"/>
    <n v="1"/>
    <x v="1"/>
    <d v="2026-08-27T12:20:06"/>
    <x v="13"/>
    <x v="7"/>
    <x v="13"/>
    <s v="17IA15.60"/>
    <x v="1"/>
    <x v="1"/>
    <m/>
    <m/>
    <m/>
  </r>
  <r>
    <s v="YK262300196"/>
    <x v="0"/>
    <x v="0"/>
    <n v="1"/>
    <x v="1"/>
    <d v="2026-07-02T09:09:52"/>
    <x v="13"/>
    <x v="7"/>
    <x v="13"/>
    <s v="17IA15.60"/>
    <x v="1"/>
    <x v="1"/>
    <m/>
    <m/>
    <m/>
  </r>
  <r>
    <s v="YK262300197"/>
    <x v="0"/>
    <x v="0"/>
    <n v="1"/>
    <x v="1"/>
    <d v="2026-07-14T12:27:43"/>
    <x v="13"/>
    <x v="7"/>
    <x v="13"/>
    <s v="17IA15.60"/>
    <x v="1"/>
    <x v="1"/>
    <m/>
    <m/>
    <m/>
  </r>
  <r>
    <s v="YK262300198"/>
    <x v="0"/>
    <x v="0"/>
    <n v="1"/>
    <x v="1"/>
    <d v="2026-07-14T12:27:55"/>
    <x v="13"/>
    <x v="7"/>
    <x v="13"/>
    <s v="17IA15.60"/>
    <x v="1"/>
    <x v="1"/>
    <m/>
    <m/>
    <m/>
  </r>
  <r>
    <s v="YK262300199"/>
    <x v="0"/>
    <x v="0"/>
    <n v="1"/>
    <x v="1"/>
    <d v="2026-07-16T09:21:30"/>
    <x v="13"/>
    <x v="7"/>
    <x v="13"/>
    <s v="17IA15.60"/>
    <x v="1"/>
    <x v="1"/>
    <m/>
    <m/>
    <m/>
  </r>
  <r>
    <s v="YK262300200"/>
    <x v="0"/>
    <x v="0"/>
    <n v="1"/>
    <x v="1"/>
    <d v="2026-07-16T08:47:38"/>
    <x v="13"/>
    <x v="7"/>
    <x v="13"/>
    <s v="17IA15.60"/>
    <x v="1"/>
    <x v="1"/>
    <m/>
    <m/>
    <m/>
  </r>
  <r>
    <s v="YK262300201"/>
    <x v="0"/>
    <x v="0"/>
    <n v="1"/>
    <x v="1"/>
    <d v="2026-07-16T05:50:50"/>
    <x v="13"/>
    <x v="7"/>
    <x v="13"/>
    <s v="17IA15.60"/>
    <x v="1"/>
    <x v="1"/>
    <m/>
    <m/>
    <m/>
  </r>
  <r>
    <s v="YK262300202"/>
    <x v="0"/>
    <x v="0"/>
    <n v="1"/>
    <x v="1"/>
    <d v="2026-07-15T06:34:44"/>
    <x v="13"/>
    <x v="7"/>
    <x v="13"/>
    <s v="17IA15.60"/>
    <x v="1"/>
    <x v="1"/>
    <m/>
    <m/>
    <m/>
  </r>
  <r>
    <s v="YK262300203"/>
    <x v="1"/>
    <x v="1"/>
    <n v="1"/>
    <x v="2"/>
    <d v="2026-07-08T08:31:37"/>
    <x v="13"/>
    <x v="7"/>
    <x v="13"/>
    <s v="17IA15.60"/>
    <x v="1"/>
    <x v="1"/>
    <m/>
    <m/>
    <m/>
  </r>
  <r>
    <s v="YK262300204"/>
    <x v="0"/>
    <x v="0"/>
    <n v="1"/>
    <x v="1"/>
    <d v="2026-07-10T08:36:00"/>
    <x v="13"/>
    <x v="7"/>
    <x v="13"/>
    <s v="17IA15.60"/>
    <x v="1"/>
    <x v="1"/>
    <m/>
    <m/>
    <m/>
  </r>
  <r>
    <s v="YK262300205"/>
    <x v="0"/>
    <x v="0"/>
    <n v="1"/>
    <x v="1"/>
    <d v="2026-07-16T05:50:45"/>
    <x v="13"/>
    <x v="7"/>
    <x v="13"/>
    <s v="17IA15.60"/>
    <x v="1"/>
    <x v="1"/>
    <m/>
    <m/>
    <m/>
  </r>
  <r>
    <s v="YK262300206"/>
    <x v="0"/>
    <x v="0"/>
    <n v="1"/>
    <x v="1"/>
    <d v="2026-07-16T11:23:22"/>
    <x v="13"/>
    <x v="7"/>
    <x v="13"/>
    <s v="17IA15.60"/>
    <x v="1"/>
    <x v="1"/>
    <m/>
    <m/>
    <m/>
  </r>
  <r>
    <s v="YK262300207"/>
    <x v="0"/>
    <x v="0"/>
    <n v="1"/>
    <x v="1"/>
    <d v="2026-07-16T11:23:18"/>
    <x v="13"/>
    <x v="7"/>
    <x v="13"/>
    <s v="17IA15.60"/>
    <x v="1"/>
    <x v="1"/>
    <m/>
    <m/>
    <m/>
  </r>
  <r>
    <s v="YK262300208"/>
    <x v="0"/>
    <x v="0"/>
    <n v="1"/>
    <x v="1"/>
    <d v="2026-07-15T06:43:38"/>
    <x v="13"/>
    <x v="7"/>
    <x v="13"/>
    <s v="17IA15.60"/>
    <x v="1"/>
    <x v="1"/>
    <m/>
    <m/>
    <m/>
  </r>
  <r>
    <s v="YK262300209"/>
    <x v="0"/>
    <x v="0"/>
    <n v="1"/>
    <x v="1"/>
    <d v="2026-07-08T10:17:15"/>
    <x v="13"/>
    <x v="7"/>
    <x v="13"/>
    <s v="17IA15.60"/>
    <x v="1"/>
    <x v="1"/>
    <m/>
    <m/>
    <m/>
  </r>
  <r>
    <s v="YK262300210"/>
    <x v="0"/>
    <x v="0"/>
    <n v="1"/>
    <x v="1"/>
    <d v="2026-07-15T06:34:41"/>
    <x v="13"/>
    <x v="7"/>
    <x v="13"/>
    <s v="17IA15.60"/>
    <x v="1"/>
    <x v="1"/>
    <m/>
    <m/>
    <m/>
  </r>
  <r>
    <s v="YK262300211"/>
    <x v="0"/>
    <x v="0"/>
    <n v="1"/>
    <x v="1"/>
    <d v="2026-07-21T09:48:02"/>
    <x v="13"/>
    <x v="7"/>
    <x v="13"/>
    <s v="17IA15.60"/>
    <x v="1"/>
    <x v="1"/>
    <m/>
    <m/>
    <m/>
  </r>
  <r>
    <s v="YK262300212"/>
    <x v="0"/>
    <x v="0"/>
    <n v="1"/>
    <x v="1"/>
    <d v="2026-07-09T06:48:19"/>
    <x v="13"/>
    <x v="7"/>
    <x v="13"/>
    <s v="17IA15.60"/>
    <x v="1"/>
    <x v="1"/>
    <m/>
    <m/>
    <m/>
  </r>
  <r>
    <s v="YK262300213"/>
    <x v="0"/>
    <x v="0"/>
    <n v="1"/>
    <x v="1"/>
    <d v="2026-07-08T10:17:12"/>
    <x v="13"/>
    <x v="7"/>
    <x v="13"/>
    <s v="17IA15.60"/>
    <x v="1"/>
    <x v="1"/>
    <m/>
    <m/>
    <m/>
  </r>
  <r>
    <s v="YK262300214"/>
    <x v="0"/>
    <x v="0"/>
    <n v="1"/>
    <x v="1"/>
    <d v="2026-07-15T06:34:49"/>
    <x v="13"/>
    <x v="7"/>
    <x v="13"/>
    <s v="17IA15.60"/>
    <x v="1"/>
    <x v="1"/>
    <m/>
    <m/>
    <m/>
  </r>
  <r>
    <s v="YK262300215"/>
    <x v="0"/>
    <x v="0"/>
    <n v="1"/>
    <x v="1"/>
    <d v="2026-07-14T09:05:22"/>
    <x v="13"/>
    <x v="7"/>
    <x v="13"/>
    <s v="17IA15.60"/>
    <x v="1"/>
    <x v="1"/>
    <m/>
    <m/>
    <m/>
  </r>
  <r>
    <s v="YK262300216"/>
    <x v="0"/>
    <x v="0"/>
    <n v="1"/>
    <x v="1"/>
    <d v="2026-07-15T13:51:20"/>
    <x v="13"/>
    <x v="7"/>
    <x v="13"/>
    <s v="17IA15.60"/>
    <x v="1"/>
    <x v="1"/>
    <m/>
    <m/>
    <m/>
  </r>
  <r>
    <s v="YK262300217"/>
    <x v="0"/>
    <x v="0"/>
    <n v="1"/>
    <x v="1"/>
    <d v="2026-07-15T06:43:46"/>
    <x v="13"/>
    <x v="7"/>
    <x v="13"/>
    <s v="17IA15.60"/>
    <x v="1"/>
    <x v="1"/>
    <m/>
    <m/>
    <m/>
  </r>
  <r>
    <s v="YK262300218"/>
    <x v="3"/>
    <x v="3"/>
    <n v="1"/>
    <x v="4"/>
    <d v="2026-08-12T21:50:23"/>
    <x v="13"/>
    <x v="7"/>
    <x v="13"/>
    <s v="17IA15.60"/>
    <x v="1"/>
    <x v="1"/>
    <m/>
    <m/>
    <m/>
  </r>
  <r>
    <s v="YK262300219"/>
    <x v="0"/>
    <x v="0"/>
    <n v="1"/>
    <x v="1"/>
    <d v="2026-07-08T10:18:02"/>
    <x v="13"/>
    <x v="7"/>
    <x v="13"/>
    <s v="17IA15.60"/>
    <x v="1"/>
    <x v="1"/>
    <m/>
    <m/>
    <m/>
  </r>
  <r>
    <s v="YK262300220"/>
    <x v="0"/>
    <x v="0"/>
    <n v="1"/>
    <x v="1"/>
    <d v="2026-07-21T09:50:35"/>
    <x v="13"/>
    <x v="7"/>
    <x v="13"/>
    <s v="17IA15.60"/>
    <x v="1"/>
    <x v="1"/>
    <m/>
    <m/>
    <m/>
  </r>
  <r>
    <s v="YK262300221"/>
    <x v="0"/>
    <x v="0"/>
    <n v="1"/>
    <x v="1"/>
    <d v="2026-07-02T09:09:34"/>
    <x v="13"/>
    <x v="7"/>
    <x v="13"/>
    <s v="17IA15.60"/>
    <x v="1"/>
    <x v="1"/>
    <m/>
    <m/>
    <m/>
  </r>
  <r>
    <s v="YK262300222"/>
    <x v="0"/>
    <x v="0"/>
    <n v="1"/>
    <x v="1"/>
    <d v="2026-07-16T11:23:32"/>
    <x v="13"/>
    <x v="7"/>
    <x v="13"/>
    <s v="17IA15.60"/>
    <x v="1"/>
    <x v="1"/>
    <m/>
    <m/>
    <m/>
  </r>
  <r>
    <s v="YK262300223"/>
    <x v="0"/>
    <x v="0"/>
    <n v="1"/>
    <x v="1"/>
    <d v="2026-08-25T14:52:32"/>
    <x v="13"/>
    <x v="7"/>
    <x v="13"/>
    <s v="17IA15.60"/>
    <x v="1"/>
    <x v="1"/>
    <m/>
    <m/>
    <m/>
  </r>
  <r>
    <s v="YK262300224"/>
    <x v="0"/>
    <x v="0"/>
    <n v="1"/>
    <x v="1"/>
    <d v="2026-07-16T05:50:46"/>
    <x v="13"/>
    <x v="7"/>
    <x v="13"/>
    <s v="17IA15.60"/>
    <x v="1"/>
    <x v="1"/>
    <m/>
    <m/>
    <m/>
  </r>
  <r>
    <s v="YK262300225"/>
    <x v="0"/>
    <x v="0"/>
    <n v="1"/>
    <x v="1"/>
    <d v="2026-07-15T06:34:38"/>
    <x v="13"/>
    <x v="7"/>
    <x v="13"/>
    <s v="17IA15.60"/>
    <x v="1"/>
    <x v="1"/>
    <m/>
    <m/>
    <m/>
  </r>
  <r>
    <s v="YK262300226"/>
    <x v="0"/>
    <x v="0"/>
    <n v="1"/>
    <x v="1"/>
    <d v="2026-07-14T09:05:39"/>
    <x v="13"/>
    <x v="7"/>
    <x v="13"/>
    <s v="17IA15.60"/>
    <x v="1"/>
    <x v="1"/>
    <m/>
    <m/>
    <m/>
  </r>
  <r>
    <s v="YK262300227"/>
    <x v="0"/>
    <x v="0"/>
    <n v="1"/>
    <x v="1"/>
    <d v="2026-07-07T13:17:00"/>
    <x v="13"/>
    <x v="7"/>
    <x v="13"/>
    <s v="17IA15.60"/>
    <x v="1"/>
    <x v="1"/>
    <m/>
    <m/>
    <m/>
  </r>
  <r>
    <s v="YK262300228"/>
    <x v="0"/>
    <x v="0"/>
    <n v="1"/>
    <x v="1"/>
    <d v="2026-07-16T09:21:26"/>
    <x v="13"/>
    <x v="7"/>
    <x v="13"/>
    <s v="17IA15.60"/>
    <x v="1"/>
    <x v="1"/>
    <m/>
    <m/>
    <m/>
  </r>
  <r>
    <s v="YK262300229"/>
    <x v="0"/>
    <x v="0"/>
    <n v="1"/>
    <x v="1"/>
    <d v="2026-07-02T09:10:10"/>
    <x v="13"/>
    <x v="7"/>
    <x v="13"/>
    <s v="17IA15.60"/>
    <x v="1"/>
    <x v="1"/>
    <m/>
    <m/>
    <m/>
  </r>
  <r>
    <s v="YK262300230"/>
    <x v="0"/>
    <x v="0"/>
    <n v="1"/>
    <x v="1"/>
    <d v="2026-07-15T06:43:50"/>
    <x v="13"/>
    <x v="7"/>
    <x v="13"/>
    <s v="17IA15.60"/>
    <x v="1"/>
    <x v="1"/>
    <m/>
    <m/>
    <m/>
  </r>
  <r>
    <s v="YK262300231"/>
    <x v="0"/>
    <x v="0"/>
    <n v="1"/>
    <x v="1"/>
    <d v="2026-07-07T13:16:30"/>
    <x v="13"/>
    <x v="7"/>
    <x v="13"/>
    <s v="17IA15.60"/>
    <x v="1"/>
    <x v="1"/>
    <m/>
    <m/>
    <m/>
  </r>
  <r>
    <s v="YK262300232"/>
    <x v="0"/>
    <x v="0"/>
    <n v="1"/>
    <x v="1"/>
    <d v="2026-07-08T10:17:21"/>
    <x v="13"/>
    <x v="7"/>
    <x v="13"/>
    <s v="17IA15.60"/>
    <x v="1"/>
    <x v="1"/>
    <m/>
    <m/>
    <m/>
  </r>
  <r>
    <s v="YK262300233"/>
    <x v="0"/>
    <x v="0"/>
    <n v="1"/>
    <x v="1"/>
    <d v="2026-07-07T13:16:32"/>
    <x v="13"/>
    <x v="7"/>
    <x v="13"/>
    <s v="17IA15.60"/>
    <x v="1"/>
    <x v="1"/>
    <m/>
    <m/>
    <m/>
  </r>
  <r>
    <s v="YK262300234"/>
    <x v="0"/>
    <x v="0"/>
    <n v="1"/>
    <x v="1"/>
    <d v="2026-07-14T09:05:42"/>
    <x v="13"/>
    <x v="7"/>
    <x v="13"/>
    <s v="17IA15.60"/>
    <x v="1"/>
    <x v="1"/>
    <m/>
    <m/>
    <m/>
  </r>
  <r>
    <s v="YK262300235"/>
    <x v="0"/>
    <x v="0"/>
    <n v="1"/>
    <x v="1"/>
    <d v="2026-07-15T13:51:29"/>
    <x v="13"/>
    <x v="7"/>
    <x v="13"/>
    <s v="17IA15.60"/>
    <x v="1"/>
    <x v="1"/>
    <m/>
    <m/>
    <m/>
  </r>
  <r>
    <s v="YK262300236"/>
    <x v="0"/>
    <x v="0"/>
    <n v="1"/>
    <x v="1"/>
    <d v="2026-07-09T06:48:28"/>
    <x v="13"/>
    <x v="7"/>
    <x v="13"/>
    <s v="17IA15.60"/>
    <x v="1"/>
    <x v="1"/>
    <m/>
    <m/>
    <m/>
  </r>
  <r>
    <s v="YK262300237"/>
    <x v="0"/>
    <x v="0"/>
    <n v="1"/>
    <x v="1"/>
    <d v="2026-07-16T05:50:48"/>
    <x v="13"/>
    <x v="7"/>
    <x v="13"/>
    <s v="17IA15.60"/>
    <x v="1"/>
    <x v="1"/>
    <m/>
    <m/>
    <m/>
  </r>
  <r>
    <s v="YK262300238"/>
    <x v="0"/>
    <x v="0"/>
    <n v="1"/>
    <x v="1"/>
    <d v="2026-07-09T06:48:25"/>
    <x v="13"/>
    <x v="7"/>
    <x v="13"/>
    <s v="17IA15.60"/>
    <x v="1"/>
    <x v="1"/>
    <m/>
    <m/>
    <m/>
  </r>
  <r>
    <s v="YK262300239"/>
    <x v="0"/>
    <x v="0"/>
    <n v="1"/>
    <x v="1"/>
    <d v="2026-07-16T09:21:29"/>
    <x v="13"/>
    <x v="7"/>
    <x v="13"/>
    <s v="17IA15.60"/>
    <x v="1"/>
    <x v="1"/>
    <m/>
    <m/>
    <m/>
  </r>
  <r>
    <s v="YK262300240"/>
    <x v="0"/>
    <x v="0"/>
    <n v="1"/>
    <x v="1"/>
    <d v="2026-07-20T11:00:45"/>
    <x v="13"/>
    <x v="7"/>
    <x v="13"/>
    <s v="17IA15.60"/>
    <x v="1"/>
    <x v="1"/>
    <m/>
    <m/>
    <m/>
  </r>
  <r>
    <s v="YK262300241"/>
    <x v="0"/>
    <x v="0"/>
    <n v="1"/>
    <x v="1"/>
    <d v="2026-07-31T06:39:25"/>
    <x v="13"/>
    <x v="7"/>
    <x v="13"/>
    <s v="17IA15.60"/>
    <x v="1"/>
    <x v="1"/>
    <m/>
    <m/>
    <m/>
  </r>
  <r>
    <s v="YK262300242"/>
    <x v="0"/>
    <x v="0"/>
    <n v="1"/>
    <x v="1"/>
    <d v="2026-07-15T13:51:24"/>
    <x v="13"/>
    <x v="7"/>
    <x v="13"/>
    <s v="17IA15.60"/>
    <x v="1"/>
    <x v="1"/>
    <m/>
    <m/>
    <m/>
  </r>
  <r>
    <s v="YK262300243"/>
    <x v="0"/>
    <x v="0"/>
    <n v="1"/>
    <x v="1"/>
    <d v="2026-07-14T12:27:53"/>
    <x v="13"/>
    <x v="7"/>
    <x v="13"/>
    <s v="17IA15.60"/>
    <x v="1"/>
    <x v="1"/>
    <m/>
    <m/>
    <m/>
  </r>
  <r>
    <s v="YK262300244"/>
    <x v="0"/>
    <x v="0"/>
    <n v="1"/>
    <x v="1"/>
    <d v="2026-07-16T09:21:28"/>
    <x v="13"/>
    <x v="7"/>
    <x v="13"/>
    <s v="17IA15.60"/>
    <x v="1"/>
    <x v="1"/>
    <m/>
    <m/>
    <m/>
  </r>
  <r>
    <s v="YK262300245"/>
    <x v="0"/>
    <x v="0"/>
    <n v="1"/>
    <x v="1"/>
    <d v="2026-07-15T13:51:17"/>
    <x v="13"/>
    <x v="7"/>
    <x v="13"/>
    <s v="17IA15.60"/>
    <x v="1"/>
    <x v="1"/>
    <m/>
    <m/>
    <m/>
  </r>
  <r>
    <s v="YK262300246"/>
    <x v="0"/>
    <x v="0"/>
    <n v="1"/>
    <x v="1"/>
    <d v="2026-07-07T13:16:55"/>
    <x v="13"/>
    <x v="7"/>
    <x v="13"/>
    <s v="17IA15.60"/>
    <x v="1"/>
    <x v="1"/>
    <m/>
    <m/>
    <m/>
  </r>
  <r>
    <s v="YK262300247"/>
    <x v="0"/>
    <x v="0"/>
    <n v="1"/>
    <x v="1"/>
    <d v="2026-07-20T10:40:17"/>
    <x v="13"/>
    <x v="7"/>
    <x v="13"/>
    <s v="17IA15.60"/>
    <x v="1"/>
    <x v="1"/>
    <m/>
    <m/>
    <m/>
  </r>
  <r>
    <s v="YK262300248"/>
    <x v="3"/>
    <x v="3"/>
    <n v="1"/>
    <x v="4"/>
    <d v="2026-08-12T21:05:18"/>
    <x v="13"/>
    <x v="7"/>
    <x v="13"/>
    <s v="17IA15.60"/>
    <x v="1"/>
    <x v="1"/>
    <m/>
    <m/>
    <m/>
  </r>
  <r>
    <s v="YK262300249"/>
    <x v="0"/>
    <x v="0"/>
    <n v="1"/>
    <x v="1"/>
    <d v="2026-07-21T09:47:54"/>
    <x v="13"/>
    <x v="7"/>
    <x v="13"/>
    <s v="17IA15.60"/>
    <x v="1"/>
    <x v="1"/>
    <m/>
    <m/>
    <m/>
  </r>
  <r>
    <s v="YK262300250"/>
    <x v="0"/>
    <x v="0"/>
    <n v="1"/>
    <x v="1"/>
    <d v="2026-07-21T09:20:44"/>
    <x v="13"/>
    <x v="7"/>
    <x v="13"/>
    <s v="17IA15.60"/>
    <x v="1"/>
    <x v="1"/>
    <m/>
    <m/>
    <m/>
  </r>
  <r>
    <s v="YK262300251"/>
    <x v="0"/>
    <x v="0"/>
    <n v="1"/>
    <x v="1"/>
    <d v="2026-07-16T06:22:30"/>
    <x v="13"/>
    <x v="7"/>
    <x v="13"/>
    <s v="17IA15.60"/>
    <x v="1"/>
    <x v="1"/>
    <m/>
    <m/>
    <m/>
  </r>
  <r>
    <s v="YK262300252"/>
    <x v="3"/>
    <x v="3"/>
    <n v="1"/>
    <x v="4"/>
    <d v="2026-08-12T20:58:42"/>
    <x v="13"/>
    <x v="7"/>
    <x v="13"/>
    <s v="17IA15.60"/>
    <x v="1"/>
    <x v="1"/>
    <m/>
    <m/>
    <m/>
  </r>
  <r>
    <s v="YK262300253"/>
    <x v="0"/>
    <x v="0"/>
    <n v="1"/>
    <x v="1"/>
    <d v="2026-07-16T11:23:27"/>
    <x v="13"/>
    <x v="7"/>
    <x v="13"/>
    <s v="17IA15.60"/>
    <x v="1"/>
    <x v="1"/>
    <m/>
    <m/>
    <m/>
  </r>
  <r>
    <s v="YK262300254"/>
    <x v="3"/>
    <x v="3"/>
    <n v="1"/>
    <x v="4"/>
    <d v="2026-08-24T07:18:16"/>
    <x v="13"/>
    <x v="7"/>
    <x v="13"/>
    <s v="17IA15.60"/>
    <x v="1"/>
    <x v="1"/>
    <m/>
    <m/>
    <m/>
  </r>
  <r>
    <s v="YK262300255"/>
    <x v="0"/>
    <x v="0"/>
    <n v="1"/>
    <x v="1"/>
    <d v="2026-07-16T08:47:21"/>
    <x v="13"/>
    <x v="7"/>
    <x v="13"/>
    <s v="17IA15.60"/>
    <x v="1"/>
    <x v="1"/>
    <m/>
    <m/>
    <m/>
  </r>
  <r>
    <s v="YK262300256"/>
    <x v="0"/>
    <x v="0"/>
    <n v="1"/>
    <x v="1"/>
    <d v="2026-07-21T09:50:35"/>
    <x v="13"/>
    <x v="7"/>
    <x v="13"/>
    <s v="17IA15.60"/>
    <x v="1"/>
    <x v="1"/>
    <m/>
    <m/>
    <m/>
  </r>
  <r>
    <s v="YK262300257"/>
    <x v="0"/>
    <x v="0"/>
    <n v="1"/>
    <x v="1"/>
    <d v="2026-07-10T08:26:15"/>
    <x v="13"/>
    <x v="7"/>
    <x v="13"/>
    <s v="17IA15.60"/>
    <x v="1"/>
    <x v="1"/>
    <m/>
    <m/>
    <m/>
  </r>
  <r>
    <s v="YK262300258"/>
    <x v="0"/>
    <x v="0"/>
    <n v="1"/>
    <x v="1"/>
    <d v="2026-07-27T13:45:49"/>
    <x v="13"/>
    <x v="7"/>
    <x v="13"/>
    <s v="17IA15.60"/>
    <x v="1"/>
    <x v="1"/>
    <m/>
    <m/>
    <m/>
  </r>
  <r>
    <s v="YK262300259"/>
    <x v="0"/>
    <x v="0"/>
    <n v="1"/>
    <x v="1"/>
    <d v="2026-07-21T09:31:56"/>
    <x v="13"/>
    <x v="7"/>
    <x v="13"/>
    <s v="17IA15.60"/>
    <x v="1"/>
    <x v="1"/>
    <m/>
    <m/>
    <m/>
  </r>
  <r>
    <s v="YK262300260"/>
    <x v="0"/>
    <x v="0"/>
    <n v="1"/>
    <x v="1"/>
    <d v="2026-08-27T12:20:14"/>
    <x v="13"/>
    <x v="7"/>
    <x v="13"/>
    <s v="17IA15.60"/>
    <x v="1"/>
    <x v="1"/>
    <m/>
    <m/>
    <m/>
  </r>
  <r>
    <s v="YK262300261"/>
    <x v="3"/>
    <x v="3"/>
    <n v="1"/>
    <x v="4"/>
    <d v="2026-08-10T11:19:25"/>
    <x v="13"/>
    <x v="7"/>
    <x v="13"/>
    <s v="17IA15.60"/>
    <x v="1"/>
    <x v="1"/>
    <m/>
    <m/>
    <m/>
  </r>
  <r>
    <s v="YK262300262"/>
    <x v="0"/>
    <x v="0"/>
    <n v="1"/>
    <x v="1"/>
    <d v="2026-07-13T08:51:49"/>
    <x v="13"/>
    <x v="7"/>
    <x v="13"/>
    <s v="17IA15.60"/>
    <x v="1"/>
    <x v="1"/>
    <m/>
    <m/>
    <m/>
  </r>
  <r>
    <s v="YK262300263"/>
    <x v="0"/>
    <x v="0"/>
    <n v="1"/>
    <x v="1"/>
    <d v="2026-07-13T08:47:05"/>
    <x v="13"/>
    <x v="7"/>
    <x v="13"/>
    <s v="17IA15.60"/>
    <x v="1"/>
    <x v="1"/>
    <m/>
    <m/>
    <m/>
  </r>
  <r>
    <s v="YK262300264"/>
    <x v="0"/>
    <x v="0"/>
    <n v="1"/>
    <x v="1"/>
    <d v="2026-07-21T09:32:07"/>
    <x v="13"/>
    <x v="7"/>
    <x v="13"/>
    <s v="17IA15.60"/>
    <x v="1"/>
    <x v="1"/>
    <m/>
    <m/>
    <m/>
  </r>
  <r>
    <s v="YK262300265"/>
    <x v="0"/>
    <x v="0"/>
    <n v="1"/>
    <x v="1"/>
    <d v="2026-07-10T08:26:10"/>
    <x v="13"/>
    <x v="7"/>
    <x v="13"/>
    <s v="17IA15.60"/>
    <x v="1"/>
    <x v="1"/>
    <m/>
    <m/>
    <m/>
  </r>
  <r>
    <s v="YK262300266"/>
    <x v="0"/>
    <x v="0"/>
    <n v="1"/>
    <x v="1"/>
    <d v="2026-08-05T11:48:49"/>
    <x v="13"/>
    <x v="7"/>
    <x v="13"/>
    <s v="17IA15.60"/>
    <x v="1"/>
    <x v="1"/>
    <m/>
    <m/>
    <m/>
  </r>
  <r>
    <s v="YK262300267"/>
    <x v="0"/>
    <x v="0"/>
    <n v="1"/>
    <x v="1"/>
    <d v="2026-07-10T08:26:19"/>
    <x v="13"/>
    <x v="7"/>
    <x v="13"/>
    <s v="17IA15.60"/>
    <x v="1"/>
    <x v="1"/>
    <m/>
    <m/>
    <m/>
  </r>
  <r>
    <s v="YK262300268"/>
    <x v="3"/>
    <x v="3"/>
    <n v="1"/>
    <x v="4"/>
    <d v="2026-08-17T15:38:37"/>
    <x v="13"/>
    <x v="7"/>
    <x v="13"/>
    <s v="17IA15.60"/>
    <x v="1"/>
    <x v="1"/>
    <m/>
    <m/>
    <m/>
  </r>
  <r>
    <s v="YK262300269"/>
    <x v="0"/>
    <x v="0"/>
    <n v="1"/>
    <x v="1"/>
    <d v="2026-07-10T08:26:24"/>
    <x v="13"/>
    <x v="7"/>
    <x v="13"/>
    <s v="17IA15.60"/>
    <x v="1"/>
    <x v="1"/>
    <m/>
    <m/>
    <m/>
  </r>
  <r>
    <s v="YK262300270"/>
    <x v="0"/>
    <x v="0"/>
    <n v="1"/>
    <x v="1"/>
    <d v="2026-08-05T11:47:53"/>
    <x v="13"/>
    <x v="7"/>
    <x v="13"/>
    <s v="17IA15.60"/>
    <x v="1"/>
    <x v="1"/>
    <m/>
    <m/>
    <m/>
  </r>
  <r>
    <s v="YK262300271"/>
    <x v="0"/>
    <x v="0"/>
    <n v="1"/>
    <x v="1"/>
    <d v="2026-07-13T08:47:54"/>
    <x v="13"/>
    <x v="7"/>
    <x v="13"/>
    <s v="17IA15.60"/>
    <x v="1"/>
    <x v="1"/>
    <m/>
    <m/>
    <m/>
  </r>
  <r>
    <s v="YK262300272"/>
    <x v="0"/>
    <x v="0"/>
    <n v="1"/>
    <x v="1"/>
    <d v="2026-08-27T12:20:21"/>
    <x v="13"/>
    <x v="7"/>
    <x v="13"/>
    <s v="17IA15.60"/>
    <x v="1"/>
    <x v="1"/>
    <m/>
    <m/>
    <m/>
  </r>
  <r>
    <s v="YK262300273"/>
    <x v="0"/>
    <x v="0"/>
    <n v="1"/>
    <x v="1"/>
    <d v="2026-07-13T08:51:52"/>
    <x v="13"/>
    <x v="7"/>
    <x v="13"/>
    <s v="17IA15.60"/>
    <x v="1"/>
    <x v="1"/>
    <m/>
    <m/>
    <m/>
  </r>
  <r>
    <s v="YK262300274"/>
    <x v="0"/>
    <x v="0"/>
    <n v="1"/>
    <x v="1"/>
    <d v="2026-07-21T09:20:32"/>
    <x v="13"/>
    <x v="7"/>
    <x v="13"/>
    <s v="17IA15.60"/>
    <x v="1"/>
    <x v="1"/>
    <m/>
    <m/>
    <m/>
  </r>
  <r>
    <s v="YK262300275"/>
    <x v="0"/>
    <x v="0"/>
    <n v="1"/>
    <x v="1"/>
    <d v="2026-07-29T18:54:10"/>
    <x v="13"/>
    <x v="7"/>
    <x v="13"/>
    <s v="17IA15.60"/>
    <x v="1"/>
    <x v="1"/>
    <m/>
    <m/>
    <m/>
  </r>
  <r>
    <s v="YK262300276"/>
    <x v="0"/>
    <x v="0"/>
    <n v="1"/>
    <x v="1"/>
    <d v="2026-07-23T08:53:18"/>
    <x v="13"/>
    <x v="7"/>
    <x v="13"/>
    <s v="17IA15.60"/>
    <x v="1"/>
    <x v="1"/>
    <m/>
    <m/>
    <m/>
  </r>
  <r>
    <s v="YK262300277"/>
    <x v="3"/>
    <x v="3"/>
    <n v="1"/>
    <x v="4"/>
    <d v="2026-08-12T21:15:45"/>
    <x v="13"/>
    <x v="7"/>
    <x v="13"/>
    <s v="17IA15.60"/>
    <x v="1"/>
    <x v="1"/>
    <m/>
    <m/>
    <m/>
  </r>
  <r>
    <s v="YK262300278"/>
    <x v="0"/>
    <x v="0"/>
    <n v="1"/>
    <x v="1"/>
    <d v="2026-07-10T08:36:08"/>
    <x v="13"/>
    <x v="7"/>
    <x v="13"/>
    <s v="17IA15.60"/>
    <x v="1"/>
    <x v="1"/>
    <m/>
    <m/>
    <m/>
  </r>
  <r>
    <s v="YK262300279"/>
    <x v="0"/>
    <x v="0"/>
    <n v="1"/>
    <x v="1"/>
    <d v="2026-07-13T08:51:48"/>
    <x v="13"/>
    <x v="7"/>
    <x v="13"/>
    <s v="17IA15.60"/>
    <x v="1"/>
    <x v="1"/>
    <m/>
    <m/>
    <m/>
  </r>
  <r>
    <s v="YK262300280"/>
    <x v="0"/>
    <x v="0"/>
    <n v="1"/>
    <x v="1"/>
    <d v="2026-07-21T11:36:48"/>
    <x v="13"/>
    <x v="7"/>
    <x v="13"/>
    <s v="17IA15.60"/>
    <x v="1"/>
    <x v="1"/>
    <m/>
    <m/>
    <m/>
  </r>
  <r>
    <s v="YK262300281"/>
    <x v="3"/>
    <x v="3"/>
    <n v="1"/>
    <x v="4"/>
    <d v="2026-08-06T14:10:07"/>
    <x v="13"/>
    <x v="7"/>
    <x v="13"/>
    <s v="17IA15.60"/>
    <x v="1"/>
    <x v="1"/>
    <m/>
    <m/>
    <m/>
  </r>
  <r>
    <s v="YK262300282"/>
    <x v="0"/>
    <x v="0"/>
    <n v="1"/>
    <x v="1"/>
    <d v="2026-07-23T08:51:46"/>
    <x v="13"/>
    <x v="7"/>
    <x v="13"/>
    <s v="17IA15.60"/>
    <x v="1"/>
    <x v="1"/>
    <m/>
    <m/>
    <m/>
  </r>
  <r>
    <s v="YK262300283"/>
    <x v="3"/>
    <x v="3"/>
    <n v="1"/>
    <x v="4"/>
    <d v="2026-08-12T21:31:35"/>
    <x v="13"/>
    <x v="7"/>
    <x v="13"/>
    <s v="17IA15.60"/>
    <x v="1"/>
    <x v="1"/>
    <m/>
    <m/>
    <m/>
  </r>
  <r>
    <s v="YK262300284"/>
    <x v="0"/>
    <x v="0"/>
    <n v="1"/>
    <x v="1"/>
    <d v="2026-07-21T11:22:40"/>
    <x v="13"/>
    <x v="7"/>
    <x v="13"/>
    <s v="17IA15.60"/>
    <x v="1"/>
    <x v="1"/>
    <m/>
    <m/>
    <m/>
  </r>
  <r>
    <s v="YK262300285"/>
    <x v="0"/>
    <x v="0"/>
    <n v="1"/>
    <x v="1"/>
    <d v="2026-07-23T08:51:35"/>
    <x v="13"/>
    <x v="7"/>
    <x v="13"/>
    <s v="17IA15.60"/>
    <x v="1"/>
    <x v="1"/>
    <m/>
    <m/>
    <m/>
  </r>
  <r>
    <s v="YK262300286"/>
    <x v="0"/>
    <x v="0"/>
    <n v="1"/>
    <x v="1"/>
    <d v="2026-07-31T06:39:23"/>
    <x v="13"/>
    <x v="7"/>
    <x v="13"/>
    <s v="17IA15.60"/>
    <x v="1"/>
    <x v="1"/>
    <m/>
    <m/>
    <m/>
  </r>
  <r>
    <s v="YK262300287"/>
    <x v="0"/>
    <x v="0"/>
    <n v="1"/>
    <x v="1"/>
    <d v="2026-07-21T11:23:00"/>
    <x v="13"/>
    <x v="7"/>
    <x v="13"/>
    <s v="17IA15.60"/>
    <x v="1"/>
    <x v="1"/>
    <m/>
    <m/>
    <m/>
  </r>
  <r>
    <s v="YK262300288"/>
    <x v="0"/>
    <x v="0"/>
    <n v="1"/>
    <x v="1"/>
    <d v="2026-07-23T09:05:50"/>
    <x v="13"/>
    <x v="7"/>
    <x v="13"/>
    <s v="17IA15.60"/>
    <x v="1"/>
    <x v="1"/>
    <m/>
    <m/>
    <m/>
  </r>
  <r>
    <s v="YK262300289"/>
    <x v="0"/>
    <x v="0"/>
    <n v="1"/>
    <x v="1"/>
    <d v="2026-07-27T07:51:20"/>
    <x v="13"/>
    <x v="7"/>
    <x v="13"/>
    <s v="17IA15.60"/>
    <x v="1"/>
    <x v="1"/>
    <m/>
    <m/>
    <m/>
  </r>
  <r>
    <s v="YK262300290"/>
    <x v="0"/>
    <x v="0"/>
    <n v="1"/>
    <x v="1"/>
    <d v="2026-08-05T08:54:11"/>
    <x v="13"/>
    <x v="7"/>
    <x v="13"/>
    <s v="17IA15.60"/>
    <x v="1"/>
    <x v="1"/>
    <m/>
    <m/>
    <m/>
  </r>
  <r>
    <s v="YK262300291"/>
    <x v="0"/>
    <x v="0"/>
    <n v="1"/>
    <x v="1"/>
    <d v="2026-07-23T09:05:45"/>
    <x v="13"/>
    <x v="7"/>
    <x v="13"/>
    <s v="17IA15.60"/>
    <x v="1"/>
    <x v="1"/>
    <m/>
    <m/>
    <m/>
  </r>
  <r>
    <s v="YK262300292"/>
    <x v="0"/>
    <x v="0"/>
    <n v="1"/>
    <x v="1"/>
    <d v="2026-07-21T11:22:14"/>
    <x v="13"/>
    <x v="7"/>
    <x v="13"/>
    <s v="17IA15.60"/>
    <x v="1"/>
    <x v="1"/>
    <m/>
    <m/>
    <m/>
  </r>
  <r>
    <s v="YK262300293"/>
    <x v="0"/>
    <x v="0"/>
    <n v="1"/>
    <x v="1"/>
    <d v="2026-07-21T11:36:53"/>
    <x v="13"/>
    <x v="7"/>
    <x v="13"/>
    <s v="17IA15.60"/>
    <x v="1"/>
    <x v="1"/>
    <m/>
    <m/>
    <m/>
  </r>
  <r>
    <s v="YK262300294"/>
    <x v="0"/>
    <x v="0"/>
    <n v="1"/>
    <x v="1"/>
    <d v="2026-07-23T09:05:47"/>
    <x v="13"/>
    <x v="7"/>
    <x v="13"/>
    <s v="17IA15.60"/>
    <x v="1"/>
    <x v="1"/>
    <m/>
    <m/>
    <m/>
  </r>
  <r>
    <s v="YK262300295"/>
    <x v="0"/>
    <x v="0"/>
    <n v="1"/>
    <x v="1"/>
    <d v="2026-07-21T11:36:46"/>
    <x v="13"/>
    <x v="7"/>
    <x v="13"/>
    <s v="17IA15.60"/>
    <x v="1"/>
    <x v="1"/>
    <m/>
    <m/>
    <m/>
  </r>
  <r>
    <s v="YK262300296"/>
    <x v="3"/>
    <x v="3"/>
    <n v="1"/>
    <x v="4"/>
    <d v="2026-08-17T16:02:46"/>
    <x v="13"/>
    <x v="7"/>
    <x v="13"/>
    <s v="17IA15.60"/>
    <x v="1"/>
    <x v="1"/>
    <m/>
    <m/>
    <m/>
  </r>
  <r>
    <s v="YK262300297"/>
    <x v="3"/>
    <x v="3"/>
    <n v="1"/>
    <x v="4"/>
    <d v="2026-08-17T16:37:46"/>
    <x v="13"/>
    <x v="7"/>
    <x v="13"/>
    <s v="17IA15.60"/>
    <x v="1"/>
    <x v="1"/>
    <m/>
    <m/>
    <m/>
  </r>
  <r>
    <s v="YK262300298"/>
    <x v="3"/>
    <x v="3"/>
    <n v="1"/>
    <x v="4"/>
    <d v="2026-08-12T21:20:47"/>
    <x v="13"/>
    <x v="7"/>
    <x v="13"/>
    <s v="17IA15.60"/>
    <x v="1"/>
    <x v="1"/>
    <m/>
    <m/>
    <m/>
  </r>
  <r>
    <s v="YK262300299"/>
    <x v="0"/>
    <x v="0"/>
    <n v="1"/>
    <x v="1"/>
    <d v="2026-08-05T11:48:56"/>
    <x v="13"/>
    <x v="7"/>
    <x v="13"/>
    <s v="17IA15.60"/>
    <x v="1"/>
    <x v="1"/>
    <m/>
    <m/>
    <m/>
  </r>
  <r>
    <s v="YK262300300"/>
    <x v="0"/>
    <x v="0"/>
    <n v="1"/>
    <x v="1"/>
    <d v="2026-09-01T04:14:00"/>
    <x v="13"/>
    <x v="7"/>
    <x v="13"/>
    <s v="17IA15.60"/>
    <x v="1"/>
    <x v="1"/>
    <m/>
    <m/>
    <m/>
  </r>
  <r>
    <s v="YK262300301"/>
    <x v="0"/>
    <x v="0"/>
    <n v="1"/>
    <x v="1"/>
    <d v="2026-07-23T08:51:50"/>
    <x v="13"/>
    <x v="7"/>
    <x v="13"/>
    <s v="17IA15.60"/>
    <x v="1"/>
    <x v="1"/>
    <m/>
    <m/>
    <m/>
  </r>
  <r>
    <s v="YK262300302"/>
    <x v="0"/>
    <x v="0"/>
    <n v="1"/>
    <x v="1"/>
    <d v="2026-07-14T06:24:04"/>
    <x v="13"/>
    <x v="7"/>
    <x v="13"/>
    <s v="17IA15.60"/>
    <x v="1"/>
    <x v="1"/>
    <m/>
    <m/>
    <m/>
  </r>
  <r>
    <s v="YK262300303"/>
    <x v="3"/>
    <x v="3"/>
    <n v="1"/>
    <x v="4"/>
    <d v="2026-08-19T07:37:22"/>
    <x v="13"/>
    <x v="7"/>
    <x v="13"/>
    <s v="17IA15.60"/>
    <x v="1"/>
    <x v="1"/>
    <m/>
    <m/>
    <m/>
  </r>
  <r>
    <s v="YK262300304"/>
    <x v="3"/>
    <x v="3"/>
    <n v="1"/>
    <x v="4"/>
    <d v="2026-08-12T21:45:08"/>
    <x v="13"/>
    <x v="7"/>
    <x v="13"/>
    <s v="17IA15.60"/>
    <x v="1"/>
    <x v="1"/>
    <m/>
    <m/>
    <m/>
  </r>
  <r>
    <s v="YK262300305"/>
    <x v="0"/>
    <x v="0"/>
    <n v="1"/>
    <x v="1"/>
    <d v="2026-08-05T08:52:42"/>
    <x v="13"/>
    <x v="7"/>
    <x v="13"/>
    <s v="17IA15.60"/>
    <x v="1"/>
    <x v="1"/>
    <m/>
    <m/>
    <m/>
  </r>
  <r>
    <s v="YK262300306"/>
    <x v="0"/>
    <x v="0"/>
    <n v="1"/>
    <x v="1"/>
    <d v="2026-09-01T04:14:06"/>
    <x v="13"/>
    <x v="7"/>
    <x v="13"/>
    <s v="17IA15.60"/>
    <x v="1"/>
    <x v="1"/>
    <m/>
    <m/>
    <m/>
  </r>
  <r>
    <s v="YK262300307"/>
    <x v="0"/>
    <x v="0"/>
    <n v="1"/>
    <x v="1"/>
    <d v="2026-07-14T06:23:56"/>
    <x v="13"/>
    <x v="7"/>
    <x v="13"/>
    <s v="17IA15.60"/>
    <x v="1"/>
    <x v="1"/>
    <m/>
    <m/>
    <m/>
  </r>
  <r>
    <s v="YK262300308"/>
    <x v="0"/>
    <x v="0"/>
    <n v="1"/>
    <x v="1"/>
    <d v="2026-08-05T11:47:35"/>
    <x v="13"/>
    <x v="7"/>
    <x v="13"/>
    <s v="17IA15.60"/>
    <x v="1"/>
    <x v="1"/>
    <m/>
    <m/>
    <m/>
  </r>
  <r>
    <s v="YK262300309"/>
    <x v="0"/>
    <x v="0"/>
    <n v="1"/>
    <x v="1"/>
    <d v="2026-07-16T06:22:55"/>
    <x v="13"/>
    <x v="7"/>
    <x v="13"/>
    <s v="17IA15.60"/>
    <x v="1"/>
    <x v="1"/>
    <m/>
    <m/>
    <m/>
  </r>
  <r>
    <s v="YK262300310"/>
    <x v="0"/>
    <x v="0"/>
    <n v="1"/>
    <x v="1"/>
    <d v="2026-08-12T10:47:24"/>
    <x v="13"/>
    <x v="7"/>
    <x v="13"/>
    <s v="17IA15.60"/>
    <x v="1"/>
    <x v="1"/>
    <m/>
    <m/>
    <m/>
  </r>
  <r>
    <s v="YK262300311"/>
    <x v="0"/>
    <x v="0"/>
    <n v="1"/>
    <x v="1"/>
    <d v="2026-08-27T12:19:56"/>
    <x v="13"/>
    <x v="7"/>
    <x v="13"/>
    <s v="17IA15.60"/>
    <x v="1"/>
    <x v="1"/>
    <m/>
    <m/>
    <m/>
  </r>
  <r>
    <s v="YK262300312"/>
    <x v="0"/>
    <x v="0"/>
    <n v="1"/>
    <x v="1"/>
    <d v="2026-07-27T13:45:40"/>
    <x v="13"/>
    <x v="7"/>
    <x v="13"/>
    <s v="17IA15.60"/>
    <x v="1"/>
    <x v="1"/>
    <m/>
    <m/>
    <m/>
  </r>
  <r>
    <s v="YK262300313"/>
    <x v="0"/>
    <x v="0"/>
    <n v="1"/>
    <x v="1"/>
    <d v="2026-08-12T10:47:18"/>
    <x v="13"/>
    <x v="7"/>
    <x v="13"/>
    <s v="17IA15.60"/>
    <x v="1"/>
    <x v="1"/>
    <m/>
    <m/>
    <m/>
  </r>
  <r>
    <s v="YK262300314"/>
    <x v="0"/>
    <x v="0"/>
    <n v="1"/>
    <x v="1"/>
    <d v="2026-07-21T09:20:40"/>
    <x v="13"/>
    <x v="7"/>
    <x v="13"/>
    <s v="17IA15.60"/>
    <x v="1"/>
    <x v="1"/>
    <m/>
    <m/>
    <m/>
  </r>
  <r>
    <s v="YK262300315"/>
    <x v="0"/>
    <x v="0"/>
    <n v="1"/>
    <x v="1"/>
    <d v="2026-08-12T10:47:26"/>
    <x v="13"/>
    <x v="7"/>
    <x v="13"/>
    <s v="17IA15.60"/>
    <x v="1"/>
    <x v="1"/>
    <m/>
    <m/>
    <m/>
  </r>
  <r>
    <s v="YK262300316"/>
    <x v="3"/>
    <x v="3"/>
    <n v="1"/>
    <x v="4"/>
    <d v="2026-08-12T22:04:06"/>
    <x v="13"/>
    <x v="7"/>
    <x v="13"/>
    <s v="17IA15.60"/>
    <x v="1"/>
    <x v="1"/>
    <m/>
    <m/>
    <m/>
  </r>
  <r>
    <s v="YK262300317"/>
    <x v="0"/>
    <x v="0"/>
    <n v="1"/>
    <x v="1"/>
    <d v="2026-07-14T06:20:31"/>
    <x v="13"/>
    <x v="7"/>
    <x v="13"/>
    <s v="17IA15.60"/>
    <x v="1"/>
    <x v="1"/>
    <m/>
    <m/>
    <m/>
  </r>
  <r>
    <s v="YK262300318"/>
    <x v="0"/>
    <x v="0"/>
    <n v="1"/>
    <x v="1"/>
    <d v="2026-07-14T06:20:24"/>
    <x v="13"/>
    <x v="7"/>
    <x v="13"/>
    <s v="17IA15.60"/>
    <x v="1"/>
    <x v="1"/>
    <m/>
    <m/>
    <m/>
  </r>
  <r>
    <s v="YK262300319"/>
    <x v="0"/>
    <x v="0"/>
    <n v="1"/>
    <x v="1"/>
    <d v="2026-07-27T13:45:44"/>
    <x v="13"/>
    <x v="7"/>
    <x v="13"/>
    <s v="17IA15.60"/>
    <x v="1"/>
    <x v="1"/>
    <m/>
    <m/>
    <m/>
  </r>
  <r>
    <s v="YK262300320"/>
    <x v="3"/>
    <x v="3"/>
    <n v="1"/>
    <x v="4"/>
    <d v="2026-08-17T17:10:39"/>
    <x v="13"/>
    <x v="7"/>
    <x v="13"/>
    <s v="17IA15.60"/>
    <x v="1"/>
    <x v="1"/>
    <m/>
    <m/>
    <m/>
  </r>
  <r>
    <s v="YK262300321"/>
    <x v="0"/>
    <x v="0"/>
    <n v="1"/>
    <x v="1"/>
    <d v="2026-07-21T11:36:50"/>
    <x v="13"/>
    <x v="7"/>
    <x v="13"/>
    <s v="17IA15.60"/>
    <x v="1"/>
    <x v="1"/>
    <m/>
    <m/>
    <m/>
  </r>
  <r>
    <s v="YK262300322"/>
    <x v="0"/>
    <x v="0"/>
    <n v="1"/>
    <x v="1"/>
    <d v="2026-07-21T09:31:42"/>
    <x v="13"/>
    <x v="7"/>
    <x v="13"/>
    <s v="17IA15.60"/>
    <x v="1"/>
    <x v="1"/>
    <m/>
    <m/>
    <m/>
  </r>
  <r>
    <s v="YK262300323"/>
    <x v="0"/>
    <x v="0"/>
    <n v="1"/>
    <x v="1"/>
    <d v="2026-07-31T06:39:19"/>
    <x v="13"/>
    <x v="7"/>
    <x v="13"/>
    <s v="17IA15.60"/>
    <x v="1"/>
    <x v="1"/>
    <m/>
    <m/>
    <m/>
  </r>
  <r>
    <s v="YK262300324"/>
    <x v="0"/>
    <x v="0"/>
    <n v="1"/>
    <x v="1"/>
    <d v="2026-08-25T14:52:35"/>
    <x v="13"/>
    <x v="7"/>
    <x v="13"/>
    <s v="17IA15.60"/>
    <x v="1"/>
    <x v="1"/>
    <m/>
    <m/>
    <m/>
  </r>
  <r>
    <s v="YK262300325"/>
    <x v="0"/>
    <x v="0"/>
    <n v="1"/>
    <x v="1"/>
    <d v="2026-07-31T06:39:21"/>
    <x v="13"/>
    <x v="7"/>
    <x v="13"/>
    <s v="17IA15.60"/>
    <x v="1"/>
    <x v="1"/>
    <m/>
    <m/>
    <m/>
  </r>
  <r>
    <s v="YK262300326"/>
    <x v="0"/>
    <x v="0"/>
    <n v="1"/>
    <x v="1"/>
    <d v="2026-07-27T13:45:35"/>
    <x v="13"/>
    <x v="7"/>
    <x v="13"/>
    <s v="17IA15.60"/>
    <x v="1"/>
    <x v="1"/>
    <m/>
    <m/>
    <m/>
  </r>
  <r>
    <s v="YK262300327"/>
    <x v="0"/>
    <x v="0"/>
    <n v="1"/>
    <x v="1"/>
    <d v="2026-08-05T08:54:13"/>
    <x v="13"/>
    <x v="7"/>
    <x v="13"/>
    <s v="17IA15.60"/>
    <x v="1"/>
    <x v="1"/>
    <m/>
    <m/>
    <m/>
  </r>
  <r>
    <s v="YK262300328"/>
    <x v="0"/>
    <x v="0"/>
    <n v="1"/>
    <x v="1"/>
    <d v="2026-07-21T11:22:16"/>
    <x v="13"/>
    <x v="7"/>
    <x v="13"/>
    <s v="17IA15.60"/>
    <x v="1"/>
    <x v="1"/>
    <m/>
    <m/>
    <m/>
  </r>
  <r>
    <s v="YK262300329"/>
    <x v="0"/>
    <x v="0"/>
    <n v="1"/>
    <x v="1"/>
    <d v="2026-08-05T08:52:40"/>
    <x v="13"/>
    <x v="7"/>
    <x v="13"/>
    <s v="17IA15.60"/>
    <x v="1"/>
    <x v="1"/>
    <m/>
    <m/>
    <m/>
  </r>
  <r>
    <s v="YK262300330"/>
    <x v="0"/>
    <x v="0"/>
    <n v="1"/>
    <x v="1"/>
    <d v="2026-07-27T07:51:31"/>
    <x v="13"/>
    <x v="7"/>
    <x v="13"/>
    <s v="17IA15.60"/>
    <x v="1"/>
    <x v="1"/>
    <m/>
    <m/>
    <m/>
  </r>
  <r>
    <s v="YK262300331"/>
    <x v="0"/>
    <x v="0"/>
    <n v="1"/>
    <x v="1"/>
    <d v="2026-07-27T07:51:37"/>
    <x v="13"/>
    <x v="7"/>
    <x v="13"/>
    <s v="17IA15.60"/>
    <x v="1"/>
    <x v="1"/>
    <m/>
    <m/>
    <m/>
  </r>
  <r>
    <s v="YK262300332"/>
    <x v="0"/>
    <x v="0"/>
    <n v="1"/>
    <x v="1"/>
    <d v="2026-07-23T08:52:58"/>
    <x v="13"/>
    <x v="7"/>
    <x v="13"/>
    <s v="17IA15.60"/>
    <x v="1"/>
    <x v="1"/>
    <m/>
    <m/>
    <m/>
  </r>
  <r>
    <s v="YK262300333"/>
    <x v="0"/>
    <x v="0"/>
    <n v="1"/>
    <x v="1"/>
    <d v="2026-07-16T08:47:41"/>
    <x v="13"/>
    <x v="7"/>
    <x v="13"/>
    <s v="17IA15.60"/>
    <x v="1"/>
    <x v="1"/>
    <m/>
    <m/>
    <m/>
  </r>
  <r>
    <s v="YK262300334"/>
    <x v="0"/>
    <x v="0"/>
    <n v="1"/>
    <x v="1"/>
    <d v="2026-08-05T08:54:15"/>
    <x v="13"/>
    <x v="7"/>
    <x v="13"/>
    <s v="17IA15.60"/>
    <x v="1"/>
    <x v="1"/>
    <m/>
    <m/>
    <m/>
  </r>
  <r>
    <s v="YK262300335"/>
    <x v="0"/>
    <x v="0"/>
    <n v="1"/>
    <x v="1"/>
    <d v="2026-07-29T18:54:14"/>
    <x v="13"/>
    <x v="7"/>
    <x v="13"/>
    <s v="17IA15.60"/>
    <x v="1"/>
    <x v="1"/>
    <m/>
    <m/>
    <m/>
  </r>
  <r>
    <s v="YK262300336"/>
    <x v="0"/>
    <x v="0"/>
    <n v="1"/>
    <x v="1"/>
    <d v="2026-07-21T09:20:36"/>
    <x v="13"/>
    <x v="7"/>
    <x v="13"/>
    <s v="17IA15.60"/>
    <x v="1"/>
    <x v="1"/>
    <m/>
    <m/>
    <m/>
  </r>
  <r>
    <s v="YK262300337"/>
    <x v="0"/>
    <x v="0"/>
    <n v="1"/>
    <x v="1"/>
    <d v="2026-07-13T08:47:00"/>
    <x v="13"/>
    <x v="7"/>
    <x v="13"/>
    <s v="17IA15.60"/>
    <x v="1"/>
    <x v="1"/>
    <m/>
    <m/>
    <m/>
  </r>
  <r>
    <s v="YK262300338"/>
    <x v="0"/>
    <x v="0"/>
    <n v="1"/>
    <x v="1"/>
    <d v="2026-07-23T09:05:37"/>
    <x v="13"/>
    <x v="7"/>
    <x v="13"/>
    <s v="17IA15.60"/>
    <x v="1"/>
    <x v="1"/>
    <m/>
    <m/>
    <m/>
  </r>
  <r>
    <s v="YK262300339"/>
    <x v="3"/>
    <x v="3"/>
    <n v="1"/>
    <x v="4"/>
    <d v="2026-08-06T06:46:21"/>
    <x v="13"/>
    <x v="7"/>
    <x v="13"/>
    <s v="17IA15.60"/>
    <x v="1"/>
    <x v="1"/>
    <m/>
    <m/>
    <m/>
  </r>
  <r>
    <s v="YK262300340"/>
    <x v="0"/>
    <x v="0"/>
    <n v="1"/>
    <x v="1"/>
    <d v="2026-08-05T11:47:45"/>
    <x v="13"/>
    <x v="7"/>
    <x v="13"/>
    <s v="17IA15.60"/>
    <x v="1"/>
    <x v="1"/>
    <m/>
    <m/>
    <m/>
  </r>
  <r>
    <s v="YK262300341"/>
    <x v="0"/>
    <x v="0"/>
    <n v="1"/>
    <x v="1"/>
    <d v="2026-07-23T08:51:40"/>
    <x v="13"/>
    <x v="7"/>
    <x v="13"/>
    <s v="17IA15.60"/>
    <x v="1"/>
    <x v="1"/>
    <m/>
    <m/>
    <m/>
  </r>
  <r>
    <s v="YK262300342"/>
    <x v="0"/>
    <x v="0"/>
    <n v="1"/>
    <x v="1"/>
    <d v="2026-08-05T11:49:00"/>
    <x v="13"/>
    <x v="7"/>
    <x v="13"/>
    <s v="17IA15.60"/>
    <x v="1"/>
    <x v="1"/>
    <m/>
    <m/>
    <m/>
  </r>
  <r>
    <s v="YK262300343"/>
    <x v="0"/>
    <x v="0"/>
    <n v="1"/>
    <x v="1"/>
    <d v="2026-07-23T08:53:13"/>
    <x v="13"/>
    <x v="7"/>
    <x v="13"/>
    <s v="17IA15.60"/>
    <x v="1"/>
    <x v="1"/>
    <m/>
    <m/>
    <m/>
  </r>
  <r>
    <s v="YK262300344"/>
    <x v="0"/>
    <x v="0"/>
    <n v="1"/>
    <x v="1"/>
    <d v="2026-07-15T06:43:43"/>
    <x v="13"/>
    <x v="7"/>
    <x v="13"/>
    <s v="17IA15.60"/>
    <x v="1"/>
    <x v="1"/>
    <m/>
    <m/>
    <m/>
  </r>
  <r>
    <s v="YK262300345"/>
    <x v="3"/>
    <x v="3"/>
    <n v="1"/>
    <x v="4"/>
    <d v="2026-08-12T21:58:41"/>
    <x v="13"/>
    <x v="7"/>
    <x v="13"/>
    <s v="17IA15.60"/>
    <x v="1"/>
    <x v="1"/>
    <m/>
    <m/>
    <m/>
  </r>
  <r>
    <s v="YK262300346"/>
    <x v="0"/>
    <x v="0"/>
    <n v="1"/>
    <x v="1"/>
    <d v="2026-07-14T06:20:27"/>
    <x v="13"/>
    <x v="7"/>
    <x v="13"/>
    <s v="17IA15.60"/>
    <x v="1"/>
    <x v="1"/>
    <m/>
    <m/>
    <m/>
  </r>
  <r>
    <s v="YK262300347"/>
    <x v="8"/>
    <x v="8"/>
    <n v="1"/>
    <x v="7"/>
    <d v="2026-08-31T07:51:08"/>
    <x v="13"/>
    <x v="7"/>
    <x v="13"/>
    <s v="17IA15.60"/>
    <x v="1"/>
    <x v="1"/>
    <m/>
    <m/>
    <m/>
  </r>
  <r>
    <s v="YK262300348"/>
    <x v="0"/>
    <x v="0"/>
    <n v="1"/>
    <x v="1"/>
    <d v="2026-08-05T08:54:17"/>
    <x v="13"/>
    <x v="7"/>
    <x v="13"/>
    <s v="17IA15.60"/>
    <x v="1"/>
    <x v="1"/>
    <m/>
    <m/>
    <m/>
  </r>
  <r>
    <s v="YK262300349"/>
    <x v="0"/>
    <x v="0"/>
    <n v="1"/>
    <x v="1"/>
    <d v="2026-07-10T08:35:57"/>
    <x v="13"/>
    <x v="7"/>
    <x v="13"/>
    <s v="17IA15.60"/>
    <x v="1"/>
    <x v="1"/>
    <m/>
    <m/>
    <m/>
  </r>
  <r>
    <s v="YK262300350"/>
    <x v="0"/>
    <x v="0"/>
    <n v="1"/>
    <x v="1"/>
    <d v="2026-08-05T11:48:53"/>
    <x v="13"/>
    <x v="7"/>
    <x v="13"/>
    <s v="17IA15.60"/>
    <x v="1"/>
    <x v="1"/>
    <m/>
    <m/>
    <m/>
  </r>
  <r>
    <s v="YK262300351"/>
    <x v="0"/>
    <x v="0"/>
    <n v="1"/>
    <x v="1"/>
    <d v="2026-07-27T07:51:25"/>
    <x v="13"/>
    <x v="7"/>
    <x v="13"/>
    <s v="17IA15.60"/>
    <x v="1"/>
    <x v="1"/>
    <m/>
    <m/>
    <m/>
  </r>
  <r>
    <s v="YK262300352"/>
    <x v="3"/>
    <x v="3"/>
    <n v="1"/>
    <x v="4"/>
    <d v="2026-08-13T08:03:12"/>
    <x v="13"/>
    <x v="7"/>
    <x v="13"/>
    <s v="17IA15.60"/>
    <x v="1"/>
    <x v="1"/>
    <m/>
    <m/>
    <m/>
  </r>
  <r>
    <s v="YK262300353"/>
    <x v="0"/>
    <x v="0"/>
    <n v="1"/>
    <x v="1"/>
    <d v="2026-08-12T10:47:33"/>
    <x v="13"/>
    <x v="7"/>
    <x v="13"/>
    <s v="17IA15.60"/>
    <x v="1"/>
    <x v="1"/>
    <m/>
    <m/>
    <m/>
  </r>
  <r>
    <s v="YK262300354"/>
    <x v="0"/>
    <x v="0"/>
    <n v="1"/>
    <x v="1"/>
    <d v="2026-09-01T04:14:13"/>
    <x v="13"/>
    <x v="7"/>
    <x v="13"/>
    <s v="17IA15.60"/>
    <x v="1"/>
    <x v="1"/>
    <m/>
    <m/>
    <m/>
  </r>
  <r>
    <s v="YK262300355"/>
    <x v="0"/>
    <x v="0"/>
    <n v="1"/>
    <x v="1"/>
    <d v="2026-08-05T08:52:44"/>
    <x v="13"/>
    <x v="7"/>
    <x v="13"/>
    <s v="17IA15.60"/>
    <x v="1"/>
    <x v="1"/>
    <m/>
    <m/>
    <m/>
  </r>
  <r>
    <s v="YK262300356"/>
    <x v="0"/>
    <x v="0"/>
    <n v="1"/>
    <x v="1"/>
    <d v="2026-07-14T13:35:35"/>
    <x v="13"/>
    <x v="7"/>
    <x v="13"/>
    <s v="17IA15.60"/>
    <x v="1"/>
    <x v="1"/>
    <m/>
    <m/>
    <m/>
  </r>
  <r>
    <s v="YK262300357"/>
    <x v="0"/>
    <x v="0"/>
    <n v="1"/>
    <x v="1"/>
    <d v="2026-07-14T13:35:39"/>
    <x v="13"/>
    <x v="7"/>
    <x v="13"/>
    <s v="17IA15.60"/>
    <x v="1"/>
    <x v="1"/>
    <m/>
    <m/>
    <m/>
  </r>
  <r>
    <s v="YK262300358"/>
    <x v="3"/>
    <x v="3"/>
    <n v="1"/>
    <x v="4"/>
    <d v="2026-08-12T21:36:57"/>
    <x v="13"/>
    <x v="7"/>
    <x v="13"/>
    <s v="17IA15.60"/>
    <x v="1"/>
    <x v="1"/>
    <m/>
    <m/>
    <m/>
  </r>
  <r>
    <s v="YK262300359"/>
    <x v="0"/>
    <x v="0"/>
    <n v="1"/>
    <x v="1"/>
    <d v="2026-07-14T06:23:59"/>
    <x v="13"/>
    <x v="7"/>
    <x v="13"/>
    <s v="17IA15.60"/>
    <x v="1"/>
    <x v="1"/>
    <m/>
    <m/>
    <m/>
  </r>
  <r>
    <s v="YK262300360"/>
    <x v="0"/>
    <x v="0"/>
    <n v="1"/>
    <x v="1"/>
    <d v="2026-09-01T04:14:18"/>
    <x v="13"/>
    <x v="7"/>
    <x v="13"/>
    <s v="17IA15.60"/>
    <x v="1"/>
    <x v="1"/>
    <m/>
    <m/>
    <m/>
  </r>
  <r>
    <s v="YK262300361"/>
    <x v="0"/>
    <x v="0"/>
    <n v="1"/>
    <x v="1"/>
    <d v="2026-08-05T11:47:40"/>
    <x v="13"/>
    <x v="7"/>
    <x v="13"/>
    <s v="17IA15.60"/>
    <x v="1"/>
    <x v="1"/>
    <m/>
    <m/>
    <m/>
  </r>
  <r>
    <s v="YK262300362"/>
    <x v="0"/>
    <x v="0"/>
    <n v="1"/>
    <x v="1"/>
    <d v="2026-07-14T06:20:37"/>
    <x v="13"/>
    <x v="7"/>
    <x v="13"/>
    <s v="17IA15.60"/>
    <x v="1"/>
    <x v="1"/>
    <m/>
    <m/>
    <m/>
  </r>
  <r>
    <s v="YK262300363"/>
    <x v="3"/>
    <x v="3"/>
    <n v="1"/>
    <x v="4"/>
    <d v="2026-08-19T13:32:45"/>
    <x v="13"/>
    <x v="7"/>
    <x v="13"/>
    <s v="17IA15.60"/>
    <x v="1"/>
    <x v="1"/>
    <m/>
    <m/>
    <m/>
  </r>
  <r>
    <s v="YK262300364"/>
    <x v="0"/>
    <x v="0"/>
    <n v="1"/>
    <x v="1"/>
    <d v="2026-07-16T09:06:22"/>
    <x v="13"/>
    <x v="7"/>
    <x v="13"/>
    <s v="17IA15.60"/>
    <x v="1"/>
    <x v="1"/>
    <m/>
    <m/>
    <m/>
  </r>
  <r>
    <s v="YK262300365"/>
    <x v="0"/>
    <x v="0"/>
    <n v="1"/>
    <x v="1"/>
    <d v="2026-07-16T09:06:23"/>
    <x v="13"/>
    <x v="7"/>
    <x v="13"/>
    <s v="17IA15.60"/>
    <x v="1"/>
    <x v="1"/>
    <m/>
    <m/>
    <m/>
  </r>
  <r>
    <s v="YK262300366"/>
    <x v="0"/>
    <x v="0"/>
    <n v="1"/>
    <x v="1"/>
    <d v="2026-07-13T08:51:40"/>
    <x v="13"/>
    <x v="7"/>
    <x v="13"/>
    <s v="17IA15.60"/>
    <x v="1"/>
    <x v="1"/>
    <m/>
    <m/>
    <m/>
  </r>
  <r>
    <s v="YK262300367"/>
    <x v="3"/>
    <x v="3"/>
    <n v="1"/>
    <x v="4"/>
    <d v="2026-08-19T07:13:15"/>
    <x v="13"/>
    <x v="7"/>
    <x v="13"/>
    <s v="17IA15.60"/>
    <x v="1"/>
    <x v="1"/>
    <m/>
    <m/>
    <m/>
  </r>
  <r>
    <s v="YK262300368"/>
    <x v="0"/>
    <x v="0"/>
    <n v="1"/>
    <x v="1"/>
    <d v="2026-07-16T06:22:50"/>
    <x v="13"/>
    <x v="7"/>
    <x v="13"/>
    <s v="17IA15.60"/>
    <x v="1"/>
    <x v="1"/>
    <m/>
    <m/>
    <m/>
  </r>
  <r>
    <s v="YK262300369"/>
    <x v="0"/>
    <x v="0"/>
    <n v="1"/>
    <x v="1"/>
    <d v="2026-07-10T08:36:19"/>
    <x v="13"/>
    <x v="7"/>
    <x v="13"/>
    <s v="17IA15.60"/>
    <x v="1"/>
    <x v="1"/>
    <m/>
    <m/>
    <m/>
  </r>
  <r>
    <s v="YK262300370"/>
    <x v="0"/>
    <x v="0"/>
    <n v="1"/>
    <x v="1"/>
    <d v="2026-07-20T10:40:11"/>
    <x v="13"/>
    <x v="7"/>
    <x v="13"/>
    <s v="17IA15.60"/>
    <x v="1"/>
    <x v="1"/>
    <m/>
    <m/>
    <m/>
  </r>
  <r>
    <s v="YK262300371"/>
    <x v="0"/>
    <x v="0"/>
    <n v="1"/>
    <x v="1"/>
    <d v="2026-07-16T06:22:53"/>
    <x v="13"/>
    <x v="7"/>
    <x v="13"/>
    <s v="17IA15.60"/>
    <x v="1"/>
    <x v="1"/>
    <m/>
    <m/>
    <m/>
  </r>
  <r>
    <s v="YK262300372"/>
    <x v="0"/>
    <x v="0"/>
    <n v="1"/>
    <x v="1"/>
    <d v="2026-08-05T08:52:43"/>
    <x v="13"/>
    <x v="7"/>
    <x v="13"/>
    <s v="17IA15.60"/>
    <x v="1"/>
    <x v="1"/>
    <m/>
    <m/>
    <m/>
  </r>
  <r>
    <s v="YK262300373"/>
    <x v="0"/>
    <x v="0"/>
    <n v="1"/>
    <x v="1"/>
    <d v="2026-07-13T08:47:02"/>
    <x v="13"/>
    <x v="7"/>
    <x v="13"/>
    <s v="17IA15.60"/>
    <x v="1"/>
    <x v="1"/>
    <m/>
    <m/>
    <m/>
  </r>
  <r>
    <s v="YK262300374"/>
    <x v="0"/>
    <x v="0"/>
    <n v="1"/>
    <x v="1"/>
    <d v="2026-07-14T13:35:44"/>
    <x v="13"/>
    <x v="7"/>
    <x v="13"/>
    <s v="17IA15.60"/>
    <x v="1"/>
    <x v="1"/>
    <m/>
    <m/>
    <m/>
  </r>
  <r>
    <s v="YK262300375"/>
    <x v="0"/>
    <x v="0"/>
    <n v="1"/>
    <x v="1"/>
    <d v="2026-07-14T13:35:47"/>
    <x v="13"/>
    <x v="7"/>
    <x v="13"/>
    <s v="17IA15.60"/>
    <x v="1"/>
    <x v="1"/>
    <m/>
    <m/>
    <m/>
  </r>
  <r>
    <s v="YK262300376"/>
    <x v="3"/>
    <x v="3"/>
    <n v="1"/>
    <x v="4"/>
    <d v="2026-08-12T21:26:14"/>
    <x v="13"/>
    <x v="7"/>
    <x v="13"/>
    <s v="17IA15.60"/>
    <x v="1"/>
    <x v="1"/>
    <m/>
    <m/>
    <m/>
  </r>
  <r>
    <s v="YK262300001"/>
    <x v="0"/>
    <x v="0"/>
    <n v="1"/>
    <x v="1"/>
    <d v="2026-07-10T08:36:22"/>
    <x v="14"/>
    <x v="8"/>
    <x v="14"/>
    <s v="17IA15.70"/>
    <x v="1"/>
    <x v="1"/>
    <m/>
    <m/>
    <m/>
  </r>
  <r>
    <s v="YK262300002"/>
    <x v="0"/>
    <x v="0"/>
    <n v="1"/>
    <x v="1"/>
    <d v="2026-07-21T09:48:14"/>
    <x v="14"/>
    <x v="8"/>
    <x v="14"/>
    <s v="17IA15.70"/>
    <x v="1"/>
    <x v="1"/>
    <m/>
    <m/>
    <m/>
  </r>
  <r>
    <s v="YK262300003"/>
    <x v="0"/>
    <x v="0"/>
    <n v="1"/>
    <x v="1"/>
    <d v="2026-07-16T06:22:26"/>
    <x v="14"/>
    <x v="8"/>
    <x v="14"/>
    <s v="17IA15.70"/>
    <x v="1"/>
    <x v="1"/>
    <m/>
    <m/>
    <m/>
  </r>
  <r>
    <s v="YK262300004"/>
    <x v="0"/>
    <x v="0"/>
    <n v="1"/>
    <x v="1"/>
    <d v="2026-07-14T06:31:51"/>
    <x v="14"/>
    <x v="8"/>
    <x v="14"/>
    <s v="17IA15.70"/>
    <x v="1"/>
    <x v="1"/>
    <m/>
    <m/>
    <m/>
  </r>
  <r>
    <s v="YK262300005"/>
    <x v="0"/>
    <x v="0"/>
    <n v="1"/>
    <x v="1"/>
    <d v="2026-07-23T08:51:53"/>
    <x v="14"/>
    <x v="8"/>
    <x v="14"/>
    <s v="17IA15.70"/>
    <x v="1"/>
    <x v="1"/>
    <m/>
    <m/>
    <m/>
  </r>
  <r>
    <s v="YK262300006"/>
    <x v="0"/>
    <x v="0"/>
    <n v="1"/>
    <x v="1"/>
    <d v="2026-07-27T13:45:30"/>
    <x v="14"/>
    <x v="8"/>
    <x v="14"/>
    <s v="17IA15.70"/>
    <x v="1"/>
    <x v="1"/>
    <m/>
    <m/>
    <m/>
  </r>
  <r>
    <s v="YK262300007"/>
    <x v="3"/>
    <x v="3"/>
    <n v="1"/>
    <x v="4"/>
    <d v="2026-08-14T10:10:21"/>
    <x v="14"/>
    <x v="8"/>
    <x v="14"/>
    <s v="17IA15.70"/>
    <x v="1"/>
    <x v="1"/>
    <m/>
    <m/>
    <m/>
  </r>
  <r>
    <s v="YK262300008"/>
    <x v="0"/>
    <x v="0"/>
    <n v="1"/>
    <x v="1"/>
    <d v="2026-07-23T08:44:41"/>
    <x v="14"/>
    <x v="8"/>
    <x v="14"/>
    <s v="17IA15.70"/>
    <x v="1"/>
    <x v="1"/>
    <m/>
    <m/>
    <m/>
  </r>
  <r>
    <s v="YK262300009"/>
    <x v="0"/>
    <x v="0"/>
    <n v="1"/>
    <x v="1"/>
    <d v="2026-07-10T08:26:33"/>
    <x v="14"/>
    <x v="8"/>
    <x v="14"/>
    <s v="17IA15.70"/>
    <x v="1"/>
    <x v="1"/>
    <m/>
    <m/>
    <m/>
  </r>
  <r>
    <s v="YK262300010"/>
    <x v="0"/>
    <x v="0"/>
    <n v="1"/>
    <x v="1"/>
    <d v="2026-07-09T06:48:39"/>
    <x v="14"/>
    <x v="8"/>
    <x v="14"/>
    <s v="17IA15.70"/>
    <x v="1"/>
    <x v="1"/>
    <m/>
    <m/>
    <m/>
  </r>
  <r>
    <s v="YK262300011"/>
    <x v="0"/>
    <x v="0"/>
    <n v="1"/>
    <x v="1"/>
    <d v="2026-07-10T08:26:28"/>
    <x v="14"/>
    <x v="8"/>
    <x v="14"/>
    <s v="17IA15.70"/>
    <x v="1"/>
    <x v="1"/>
    <m/>
    <m/>
    <m/>
  </r>
  <r>
    <s v="YK262300012"/>
    <x v="0"/>
    <x v="0"/>
    <n v="1"/>
    <x v="1"/>
    <d v="2026-07-16T08:47:18"/>
    <x v="14"/>
    <x v="8"/>
    <x v="14"/>
    <s v="17IA15.70"/>
    <x v="1"/>
    <x v="1"/>
    <m/>
    <m/>
    <m/>
  </r>
  <r>
    <s v="YK262300013"/>
    <x v="0"/>
    <x v="0"/>
    <n v="1"/>
    <x v="1"/>
    <d v="2026-07-14T06:23:53"/>
    <x v="14"/>
    <x v="8"/>
    <x v="14"/>
    <s v="17IA15.70"/>
    <x v="1"/>
    <x v="1"/>
    <m/>
    <m/>
    <m/>
  </r>
  <r>
    <s v="YK262300014"/>
    <x v="0"/>
    <x v="0"/>
    <n v="1"/>
    <x v="1"/>
    <d v="2026-07-27T13:46:33"/>
    <x v="14"/>
    <x v="8"/>
    <x v="14"/>
    <s v="17IA15.70"/>
    <x v="1"/>
    <x v="1"/>
    <m/>
    <m/>
    <m/>
  </r>
  <r>
    <s v="YK262300015"/>
    <x v="0"/>
    <x v="0"/>
    <n v="1"/>
    <x v="1"/>
    <d v="2026-08-11T11:59:43"/>
    <x v="14"/>
    <x v="8"/>
    <x v="14"/>
    <s v="17IA15.70"/>
    <x v="1"/>
    <x v="1"/>
    <m/>
    <m/>
    <m/>
  </r>
  <r>
    <s v="YK262300016"/>
    <x v="0"/>
    <x v="0"/>
    <n v="1"/>
    <x v="1"/>
    <d v="2026-08-05T08:54:18"/>
    <x v="14"/>
    <x v="8"/>
    <x v="14"/>
    <s v="17IA15.70"/>
    <x v="1"/>
    <x v="1"/>
    <m/>
    <m/>
    <m/>
  </r>
  <r>
    <s v="YK262300017"/>
    <x v="0"/>
    <x v="0"/>
    <n v="1"/>
    <x v="1"/>
    <d v="2026-07-15T06:34:52"/>
    <x v="14"/>
    <x v="8"/>
    <x v="14"/>
    <s v="17IA15.70"/>
    <x v="1"/>
    <x v="1"/>
    <m/>
    <m/>
    <m/>
  </r>
  <r>
    <s v="YK262300018"/>
    <x v="3"/>
    <x v="3"/>
    <n v="1"/>
    <x v="4"/>
    <d v="2026-07-15T11:14:55"/>
    <x v="14"/>
    <x v="8"/>
    <x v="14"/>
    <s v="17IA15.70"/>
    <x v="1"/>
    <x v="1"/>
    <m/>
    <m/>
    <m/>
  </r>
  <r>
    <s v="YK262300019"/>
    <x v="0"/>
    <x v="0"/>
    <n v="1"/>
    <x v="1"/>
    <d v="2026-07-23T08:53:25"/>
    <x v="14"/>
    <x v="8"/>
    <x v="14"/>
    <s v="17IA15.70"/>
    <x v="1"/>
    <x v="1"/>
    <m/>
    <m/>
    <m/>
  </r>
  <r>
    <s v="YK262300020"/>
    <x v="0"/>
    <x v="0"/>
    <n v="1"/>
    <x v="1"/>
    <d v="2026-07-16T05:50:52"/>
    <x v="14"/>
    <x v="8"/>
    <x v="14"/>
    <s v="17IA15.70"/>
    <x v="1"/>
    <x v="1"/>
    <m/>
    <m/>
    <m/>
  </r>
  <r>
    <s v="YK262300021"/>
    <x v="0"/>
    <x v="0"/>
    <n v="1"/>
    <x v="1"/>
    <d v="2026-07-16T09:06:29"/>
    <x v="14"/>
    <x v="8"/>
    <x v="14"/>
    <s v="17IA15.70"/>
    <x v="1"/>
    <x v="1"/>
    <m/>
    <m/>
    <m/>
  </r>
  <r>
    <s v="YK262300022"/>
    <x v="0"/>
    <x v="0"/>
    <n v="1"/>
    <x v="1"/>
    <d v="2026-07-21T09:31:35"/>
    <x v="14"/>
    <x v="8"/>
    <x v="14"/>
    <s v="17IA15.70"/>
    <x v="1"/>
    <x v="1"/>
    <m/>
    <m/>
    <m/>
  </r>
  <r>
    <s v="YK262300023"/>
    <x v="0"/>
    <x v="0"/>
    <n v="1"/>
    <x v="1"/>
    <d v="2026-07-06T11:20:11"/>
    <x v="14"/>
    <x v="8"/>
    <x v="14"/>
    <s v="17IA15.70"/>
    <x v="1"/>
    <x v="1"/>
    <m/>
    <m/>
    <m/>
  </r>
  <r>
    <s v="YK262300024"/>
    <x v="0"/>
    <x v="0"/>
    <n v="1"/>
    <x v="1"/>
    <d v="2026-08-25T14:52:38"/>
    <x v="14"/>
    <x v="8"/>
    <x v="14"/>
    <s v="17IA15.70"/>
    <x v="1"/>
    <x v="1"/>
    <m/>
    <m/>
    <m/>
  </r>
  <r>
    <s v="YK262300025"/>
    <x v="0"/>
    <x v="0"/>
    <n v="1"/>
    <x v="1"/>
    <d v="2026-07-20T10:40:22"/>
    <x v="14"/>
    <x v="8"/>
    <x v="14"/>
    <s v="17IA15.70"/>
    <x v="1"/>
    <x v="1"/>
    <m/>
    <m/>
    <m/>
  </r>
  <r>
    <s v="YK262300026"/>
    <x v="0"/>
    <x v="0"/>
    <n v="1"/>
    <x v="1"/>
    <d v="2026-07-08T10:17:00"/>
    <x v="14"/>
    <x v="8"/>
    <x v="14"/>
    <s v="17IA15.70"/>
    <x v="1"/>
    <x v="1"/>
    <m/>
    <m/>
    <m/>
  </r>
  <r>
    <s v="YK262300027"/>
    <x v="3"/>
    <x v="3"/>
    <n v="1"/>
    <x v="4"/>
    <d v="2026-08-17T17:48:45"/>
    <x v="14"/>
    <x v="8"/>
    <x v="14"/>
    <s v="17IA15.70"/>
    <x v="1"/>
    <x v="1"/>
    <m/>
    <m/>
    <m/>
  </r>
  <r>
    <s v="YK262300028"/>
    <x v="0"/>
    <x v="0"/>
    <n v="1"/>
    <x v="1"/>
    <d v="2026-07-02T09:09:22"/>
    <x v="14"/>
    <x v="8"/>
    <x v="14"/>
    <s v="17IA15.70"/>
    <x v="1"/>
    <x v="1"/>
    <m/>
    <m/>
    <m/>
  </r>
  <r>
    <s v="YK262300029"/>
    <x v="0"/>
    <x v="0"/>
    <n v="1"/>
    <x v="1"/>
    <d v="2026-07-14T06:24:11"/>
    <x v="14"/>
    <x v="8"/>
    <x v="14"/>
    <s v="17IA15.70"/>
    <x v="1"/>
    <x v="1"/>
    <m/>
    <m/>
    <m/>
  </r>
  <r>
    <s v="YK262300030"/>
    <x v="0"/>
    <x v="0"/>
    <n v="1"/>
    <x v="1"/>
    <d v="2026-07-14T13:35:26"/>
    <x v="14"/>
    <x v="8"/>
    <x v="14"/>
    <s v="17IA15.70"/>
    <x v="1"/>
    <x v="1"/>
    <m/>
    <m/>
    <m/>
  </r>
  <r>
    <s v="YK262300031"/>
    <x v="4"/>
    <x v="4"/>
    <n v="1"/>
    <x v="5"/>
    <d v="2026-08-18T08:53:01"/>
    <x v="14"/>
    <x v="8"/>
    <x v="14"/>
    <s v="17IA15.70"/>
    <x v="1"/>
    <x v="1"/>
    <m/>
    <m/>
    <m/>
  </r>
  <r>
    <s v="YK262300032"/>
    <x v="0"/>
    <x v="0"/>
    <n v="1"/>
    <x v="1"/>
    <d v="2026-09-01T04:14:29"/>
    <x v="14"/>
    <x v="8"/>
    <x v="14"/>
    <s v="17IA15.70"/>
    <x v="1"/>
    <x v="1"/>
    <m/>
    <m/>
    <m/>
  </r>
  <r>
    <s v="YK262300033"/>
    <x v="0"/>
    <x v="0"/>
    <n v="1"/>
    <x v="1"/>
    <d v="2026-09-01T04:13:51"/>
    <x v="14"/>
    <x v="8"/>
    <x v="14"/>
    <s v="17IA15.70"/>
    <x v="1"/>
    <x v="1"/>
    <m/>
    <m/>
    <m/>
  </r>
  <r>
    <s v="YK262300034"/>
    <x v="3"/>
    <x v="3"/>
    <n v="1"/>
    <x v="4"/>
    <d v="2026-08-06T16:45:07"/>
    <x v="14"/>
    <x v="8"/>
    <x v="14"/>
    <s v="17IA15.70"/>
    <x v="1"/>
    <x v="1"/>
    <m/>
    <m/>
    <m/>
  </r>
  <r>
    <s v="YK262300035"/>
    <x v="0"/>
    <x v="0"/>
    <n v="1"/>
    <x v="1"/>
    <d v="2026-07-09T06:48:33"/>
    <x v="14"/>
    <x v="8"/>
    <x v="14"/>
    <s v="17IA15.70"/>
    <x v="1"/>
    <x v="1"/>
    <m/>
    <m/>
    <m/>
  </r>
  <r>
    <s v="YK262300036"/>
    <x v="0"/>
    <x v="0"/>
    <n v="1"/>
    <x v="1"/>
    <d v="2026-08-12T10:47:15"/>
    <x v="14"/>
    <x v="8"/>
    <x v="14"/>
    <s v="17IA15.70"/>
    <x v="1"/>
    <x v="1"/>
    <m/>
    <m/>
    <m/>
  </r>
  <r>
    <s v="YK262300037"/>
    <x v="0"/>
    <x v="0"/>
    <n v="1"/>
    <x v="1"/>
    <d v="2026-07-29T18:54:18"/>
    <x v="14"/>
    <x v="8"/>
    <x v="14"/>
    <s v="17IA15.70"/>
    <x v="1"/>
    <x v="1"/>
    <m/>
    <m/>
    <m/>
  </r>
  <r>
    <s v="YK262300038"/>
    <x v="0"/>
    <x v="0"/>
    <n v="1"/>
    <x v="1"/>
    <d v="2026-07-29T18:54:23"/>
    <x v="14"/>
    <x v="8"/>
    <x v="14"/>
    <s v="17IA15.70"/>
    <x v="1"/>
    <x v="1"/>
    <m/>
    <m/>
    <m/>
  </r>
  <r>
    <s v="YK262300039"/>
    <x v="0"/>
    <x v="0"/>
    <n v="1"/>
    <x v="1"/>
    <d v="2026-07-23T08:51:58"/>
    <x v="14"/>
    <x v="8"/>
    <x v="14"/>
    <s v="17IA15.70"/>
    <x v="1"/>
    <x v="1"/>
    <m/>
    <m/>
    <m/>
  </r>
  <r>
    <s v="YK262300040"/>
    <x v="0"/>
    <x v="0"/>
    <n v="1"/>
    <x v="1"/>
    <d v="2026-07-23T08:53:28"/>
    <x v="14"/>
    <x v="8"/>
    <x v="14"/>
    <s v="17IA15.70"/>
    <x v="1"/>
    <x v="1"/>
    <m/>
    <m/>
    <m/>
  </r>
  <r>
    <s v="YK262300041"/>
    <x v="0"/>
    <x v="0"/>
    <n v="1"/>
    <x v="1"/>
    <d v="2026-07-20T10:40:10"/>
    <x v="14"/>
    <x v="8"/>
    <x v="14"/>
    <s v="17IA15.70"/>
    <x v="1"/>
    <x v="1"/>
    <m/>
    <m/>
    <m/>
  </r>
  <r>
    <s v="YK262300042"/>
    <x v="0"/>
    <x v="0"/>
    <n v="1"/>
    <x v="1"/>
    <d v="2026-07-13T08:51:58"/>
    <x v="14"/>
    <x v="8"/>
    <x v="14"/>
    <s v="17IA15.70"/>
    <x v="1"/>
    <x v="1"/>
    <m/>
    <m/>
    <m/>
  </r>
  <r>
    <s v="YK262300043"/>
    <x v="0"/>
    <x v="0"/>
    <n v="1"/>
    <x v="1"/>
    <d v="2026-07-06T11:20:06"/>
    <x v="14"/>
    <x v="8"/>
    <x v="14"/>
    <s v="17IA15.70"/>
    <x v="1"/>
    <x v="1"/>
    <m/>
    <m/>
    <m/>
  </r>
  <r>
    <s v="YK262300044"/>
    <x v="0"/>
    <x v="0"/>
    <n v="1"/>
    <x v="1"/>
    <d v="2026-07-29T18:54:04"/>
    <x v="14"/>
    <x v="8"/>
    <x v="14"/>
    <s v="17IA15.70"/>
    <x v="1"/>
    <x v="1"/>
    <m/>
    <m/>
    <m/>
  </r>
  <r>
    <s v="YK262300045"/>
    <x v="0"/>
    <x v="0"/>
    <n v="1"/>
    <x v="1"/>
    <d v="2026-07-02T09:10:15"/>
    <x v="14"/>
    <x v="8"/>
    <x v="14"/>
    <s v="17IA15.70"/>
    <x v="1"/>
    <x v="1"/>
    <m/>
    <m/>
    <m/>
  </r>
  <r>
    <s v="YK262300046"/>
    <x v="0"/>
    <x v="0"/>
    <n v="1"/>
    <x v="1"/>
    <d v="2026-07-07T13:17:14"/>
    <x v="14"/>
    <x v="8"/>
    <x v="14"/>
    <s v="17IA15.70"/>
    <x v="1"/>
    <x v="1"/>
    <m/>
    <m/>
    <m/>
  </r>
  <r>
    <s v="YK262300047"/>
    <x v="0"/>
    <x v="0"/>
    <n v="1"/>
    <x v="1"/>
    <d v="2026-07-08T10:17:47"/>
    <x v="14"/>
    <x v="8"/>
    <x v="14"/>
    <s v="17IA15.70"/>
    <x v="1"/>
    <x v="1"/>
    <m/>
    <m/>
    <m/>
  </r>
  <r>
    <s v="YK262300048"/>
    <x v="0"/>
    <x v="0"/>
    <n v="1"/>
    <x v="1"/>
    <d v="2026-07-21T09:32:14"/>
    <x v="14"/>
    <x v="8"/>
    <x v="14"/>
    <s v="17IA15.70"/>
    <x v="1"/>
    <x v="1"/>
    <m/>
    <m/>
    <m/>
  </r>
  <r>
    <s v="YK262300049"/>
    <x v="0"/>
    <x v="0"/>
    <n v="1"/>
    <x v="1"/>
    <d v="2026-07-06T11:20:50"/>
    <x v="14"/>
    <x v="8"/>
    <x v="14"/>
    <s v="17IA15.70"/>
    <x v="1"/>
    <x v="1"/>
    <m/>
    <m/>
    <m/>
  </r>
  <r>
    <s v="YK262300050"/>
    <x v="0"/>
    <x v="0"/>
    <n v="1"/>
    <x v="1"/>
    <d v="2026-07-08T10:17:07"/>
    <x v="14"/>
    <x v="8"/>
    <x v="14"/>
    <s v="17IA15.70"/>
    <x v="1"/>
    <x v="1"/>
    <m/>
    <m/>
    <m/>
  </r>
  <r>
    <s v="YK262300051"/>
    <x v="0"/>
    <x v="0"/>
    <n v="1"/>
    <x v="1"/>
    <d v="2026-07-14T12:28:04"/>
    <x v="14"/>
    <x v="8"/>
    <x v="14"/>
    <s v="17IA15.70"/>
    <x v="1"/>
    <x v="1"/>
    <m/>
    <m/>
    <m/>
  </r>
  <r>
    <s v="YK262300052"/>
    <x v="0"/>
    <x v="0"/>
    <n v="1"/>
    <x v="1"/>
    <d v="2026-07-23T08:44:15"/>
    <x v="14"/>
    <x v="8"/>
    <x v="14"/>
    <s v="17IA15.70"/>
    <x v="1"/>
    <x v="1"/>
    <m/>
    <m/>
    <m/>
  </r>
  <r>
    <s v="YK262300053"/>
    <x v="0"/>
    <x v="0"/>
    <n v="1"/>
    <x v="1"/>
    <d v="2026-07-29T18:54:07"/>
    <x v="14"/>
    <x v="8"/>
    <x v="14"/>
    <s v="17IA15.70"/>
    <x v="1"/>
    <x v="1"/>
    <m/>
    <m/>
    <m/>
  </r>
  <r>
    <s v="YK262300054"/>
    <x v="0"/>
    <x v="0"/>
    <n v="1"/>
    <x v="1"/>
    <d v="2026-09-01T04:13:57"/>
    <x v="14"/>
    <x v="8"/>
    <x v="14"/>
    <s v="17IA15.70"/>
    <x v="1"/>
    <x v="1"/>
    <m/>
    <m/>
    <m/>
  </r>
  <r>
    <s v="YK262300055"/>
    <x v="0"/>
    <x v="0"/>
    <n v="1"/>
    <x v="1"/>
    <d v="2026-07-23T08:43:20"/>
    <x v="14"/>
    <x v="8"/>
    <x v="14"/>
    <s v="17IA15.70"/>
    <x v="1"/>
    <x v="1"/>
    <m/>
    <m/>
    <m/>
  </r>
  <r>
    <s v="YK262300056"/>
    <x v="0"/>
    <x v="0"/>
    <n v="1"/>
    <x v="1"/>
    <d v="2026-08-25T14:52:14"/>
    <x v="14"/>
    <x v="8"/>
    <x v="14"/>
    <s v="17IA15.70"/>
    <x v="1"/>
    <x v="1"/>
    <m/>
    <m/>
    <m/>
  </r>
  <r>
    <s v="YK262300057"/>
    <x v="0"/>
    <x v="0"/>
    <n v="1"/>
    <x v="1"/>
    <d v="2026-07-15T06:43:35"/>
    <x v="14"/>
    <x v="8"/>
    <x v="14"/>
    <s v="17IA15.70"/>
    <x v="1"/>
    <x v="1"/>
    <m/>
    <m/>
    <m/>
  </r>
  <r>
    <s v="YK262300058"/>
    <x v="0"/>
    <x v="0"/>
    <n v="1"/>
    <x v="1"/>
    <d v="2026-07-15T06:43:23"/>
    <x v="14"/>
    <x v="8"/>
    <x v="14"/>
    <s v="17IA15.70"/>
    <x v="1"/>
    <x v="1"/>
    <m/>
    <m/>
    <m/>
  </r>
  <r>
    <s v="YK262300059"/>
    <x v="3"/>
    <x v="3"/>
    <n v="1"/>
    <x v="4"/>
    <d v="2026-08-04T11:23:58"/>
    <x v="14"/>
    <x v="8"/>
    <x v="14"/>
    <s v="17IA15.70"/>
    <x v="1"/>
    <x v="1"/>
    <m/>
    <m/>
    <m/>
  </r>
  <r>
    <s v="YK262300060"/>
    <x v="3"/>
    <x v="3"/>
    <n v="1"/>
    <x v="4"/>
    <d v="2026-07-16T06:40:19"/>
    <x v="14"/>
    <x v="8"/>
    <x v="14"/>
    <s v="17IA15.70"/>
    <x v="1"/>
    <x v="1"/>
    <m/>
    <m/>
    <m/>
  </r>
  <r>
    <s v="YK262300061"/>
    <x v="0"/>
    <x v="0"/>
    <n v="1"/>
    <x v="1"/>
    <d v="2026-08-05T11:48:01"/>
    <x v="14"/>
    <x v="8"/>
    <x v="14"/>
    <s v="17IA15.70"/>
    <x v="1"/>
    <x v="1"/>
    <m/>
    <m/>
    <m/>
  </r>
  <r>
    <s v="YK262300062"/>
    <x v="0"/>
    <x v="0"/>
    <n v="1"/>
    <x v="1"/>
    <d v="2026-07-23T08:43:25"/>
    <x v="14"/>
    <x v="8"/>
    <x v="14"/>
    <s v="17IA15.70"/>
    <x v="1"/>
    <x v="1"/>
    <m/>
    <m/>
    <m/>
  </r>
  <r>
    <s v="YK262300063"/>
    <x v="0"/>
    <x v="0"/>
    <n v="1"/>
    <x v="1"/>
    <d v="2026-07-09T07:00:19"/>
    <x v="14"/>
    <x v="8"/>
    <x v="14"/>
    <s v="17IA15.70"/>
    <x v="1"/>
    <x v="1"/>
    <m/>
    <m/>
    <m/>
  </r>
  <r>
    <s v="YK262300064"/>
    <x v="0"/>
    <x v="0"/>
    <n v="1"/>
    <x v="1"/>
    <d v="2026-07-14T09:05:14"/>
    <x v="14"/>
    <x v="8"/>
    <x v="14"/>
    <s v="17IA15.70"/>
    <x v="1"/>
    <x v="1"/>
    <m/>
    <m/>
    <m/>
  </r>
  <r>
    <s v="YK262300065"/>
    <x v="0"/>
    <x v="0"/>
    <n v="1"/>
    <x v="1"/>
    <d v="2026-07-14T06:20:45"/>
    <x v="14"/>
    <x v="8"/>
    <x v="14"/>
    <s v="17IA15.70"/>
    <x v="1"/>
    <x v="1"/>
    <m/>
    <m/>
    <m/>
  </r>
  <r>
    <s v="YK262300066"/>
    <x v="0"/>
    <x v="0"/>
    <n v="1"/>
    <x v="1"/>
    <d v="2026-07-10T08:35:53"/>
    <x v="14"/>
    <x v="8"/>
    <x v="14"/>
    <s v="17IA15.70"/>
    <x v="1"/>
    <x v="1"/>
    <m/>
    <d v="2026-07-08T00:00:00"/>
    <m/>
  </r>
  <r>
    <s v="YK262300067"/>
    <x v="0"/>
    <x v="0"/>
    <n v="1"/>
    <x v="1"/>
    <d v="2026-07-14T13:36:13"/>
    <x v="14"/>
    <x v="8"/>
    <x v="14"/>
    <s v="17IA15.70"/>
    <x v="1"/>
    <x v="1"/>
    <m/>
    <m/>
    <m/>
  </r>
  <r>
    <s v="YK262300068"/>
    <x v="0"/>
    <x v="0"/>
    <n v="1"/>
    <x v="1"/>
    <d v="2026-07-31T06:39:48"/>
    <x v="14"/>
    <x v="8"/>
    <x v="14"/>
    <s v="17IA15.70"/>
    <x v="1"/>
    <x v="1"/>
    <m/>
    <m/>
    <m/>
  </r>
  <r>
    <s v="YK262300069"/>
    <x v="0"/>
    <x v="0"/>
    <n v="1"/>
    <x v="1"/>
    <d v="2026-07-21T11:37:10"/>
    <x v="14"/>
    <x v="8"/>
    <x v="14"/>
    <s v="17IA15.70"/>
    <x v="1"/>
    <x v="1"/>
    <m/>
    <m/>
    <m/>
  </r>
  <r>
    <s v="YK262300070"/>
    <x v="0"/>
    <x v="0"/>
    <n v="1"/>
    <x v="1"/>
    <d v="2026-07-16T09:18:46"/>
    <x v="14"/>
    <x v="8"/>
    <x v="14"/>
    <s v="17IA15.70"/>
    <x v="1"/>
    <x v="1"/>
    <m/>
    <m/>
    <m/>
  </r>
  <r>
    <s v="YK262300071"/>
    <x v="0"/>
    <x v="0"/>
    <n v="1"/>
    <x v="1"/>
    <d v="2026-08-14T10:11:18"/>
    <x v="14"/>
    <x v="8"/>
    <x v="14"/>
    <s v="17IA15.70"/>
    <x v="1"/>
    <x v="1"/>
    <m/>
    <m/>
    <m/>
  </r>
  <r>
    <s v="YK262300072"/>
    <x v="0"/>
    <x v="0"/>
    <n v="1"/>
    <x v="1"/>
    <d v="2026-07-16T08:47:54"/>
    <x v="14"/>
    <x v="8"/>
    <x v="14"/>
    <s v="17IA15.70"/>
    <x v="1"/>
    <x v="1"/>
    <m/>
    <m/>
    <m/>
  </r>
  <r>
    <s v="YK262300073"/>
    <x v="0"/>
    <x v="0"/>
    <n v="1"/>
    <x v="1"/>
    <d v="2026-07-16T09:06:19"/>
    <x v="14"/>
    <x v="8"/>
    <x v="14"/>
    <s v="17IA15.70"/>
    <x v="1"/>
    <x v="1"/>
    <m/>
    <m/>
    <m/>
  </r>
  <r>
    <s v="YK262300074"/>
    <x v="0"/>
    <x v="0"/>
    <n v="1"/>
    <x v="1"/>
    <d v="2026-07-16T05:52:43"/>
    <x v="14"/>
    <x v="8"/>
    <x v="14"/>
    <s v="17IA15.70"/>
    <x v="1"/>
    <x v="1"/>
    <m/>
    <m/>
    <m/>
  </r>
  <r>
    <s v="YK262300075"/>
    <x v="0"/>
    <x v="0"/>
    <n v="1"/>
    <x v="1"/>
    <d v="2026-07-16T09:18:51"/>
    <x v="14"/>
    <x v="8"/>
    <x v="14"/>
    <s v="17IA15.70"/>
    <x v="1"/>
    <x v="1"/>
    <m/>
    <m/>
    <m/>
  </r>
  <r>
    <s v="YK262300076"/>
    <x v="0"/>
    <x v="0"/>
    <n v="1"/>
    <x v="1"/>
    <d v="2026-07-02T09:10:26"/>
    <x v="14"/>
    <x v="8"/>
    <x v="14"/>
    <s v="17IA15.70"/>
    <x v="1"/>
    <x v="1"/>
    <m/>
    <m/>
    <m/>
  </r>
  <r>
    <s v="YK262300077"/>
    <x v="3"/>
    <x v="3"/>
    <n v="1"/>
    <x v="4"/>
    <d v="2026-08-17T18:01:58"/>
    <x v="14"/>
    <x v="8"/>
    <x v="14"/>
    <s v="17IA15.70"/>
    <x v="1"/>
    <x v="1"/>
    <m/>
    <m/>
    <m/>
  </r>
  <r>
    <s v="YK262300078"/>
    <x v="0"/>
    <x v="0"/>
    <n v="1"/>
    <x v="1"/>
    <d v="2026-08-14T10:11:30"/>
    <x v="14"/>
    <x v="8"/>
    <x v="14"/>
    <s v="17IA15.70"/>
    <x v="1"/>
    <x v="1"/>
    <m/>
    <m/>
    <m/>
  </r>
  <r>
    <s v="YK262300079"/>
    <x v="0"/>
    <x v="0"/>
    <n v="1"/>
    <x v="1"/>
    <d v="2026-07-13T08:46:54"/>
    <x v="14"/>
    <x v="8"/>
    <x v="14"/>
    <s v="17IA15.70"/>
    <x v="1"/>
    <x v="1"/>
    <m/>
    <m/>
    <m/>
  </r>
  <r>
    <s v="YK262300080"/>
    <x v="0"/>
    <x v="0"/>
    <n v="1"/>
    <x v="1"/>
    <d v="2026-07-16T08:47:14"/>
    <x v="14"/>
    <x v="8"/>
    <x v="14"/>
    <s v="17IA15.70"/>
    <x v="1"/>
    <x v="1"/>
    <m/>
    <m/>
    <m/>
  </r>
  <r>
    <s v="YK262300081"/>
    <x v="0"/>
    <x v="0"/>
    <n v="1"/>
    <x v="1"/>
    <d v="2026-07-16T08:47:48"/>
    <x v="14"/>
    <x v="8"/>
    <x v="14"/>
    <s v="17IA15.70"/>
    <x v="1"/>
    <x v="1"/>
    <m/>
    <m/>
    <m/>
  </r>
  <r>
    <s v="YK262300082"/>
    <x v="0"/>
    <x v="0"/>
    <n v="1"/>
    <x v="1"/>
    <d v="2026-07-20T10:40:06"/>
    <x v="14"/>
    <x v="8"/>
    <x v="14"/>
    <s v="17IA15.70"/>
    <x v="1"/>
    <x v="1"/>
    <m/>
    <m/>
    <m/>
  </r>
  <r>
    <s v="YK262300083"/>
    <x v="0"/>
    <x v="0"/>
    <n v="1"/>
    <x v="1"/>
    <d v="2026-07-14T06:24:07"/>
    <x v="14"/>
    <x v="8"/>
    <x v="14"/>
    <s v="17IA15.70"/>
    <x v="1"/>
    <x v="1"/>
    <m/>
    <m/>
    <m/>
  </r>
  <r>
    <s v="YK262300084"/>
    <x v="0"/>
    <x v="0"/>
    <n v="1"/>
    <x v="1"/>
    <d v="2026-08-05T11:48:45"/>
    <x v="14"/>
    <x v="8"/>
    <x v="14"/>
    <s v="17IA15.70"/>
    <x v="1"/>
    <x v="1"/>
    <m/>
    <m/>
    <m/>
  </r>
  <r>
    <s v="YK262300085"/>
    <x v="0"/>
    <x v="0"/>
    <n v="1"/>
    <x v="1"/>
    <d v="2026-07-15T13:51:09"/>
    <x v="14"/>
    <x v="8"/>
    <x v="14"/>
    <s v="17IA15.70"/>
    <x v="1"/>
    <x v="1"/>
    <m/>
    <m/>
    <m/>
  </r>
  <r>
    <s v="YK262300086"/>
    <x v="0"/>
    <x v="0"/>
    <n v="1"/>
    <x v="1"/>
    <d v="2026-07-07T13:16:21"/>
    <x v="14"/>
    <x v="8"/>
    <x v="14"/>
    <s v="17IA15.70"/>
    <x v="1"/>
    <x v="1"/>
    <m/>
    <m/>
    <m/>
  </r>
  <r>
    <s v="YK262300087"/>
    <x v="0"/>
    <x v="0"/>
    <n v="1"/>
    <x v="1"/>
    <d v="2026-07-15T13:51:36"/>
    <x v="14"/>
    <x v="8"/>
    <x v="14"/>
    <s v="17IA15.70"/>
    <x v="1"/>
    <x v="1"/>
    <m/>
    <m/>
    <m/>
  </r>
  <r>
    <s v="YK262300088"/>
    <x v="0"/>
    <x v="0"/>
    <n v="1"/>
    <x v="1"/>
    <d v="2026-07-15T13:51:32"/>
    <x v="14"/>
    <x v="8"/>
    <x v="14"/>
    <s v="17IA15.70"/>
    <x v="1"/>
    <x v="1"/>
    <m/>
    <m/>
    <m/>
  </r>
  <r>
    <s v="YK262300089"/>
    <x v="3"/>
    <x v="3"/>
    <n v="1"/>
    <x v="4"/>
    <d v="2026-07-21T15:26:13"/>
    <x v="14"/>
    <x v="8"/>
    <x v="14"/>
    <s v="17IA15.70"/>
    <x v="1"/>
    <x v="1"/>
    <m/>
    <m/>
    <m/>
  </r>
  <r>
    <s v="YK262300090"/>
    <x v="0"/>
    <x v="0"/>
    <n v="1"/>
    <x v="1"/>
    <d v="2026-07-14T12:27:59"/>
    <x v="14"/>
    <x v="8"/>
    <x v="14"/>
    <s v="17IA15.70"/>
    <x v="1"/>
    <x v="1"/>
    <m/>
    <m/>
    <m/>
  </r>
  <r>
    <s v="YK262300091"/>
    <x v="0"/>
    <x v="0"/>
    <n v="1"/>
    <x v="1"/>
    <d v="2026-07-06T11:20:40"/>
    <x v="14"/>
    <x v="8"/>
    <x v="14"/>
    <s v="17IA15.70"/>
    <x v="1"/>
    <x v="1"/>
    <m/>
    <m/>
    <m/>
  </r>
  <r>
    <s v="YK262300092"/>
    <x v="0"/>
    <x v="0"/>
    <n v="1"/>
    <x v="1"/>
    <d v="2026-08-05T08:52:46"/>
    <x v="14"/>
    <x v="8"/>
    <x v="14"/>
    <s v="17IA15.70"/>
    <x v="1"/>
    <x v="1"/>
    <m/>
    <m/>
    <m/>
  </r>
  <r>
    <s v="YK262300093"/>
    <x v="0"/>
    <x v="0"/>
    <n v="1"/>
    <x v="1"/>
    <d v="2026-07-08T10:17:31"/>
    <x v="14"/>
    <x v="8"/>
    <x v="14"/>
    <s v="17IA15.70"/>
    <x v="1"/>
    <x v="1"/>
    <m/>
    <m/>
    <m/>
  </r>
  <r>
    <s v="YK262300094"/>
    <x v="0"/>
    <x v="0"/>
    <n v="1"/>
    <x v="1"/>
    <d v="2026-07-14T12:27:15"/>
    <x v="14"/>
    <x v="8"/>
    <x v="14"/>
    <s v="17IA15.70"/>
    <x v="1"/>
    <x v="1"/>
    <m/>
    <m/>
    <m/>
  </r>
  <r>
    <s v="YK262300095"/>
    <x v="0"/>
    <x v="0"/>
    <n v="1"/>
    <x v="1"/>
    <d v="2026-07-21T09:20:53"/>
    <x v="14"/>
    <x v="8"/>
    <x v="14"/>
    <s v="17IA15.70"/>
    <x v="1"/>
    <x v="1"/>
    <m/>
    <m/>
    <m/>
  </r>
  <r>
    <s v="YK262300096"/>
    <x v="0"/>
    <x v="0"/>
    <n v="1"/>
    <x v="1"/>
    <d v="2026-08-05T11:49:07"/>
    <x v="14"/>
    <x v="8"/>
    <x v="14"/>
    <s v="17IA15.70"/>
    <x v="1"/>
    <x v="1"/>
    <m/>
    <m/>
    <m/>
  </r>
  <r>
    <s v="YK262300097"/>
    <x v="0"/>
    <x v="0"/>
    <n v="1"/>
    <x v="1"/>
    <d v="2026-08-25T14:52:52"/>
    <x v="14"/>
    <x v="8"/>
    <x v="14"/>
    <s v="17IA15.70"/>
    <x v="1"/>
    <x v="1"/>
    <m/>
    <m/>
    <m/>
  </r>
  <r>
    <s v="YK262300098"/>
    <x v="0"/>
    <x v="0"/>
    <n v="1"/>
    <x v="1"/>
    <d v="2026-08-05T11:47:55"/>
    <x v="14"/>
    <x v="8"/>
    <x v="14"/>
    <s v="17IA15.70"/>
    <x v="1"/>
    <x v="1"/>
    <m/>
    <m/>
    <m/>
  </r>
  <r>
    <s v="YK262300099"/>
    <x v="0"/>
    <x v="0"/>
    <n v="1"/>
    <x v="1"/>
    <d v="2026-09-01T04:14:22"/>
    <x v="14"/>
    <x v="8"/>
    <x v="14"/>
    <s v="17IA15.70"/>
    <x v="1"/>
    <x v="1"/>
    <m/>
    <m/>
    <m/>
  </r>
  <r>
    <s v="YK262300100"/>
    <x v="0"/>
    <x v="0"/>
    <n v="1"/>
    <x v="1"/>
    <d v="2026-07-13T08:51:31"/>
    <x v="14"/>
    <x v="8"/>
    <x v="14"/>
    <s v="17IA15.70"/>
    <x v="1"/>
    <x v="1"/>
    <m/>
    <m/>
    <m/>
  </r>
  <r>
    <s v="YK262300101"/>
    <x v="0"/>
    <x v="0"/>
    <n v="1"/>
    <x v="1"/>
    <d v="2026-06-26T11:49:22"/>
    <x v="14"/>
    <x v="8"/>
    <x v="14"/>
    <s v="17IA15.70"/>
    <x v="1"/>
    <x v="1"/>
    <m/>
    <m/>
    <m/>
  </r>
  <r>
    <s v="YK262300102"/>
    <x v="0"/>
    <x v="0"/>
    <n v="1"/>
    <x v="1"/>
    <d v="2026-07-09T07:00:08"/>
    <x v="14"/>
    <x v="8"/>
    <x v="14"/>
    <s v="17IA15.70"/>
    <x v="1"/>
    <x v="1"/>
    <m/>
    <m/>
    <m/>
  </r>
  <r>
    <s v="YK262300103"/>
    <x v="0"/>
    <x v="0"/>
    <n v="1"/>
    <x v="1"/>
    <d v="2026-08-05T11:47:31"/>
    <x v="14"/>
    <x v="8"/>
    <x v="14"/>
    <s v="17IA15.70"/>
    <x v="1"/>
    <x v="1"/>
    <m/>
    <m/>
    <m/>
  </r>
  <r>
    <s v="YK262300104"/>
    <x v="0"/>
    <x v="0"/>
    <n v="1"/>
    <x v="1"/>
    <d v="2026-07-14T13:35:51"/>
    <x v="14"/>
    <x v="8"/>
    <x v="14"/>
    <s v="17IA15.70"/>
    <x v="1"/>
    <x v="1"/>
    <m/>
    <m/>
    <m/>
  </r>
  <r>
    <s v="YK262300105"/>
    <x v="0"/>
    <x v="0"/>
    <n v="1"/>
    <x v="1"/>
    <d v="2026-07-14T13:35:31"/>
    <x v="14"/>
    <x v="8"/>
    <x v="14"/>
    <s v="17IA15.70"/>
    <x v="1"/>
    <x v="1"/>
    <m/>
    <m/>
    <m/>
  </r>
  <r>
    <s v="YK262300106"/>
    <x v="0"/>
    <x v="0"/>
    <n v="1"/>
    <x v="1"/>
    <d v="2026-07-31T06:39:10"/>
    <x v="14"/>
    <x v="8"/>
    <x v="14"/>
    <s v="17IA15.70"/>
    <x v="1"/>
    <x v="1"/>
    <m/>
    <m/>
    <m/>
  </r>
  <r>
    <s v="YK262300107"/>
    <x v="0"/>
    <x v="0"/>
    <n v="1"/>
    <x v="1"/>
    <d v="2026-06-30T09:44:48"/>
    <x v="14"/>
    <x v="8"/>
    <x v="14"/>
    <s v="17IA15.70"/>
    <x v="1"/>
    <x v="1"/>
    <m/>
    <m/>
    <m/>
  </r>
  <r>
    <s v="YK262300108"/>
    <x v="1"/>
    <x v="1"/>
    <n v="1"/>
    <x v="2"/>
    <d v="2026-07-08T08:32:16"/>
    <x v="14"/>
    <x v="8"/>
    <x v="14"/>
    <s v="17IA15.70"/>
    <x v="1"/>
    <x v="1"/>
    <m/>
    <m/>
    <m/>
  </r>
  <r>
    <s v="YK262300109"/>
    <x v="0"/>
    <x v="0"/>
    <n v="1"/>
    <x v="1"/>
    <d v="2026-07-13T08:51:35"/>
    <x v="14"/>
    <x v="8"/>
    <x v="14"/>
    <s v="17IA15.70"/>
    <x v="1"/>
    <x v="1"/>
    <m/>
    <m/>
    <m/>
  </r>
  <r>
    <s v="YK262300110"/>
    <x v="0"/>
    <x v="0"/>
    <n v="1"/>
    <x v="1"/>
    <d v="2026-07-15T06:43:53"/>
    <x v="14"/>
    <x v="8"/>
    <x v="14"/>
    <s v="17IA15.70"/>
    <x v="1"/>
    <x v="1"/>
    <m/>
    <m/>
    <m/>
  </r>
  <r>
    <s v="YK262300111"/>
    <x v="0"/>
    <x v="0"/>
    <n v="1"/>
    <x v="1"/>
    <d v="2026-07-14T09:06:01"/>
    <x v="14"/>
    <x v="8"/>
    <x v="14"/>
    <s v="17IA15.70"/>
    <x v="1"/>
    <x v="1"/>
    <m/>
    <m/>
    <m/>
  </r>
  <r>
    <s v="YK262300112"/>
    <x v="0"/>
    <x v="0"/>
    <n v="1"/>
    <x v="1"/>
    <d v="2026-07-21T09:32:10"/>
    <x v="14"/>
    <x v="8"/>
    <x v="14"/>
    <s v="17IA15.70"/>
    <x v="1"/>
    <x v="1"/>
    <m/>
    <m/>
    <m/>
  </r>
  <r>
    <s v="YK262300113"/>
    <x v="0"/>
    <x v="0"/>
    <n v="1"/>
    <x v="1"/>
    <d v="2026-07-02T09:09:14"/>
    <x v="14"/>
    <x v="8"/>
    <x v="14"/>
    <s v="17IA15.70"/>
    <x v="1"/>
    <x v="1"/>
    <m/>
    <m/>
    <m/>
  </r>
  <r>
    <s v="YK262300114"/>
    <x v="2"/>
    <x v="2"/>
    <n v="1"/>
    <x v="3"/>
    <d v="2026-06-30T13:48:52"/>
    <x v="14"/>
    <x v="8"/>
    <x v="14"/>
    <s v="17IA15.70"/>
    <x v="1"/>
    <x v="1"/>
    <m/>
    <m/>
    <m/>
  </r>
  <r>
    <s v="YK262300115"/>
    <x v="0"/>
    <x v="0"/>
    <n v="1"/>
    <x v="1"/>
    <d v="2026-08-27T12:19:47"/>
    <x v="14"/>
    <x v="8"/>
    <x v="14"/>
    <s v="17IA15.70"/>
    <x v="1"/>
    <x v="1"/>
    <m/>
    <m/>
    <m/>
  </r>
  <r>
    <s v="YK262300116"/>
    <x v="0"/>
    <x v="0"/>
    <n v="1"/>
    <x v="1"/>
    <d v="2026-08-12T10:47:38"/>
    <x v="14"/>
    <x v="8"/>
    <x v="14"/>
    <s v="17IA15.70"/>
    <x v="1"/>
    <x v="1"/>
    <m/>
    <m/>
    <m/>
  </r>
  <r>
    <s v="YK262300117"/>
    <x v="0"/>
    <x v="0"/>
    <n v="1"/>
    <x v="1"/>
    <d v="2026-07-21T09:47:11"/>
    <x v="14"/>
    <x v="8"/>
    <x v="14"/>
    <s v="17IA15.70"/>
    <x v="1"/>
    <x v="1"/>
    <m/>
    <m/>
    <m/>
  </r>
  <r>
    <s v="YK262300118"/>
    <x v="0"/>
    <x v="0"/>
    <n v="1"/>
    <x v="1"/>
    <d v="2026-07-10T08:26:07"/>
    <x v="14"/>
    <x v="8"/>
    <x v="14"/>
    <s v="17IA15.70"/>
    <x v="1"/>
    <x v="1"/>
    <m/>
    <m/>
    <m/>
  </r>
  <r>
    <s v="YK262300119"/>
    <x v="3"/>
    <x v="3"/>
    <n v="1"/>
    <x v="4"/>
    <d v="2026-07-15T16:55:13"/>
    <x v="14"/>
    <x v="8"/>
    <x v="14"/>
    <s v="17IA15.70"/>
    <x v="1"/>
    <x v="1"/>
    <m/>
    <m/>
    <m/>
  </r>
  <r>
    <s v="YK262300120"/>
    <x v="3"/>
    <x v="3"/>
    <n v="1"/>
    <x v="4"/>
    <d v="2026-08-11T13:10:44"/>
    <x v="14"/>
    <x v="8"/>
    <x v="14"/>
    <s v="17IA15.70"/>
    <x v="1"/>
    <x v="1"/>
    <m/>
    <m/>
    <m/>
  </r>
  <r>
    <s v="YK262300121"/>
    <x v="0"/>
    <x v="0"/>
    <n v="1"/>
    <x v="1"/>
    <d v="2026-07-14T12:27:32"/>
    <x v="14"/>
    <x v="8"/>
    <x v="14"/>
    <s v="17IA15.70"/>
    <x v="1"/>
    <x v="1"/>
    <m/>
    <m/>
    <m/>
  </r>
  <r>
    <s v="YK262300122"/>
    <x v="8"/>
    <x v="8"/>
    <n v="1"/>
    <x v="7"/>
    <d v="2026-08-18T14:09:29"/>
    <x v="14"/>
    <x v="8"/>
    <x v="14"/>
    <s v="17IA15.70"/>
    <x v="1"/>
    <x v="1"/>
    <m/>
    <m/>
    <m/>
  </r>
  <r>
    <s v="YK262300123"/>
    <x v="0"/>
    <x v="0"/>
    <n v="1"/>
    <x v="1"/>
    <d v="2026-07-14T06:20:17"/>
    <x v="14"/>
    <x v="8"/>
    <x v="14"/>
    <s v="17IA15.70"/>
    <x v="1"/>
    <x v="1"/>
    <m/>
    <m/>
    <m/>
  </r>
  <r>
    <s v="YK262300124"/>
    <x v="0"/>
    <x v="0"/>
    <n v="1"/>
    <x v="1"/>
    <d v="2026-07-21T11:23:05"/>
    <x v="14"/>
    <x v="8"/>
    <x v="14"/>
    <s v="17IA15.70"/>
    <x v="1"/>
    <x v="1"/>
    <m/>
    <m/>
    <m/>
  </r>
  <r>
    <s v="YK262300125"/>
    <x v="0"/>
    <x v="0"/>
    <n v="1"/>
    <x v="1"/>
    <d v="2026-07-14T06:20:20"/>
    <x v="14"/>
    <x v="8"/>
    <x v="14"/>
    <s v="17IA15.70"/>
    <x v="1"/>
    <x v="1"/>
    <m/>
    <m/>
    <m/>
  </r>
  <r>
    <s v="YK262300126"/>
    <x v="0"/>
    <x v="0"/>
    <n v="1"/>
    <x v="1"/>
    <d v="2026-07-14T06:20:40"/>
    <x v="14"/>
    <x v="8"/>
    <x v="14"/>
    <s v="17IA15.70"/>
    <x v="1"/>
    <x v="1"/>
    <m/>
    <m/>
    <m/>
  </r>
  <r>
    <s v="YK262300127"/>
    <x v="0"/>
    <x v="0"/>
    <n v="1"/>
    <x v="1"/>
    <d v="2026-07-24T09:27:45"/>
    <x v="14"/>
    <x v="8"/>
    <x v="14"/>
    <s v="17IA15.70"/>
    <x v="1"/>
    <x v="1"/>
    <m/>
    <m/>
    <m/>
  </r>
  <r>
    <s v="YK262300128"/>
    <x v="0"/>
    <x v="0"/>
    <n v="1"/>
    <x v="1"/>
    <d v="2026-07-16T06:22:57"/>
    <x v="14"/>
    <x v="8"/>
    <x v="14"/>
    <s v="17IA15.70"/>
    <x v="1"/>
    <x v="1"/>
    <m/>
    <m/>
    <m/>
  </r>
  <r>
    <s v="YK262300129"/>
    <x v="0"/>
    <x v="0"/>
    <n v="1"/>
    <x v="1"/>
    <d v="2026-07-23T08:52:51"/>
    <x v="14"/>
    <x v="8"/>
    <x v="14"/>
    <s v="17IA15.70"/>
    <x v="1"/>
    <x v="1"/>
    <m/>
    <m/>
    <m/>
  </r>
  <r>
    <s v="YK262300130"/>
    <x v="0"/>
    <x v="0"/>
    <n v="1"/>
    <x v="1"/>
    <d v="2026-07-21T11:23:17"/>
    <x v="14"/>
    <x v="8"/>
    <x v="14"/>
    <s v="17IA15.70"/>
    <x v="1"/>
    <x v="1"/>
    <m/>
    <m/>
    <m/>
  </r>
  <r>
    <s v="YK262300131"/>
    <x v="0"/>
    <x v="0"/>
    <n v="1"/>
    <x v="1"/>
    <d v="2026-07-16T06:22:29"/>
    <x v="14"/>
    <x v="8"/>
    <x v="14"/>
    <s v="17IA15.70"/>
    <x v="1"/>
    <x v="1"/>
    <m/>
    <m/>
    <m/>
  </r>
  <r>
    <s v="YK262300132"/>
    <x v="0"/>
    <x v="0"/>
    <n v="1"/>
    <x v="1"/>
    <d v="2026-07-07T13:16:11"/>
    <x v="14"/>
    <x v="8"/>
    <x v="14"/>
    <s v="17IA15.70"/>
    <x v="1"/>
    <x v="1"/>
    <m/>
    <m/>
    <m/>
  </r>
  <r>
    <s v="YK262300133"/>
    <x v="0"/>
    <x v="0"/>
    <n v="1"/>
    <x v="1"/>
    <d v="2026-08-25T14:52:17"/>
    <x v="14"/>
    <x v="8"/>
    <x v="14"/>
    <s v="17IA15.70"/>
    <x v="1"/>
    <x v="1"/>
    <m/>
    <m/>
    <m/>
  </r>
  <r>
    <s v="YK262300134"/>
    <x v="0"/>
    <x v="0"/>
    <n v="1"/>
    <x v="1"/>
    <d v="2026-08-05T11:48:42"/>
    <x v="14"/>
    <x v="8"/>
    <x v="14"/>
    <s v="17IA15.70"/>
    <x v="1"/>
    <x v="1"/>
    <m/>
    <m/>
    <m/>
  </r>
  <r>
    <s v="YK262300135"/>
    <x v="0"/>
    <x v="0"/>
    <n v="1"/>
    <x v="1"/>
    <d v="2026-07-21T09:47:08"/>
    <x v="14"/>
    <x v="8"/>
    <x v="14"/>
    <s v="17IA15.70"/>
    <x v="1"/>
    <x v="1"/>
    <m/>
    <m/>
    <m/>
  </r>
  <r>
    <s v="YK262300136"/>
    <x v="0"/>
    <x v="0"/>
    <n v="1"/>
    <x v="1"/>
    <d v="2026-07-21T11:22:05"/>
    <x v="14"/>
    <x v="8"/>
    <x v="14"/>
    <s v="17IA15.70"/>
    <x v="1"/>
    <x v="1"/>
    <m/>
    <m/>
    <m/>
  </r>
  <r>
    <s v="YK262300137"/>
    <x v="0"/>
    <x v="0"/>
    <n v="1"/>
    <x v="1"/>
    <d v="2026-07-13T08:51:55"/>
    <x v="14"/>
    <x v="8"/>
    <x v="14"/>
    <s v="17IA15.70"/>
    <x v="1"/>
    <x v="1"/>
    <m/>
    <m/>
    <m/>
  </r>
  <r>
    <s v="YK262300138"/>
    <x v="0"/>
    <x v="0"/>
    <n v="1"/>
    <x v="1"/>
    <d v="2026-07-20T10:40:20"/>
    <x v="14"/>
    <x v="8"/>
    <x v="14"/>
    <s v="17IA15.70"/>
    <x v="1"/>
    <x v="1"/>
    <m/>
    <m/>
    <m/>
  </r>
  <r>
    <s v="YK262300139"/>
    <x v="0"/>
    <x v="0"/>
    <n v="1"/>
    <x v="1"/>
    <d v="2026-07-14T09:05:47"/>
    <x v="14"/>
    <x v="8"/>
    <x v="14"/>
    <s v="17IA15.70"/>
    <x v="1"/>
    <x v="1"/>
    <m/>
    <m/>
    <m/>
  </r>
  <r>
    <s v="YK262300140"/>
    <x v="0"/>
    <x v="0"/>
    <n v="1"/>
    <x v="1"/>
    <d v="2026-07-21T09:20:28"/>
    <x v="14"/>
    <x v="8"/>
    <x v="14"/>
    <s v="17IA15.70"/>
    <x v="1"/>
    <x v="1"/>
    <m/>
    <m/>
    <m/>
  </r>
  <r>
    <s v="YK262300141"/>
    <x v="0"/>
    <x v="0"/>
    <n v="1"/>
    <x v="1"/>
    <d v="2026-07-16T09:06:21"/>
    <x v="14"/>
    <x v="8"/>
    <x v="14"/>
    <s v="17IA15.70"/>
    <x v="1"/>
    <x v="1"/>
    <m/>
    <m/>
    <m/>
  </r>
  <r>
    <s v="YK262300142"/>
    <x v="0"/>
    <x v="0"/>
    <n v="1"/>
    <x v="1"/>
    <d v="2026-08-05T08:52:36"/>
    <x v="14"/>
    <x v="8"/>
    <x v="14"/>
    <s v="17IA15.70"/>
    <x v="1"/>
    <x v="1"/>
    <m/>
    <m/>
    <m/>
  </r>
  <r>
    <s v="YK262300143"/>
    <x v="3"/>
    <x v="3"/>
    <n v="1"/>
    <x v="4"/>
    <d v="2026-07-15T15:46:32"/>
    <x v="14"/>
    <x v="8"/>
    <x v="14"/>
    <s v="17IA15.70"/>
    <x v="1"/>
    <x v="1"/>
    <m/>
    <m/>
    <m/>
  </r>
  <r>
    <s v="YK262300144"/>
    <x v="0"/>
    <x v="0"/>
    <n v="1"/>
    <x v="1"/>
    <d v="2026-07-27T13:45:57"/>
    <x v="14"/>
    <x v="8"/>
    <x v="14"/>
    <s v="17IA15.70"/>
    <x v="1"/>
    <x v="1"/>
    <m/>
    <m/>
    <m/>
  </r>
  <r>
    <s v="YK262300145"/>
    <x v="0"/>
    <x v="0"/>
    <n v="1"/>
    <x v="1"/>
    <d v="2026-07-14T09:05:18"/>
    <x v="14"/>
    <x v="8"/>
    <x v="14"/>
    <s v="17IA15.70"/>
    <x v="1"/>
    <x v="1"/>
    <m/>
    <m/>
    <m/>
  </r>
  <r>
    <s v="YK262300146"/>
    <x v="0"/>
    <x v="0"/>
    <n v="1"/>
    <x v="1"/>
    <d v="2026-07-16T06:23:03"/>
    <x v="14"/>
    <x v="8"/>
    <x v="14"/>
    <s v="17IA15.70"/>
    <x v="1"/>
    <x v="1"/>
    <m/>
    <m/>
    <m/>
  </r>
  <r>
    <s v="YK262300147"/>
    <x v="0"/>
    <x v="0"/>
    <n v="1"/>
    <x v="1"/>
    <d v="2026-07-16T05:52:57"/>
    <x v="14"/>
    <x v="8"/>
    <x v="14"/>
    <s v="17IA15.70"/>
    <x v="1"/>
    <x v="1"/>
    <m/>
    <m/>
    <m/>
  </r>
  <r>
    <s v="YK262300148"/>
    <x v="0"/>
    <x v="0"/>
    <n v="1"/>
    <x v="1"/>
    <d v="2026-07-10T08:26:02"/>
    <x v="14"/>
    <x v="8"/>
    <x v="14"/>
    <s v="17IA15.70"/>
    <x v="1"/>
    <x v="1"/>
    <m/>
    <d v="2026-05-13T00:00:00"/>
    <m/>
  </r>
  <r>
    <s v="YK262300149"/>
    <x v="0"/>
    <x v="0"/>
    <n v="1"/>
    <x v="1"/>
    <d v="2026-07-31T06:39:18"/>
    <x v="14"/>
    <x v="8"/>
    <x v="14"/>
    <s v="17IA15.70"/>
    <x v="1"/>
    <x v="1"/>
    <m/>
    <d v="2026-05-13T00:00:00"/>
    <m/>
  </r>
  <r>
    <s v="YK262300150"/>
    <x v="0"/>
    <x v="0"/>
    <n v="1"/>
    <x v="1"/>
    <d v="2026-07-16T09:06:32"/>
    <x v="14"/>
    <x v="8"/>
    <x v="14"/>
    <s v="17IA15.70"/>
    <x v="1"/>
    <x v="1"/>
    <m/>
    <m/>
    <m/>
  </r>
  <r>
    <s v="YK262300151"/>
    <x v="0"/>
    <x v="0"/>
    <n v="1"/>
    <x v="1"/>
    <d v="2026-07-16T09:21:31"/>
    <x v="14"/>
    <x v="8"/>
    <x v="14"/>
    <s v="17IA15.70"/>
    <x v="1"/>
    <x v="1"/>
    <m/>
    <d v="2026-05-13T00:00:00"/>
    <m/>
  </r>
  <r>
    <s v="YK262300152"/>
    <x v="0"/>
    <x v="0"/>
    <n v="1"/>
    <x v="1"/>
    <d v="2026-07-31T06:39:31"/>
    <x v="14"/>
    <x v="8"/>
    <x v="14"/>
    <s v="17IA15.70"/>
    <x v="1"/>
    <x v="1"/>
    <m/>
    <d v="2026-05-13T00:00:00"/>
    <m/>
  </r>
  <r>
    <s v="YK262300153"/>
    <x v="0"/>
    <x v="0"/>
    <n v="1"/>
    <x v="1"/>
    <d v="2026-07-16T09:21:34"/>
    <x v="14"/>
    <x v="8"/>
    <x v="14"/>
    <s v="17IA15.70"/>
    <x v="1"/>
    <x v="1"/>
    <m/>
    <m/>
    <m/>
  </r>
  <r>
    <s v="YK262300154"/>
    <x v="0"/>
    <x v="0"/>
    <n v="1"/>
    <x v="1"/>
    <d v="2026-07-07T13:17:04"/>
    <x v="14"/>
    <x v="8"/>
    <x v="14"/>
    <s v="17IA15.70"/>
    <x v="1"/>
    <x v="1"/>
    <m/>
    <m/>
    <m/>
  </r>
  <r>
    <s v="YK262300155"/>
    <x v="0"/>
    <x v="0"/>
    <n v="1"/>
    <x v="1"/>
    <d v="2026-07-21T09:20:47"/>
    <x v="14"/>
    <x v="8"/>
    <x v="14"/>
    <s v="17IA15.70"/>
    <x v="1"/>
    <x v="1"/>
    <m/>
    <m/>
    <m/>
  </r>
  <r>
    <s v="YK262300156"/>
    <x v="0"/>
    <x v="0"/>
    <n v="1"/>
    <x v="1"/>
    <d v="2026-07-27T13:45:33"/>
    <x v="14"/>
    <x v="8"/>
    <x v="14"/>
    <s v="17IA15.70"/>
    <x v="1"/>
    <x v="1"/>
    <m/>
    <d v="2026-05-13T00:00:00"/>
    <m/>
  </r>
  <r>
    <s v="YK262300157"/>
    <x v="0"/>
    <x v="0"/>
    <n v="1"/>
    <x v="1"/>
    <d v="2026-07-13T08:48:13"/>
    <x v="14"/>
    <x v="8"/>
    <x v="14"/>
    <s v="17IA15.70"/>
    <x v="1"/>
    <x v="1"/>
    <m/>
    <d v="2026-05-08T00:00:00"/>
    <m/>
  </r>
  <r>
    <s v="YK262300158"/>
    <x v="0"/>
    <x v="0"/>
    <n v="1"/>
    <x v="1"/>
    <d v="2026-07-10T08:45:26"/>
    <x v="14"/>
    <x v="8"/>
    <x v="14"/>
    <s v="17IA15.70"/>
    <x v="1"/>
    <x v="1"/>
    <m/>
    <m/>
    <m/>
  </r>
  <r>
    <s v="YK262300159"/>
    <x v="0"/>
    <x v="0"/>
    <n v="1"/>
    <x v="1"/>
    <d v="2026-08-27T12:19:31"/>
    <x v="14"/>
    <x v="8"/>
    <x v="14"/>
    <s v="17IA15.70"/>
    <x v="1"/>
    <x v="1"/>
    <m/>
    <m/>
    <m/>
  </r>
  <r>
    <s v="YK262300160"/>
    <x v="0"/>
    <x v="0"/>
    <n v="1"/>
    <x v="1"/>
    <d v="2026-08-05T08:54:09"/>
    <x v="14"/>
    <x v="8"/>
    <x v="14"/>
    <s v="17IA15.70"/>
    <x v="1"/>
    <x v="1"/>
    <m/>
    <m/>
    <m/>
  </r>
  <r>
    <s v="YK262300161"/>
    <x v="0"/>
    <x v="0"/>
    <n v="1"/>
    <x v="1"/>
    <d v="2026-07-10T08:51:08"/>
    <x v="14"/>
    <x v="8"/>
    <x v="14"/>
    <s v="17IA15.70"/>
    <x v="1"/>
    <x v="1"/>
    <m/>
    <m/>
    <m/>
  </r>
  <r>
    <s v="YK262300162"/>
    <x v="0"/>
    <x v="0"/>
    <n v="1"/>
    <x v="1"/>
    <d v="2026-07-16T11:23:46"/>
    <x v="14"/>
    <x v="8"/>
    <x v="14"/>
    <s v="17IA15.70"/>
    <x v="1"/>
    <x v="1"/>
    <m/>
    <d v="2026-05-08T00:00:00"/>
    <m/>
  </r>
  <r>
    <s v="YK262300163"/>
    <x v="0"/>
    <x v="0"/>
    <n v="1"/>
    <x v="1"/>
    <d v="2026-07-23T08:52:54"/>
    <x v="14"/>
    <x v="8"/>
    <x v="14"/>
    <s v="17IA15.70"/>
    <x v="1"/>
    <x v="1"/>
    <m/>
    <d v="2026-05-08T00:00:00"/>
    <m/>
  </r>
  <r>
    <s v="YK262300164"/>
    <x v="0"/>
    <x v="0"/>
    <n v="1"/>
    <x v="1"/>
    <d v="2026-08-12T10:47:11"/>
    <x v="14"/>
    <x v="8"/>
    <x v="14"/>
    <s v="17IA15.70"/>
    <x v="1"/>
    <x v="1"/>
    <m/>
    <m/>
    <m/>
  </r>
  <r>
    <s v="YK262300165"/>
    <x v="0"/>
    <x v="0"/>
    <n v="1"/>
    <x v="1"/>
    <d v="2026-07-16T11:23:37"/>
    <x v="14"/>
    <x v="8"/>
    <x v="14"/>
    <s v="17IA15.70"/>
    <x v="1"/>
    <x v="1"/>
    <m/>
    <m/>
    <m/>
  </r>
  <r>
    <s v="YK262300166"/>
    <x v="0"/>
    <x v="0"/>
    <n v="1"/>
    <x v="1"/>
    <d v="2026-07-13T08:48:02"/>
    <x v="14"/>
    <x v="8"/>
    <x v="14"/>
    <s v="17IA15.70"/>
    <x v="1"/>
    <x v="1"/>
    <m/>
    <m/>
    <m/>
  </r>
  <r>
    <s v="YK262300167"/>
    <x v="0"/>
    <x v="0"/>
    <n v="1"/>
    <x v="1"/>
    <d v="2026-07-13T08:46:50"/>
    <x v="14"/>
    <x v="8"/>
    <x v="14"/>
    <s v="17IA15.70"/>
    <x v="1"/>
    <x v="1"/>
    <m/>
    <m/>
    <m/>
  </r>
  <r>
    <s v="YK262300168"/>
    <x v="0"/>
    <x v="0"/>
    <n v="1"/>
    <x v="1"/>
    <d v="2026-07-16T11:23:05"/>
    <x v="14"/>
    <x v="8"/>
    <x v="14"/>
    <s v="17IA15.70"/>
    <x v="1"/>
    <x v="1"/>
    <m/>
    <d v="2026-05-13T00:00:00"/>
    <m/>
  </r>
  <r>
    <s v="YK262300169"/>
    <x v="0"/>
    <x v="0"/>
    <n v="1"/>
    <x v="1"/>
    <d v="2026-07-21T09:31:40"/>
    <x v="14"/>
    <x v="8"/>
    <x v="14"/>
    <s v="17IA15.70"/>
    <x v="1"/>
    <x v="1"/>
    <m/>
    <m/>
    <m/>
  </r>
  <r>
    <s v="YK262300170"/>
    <x v="0"/>
    <x v="0"/>
    <n v="1"/>
    <x v="1"/>
    <d v="2026-07-21T09:20:23"/>
    <x v="14"/>
    <x v="8"/>
    <x v="14"/>
    <s v="17IA15.70"/>
    <x v="1"/>
    <x v="1"/>
    <m/>
    <m/>
    <m/>
  </r>
  <r>
    <s v="YK262300171"/>
    <x v="0"/>
    <x v="0"/>
    <n v="1"/>
    <x v="1"/>
    <d v="2026-08-05T08:54:08"/>
    <x v="14"/>
    <x v="8"/>
    <x v="14"/>
    <s v="17IA15.70"/>
    <x v="1"/>
    <x v="1"/>
    <m/>
    <m/>
    <m/>
  </r>
  <r>
    <s v="YK262300172"/>
    <x v="3"/>
    <x v="3"/>
    <n v="1"/>
    <x v="4"/>
    <d v="2026-07-15T10:46:06"/>
    <x v="14"/>
    <x v="8"/>
    <x v="14"/>
    <s v="17IA15.70"/>
    <x v="1"/>
    <x v="1"/>
    <m/>
    <d v="2026-05-13T00:00:00"/>
    <m/>
  </r>
  <r>
    <s v="YK262300173"/>
    <x v="0"/>
    <x v="0"/>
    <n v="1"/>
    <x v="1"/>
    <d v="2026-07-27T07:50:58"/>
    <x v="14"/>
    <x v="8"/>
    <x v="14"/>
    <s v="17IA15.70"/>
    <x v="1"/>
    <x v="1"/>
    <m/>
    <m/>
    <m/>
  </r>
  <r>
    <s v="YK262300174"/>
    <x v="0"/>
    <x v="0"/>
    <n v="1"/>
    <x v="1"/>
    <d v="2026-07-21T11:36:43"/>
    <x v="14"/>
    <x v="8"/>
    <x v="14"/>
    <s v="17IA15.70"/>
    <x v="1"/>
    <x v="1"/>
    <m/>
    <d v="2026-05-13T00:00:00"/>
    <m/>
  </r>
  <r>
    <s v="YK262300175"/>
    <x v="0"/>
    <x v="0"/>
    <n v="1"/>
    <x v="1"/>
    <d v="2026-08-12T10:47:47"/>
    <x v="14"/>
    <x v="8"/>
    <x v="14"/>
    <s v="17IA15.70"/>
    <x v="1"/>
    <x v="1"/>
    <m/>
    <m/>
    <m/>
  </r>
  <r>
    <s v="YK262300176"/>
    <x v="0"/>
    <x v="0"/>
    <n v="1"/>
    <x v="1"/>
    <d v="2026-08-05T08:54:20"/>
    <x v="14"/>
    <x v="8"/>
    <x v="14"/>
    <s v="17IA15.70"/>
    <x v="1"/>
    <x v="1"/>
    <m/>
    <d v="2026-05-13T00:00:00"/>
    <m/>
  </r>
  <r>
    <s v="YK262300177"/>
    <x v="0"/>
    <x v="0"/>
    <n v="1"/>
    <x v="1"/>
    <d v="2026-07-16T11:23:11"/>
    <x v="14"/>
    <x v="8"/>
    <x v="14"/>
    <s v="17IA15.70"/>
    <x v="1"/>
    <x v="1"/>
    <m/>
    <d v="2026-05-13T00:00:00"/>
    <m/>
  </r>
  <r>
    <s v="YK262300178"/>
    <x v="3"/>
    <x v="3"/>
    <n v="1"/>
    <x v="4"/>
    <d v="2026-07-15T10:41:34"/>
    <x v="14"/>
    <x v="8"/>
    <x v="14"/>
    <s v="17IA15.70"/>
    <x v="1"/>
    <x v="1"/>
    <m/>
    <m/>
    <m/>
  </r>
  <r>
    <s v="YK262300179"/>
    <x v="0"/>
    <x v="0"/>
    <n v="1"/>
    <x v="1"/>
    <d v="2026-07-15T06:34:35"/>
    <x v="14"/>
    <x v="8"/>
    <x v="14"/>
    <s v="17IA15.70"/>
    <x v="1"/>
    <x v="1"/>
    <s v="Update to shipped"/>
    <d v="2026-05-13T00:00:00"/>
    <m/>
  </r>
  <r>
    <s v="YK262300180"/>
    <x v="3"/>
    <x v="3"/>
    <n v="1"/>
    <x v="4"/>
    <d v="2026-07-15T11:07:05"/>
    <x v="14"/>
    <x v="8"/>
    <x v="14"/>
    <s v="17IA15.70"/>
    <x v="1"/>
    <x v="1"/>
    <m/>
    <m/>
    <m/>
  </r>
  <r>
    <s v="YK262300181"/>
    <x v="0"/>
    <x v="0"/>
    <n v="1"/>
    <x v="1"/>
    <d v="2026-07-15T06:34:56"/>
    <x v="14"/>
    <x v="8"/>
    <x v="14"/>
    <s v="17IA15.70"/>
    <x v="1"/>
    <x v="1"/>
    <m/>
    <d v="2026-05-13T00:00:00"/>
    <m/>
  </r>
  <r>
    <s v="YK262300182"/>
    <x v="0"/>
    <x v="0"/>
    <n v="1"/>
    <x v="1"/>
    <d v="2026-08-27T12:21:15"/>
    <x v="14"/>
    <x v="8"/>
    <x v="14"/>
    <s v="17IA15.70"/>
    <x v="1"/>
    <x v="1"/>
    <m/>
    <m/>
    <m/>
  </r>
  <r>
    <s v="YK262300183"/>
    <x v="3"/>
    <x v="3"/>
    <n v="1"/>
    <x v="4"/>
    <d v="2026-07-15T16:00:23"/>
    <x v="14"/>
    <x v="8"/>
    <x v="14"/>
    <s v="17IA15.70"/>
    <x v="1"/>
    <x v="1"/>
    <m/>
    <m/>
    <m/>
  </r>
  <r>
    <s v="YK262300184"/>
    <x v="0"/>
    <x v="0"/>
    <n v="1"/>
    <x v="1"/>
    <d v="2026-07-21T11:22:08"/>
    <x v="14"/>
    <x v="8"/>
    <x v="14"/>
    <s v="17IA15.70"/>
    <x v="1"/>
    <x v="1"/>
    <m/>
    <m/>
    <m/>
  </r>
  <r>
    <s v="YK262300185"/>
    <x v="0"/>
    <x v="0"/>
    <n v="1"/>
    <x v="1"/>
    <d v="2026-07-21T11:37:23"/>
    <x v="14"/>
    <x v="8"/>
    <x v="14"/>
    <s v="17IA15.70"/>
    <x v="1"/>
    <x v="1"/>
    <m/>
    <m/>
    <m/>
  </r>
  <r>
    <s v="YK262300186"/>
    <x v="3"/>
    <x v="3"/>
    <n v="1"/>
    <x v="4"/>
    <d v="2026-07-15T15:32:13"/>
    <x v="14"/>
    <x v="8"/>
    <x v="14"/>
    <s v="17IA15.70"/>
    <x v="1"/>
    <x v="1"/>
    <m/>
    <m/>
    <m/>
  </r>
  <r>
    <s v="YK262300187"/>
    <x v="0"/>
    <x v="0"/>
    <n v="1"/>
    <x v="1"/>
    <d v="2026-07-21T11:36:44"/>
    <x v="14"/>
    <x v="8"/>
    <x v="14"/>
    <s v="17IA15.70"/>
    <x v="1"/>
    <x v="1"/>
    <m/>
    <m/>
    <m/>
  </r>
  <r>
    <s v="YK262300188"/>
    <x v="0"/>
    <x v="0"/>
    <n v="1"/>
    <x v="1"/>
    <d v="2026-08-05T11:49:21"/>
    <x v="14"/>
    <x v="8"/>
    <x v="14"/>
    <s v="17IA15.70"/>
    <x v="1"/>
    <x v="1"/>
    <m/>
    <m/>
    <m/>
  </r>
  <r>
    <s v="YK261802245"/>
    <x v="1"/>
    <x v="1"/>
    <n v="1"/>
    <x v="2"/>
    <d v="2026-06-10T09:06:50"/>
    <x v="15"/>
    <x v="7"/>
    <x v="15"/>
    <s v="17IA15.80"/>
    <x v="1"/>
    <x v="1"/>
    <m/>
    <m/>
    <m/>
  </r>
  <r>
    <s v="YK261802246"/>
    <x v="1"/>
    <x v="1"/>
    <n v="1"/>
    <x v="2"/>
    <d v="2026-06-10T07:55:59"/>
    <x v="15"/>
    <x v="7"/>
    <x v="15"/>
    <s v="17IA15.80"/>
    <x v="1"/>
    <x v="1"/>
    <m/>
    <m/>
    <m/>
  </r>
  <r>
    <s v="YK261802247"/>
    <x v="1"/>
    <x v="1"/>
    <n v="1"/>
    <x v="2"/>
    <d v="2026-06-10T07:54:26"/>
    <x v="15"/>
    <x v="7"/>
    <x v="15"/>
    <s v="17IA15.80"/>
    <x v="1"/>
    <x v="1"/>
    <m/>
    <m/>
    <m/>
  </r>
  <r>
    <s v="YK261802248"/>
    <x v="0"/>
    <x v="0"/>
    <n v="1"/>
    <x v="1"/>
    <d v="2026-05-27T13:08:31"/>
    <x v="15"/>
    <x v="7"/>
    <x v="15"/>
    <s v="17IA15.80"/>
    <x v="1"/>
    <x v="1"/>
    <m/>
    <m/>
    <m/>
  </r>
  <r>
    <s v="YK261802249"/>
    <x v="1"/>
    <x v="1"/>
    <n v="1"/>
    <x v="2"/>
    <d v="2026-06-10T07:56:57"/>
    <x v="15"/>
    <x v="7"/>
    <x v="15"/>
    <s v="17IA15.80"/>
    <x v="1"/>
    <x v="1"/>
    <m/>
    <m/>
    <m/>
  </r>
  <r>
    <s v="YK261802250"/>
    <x v="1"/>
    <x v="1"/>
    <n v="1"/>
    <x v="2"/>
    <d v="2026-06-10T08:20:36"/>
    <x v="15"/>
    <x v="7"/>
    <x v="15"/>
    <s v="17IA15.80"/>
    <x v="1"/>
    <x v="1"/>
    <m/>
    <m/>
    <m/>
  </r>
  <r>
    <s v="YK261802251"/>
    <x v="0"/>
    <x v="0"/>
    <n v="1"/>
    <x v="1"/>
    <d v="2026-06-01T10:13:49"/>
    <x v="15"/>
    <x v="7"/>
    <x v="15"/>
    <s v="17IA15.80"/>
    <x v="1"/>
    <x v="1"/>
    <m/>
    <m/>
    <m/>
  </r>
  <r>
    <s v="YK261802252"/>
    <x v="0"/>
    <x v="0"/>
    <n v="1"/>
    <x v="1"/>
    <d v="2026-05-27T09:14:04"/>
    <x v="15"/>
    <x v="7"/>
    <x v="15"/>
    <s v="17IA15.80"/>
    <x v="1"/>
    <x v="1"/>
    <m/>
    <m/>
    <m/>
  </r>
  <r>
    <s v="YK261802253"/>
    <x v="0"/>
    <x v="0"/>
    <n v="1"/>
    <x v="1"/>
    <d v="2026-05-28T11:54:28"/>
    <x v="15"/>
    <x v="7"/>
    <x v="15"/>
    <s v="17IA15.80"/>
    <x v="1"/>
    <x v="1"/>
    <m/>
    <m/>
    <m/>
  </r>
  <r>
    <s v="YK261802254"/>
    <x v="1"/>
    <x v="1"/>
    <n v="1"/>
    <x v="2"/>
    <d v="2026-06-10T08:21:54"/>
    <x v="15"/>
    <x v="7"/>
    <x v="15"/>
    <s v="17IA15.80"/>
    <x v="1"/>
    <x v="1"/>
    <m/>
    <m/>
    <m/>
  </r>
  <r>
    <s v="YK261802255"/>
    <x v="1"/>
    <x v="1"/>
    <n v="1"/>
    <x v="2"/>
    <d v="2026-05-08T11:53:56"/>
    <x v="15"/>
    <x v="7"/>
    <x v="15"/>
    <s v="17IA15.80"/>
    <x v="1"/>
    <x v="1"/>
    <m/>
    <m/>
    <m/>
  </r>
  <r>
    <s v="YK261802256"/>
    <x v="0"/>
    <x v="0"/>
    <n v="1"/>
    <x v="1"/>
    <d v="2026-05-27T13:07:33"/>
    <x v="15"/>
    <x v="7"/>
    <x v="15"/>
    <s v="17IA15.80"/>
    <x v="1"/>
    <x v="1"/>
    <m/>
    <m/>
    <m/>
  </r>
  <r>
    <s v="YK261802257"/>
    <x v="0"/>
    <x v="0"/>
    <n v="1"/>
    <x v="1"/>
    <d v="2026-06-01T10:14:03"/>
    <x v="15"/>
    <x v="7"/>
    <x v="15"/>
    <s v="17IA15.80"/>
    <x v="1"/>
    <x v="1"/>
    <m/>
    <m/>
    <m/>
  </r>
  <r>
    <s v="YK261802258"/>
    <x v="0"/>
    <x v="0"/>
    <n v="1"/>
    <x v="1"/>
    <d v="2026-06-01T10:13:30"/>
    <x v="15"/>
    <x v="7"/>
    <x v="15"/>
    <s v="17IA15.80"/>
    <x v="1"/>
    <x v="1"/>
    <m/>
    <m/>
    <m/>
  </r>
  <r>
    <s v="YK261802259"/>
    <x v="0"/>
    <x v="0"/>
    <n v="1"/>
    <x v="1"/>
    <d v="2026-06-01T10:13:54"/>
    <x v="15"/>
    <x v="7"/>
    <x v="15"/>
    <s v="17IA15.80"/>
    <x v="1"/>
    <x v="1"/>
    <m/>
    <m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13T00:00:00"/>
    <m/>
  </r>
  <r>
    <s v="YK261802261"/>
    <x v="1"/>
    <x v="1"/>
    <n v="1"/>
    <x v="2"/>
    <d v="2026-05-08T07:45:03"/>
    <x v="15"/>
    <x v="7"/>
    <x v="15"/>
    <s v="17IA15.80"/>
    <x v="1"/>
    <x v="1"/>
    <m/>
    <m/>
    <m/>
  </r>
  <r>
    <s v="YK261802262"/>
    <x v="0"/>
    <x v="0"/>
    <n v="1"/>
    <x v="1"/>
    <d v="2026-05-27T13:07:52"/>
    <x v="15"/>
    <x v="7"/>
    <x v="15"/>
    <s v="17IA15.80"/>
    <x v="1"/>
    <x v="1"/>
    <m/>
    <d v="2026-06-22T00:00:00"/>
    <m/>
  </r>
  <r>
    <s v="YK261802263"/>
    <x v="0"/>
    <x v="0"/>
    <n v="1"/>
    <x v="1"/>
    <d v="2026-05-27T13:08:14"/>
    <x v="15"/>
    <x v="7"/>
    <x v="15"/>
    <s v="17IA15.80"/>
    <x v="1"/>
    <x v="1"/>
    <m/>
    <d v="2026-05-13T00:00:00"/>
    <m/>
  </r>
  <r>
    <s v="YK261802264"/>
    <x v="0"/>
    <x v="0"/>
    <n v="1"/>
    <x v="1"/>
    <d v="2026-05-28T11:55:15"/>
    <x v="15"/>
    <x v="7"/>
    <x v="15"/>
    <s v="17IA15.80"/>
    <x v="1"/>
    <x v="1"/>
    <m/>
    <d v="2026-05-08T00:00:00"/>
    <m/>
  </r>
  <r>
    <s v="YK261802265"/>
    <x v="0"/>
    <x v="0"/>
    <n v="1"/>
    <x v="1"/>
    <d v="2026-05-28T11:54:43"/>
    <x v="15"/>
    <x v="7"/>
    <x v="15"/>
    <s v="17IA15.80"/>
    <x v="1"/>
    <x v="1"/>
    <m/>
    <m/>
    <m/>
  </r>
  <r>
    <s v="YK261802266"/>
    <x v="1"/>
    <x v="1"/>
    <n v="1"/>
    <x v="2"/>
    <d v="2026-06-10T08:23:21"/>
    <x v="15"/>
    <x v="7"/>
    <x v="15"/>
    <s v="17IA15.80"/>
    <x v="1"/>
    <x v="1"/>
    <m/>
    <d v="2026-06-02T00:00:00"/>
    <m/>
  </r>
  <r>
    <s v="YK261802267"/>
    <x v="0"/>
    <x v="0"/>
    <n v="1"/>
    <x v="1"/>
    <d v="2026-05-28T07:35:21"/>
    <x v="15"/>
    <x v="7"/>
    <x v="15"/>
    <s v="17IA15.80"/>
    <x v="1"/>
    <x v="1"/>
    <m/>
    <m/>
    <m/>
  </r>
  <r>
    <s v="YK261802268"/>
    <x v="0"/>
    <x v="0"/>
    <n v="1"/>
    <x v="1"/>
    <d v="2026-05-27T12:01:42"/>
    <x v="15"/>
    <x v="7"/>
    <x v="15"/>
    <s v="17IA15.80"/>
    <x v="1"/>
    <x v="1"/>
    <m/>
    <m/>
    <m/>
  </r>
  <r>
    <s v="YK261802269"/>
    <x v="0"/>
    <x v="0"/>
    <n v="1"/>
    <x v="1"/>
    <d v="2026-05-27T11:59:59"/>
    <x v="15"/>
    <x v="7"/>
    <x v="15"/>
    <s v="17IA15.80"/>
    <x v="1"/>
    <x v="1"/>
    <m/>
    <d v="2026-06-02T00:00:00"/>
    <m/>
  </r>
  <r>
    <s v="YK261802270"/>
    <x v="1"/>
    <x v="1"/>
    <n v="1"/>
    <x v="2"/>
    <d v="2026-06-10T08:26:11"/>
    <x v="15"/>
    <x v="7"/>
    <x v="15"/>
    <s v="17IA15.80"/>
    <x v="1"/>
    <x v="1"/>
    <m/>
    <m/>
    <m/>
  </r>
  <r>
    <s v="YK261802271"/>
    <x v="0"/>
    <x v="0"/>
    <n v="1"/>
    <x v="1"/>
    <d v="2026-05-28T09:00:48"/>
    <x v="15"/>
    <x v="7"/>
    <x v="15"/>
    <s v="17IA15.80"/>
    <x v="1"/>
    <x v="1"/>
    <m/>
    <m/>
    <m/>
  </r>
  <r>
    <s v="YK261802272"/>
    <x v="1"/>
    <x v="1"/>
    <n v="1"/>
    <x v="2"/>
    <d v="2026-06-10T08:27:00"/>
    <x v="15"/>
    <x v="7"/>
    <x v="15"/>
    <s v="17IA15.80"/>
    <x v="1"/>
    <x v="1"/>
    <m/>
    <m/>
    <m/>
  </r>
  <r>
    <s v="YK261802273"/>
    <x v="0"/>
    <x v="0"/>
    <n v="1"/>
    <x v="1"/>
    <d v="2026-05-28T09:00:48"/>
    <x v="15"/>
    <x v="7"/>
    <x v="15"/>
    <s v="17IA15.80"/>
    <x v="1"/>
    <x v="1"/>
    <m/>
    <m/>
    <m/>
  </r>
  <r>
    <s v="YK261802274"/>
    <x v="1"/>
    <x v="1"/>
    <n v="1"/>
    <x v="2"/>
    <d v="2026-06-10T08:27:41"/>
    <x v="15"/>
    <x v="7"/>
    <x v="15"/>
    <s v="17IA15.80"/>
    <x v="1"/>
    <x v="1"/>
    <m/>
    <m/>
    <m/>
  </r>
  <r>
    <s v="YK261802275"/>
    <x v="1"/>
    <x v="1"/>
    <n v="1"/>
    <x v="2"/>
    <d v="2026-06-10T08:30:04"/>
    <x v="15"/>
    <x v="7"/>
    <x v="15"/>
    <s v="17IA15.80"/>
    <x v="1"/>
    <x v="1"/>
    <m/>
    <m/>
    <m/>
  </r>
  <r>
    <s v="YK261802276"/>
    <x v="0"/>
    <x v="0"/>
    <n v="1"/>
    <x v="1"/>
    <d v="2026-05-27T09:15:00"/>
    <x v="15"/>
    <x v="7"/>
    <x v="15"/>
    <s v="17IA15.80"/>
    <x v="1"/>
    <x v="1"/>
    <m/>
    <d v="2026-06-02T00:00:00"/>
    <m/>
  </r>
  <r>
    <s v="YK261802277"/>
    <x v="0"/>
    <x v="0"/>
    <n v="1"/>
    <x v="1"/>
    <d v="2026-05-28T11:26:29"/>
    <x v="15"/>
    <x v="7"/>
    <x v="15"/>
    <s v="17IA15.80"/>
    <x v="1"/>
    <x v="1"/>
    <m/>
    <m/>
    <m/>
  </r>
  <r>
    <s v="YK261802278"/>
    <x v="0"/>
    <x v="0"/>
    <n v="1"/>
    <x v="1"/>
    <d v="2026-05-27T09:21:22"/>
    <x v="15"/>
    <x v="7"/>
    <x v="15"/>
    <s v="17IA15.80"/>
    <x v="1"/>
    <x v="1"/>
    <m/>
    <m/>
    <m/>
  </r>
  <r>
    <s v="YK261802279"/>
    <x v="1"/>
    <x v="1"/>
    <n v="1"/>
    <x v="2"/>
    <d v="2026-06-10T08:30:59"/>
    <x v="15"/>
    <x v="7"/>
    <x v="15"/>
    <s v="17IA15.80"/>
    <x v="1"/>
    <x v="1"/>
    <m/>
    <m/>
    <m/>
  </r>
  <r>
    <s v="YK261802280"/>
    <x v="0"/>
    <x v="0"/>
    <n v="1"/>
    <x v="1"/>
    <d v="2026-05-27T12:00:23"/>
    <x v="15"/>
    <x v="7"/>
    <x v="15"/>
    <s v="17IA15.80"/>
    <x v="1"/>
    <x v="1"/>
    <m/>
    <m/>
    <m/>
  </r>
  <r>
    <s v="YK261802281"/>
    <x v="0"/>
    <x v="0"/>
    <n v="1"/>
    <x v="1"/>
    <d v="2026-05-27T09:20:22"/>
    <x v="15"/>
    <x v="7"/>
    <x v="15"/>
    <s v="17IA15.80"/>
    <x v="1"/>
    <x v="1"/>
    <m/>
    <d v="2026-06-02T00:00:00"/>
    <m/>
  </r>
  <r>
    <s v="YK261802282"/>
    <x v="0"/>
    <x v="0"/>
    <n v="1"/>
    <x v="1"/>
    <d v="2026-05-27T09:20:37"/>
    <x v="15"/>
    <x v="7"/>
    <x v="15"/>
    <s v="17IA15.80"/>
    <x v="1"/>
    <x v="1"/>
    <m/>
    <m/>
    <m/>
  </r>
  <r>
    <s v="YK261802283"/>
    <x v="0"/>
    <x v="0"/>
    <n v="1"/>
    <x v="1"/>
    <d v="2026-05-28T11:27:01"/>
    <x v="15"/>
    <x v="7"/>
    <x v="15"/>
    <s v="17IA15.80"/>
    <x v="1"/>
    <x v="1"/>
    <m/>
    <m/>
    <m/>
  </r>
  <r>
    <s v="YK261802284"/>
    <x v="0"/>
    <x v="0"/>
    <n v="1"/>
    <x v="1"/>
    <d v="2026-05-27T09:14:44"/>
    <x v="15"/>
    <x v="7"/>
    <x v="15"/>
    <s v="17IA15.80"/>
    <x v="1"/>
    <x v="1"/>
    <m/>
    <m/>
    <m/>
  </r>
  <r>
    <s v="YK261802285"/>
    <x v="0"/>
    <x v="0"/>
    <n v="1"/>
    <x v="1"/>
    <d v="2026-05-27T09:13:13"/>
    <x v="15"/>
    <x v="7"/>
    <x v="15"/>
    <s v="17IA15.80"/>
    <x v="1"/>
    <x v="1"/>
    <m/>
    <d v="2026-06-02T00:00:00"/>
    <m/>
  </r>
  <r>
    <s v="YK261802286"/>
    <x v="0"/>
    <x v="0"/>
    <n v="1"/>
    <x v="1"/>
    <d v="2026-05-27T09:13:38"/>
    <x v="15"/>
    <x v="7"/>
    <x v="15"/>
    <s v="17IA15.80"/>
    <x v="1"/>
    <x v="1"/>
    <m/>
    <m/>
    <m/>
  </r>
  <r>
    <s v="YK261802287"/>
    <x v="0"/>
    <x v="0"/>
    <n v="1"/>
    <x v="1"/>
    <d v="2026-05-28T07:34:56"/>
    <x v="15"/>
    <x v="7"/>
    <x v="15"/>
    <s v="17IA15.80"/>
    <x v="1"/>
    <x v="1"/>
    <m/>
    <m/>
    <m/>
  </r>
  <r>
    <s v="YK261802288"/>
    <x v="0"/>
    <x v="0"/>
    <n v="1"/>
    <x v="1"/>
    <d v="2026-05-28T11:27:12"/>
    <x v="15"/>
    <x v="7"/>
    <x v="15"/>
    <s v="17IA15.80"/>
    <x v="1"/>
    <x v="1"/>
    <m/>
    <m/>
    <m/>
  </r>
  <r>
    <s v="YK261802289"/>
    <x v="0"/>
    <x v="0"/>
    <n v="1"/>
    <x v="1"/>
    <d v="2026-05-28T07:57:03"/>
    <x v="15"/>
    <x v="7"/>
    <x v="15"/>
    <s v="17IA15.80"/>
    <x v="1"/>
    <x v="1"/>
    <m/>
    <m/>
    <m/>
  </r>
  <r>
    <s v="YK261802290"/>
    <x v="0"/>
    <x v="0"/>
    <n v="1"/>
    <x v="1"/>
    <d v="2026-05-27T09:20:58"/>
    <x v="15"/>
    <x v="7"/>
    <x v="15"/>
    <s v="17IA15.80"/>
    <x v="1"/>
    <x v="1"/>
    <m/>
    <m/>
    <m/>
  </r>
  <r>
    <s v="YK261802291"/>
    <x v="0"/>
    <x v="0"/>
    <n v="1"/>
    <x v="1"/>
    <d v="2026-05-27T09:14:02"/>
    <x v="15"/>
    <x v="7"/>
    <x v="15"/>
    <s v="17IA15.80"/>
    <x v="1"/>
    <x v="1"/>
    <m/>
    <m/>
    <m/>
  </r>
  <r>
    <s v="YK261802292"/>
    <x v="0"/>
    <x v="0"/>
    <n v="1"/>
    <x v="1"/>
    <d v="2026-05-28T07:36:05"/>
    <x v="15"/>
    <x v="7"/>
    <x v="15"/>
    <s v="17IA15.80"/>
    <x v="1"/>
    <x v="1"/>
    <m/>
    <m/>
    <m/>
  </r>
  <r>
    <s v="YK261802293"/>
    <x v="0"/>
    <x v="0"/>
    <n v="1"/>
    <x v="1"/>
    <d v="2026-05-28T07:49:11"/>
    <x v="15"/>
    <x v="7"/>
    <x v="15"/>
    <s v="17IA15.80"/>
    <x v="1"/>
    <x v="1"/>
    <m/>
    <d v="2026-06-02T00:00:00"/>
    <m/>
  </r>
  <r>
    <s v="YK261802294"/>
    <x v="0"/>
    <x v="0"/>
    <n v="1"/>
    <x v="1"/>
    <d v="2026-05-28T11:26:44"/>
    <x v="15"/>
    <x v="7"/>
    <x v="15"/>
    <s v="17IA15.80"/>
    <x v="1"/>
    <x v="1"/>
    <m/>
    <d v="2026-06-02T00:00:00"/>
    <m/>
  </r>
  <r>
    <s v="YK261802295"/>
    <x v="0"/>
    <x v="0"/>
    <n v="1"/>
    <x v="1"/>
    <d v="2026-05-28T11:54:58"/>
    <x v="15"/>
    <x v="7"/>
    <x v="15"/>
    <s v="17IA15.80"/>
    <x v="1"/>
    <x v="1"/>
    <m/>
    <d v="2026-06-02T00:00:00"/>
    <m/>
  </r>
  <r>
    <s v="YK261802296"/>
    <x v="0"/>
    <x v="0"/>
    <n v="1"/>
    <x v="1"/>
    <d v="2026-05-28T09:00:47"/>
    <x v="15"/>
    <x v="7"/>
    <x v="15"/>
    <s v="17IA15.80"/>
    <x v="1"/>
    <x v="1"/>
    <m/>
    <m/>
    <m/>
  </r>
  <r>
    <s v="YK261802297"/>
    <x v="0"/>
    <x v="0"/>
    <n v="1"/>
    <x v="1"/>
    <d v="2026-05-27T09:14:23"/>
    <x v="15"/>
    <x v="7"/>
    <x v="15"/>
    <s v="17IA15.80"/>
    <x v="1"/>
    <x v="1"/>
    <m/>
    <d v="2026-06-02T00:00:00"/>
    <m/>
  </r>
  <r>
    <s v="YK261802298"/>
    <x v="0"/>
    <x v="0"/>
    <n v="1"/>
    <x v="1"/>
    <d v="2026-05-28T09:00:31"/>
    <x v="15"/>
    <x v="7"/>
    <x v="15"/>
    <s v="17IA15.80"/>
    <x v="1"/>
    <x v="1"/>
    <m/>
    <m/>
    <m/>
  </r>
  <r>
    <s v="YK261802299"/>
    <x v="0"/>
    <x v="0"/>
    <n v="1"/>
    <x v="1"/>
    <d v="2026-05-28T07:35:39"/>
    <x v="15"/>
    <x v="7"/>
    <x v="15"/>
    <s v="17IA15.80"/>
    <x v="1"/>
    <x v="1"/>
    <m/>
    <m/>
    <m/>
  </r>
  <r>
    <s v="YK261802300"/>
    <x v="0"/>
    <x v="0"/>
    <n v="1"/>
    <x v="1"/>
    <d v="2026-05-27T09:14:41"/>
    <x v="15"/>
    <x v="7"/>
    <x v="15"/>
    <s v="17IA15.80"/>
    <x v="1"/>
    <x v="1"/>
    <m/>
    <m/>
    <m/>
  </r>
  <r>
    <s v="YK261802301"/>
    <x v="0"/>
    <x v="0"/>
    <n v="1"/>
    <x v="1"/>
    <d v="2026-05-28T07:48:54"/>
    <x v="15"/>
    <x v="7"/>
    <x v="15"/>
    <s v="17IA15.80"/>
    <x v="1"/>
    <x v="1"/>
    <m/>
    <d v="2026-09-08T00:00:00"/>
    <m/>
  </r>
  <r>
    <s v="YK261802302"/>
    <x v="0"/>
    <x v="0"/>
    <n v="1"/>
    <x v="1"/>
    <d v="2026-05-28T07:49:49"/>
    <x v="15"/>
    <x v="7"/>
    <x v="15"/>
    <s v="17IA15.80"/>
    <x v="1"/>
    <x v="1"/>
    <m/>
    <m/>
    <m/>
  </r>
  <r>
    <s v="YK261802303"/>
    <x v="0"/>
    <x v="0"/>
    <n v="1"/>
    <x v="1"/>
    <d v="2026-05-27T12:02:10"/>
    <x v="15"/>
    <x v="7"/>
    <x v="15"/>
    <s v="17IA15.80"/>
    <x v="1"/>
    <x v="1"/>
    <m/>
    <d v="2026-06-02T00:00:00"/>
    <m/>
  </r>
  <r>
    <s v="YK261802304"/>
    <x v="1"/>
    <x v="1"/>
    <n v="1"/>
    <x v="2"/>
    <d v="2026-06-10T08:33:46"/>
    <x v="15"/>
    <x v="7"/>
    <x v="15"/>
    <s v="17IA15.80"/>
    <x v="1"/>
    <x v="1"/>
    <m/>
    <m/>
    <m/>
  </r>
  <r>
    <s v="YK261802305"/>
    <x v="1"/>
    <x v="1"/>
    <n v="1"/>
    <x v="2"/>
    <d v="2026-06-10T09:01:08"/>
    <x v="15"/>
    <x v="7"/>
    <x v="15"/>
    <s v="17IA15.80"/>
    <x v="1"/>
    <x v="1"/>
    <m/>
    <m/>
    <m/>
  </r>
  <r>
    <s v="YK261802306"/>
    <x v="1"/>
    <x v="1"/>
    <n v="1"/>
    <x v="2"/>
    <d v="2026-05-08T11:53:22"/>
    <x v="15"/>
    <x v="7"/>
    <x v="15"/>
    <s v="17IA15.80"/>
    <x v="1"/>
    <x v="1"/>
    <m/>
    <m/>
    <m/>
  </r>
  <r>
    <s v="YK261802183"/>
    <x v="0"/>
    <x v="0"/>
    <n v="1"/>
    <x v="1"/>
    <d v="2026-05-28T08:42:09"/>
    <x v="16"/>
    <x v="8"/>
    <x v="16"/>
    <s v="17IA15.90"/>
    <x v="1"/>
    <x v="1"/>
    <m/>
    <m/>
    <m/>
  </r>
  <r>
    <s v="YK261802184"/>
    <x v="1"/>
    <x v="1"/>
    <n v="1"/>
    <x v="2"/>
    <d v="2026-06-02T08:24:12"/>
    <x v="16"/>
    <x v="8"/>
    <x v="16"/>
    <s v="17IA15.90"/>
    <x v="1"/>
    <x v="1"/>
    <m/>
    <m/>
    <m/>
  </r>
  <r>
    <s v="YK261802185"/>
    <x v="0"/>
    <x v="0"/>
    <n v="1"/>
    <x v="1"/>
    <d v="2026-05-28T11:27:25"/>
    <x v="16"/>
    <x v="8"/>
    <x v="16"/>
    <s v="17IA15.90"/>
    <x v="1"/>
    <x v="1"/>
    <m/>
    <m/>
    <m/>
  </r>
  <r>
    <s v="YK261802186"/>
    <x v="0"/>
    <x v="0"/>
    <n v="1"/>
    <x v="1"/>
    <d v="2026-05-28T11:26:05"/>
    <x v="16"/>
    <x v="8"/>
    <x v="16"/>
    <s v="17IA15.90"/>
    <x v="1"/>
    <x v="1"/>
    <m/>
    <m/>
    <m/>
  </r>
  <r>
    <s v="YK261802187"/>
    <x v="1"/>
    <x v="1"/>
    <n v="1"/>
    <x v="2"/>
    <d v="2026-06-02T08:33:37"/>
    <x v="16"/>
    <x v="8"/>
    <x v="16"/>
    <s v="17IA15.90"/>
    <x v="1"/>
    <x v="1"/>
    <m/>
    <m/>
    <m/>
  </r>
  <r>
    <s v="YK261802188"/>
    <x v="0"/>
    <x v="0"/>
    <n v="1"/>
    <x v="1"/>
    <d v="2026-06-01T10:13:26"/>
    <x v="16"/>
    <x v="8"/>
    <x v="16"/>
    <s v="17IA15.90"/>
    <x v="1"/>
    <x v="1"/>
    <m/>
    <m/>
    <m/>
  </r>
  <r>
    <s v="YK261802189"/>
    <x v="0"/>
    <x v="0"/>
    <n v="1"/>
    <x v="1"/>
    <d v="2026-05-27T09:21:48"/>
    <x v="16"/>
    <x v="8"/>
    <x v="16"/>
    <s v="17IA15.90"/>
    <x v="1"/>
    <x v="1"/>
    <m/>
    <m/>
    <m/>
  </r>
  <r>
    <s v="YK261802190"/>
    <x v="0"/>
    <x v="0"/>
    <n v="1"/>
    <x v="1"/>
    <d v="2026-05-28T07:34:33"/>
    <x v="16"/>
    <x v="8"/>
    <x v="16"/>
    <s v="17IA15.90"/>
    <x v="1"/>
    <x v="1"/>
    <m/>
    <d v="2026-06-02T00:00:00"/>
    <m/>
  </r>
  <r>
    <s v="YK261802191"/>
    <x v="0"/>
    <x v="0"/>
    <n v="1"/>
    <x v="1"/>
    <d v="2026-05-27T09:19:49"/>
    <x v="16"/>
    <x v="8"/>
    <x v="16"/>
    <s v="17IA15.90"/>
    <x v="1"/>
    <x v="1"/>
    <m/>
    <m/>
    <m/>
  </r>
  <r>
    <s v="YK261802192"/>
    <x v="0"/>
    <x v="0"/>
    <n v="1"/>
    <x v="1"/>
    <d v="2026-05-27T11:59:37"/>
    <x v="16"/>
    <x v="8"/>
    <x v="16"/>
    <s v="17IA15.90"/>
    <x v="1"/>
    <x v="1"/>
    <m/>
    <m/>
    <m/>
  </r>
  <r>
    <s v="YK261802193"/>
    <x v="0"/>
    <x v="0"/>
    <n v="1"/>
    <x v="1"/>
    <d v="2026-05-28T11:26:17"/>
    <x v="16"/>
    <x v="8"/>
    <x v="16"/>
    <s v="17IA15.90"/>
    <x v="1"/>
    <x v="1"/>
    <m/>
    <m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d v="2026-06-02T00:00:00"/>
    <m/>
  </r>
  <r>
    <s v="YK261802196"/>
    <x v="0"/>
    <x v="0"/>
    <n v="1"/>
    <x v="1"/>
    <d v="2026-05-28T11:27:45"/>
    <x v="16"/>
    <x v="8"/>
    <x v="16"/>
    <s v="17IA15.90"/>
    <x v="1"/>
    <x v="1"/>
    <m/>
    <d v="2026-06-02T00:00:00"/>
    <m/>
  </r>
  <r>
    <s v="YK261802197"/>
    <x v="0"/>
    <x v="0"/>
    <n v="1"/>
    <x v="1"/>
    <d v="2026-05-27T12:02:29"/>
    <x v="16"/>
    <x v="8"/>
    <x v="16"/>
    <s v="17IA15.90"/>
    <x v="1"/>
    <x v="1"/>
    <m/>
    <m/>
    <m/>
  </r>
  <r>
    <s v="YK261802198"/>
    <x v="0"/>
    <x v="0"/>
    <n v="1"/>
    <x v="1"/>
    <d v="2026-05-28T07:36:48"/>
    <x v="16"/>
    <x v="8"/>
    <x v="16"/>
    <s v="17IA15.90"/>
    <x v="1"/>
    <x v="1"/>
    <m/>
    <m/>
    <m/>
  </r>
  <r>
    <s v="YK261802199"/>
    <x v="1"/>
    <x v="1"/>
    <n v="1"/>
    <x v="2"/>
    <d v="2026-06-02T08:01:55"/>
    <x v="16"/>
    <x v="8"/>
    <x v="16"/>
    <s v="17IA15.90"/>
    <x v="1"/>
    <x v="1"/>
    <m/>
    <m/>
    <m/>
  </r>
  <r>
    <s v="YK261802200"/>
    <x v="0"/>
    <x v="0"/>
    <n v="1"/>
    <x v="1"/>
    <d v="2026-05-28T11:55:55"/>
    <x v="16"/>
    <x v="8"/>
    <x v="16"/>
    <s v="17IA15.90"/>
    <x v="1"/>
    <x v="1"/>
    <m/>
    <m/>
    <m/>
  </r>
  <r>
    <s v="YK261802201"/>
    <x v="0"/>
    <x v="0"/>
    <n v="1"/>
    <x v="1"/>
    <d v="2026-05-27T09:21:34"/>
    <x v="16"/>
    <x v="8"/>
    <x v="16"/>
    <s v="17IA15.90"/>
    <x v="1"/>
    <x v="1"/>
    <m/>
    <m/>
    <m/>
  </r>
  <r>
    <s v="YK261802202"/>
    <x v="0"/>
    <x v="0"/>
    <n v="1"/>
    <x v="1"/>
    <d v="2026-05-27T09:20:07"/>
    <x v="16"/>
    <x v="8"/>
    <x v="16"/>
    <s v="17IA15.90"/>
    <x v="1"/>
    <x v="1"/>
    <m/>
    <m/>
    <m/>
  </r>
  <r>
    <s v="YK261802203"/>
    <x v="1"/>
    <x v="1"/>
    <n v="1"/>
    <x v="2"/>
    <d v="2026-06-02T08:26:32"/>
    <x v="16"/>
    <x v="8"/>
    <x v="16"/>
    <s v="17IA15.90"/>
    <x v="1"/>
    <x v="1"/>
    <m/>
    <m/>
    <m/>
  </r>
  <r>
    <s v="YK261802204"/>
    <x v="0"/>
    <x v="0"/>
    <n v="1"/>
    <x v="1"/>
    <d v="2026-05-28T07:36:30"/>
    <x v="16"/>
    <x v="8"/>
    <x v="16"/>
    <s v="17IA15.90"/>
    <x v="1"/>
    <x v="1"/>
    <m/>
    <m/>
    <m/>
  </r>
  <r>
    <s v="YK261802205"/>
    <x v="0"/>
    <x v="0"/>
    <n v="1"/>
    <x v="1"/>
    <d v="2026-06-23T15:26:18"/>
    <x v="16"/>
    <x v="8"/>
    <x v="16"/>
    <s v="17IA15.90"/>
    <x v="1"/>
    <x v="1"/>
    <m/>
    <m/>
    <m/>
  </r>
  <r>
    <s v="YK261802206"/>
    <x v="0"/>
    <x v="0"/>
    <n v="1"/>
    <x v="1"/>
    <d v="2026-05-28T07:48:28"/>
    <x v="16"/>
    <x v="8"/>
    <x v="16"/>
    <s v="17IA15.90"/>
    <x v="1"/>
    <x v="1"/>
    <m/>
    <m/>
    <m/>
  </r>
  <r>
    <s v="YK261802207"/>
    <x v="0"/>
    <x v="0"/>
    <n v="1"/>
    <x v="1"/>
    <d v="2026-05-28T11:54:14"/>
    <x v="16"/>
    <x v="8"/>
    <x v="16"/>
    <s v="17IA15.90"/>
    <x v="1"/>
    <x v="1"/>
    <m/>
    <m/>
    <m/>
  </r>
  <r>
    <s v="YK261802208"/>
    <x v="0"/>
    <x v="0"/>
    <n v="1"/>
    <x v="1"/>
    <d v="2026-05-28T08:44:28"/>
    <x v="16"/>
    <x v="8"/>
    <x v="16"/>
    <s v="17IA15.90"/>
    <x v="1"/>
    <x v="1"/>
    <m/>
    <m/>
    <m/>
  </r>
  <r>
    <s v="YK261802209"/>
    <x v="0"/>
    <x v="0"/>
    <n v="1"/>
    <x v="1"/>
    <d v="2026-05-28T08:44:10"/>
    <x v="16"/>
    <x v="8"/>
    <x v="16"/>
    <s v="17IA15.90"/>
    <x v="1"/>
    <x v="1"/>
    <m/>
    <m/>
    <m/>
  </r>
  <r>
    <s v="YK261802210"/>
    <x v="0"/>
    <x v="0"/>
    <n v="1"/>
    <x v="1"/>
    <d v="2026-05-27T09:12:41"/>
    <x v="16"/>
    <x v="8"/>
    <x v="16"/>
    <s v="17IA15.90"/>
    <x v="1"/>
    <x v="1"/>
    <m/>
    <m/>
    <m/>
  </r>
  <r>
    <s v="YK261802211"/>
    <x v="1"/>
    <x v="1"/>
    <n v="1"/>
    <x v="2"/>
    <d v="2026-06-02T08:22:38"/>
    <x v="16"/>
    <x v="8"/>
    <x v="16"/>
    <s v="17IA15.90"/>
    <x v="1"/>
    <x v="1"/>
    <m/>
    <m/>
    <m/>
  </r>
  <r>
    <s v="YK261802212"/>
    <x v="1"/>
    <x v="1"/>
    <n v="1"/>
    <x v="2"/>
    <d v="2026-06-02T08:28:00"/>
    <x v="16"/>
    <x v="8"/>
    <x v="16"/>
    <s v="17IA15.90"/>
    <x v="1"/>
    <x v="1"/>
    <m/>
    <m/>
    <m/>
  </r>
  <r>
    <s v="YK261802213"/>
    <x v="1"/>
    <x v="1"/>
    <n v="1"/>
    <x v="2"/>
    <d v="2026-06-02T08:30:17"/>
    <x v="16"/>
    <x v="8"/>
    <x v="16"/>
    <s v="17IA15.90"/>
    <x v="1"/>
    <x v="1"/>
    <m/>
    <m/>
    <m/>
  </r>
  <r>
    <s v="YK261802214"/>
    <x v="0"/>
    <x v="0"/>
    <n v="1"/>
    <x v="1"/>
    <d v="2026-05-28T11:55:35"/>
    <x v="16"/>
    <x v="8"/>
    <x v="16"/>
    <s v="17IA15.90"/>
    <x v="1"/>
    <x v="1"/>
    <m/>
    <m/>
    <m/>
  </r>
  <r>
    <s v="YK261802215"/>
    <x v="1"/>
    <x v="1"/>
    <n v="1"/>
    <x v="2"/>
    <d v="2026-06-02T08:28:45"/>
    <x v="16"/>
    <x v="8"/>
    <x v="16"/>
    <s v="17IA15.90"/>
    <x v="1"/>
    <x v="1"/>
    <m/>
    <m/>
    <m/>
  </r>
  <r>
    <s v="YK261802216"/>
    <x v="0"/>
    <x v="0"/>
    <n v="1"/>
    <x v="1"/>
    <d v="2026-06-05T12:14:18"/>
    <x v="16"/>
    <x v="8"/>
    <x v="16"/>
    <s v="17IA15.90"/>
    <x v="1"/>
    <x v="1"/>
    <m/>
    <m/>
    <m/>
  </r>
  <r>
    <s v="YK261802217"/>
    <x v="0"/>
    <x v="0"/>
    <n v="1"/>
    <x v="1"/>
    <d v="2026-05-28T11:54:02"/>
    <x v="16"/>
    <x v="8"/>
    <x v="16"/>
    <s v="17IA15.90"/>
    <x v="1"/>
    <x v="1"/>
    <m/>
    <m/>
    <m/>
  </r>
  <r>
    <s v="YK261802218"/>
    <x v="0"/>
    <x v="0"/>
    <n v="1"/>
    <x v="1"/>
    <d v="2026-05-27T09:15:16"/>
    <x v="16"/>
    <x v="8"/>
    <x v="16"/>
    <s v="17IA15.90"/>
    <x v="1"/>
    <x v="1"/>
    <m/>
    <m/>
    <m/>
  </r>
  <r>
    <s v="YK261802219"/>
    <x v="3"/>
    <x v="3"/>
    <n v="1"/>
    <x v="4"/>
    <d v="2026-07-15T12:50:05"/>
    <x v="16"/>
    <x v="8"/>
    <x v="16"/>
    <s v="17IA15.90"/>
    <x v="1"/>
    <x v="1"/>
    <m/>
    <m/>
    <m/>
  </r>
  <r>
    <s v="YK261802220"/>
    <x v="0"/>
    <x v="0"/>
    <n v="1"/>
    <x v="1"/>
    <d v="2026-05-29T12:38:41"/>
    <x v="16"/>
    <x v="8"/>
    <x v="16"/>
    <s v="17IA15.90"/>
    <x v="1"/>
    <x v="1"/>
    <m/>
    <m/>
    <m/>
  </r>
  <r>
    <s v="YK261802221"/>
    <x v="1"/>
    <x v="1"/>
    <n v="1"/>
    <x v="2"/>
    <d v="2026-06-02T08:32:43"/>
    <x v="16"/>
    <x v="8"/>
    <x v="16"/>
    <s v="17IA15.90"/>
    <x v="1"/>
    <x v="1"/>
    <m/>
    <m/>
    <m/>
  </r>
  <r>
    <s v="YK261802222"/>
    <x v="0"/>
    <x v="0"/>
    <n v="1"/>
    <x v="1"/>
    <d v="2026-05-27T13:08:59"/>
    <x v="16"/>
    <x v="8"/>
    <x v="16"/>
    <s v="17IA15.90"/>
    <x v="1"/>
    <x v="1"/>
    <m/>
    <m/>
    <m/>
  </r>
  <r>
    <s v="YK261802223"/>
    <x v="0"/>
    <x v="0"/>
    <n v="1"/>
    <x v="1"/>
    <d v="2026-05-27T11:59:17"/>
    <x v="16"/>
    <x v="8"/>
    <x v="16"/>
    <s v="17IA15.90"/>
    <x v="1"/>
    <x v="1"/>
    <m/>
    <m/>
    <m/>
  </r>
  <r>
    <s v="YK261802224"/>
    <x v="0"/>
    <x v="0"/>
    <n v="1"/>
    <x v="1"/>
    <d v="2026-05-27T13:07:12"/>
    <x v="16"/>
    <x v="8"/>
    <x v="16"/>
    <s v="17IA15.90"/>
    <x v="1"/>
    <x v="1"/>
    <m/>
    <m/>
    <m/>
  </r>
  <r>
    <s v="YK261802225"/>
    <x v="0"/>
    <x v="0"/>
    <n v="1"/>
    <x v="1"/>
    <d v="2026-05-28T08:42:31"/>
    <x v="16"/>
    <x v="8"/>
    <x v="16"/>
    <s v="17IA15.90"/>
    <x v="1"/>
    <x v="1"/>
    <m/>
    <m/>
    <m/>
  </r>
  <r>
    <s v="YK261802226"/>
    <x v="0"/>
    <x v="0"/>
    <n v="1"/>
    <x v="1"/>
    <d v="2026-06-09T10:25:58"/>
    <x v="16"/>
    <x v="8"/>
    <x v="16"/>
    <s v="17IA15.90"/>
    <x v="1"/>
    <x v="1"/>
    <m/>
    <m/>
    <m/>
  </r>
  <r>
    <s v="YK261802227"/>
    <x v="0"/>
    <x v="0"/>
    <n v="1"/>
    <x v="1"/>
    <d v="2026-05-28T07:50:19"/>
    <x v="16"/>
    <x v="8"/>
    <x v="16"/>
    <s v="17IA15.90"/>
    <x v="1"/>
    <x v="1"/>
    <m/>
    <m/>
    <m/>
  </r>
  <r>
    <s v="YK261802228"/>
    <x v="0"/>
    <x v="0"/>
    <n v="1"/>
    <x v="1"/>
    <d v="2026-05-27T09:13:04"/>
    <x v="16"/>
    <x v="8"/>
    <x v="16"/>
    <s v="17IA15.90"/>
    <x v="1"/>
    <x v="1"/>
    <m/>
    <m/>
    <m/>
  </r>
  <r>
    <s v="YK261802229"/>
    <x v="0"/>
    <x v="0"/>
    <n v="1"/>
    <x v="1"/>
    <d v="2026-06-01T10:13:22"/>
    <x v="16"/>
    <x v="8"/>
    <x v="16"/>
    <s v="17IA15.90"/>
    <x v="1"/>
    <x v="1"/>
    <m/>
    <m/>
    <m/>
  </r>
  <r>
    <s v="YK261802230"/>
    <x v="0"/>
    <x v="0"/>
    <n v="1"/>
    <x v="1"/>
    <d v="2026-05-27T13:06:30"/>
    <x v="16"/>
    <x v="8"/>
    <x v="16"/>
    <s v="17IA15.90"/>
    <x v="1"/>
    <x v="1"/>
    <m/>
    <m/>
    <m/>
  </r>
  <r>
    <s v="YK261802231"/>
    <x v="0"/>
    <x v="0"/>
    <n v="1"/>
    <x v="1"/>
    <d v="2026-05-27T09:15:43"/>
    <x v="16"/>
    <x v="8"/>
    <x v="16"/>
    <s v="17IA15.90"/>
    <x v="1"/>
    <x v="1"/>
    <m/>
    <m/>
    <m/>
  </r>
  <r>
    <s v="YK261802232"/>
    <x v="1"/>
    <x v="1"/>
    <n v="1"/>
    <x v="2"/>
    <d v="2026-06-02T08:25:54"/>
    <x v="16"/>
    <x v="8"/>
    <x v="16"/>
    <s v="17IA15.90"/>
    <x v="1"/>
    <x v="1"/>
    <m/>
    <m/>
    <m/>
  </r>
  <r>
    <s v="YK261802233"/>
    <x v="0"/>
    <x v="0"/>
    <n v="1"/>
    <x v="1"/>
    <d v="2026-05-27T09:12:51"/>
    <x v="16"/>
    <x v="8"/>
    <x v="16"/>
    <s v="17IA15.90"/>
    <x v="1"/>
    <x v="1"/>
    <m/>
    <m/>
    <m/>
  </r>
  <r>
    <s v="YK261802234"/>
    <x v="0"/>
    <x v="0"/>
    <n v="1"/>
    <x v="1"/>
    <d v="2026-05-27T09:12:26"/>
    <x v="16"/>
    <x v="8"/>
    <x v="16"/>
    <s v="17IA15.90"/>
    <x v="1"/>
    <x v="1"/>
    <m/>
    <m/>
    <m/>
  </r>
  <r>
    <s v="YK261802235"/>
    <x v="0"/>
    <x v="0"/>
    <n v="1"/>
    <x v="1"/>
    <d v="2026-05-27T09:14:57"/>
    <x v="16"/>
    <x v="8"/>
    <x v="16"/>
    <s v="17IA15.90"/>
    <x v="1"/>
    <x v="1"/>
    <m/>
    <m/>
    <m/>
  </r>
  <r>
    <s v="YK261802236"/>
    <x v="1"/>
    <x v="1"/>
    <n v="1"/>
    <x v="2"/>
    <d v="2026-06-02T08:29:36"/>
    <x v="16"/>
    <x v="8"/>
    <x v="16"/>
    <s v="17IA15.90"/>
    <x v="1"/>
    <x v="1"/>
    <m/>
    <m/>
    <m/>
  </r>
  <r>
    <s v="YK261802237"/>
    <x v="1"/>
    <x v="1"/>
    <n v="1"/>
    <x v="2"/>
    <d v="2026-06-02T08:23:16"/>
    <x v="16"/>
    <x v="8"/>
    <x v="16"/>
    <s v="17IA15.90"/>
    <x v="1"/>
    <x v="1"/>
    <m/>
    <d v="2026-06-23T00:00:00"/>
    <m/>
  </r>
  <r>
    <s v="YK261802238"/>
    <x v="1"/>
    <x v="1"/>
    <n v="1"/>
    <x v="2"/>
    <d v="2026-06-02T08:25:08"/>
    <x v="16"/>
    <x v="8"/>
    <x v="16"/>
    <s v="17IA15.90"/>
    <x v="1"/>
    <x v="1"/>
    <m/>
    <m/>
    <m/>
  </r>
  <r>
    <s v="YK261802239"/>
    <x v="0"/>
    <x v="0"/>
    <n v="1"/>
    <x v="1"/>
    <d v="2026-05-28T07:48:10"/>
    <x v="16"/>
    <x v="8"/>
    <x v="16"/>
    <s v="17IA15.90"/>
    <x v="1"/>
    <x v="1"/>
    <m/>
    <m/>
    <m/>
  </r>
  <r>
    <s v="YK261802240"/>
    <x v="0"/>
    <x v="0"/>
    <n v="1"/>
    <x v="1"/>
    <d v="2026-06-01T10:14:08"/>
    <x v="16"/>
    <x v="8"/>
    <x v="16"/>
    <s v="17IA15.90"/>
    <x v="1"/>
    <x v="1"/>
    <m/>
    <m/>
    <m/>
  </r>
  <r>
    <s v="YK261802241"/>
    <x v="0"/>
    <x v="0"/>
    <n v="1"/>
    <x v="1"/>
    <d v="2026-07-27T07:51:45"/>
    <x v="16"/>
    <x v="8"/>
    <x v="16"/>
    <s v="17IA15.90"/>
    <x v="1"/>
    <x v="1"/>
    <m/>
    <m/>
    <m/>
  </r>
  <r>
    <s v="YK261802242"/>
    <x v="0"/>
    <x v="0"/>
    <n v="1"/>
    <x v="1"/>
    <d v="2026-05-28T07:50:05"/>
    <x v="16"/>
    <x v="8"/>
    <x v="16"/>
    <s v="17IA15.90"/>
    <x v="1"/>
    <x v="1"/>
    <m/>
    <m/>
    <m/>
  </r>
  <r>
    <s v="YK261802243"/>
    <x v="0"/>
    <x v="0"/>
    <n v="1"/>
    <x v="1"/>
    <d v="2026-05-27T09:15:27"/>
    <x v="16"/>
    <x v="8"/>
    <x v="16"/>
    <s v="17IA15.90"/>
    <x v="1"/>
    <x v="1"/>
    <m/>
    <m/>
    <m/>
  </r>
  <r>
    <s v="YK261802244"/>
    <x v="0"/>
    <x v="0"/>
    <n v="1"/>
    <x v="1"/>
    <d v="2026-05-27T12:02:45"/>
    <x v="16"/>
    <x v="8"/>
    <x v="16"/>
    <s v="17IA15.90"/>
    <x v="1"/>
    <x v="1"/>
    <m/>
    <m/>
    <m/>
  </r>
  <r>
    <s v="YK262100946"/>
    <x v="0"/>
    <x v="0"/>
    <n v="1"/>
    <x v="1"/>
    <d v="2026-06-19T13:59:33"/>
    <x v="17"/>
    <x v="7"/>
    <x v="17"/>
    <s v="17IA15.95"/>
    <x v="1"/>
    <x v="1"/>
    <m/>
    <m/>
    <m/>
  </r>
  <r>
    <s v="YK262100947"/>
    <x v="0"/>
    <x v="0"/>
    <n v="1"/>
    <x v="1"/>
    <d v="2026-06-05T12:14:40"/>
    <x v="17"/>
    <x v="7"/>
    <x v="17"/>
    <s v="17IA15.95"/>
    <x v="1"/>
    <x v="1"/>
    <m/>
    <m/>
    <m/>
  </r>
  <r>
    <s v="YK262100948"/>
    <x v="0"/>
    <x v="0"/>
    <n v="1"/>
    <x v="1"/>
    <d v="2026-06-08T17:05:39"/>
    <x v="17"/>
    <x v="7"/>
    <x v="17"/>
    <s v="17IA15.95"/>
    <x v="1"/>
    <x v="1"/>
    <m/>
    <m/>
    <m/>
  </r>
  <r>
    <s v="YK262100949"/>
    <x v="0"/>
    <x v="0"/>
    <n v="1"/>
    <x v="1"/>
    <d v="2026-06-10T06:27:45"/>
    <x v="17"/>
    <x v="7"/>
    <x v="17"/>
    <s v="17IA15.95"/>
    <x v="1"/>
    <x v="1"/>
    <m/>
    <m/>
    <m/>
  </r>
  <r>
    <s v="YK262100950"/>
    <x v="0"/>
    <x v="0"/>
    <n v="1"/>
    <x v="1"/>
    <d v="2026-06-10T06:27:01"/>
    <x v="17"/>
    <x v="7"/>
    <x v="17"/>
    <s v="17IA15.95"/>
    <x v="1"/>
    <x v="1"/>
    <m/>
    <m/>
    <m/>
  </r>
  <r>
    <s v="YK262100951"/>
    <x v="0"/>
    <x v="0"/>
    <n v="1"/>
    <x v="1"/>
    <d v="2026-06-06T11:57:56"/>
    <x v="17"/>
    <x v="7"/>
    <x v="17"/>
    <s v="17IA15.95"/>
    <x v="1"/>
    <x v="1"/>
    <m/>
    <m/>
    <m/>
  </r>
  <r>
    <s v="YK262100952"/>
    <x v="0"/>
    <x v="0"/>
    <n v="1"/>
    <x v="1"/>
    <d v="2026-06-23T15:26:25"/>
    <x v="17"/>
    <x v="7"/>
    <x v="17"/>
    <s v="17IA15.95"/>
    <x v="1"/>
    <x v="1"/>
    <m/>
    <m/>
    <m/>
  </r>
  <r>
    <s v="YK262100953"/>
    <x v="0"/>
    <x v="0"/>
    <n v="1"/>
    <x v="1"/>
    <d v="2026-06-10T06:27:30"/>
    <x v="17"/>
    <x v="7"/>
    <x v="17"/>
    <s v="17IA15.95"/>
    <x v="1"/>
    <x v="1"/>
    <m/>
    <m/>
    <m/>
  </r>
  <r>
    <s v="YK262100954"/>
    <x v="0"/>
    <x v="0"/>
    <n v="1"/>
    <x v="1"/>
    <d v="2026-06-10T14:14:50"/>
    <x v="17"/>
    <x v="7"/>
    <x v="17"/>
    <s v="17IA15.95"/>
    <x v="1"/>
    <x v="1"/>
    <m/>
    <m/>
    <m/>
  </r>
  <r>
    <s v="YK262100955"/>
    <x v="0"/>
    <x v="0"/>
    <n v="1"/>
    <x v="1"/>
    <d v="2026-06-10T10:46:23"/>
    <x v="17"/>
    <x v="7"/>
    <x v="17"/>
    <s v="17IA15.95"/>
    <x v="1"/>
    <x v="1"/>
    <m/>
    <m/>
    <m/>
  </r>
  <r>
    <s v="YK262100956"/>
    <x v="0"/>
    <x v="0"/>
    <n v="1"/>
    <x v="1"/>
    <d v="2026-06-16T11:18:50"/>
    <x v="17"/>
    <x v="7"/>
    <x v="17"/>
    <s v="17IA15.95"/>
    <x v="1"/>
    <x v="1"/>
    <m/>
    <m/>
    <m/>
  </r>
  <r>
    <s v="YK262100957"/>
    <x v="0"/>
    <x v="0"/>
    <n v="1"/>
    <x v="1"/>
    <d v="2026-06-11T14:09:56"/>
    <x v="17"/>
    <x v="7"/>
    <x v="17"/>
    <s v="17IA15.95"/>
    <x v="1"/>
    <x v="1"/>
    <m/>
    <m/>
    <m/>
  </r>
  <r>
    <s v="YK262100958"/>
    <x v="0"/>
    <x v="0"/>
    <n v="1"/>
    <x v="1"/>
    <d v="2026-06-23T13:19:55"/>
    <x v="17"/>
    <x v="7"/>
    <x v="17"/>
    <s v="17IA15.95"/>
    <x v="1"/>
    <x v="1"/>
    <m/>
    <m/>
    <m/>
  </r>
  <r>
    <s v="YK262100959"/>
    <x v="0"/>
    <x v="0"/>
    <n v="1"/>
    <x v="1"/>
    <d v="2026-07-09T13:16:40"/>
    <x v="17"/>
    <x v="7"/>
    <x v="17"/>
    <s v="17IA15.95"/>
    <x v="1"/>
    <x v="1"/>
    <m/>
    <m/>
    <m/>
  </r>
  <r>
    <s v="YK262100960"/>
    <x v="0"/>
    <x v="0"/>
    <n v="1"/>
    <x v="1"/>
    <d v="2026-06-24T13:30:14"/>
    <x v="17"/>
    <x v="7"/>
    <x v="17"/>
    <s v="17IA15.95"/>
    <x v="1"/>
    <x v="1"/>
    <m/>
    <m/>
    <m/>
  </r>
  <r>
    <s v="YK262100961"/>
    <x v="0"/>
    <x v="0"/>
    <n v="1"/>
    <x v="1"/>
    <d v="2026-06-16T11:18:43"/>
    <x v="17"/>
    <x v="7"/>
    <x v="17"/>
    <s v="17IA15.95"/>
    <x v="1"/>
    <x v="1"/>
    <m/>
    <m/>
    <m/>
  </r>
  <r>
    <s v="YK262100962"/>
    <x v="0"/>
    <x v="0"/>
    <n v="1"/>
    <x v="1"/>
    <d v="2026-06-08T17:06:02"/>
    <x v="17"/>
    <x v="7"/>
    <x v="17"/>
    <s v="17IA15.95"/>
    <x v="1"/>
    <x v="1"/>
    <m/>
    <m/>
    <m/>
  </r>
  <r>
    <s v="YK262100963"/>
    <x v="0"/>
    <x v="0"/>
    <n v="1"/>
    <x v="1"/>
    <d v="2026-06-06T11:58:35"/>
    <x v="17"/>
    <x v="7"/>
    <x v="17"/>
    <s v="17IA15.95"/>
    <x v="1"/>
    <x v="1"/>
    <m/>
    <m/>
    <m/>
  </r>
  <r>
    <s v="YK262100964"/>
    <x v="0"/>
    <x v="0"/>
    <n v="1"/>
    <x v="1"/>
    <d v="2026-06-10T10:46:10"/>
    <x v="17"/>
    <x v="7"/>
    <x v="17"/>
    <s v="17IA15.95"/>
    <x v="1"/>
    <x v="1"/>
    <m/>
    <m/>
    <m/>
  </r>
  <r>
    <s v="YK262100965"/>
    <x v="0"/>
    <x v="0"/>
    <n v="1"/>
    <x v="1"/>
    <d v="2026-06-10T10:45:54"/>
    <x v="17"/>
    <x v="7"/>
    <x v="17"/>
    <s v="17IA15.95"/>
    <x v="1"/>
    <x v="1"/>
    <m/>
    <m/>
    <m/>
  </r>
  <r>
    <s v="YK262100966"/>
    <x v="0"/>
    <x v="0"/>
    <n v="1"/>
    <x v="1"/>
    <d v="2026-06-17T10:46:22"/>
    <x v="17"/>
    <x v="7"/>
    <x v="17"/>
    <s v="17IA15.95"/>
    <x v="1"/>
    <x v="1"/>
    <m/>
    <m/>
    <m/>
  </r>
  <r>
    <s v="YK262100967"/>
    <x v="0"/>
    <x v="0"/>
    <n v="1"/>
    <x v="1"/>
    <d v="2026-06-25T10:35:57"/>
    <x v="17"/>
    <x v="7"/>
    <x v="17"/>
    <s v="17IA15.95"/>
    <x v="1"/>
    <x v="1"/>
    <m/>
    <m/>
    <m/>
  </r>
  <r>
    <s v="YK262100968"/>
    <x v="0"/>
    <x v="0"/>
    <n v="1"/>
    <x v="1"/>
    <d v="2026-06-10T10:44:47"/>
    <x v="17"/>
    <x v="7"/>
    <x v="17"/>
    <s v="17IA15.95"/>
    <x v="1"/>
    <x v="1"/>
    <m/>
    <m/>
    <m/>
  </r>
  <r>
    <s v="YK262100969"/>
    <x v="0"/>
    <x v="0"/>
    <n v="1"/>
    <x v="1"/>
    <d v="2026-06-17T11:41:19"/>
    <x v="17"/>
    <x v="7"/>
    <x v="17"/>
    <s v="17IA15.95"/>
    <x v="1"/>
    <x v="1"/>
    <m/>
    <m/>
    <m/>
  </r>
  <r>
    <s v="YK262100970"/>
    <x v="0"/>
    <x v="0"/>
    <n v="1"/>
    <x v="1"/>
    <d v="2026-06-11T06:52:09"/>
    <x v="17"/>
    <x v="7"/>
    <x v="17"/>
    <s v="17IA15.95"/>
    <x v="1"/>
    <x v="1"/>
    <m/>
    <m/>
    <m/>
  </r>
  <r>
    <s v="YK262100971"/>
    <x v="0"/>
    <x v="0"/>
    <n v="1"/>
    <x v="1"/>
    <d v="2026-06-11T07:58:08"/>
    <x v="17"/>
    <x v="7"/>
    <x v="17"/>
    <s v="17IA15.95"/>
    <x v="1"/>
    <x v="1"/>
    <m/>
    <m/>
    <m/>
  </r>
  <r>
    <s v="YK262100972"/>
    <x v="0"/>
    <x v="0"/>
    <n v="1"/>
    <x v="1"/>
    <d v="2026-06-08T17:05:19"/>
    <x v="17"/>
    <x v="7"/>
    <x v="17"/>
    <s v="17IA15.95"/>
    <x v="1"/>
    <x v="1"/>
    <m/>
    <m/>
    <m/>
  </r>
  <r>
    <s v="YK262100973"/>
    <x v="0"/>
    <x v="0"/>
    <n v="1"/>
    <x v="1"/>
    <d v="2026-06-17T10:46:16"/>
    <x v="17"/>
    <x v="7"/>
    <x v="17"/>
    <s v="17IA15.95"/>
    <x v="1"/>
    <x v="1"/>
    <m/>
    <m/>
    <m/>
  </r>
  <r>
    <s v="YK262100974"/>
    <x v="0"/>
    <x v="0"/>
    <n v="1"/>
    <x v="1"/>
    <d v="2026-06-24T13:25:46"/>
    <x v="17"/>
    <x v="7"/>
    <x v="17"/>
    <s v="17IA15.95"/>
    <x v="1"/>
    <x v="1"/>
    <m/>
    <m/>
    <m/>
  </r>
  <r>
    <s v="YK262100975"/>
    <x v="0"/>
    <x v="0"/>
    <n v="1"/>
    <x v="1"/>
    <d v="2026-06-10T17:14:31"/>
    <x v="17"/>
    <x v="7"/>
    <x v="17"/>
    <s v="17IA15.95"/>
    <x v="1"/>
    <x v="1"/>
    <m/>
    <m/>
    <m/>
  </r>
  <r>
    <s v="YK262100976"/>
    <x v="0"/>
    <x v="0"/>
    <n v="1"/>
    <x v="1"/>
    <d v="2026-06-24T13:30:09"/>
    <x v="17"/>
    <x v="7"/>
    <x v="17"/>
    <s v="17IA15.95"/>
    <x v="1"/>
    <x v="1"/>
    <m/>
    <m/>
    <m/>
  </r>
  <r>
    <s v="YK262100977"/>
    <x v="0"/>
    <x v="0"/>
    <n v="1"/>
    <x v="1"/>
    <d v="2026-06-11T06:51:40"/>
    <x v="17"/>
    <x v="7"/>
    <x v="17"/>
    <s v="17IA15.95"/>
    <x v="1"/>
    <x v="1"/>
    <m/>
    <m/>
    <m/>
  </r>
  <r>
    <s v="YK262100978"/>
    <x v="0"/>
    <x v="0"/>
    <n v="1"/>
    <x v="1"/>
    <d v="2026-06-10T17:13:25"/>
    <x v="17"/>
    <x v="7"/>
    <x v="17"/>
    <s v="17IA15.95"/>
    <x v="1"/>
    <x v="1"/>
    <m/>
    <m/>
    <m/>
  </r>
  <r>
    <s v="YK262100979"/>
    <x v="0"/>
    <x v="0"/>
    <n v="1"/>
    <x v="1"/>
    <d v="2026-07-16T09:00:53"/>
    <x v="17"/>
    <x v="7"/>
    <x v="17"/>
    <s v="17IA15.95"/>
    <x v="1"/>
    <x v="1"/>
    <m/>
    <m/>
    <m/>
  </r>
  <r>
    <s v="YK262100980"/>
    <x v="1"/>
    <x v="1"/>
    <n v="1"/>
    <x v="2"/>
    <d v="2026-06-22T13:13:34"/>
    <x v="17"/>
    <x v="7"/>
    <x v="17"/>
    <s v="17IA15.95"/>
    <x v="1"/>
    <x v="1"/>
    <m/>
    <m/>
    <m/>
  </r>
  <r>
    <s v="YK262100981"/>
    <x v="0"/>
    <x v="0"/>
    <n v="1"/>
    <x v="1"/>
    <d v="2026-06-23T15:26:27"/>
    <x v="17"/>
    <x v="7"/>
    <x v="17"/>
    <s v="17IA15.95"/>
    <x v="1"/>
    <x v="1"/>
    <m/>
    <m/>
    <m/>
  </r>
  <r>
    <s v="YK262100982"/>
    <x v="0"/>
    <x v="0"/>
    <n v="1"/>
    <x v="1"/>
    <d v="2026-07-23T08:53:04"/>
    <x v="17"/>
    <x v="7"/>
    <x v="17"/>
    <s v="17IA15.95"/>
    <x v="1"/>
    <x v="1"/>
    <m/>
    <m/>
    <m/>
  </r>
  <r>
    <s v="YK262100983"/>
    <x v="0"/>
    <x v="0"/>
    <n v="1"/>
    <x v="1"/>
    <d v="2026-06-11T06:52:30"/>
    <x v="17"/>
    <x v="7"/>
    <x v="17"/>
    <s v="17IA15.95"/>
    <x v="1"/>
    <x v="1"/>
    <m/>
    <m/>
    <m/>
  </r>
  <r>
    <s v="YK262100984"/>
    <x v="0"/>
    <x v="0"/>
    <n v="1"/>
    <x v="1"/>
    <d v="2026-06-16T13:46:24"/>
    <x v="17"/>
    <x v="7"/>
    <x v="17"/>
    <s v="17IA15.95"/>
    <x v="1"/>
    <x v="1"/>
    <m/>
    <m/>
    <m/>
  </r>
  <r>
    <s v="YK262100985"/>
    <x v="0"/>
    <x v="0"/>
    <n v="1"/>
    <x v="1"/>
    <d v="2026-06-08T13:14:41"/>
    <x v="17"/>
    <x v="7"/>
    <x v="17"/>
    <s v="17IA15.95"/>
    <x v="1"/>
    <x v="1"/>
    <m/>
    <m/>
    <m/>
  </r>
  <r>
    <s v="YK262100986"/>
    <x v="0"/>
    <x v="0"/>
    <n v="1"/>
    <x v="1"/>
    <d v="2026-06-23T13:19:51"/>
    <x v="17"/>
    <x v="7"/>
    <x v="17"/>
    <s v="17IA15.95"/>
    <x v="1"/>
    <x v="1"/>
    <m/>
    <m/>
    <m/>
  </r>
  <r>
    <s v="YK262100987"/>
    <x v="0"/>
    <x v="0"/>
    <n v="1"/>
    <x v="1"/>
    <d v="2026-06-15T14:22:34"/>
    <x v="17"/>
    <x v="7"/>
    <x v="17"/>
    <s v="17IA15.95"/>
    <x v="1"/>
    <x v="1"/>
    <m/>
    <m/>
    <m/>
  </r>
  <r>
    <s v="YK262100988"/>
    <x v="0"/>
    <x v="0"/>
    <n v="1"/>
    <x v="1"/>
    <d v="2026-06-08T13:13:56"/>
    <x v="17"/>
    <x v="7"/>
    <x v="17"/>
    <s v="17IA15.95"/>
    <x v="1"/>
    <x v="1"/>
    <m/>
    <m/>
    <m/>
  </r>
  <r>
    <s v="YK262100989"/>
    <x v="0"/>
    <x v="0"/>
    <n v="1"/>
    <x v="1"/>
    <d v="2026-06-08T13:13:28"/>
    <x v="17"/>
    <x v="7"/>
    <x v="17"/>
    <s v="17IA15.95"/>
    <x v="1"/>
    <x v="1"/>
    <m/>
    <m/>
    <m/>
  </r>
  <r>
    <s v="YK262100990"/>
    <x v="0"/>
    <x v="0"/>
    <n v="1"/>
    <x v="1"/>
    <d v="2026-06-10T14:13:18"/>
    <x v="17"/>
    <x v="7"/>
    <x v="17"/>
    <s v="17IA15.95"/>
    <x v="1"/>
    <x v="1"/>
    <m/>
    <m/>
    <m/>
  </r>
  <r>
    <s v="YK262100991"/>
    <x v="0"/>
    <x v="0"/>
    <n v="1"/>
    <x v="1"/>
    <d v="2026-06-24T13:30:24"/>
    <x v="17"/>
    <x v="7"/>
    <x v="17"/>
    <s v="17IA15.95"/>
    <x v="1"/>
    <x v="1"/>
    <m/>
    <m/>
    <m/>
  </r>
  <r>
    <s v="YK262100992"/>
    <x v="0"/>
    <x v="0"/>
    <n v="1"/>
    <x v="1"/>
    <d v="2026-06-11T14:10:05"/>
    <x v="17"/>
    <x v="7"/>
    <x v="17"/>
    <s v="17IA15.95"/>
    <x v="1"/>
    <x v="1"/>
    <m/>
    <m/>
    <m/>
  </r>
  <r>
    <s v="YK262100993"/>
    <x v="0"/>
    <x v="0"/>
    <n v="1"/>
    <x v="1"/>
    <d v="2026-06-25T10:53:32"/>
    <x v="17"/>
    <x v="7"/>
    <x v="17"/>
    <s v="17IA15.95"/>
    <x v="1"/>
    <x v="1"/>
    <m/>
    <m/>
    <m/>
  </r>
  <r>
    <s v="YK262100994"/>
    <x v="0"/>
    <x v="0"/>
    <n v="1"/>
    <x v="1"/>
    <d v="2026-06-11T07:58:26"/>
    <x v="17"/>
    <x v="7"/>
    <x v="17"/>
    <s v="17IA15.95"/>
    <x v="1"/>
    <x v="1"/>
    <m/>
    <m/>
    <m/>
  </r>
  <r>
    <s v="YK262100995"/>
    <x v="0"/>
    <x v="0"/>
    <n v="1"/>
    <x v="1"/>
    <d v="2026-06-15T14:22:45"/>
    <x v="17"/>
    <x v="7"/>
    <x v="17"/>
    <s v="17IA15.95"/>
    <x v="1"/>
    <x v="1"/>
    <m/>
    <m/>
    <m/>
  </r>
  <r>
    <s v="YK262100996"/>
    <x v="0"/>
    <x v="0"/>
    <n v="1"/>
    <x v="1"/>
    <d v="2026-08-25T14:52:27"/>
    <x v="17"/>
    <x v="7"/>
    <x v="17"/>
    <s v="17IA15.95"/>
    <x v="1"/>
    <x v="1"/>
    <m/>
    <m/>
    <m/>
  </r>
  <r>
    <s v="YK262100997"/>
    <x v="0"/>
    <x v="0"/>
    <n v="1"/>
    <x v="1"/>
    <d v="2026-06-16T13:11:03"/>
    <x v="17"/>
    <x v="7"/>
    <x v="17"/>
    <s v="17IA15.95"/>
    <x v="1"/>
    <x v="1"/>
    <m/>
    <m/>
    <m/>
  </r>
  <r>
    <s v="YK262100998"/>
    <x v="2"/>
    <x v="2"/>
    <n v="1"/>
    <x v="3"/>
    <d v="2026-08-17T10:21:45"/>
    <x v="17"/>
    <x v="7"/>
    <x v="17"/>
    <s v="17IA15.95"/>
    <x v="1"/>
    <x v="1"/>
    <m/>
    <m/>
    <m/>
  </r>
  <r>
    <s v="YK262100999"/>
    <x v="0"/>
    <x v="0"/>
    <n v="1"/>
    <x v="1"/>
    <d v="2026-06-23T15:26:30"/>
    <x v="17"/>
    <x v="7"/>
    <x v="17"/>
    <s v="17IA15.95"/>
    <x v="1"/>
    <x v="1"/>
    <m/>
    <m/>
    <m/>
  </r>
  <r>
    <s v="YK262101000"/>
    <x v="0"/>
    <x v="0"/>
    <n v="1"/>
    <x v="1"/>
    <d v="2026-06-19T13:59:29"/>
    <x v="17"/>
    <x v="7"/>
    <x v="17"/>
    <s v="17IA15.95"/>
    <x v="1"/>
    <x v="1"/>
    <m/>
    <m/>
    <m/>
  </r>
  <r>
    <s v="YK262101001"/>
    <x v="0"/>
    <x v="0"/>
    <n v="1"/>
    <x v="1"/>
    <d v="2026-07-29T18:54:14"/>
    <x v="17"/>
    <x v="7"/>
    <x v="17"/>
    <s v="17IA15.95"/>
    <x v="1"/>
    <x v="1"/>
    <m/>
    <m/>
    <m/>
  </r>
  <r>
    <s v="YK262101002"/>
    <x v="0"/>
    <x v="0"/>
    <n v="1"/>
    <x v="1"/>
    <d v="2026-06-10T06:27:15"/>
    <x v="17"/>
    <x v="7"/>
    <x v="17"/>
    <s v="17IA15.95"/>
    <x v="1"/>
    <x v="1"/>
    <m/>
    <m/>
    <m/>
  </r>
  <r>
    <s v="YK262101003"/>
    <x v="0"/>
    <x v="0"/>
    <n v="1"/>
    <x v="1"/>
    <d v="2026-06-16T15:20:32"/>
    <x v="17"/>
    <x v="7"/>
    <x v="17"/>
    <s v="17IA15.95"/>
    <x v="1"/>
    <x v="1"/>
    <m/>
    <m/>
    <m/>
  </r>
  <r>
    <s v="YK262101004"/>
    <x v="0"/>
    <x v="0"/>
    <n v="1"/>
    <x v="1"/>
    <d v="2026-06-13T11:15:36"/>
    <x v="17"/>
    <x v="7"/>
    <x v="17"/>
    <s v="17IA15.95"/>
    <x v="1"/>
    <x v="1"/>
    <m/>
    <m/>
    <m/>
  </r>
  <r>
    <s v="YK262101005"/>
    <x v="0"/>
    <x v="0"/>
    <n v="1"/>
    <x v="1"/>
    <d v="2026-06-17T10:46:01"/>
    <x v="17"/>
    <x v="7"/>
    <x v="17"/>
    <s v="17IA15.95"/>
    <x v="1"/>
    <x v="1"/>
    <m/>
    <m/>
    <m/>
  </r>
  <r>
    <s v="YK262101006"/>
    <x v="0"/>
    <x v="0"/>
    <n v="1"/>
    <x v="1"/>
    <d v="2026-06-16T15:20:42"/>
    <x v="17"/>
    <x v="7"/>
    <x v="17"/>
    <s v="17IA15.95"/>
    <x v="1"/>
    <x v="1"/>
    <m/>
    <m/>
    <m/>
  </r>
  <r>
    <s v="YK262101007"/>
    <x v="0"/>
    <x v="0"/>
    <n v="1"/>
    <x v="1"/>
    <d v="2026-06-24T13:25:49"/>
    <x v="17"/>
    <x v="7"/>
    <x v="17"/>
    <s v="17IA15.95"/>
    <x v="1"/>
    <x v="1"/>
    <m/>
    <m/>
    <m/>
  </r>
  <r>
    <s v="YK262101008"/>
    <x v="0"/>
    <x v="0"/>
    <n v="1"/>
    <x v="1"/>
    <d v="2026-06-05T12:14:57"/>
    <x v="17"/>
    <x v="7"/>
    <x v="17"/>
    <s v="17IA15.95"/>
    <x v="1"/>
    <x v="1"/>
    <m/>
    <m/>
    <m/>
  </r>
  <r>
    <s v="YK262101009"/>
    <x v="0"/>
    <x v="0"/>
    <n v="1"/>
    <x v="1"/>
    <d v="2026-06-06T11:57:18"/>
    <x v="17"/>
    <x v="7"/>
    <x v="17"/>
    <s v="17IA15.95"/>
    <x v="1"/>
    <x v="1"/>
    <m/>
    <m/>
    <m/>
  </r>
  <r>
    <s v="YK262101010"/>
    <x v="0"/>
    <x v="0"/>
    <n v="1"/>
    <x v="1"/>
    <d v="2026-06-10T14:15:23"/>
    <x v="17"/>
    <x v="7"/>
    <x v="17"/>
    <s v="17IA15.95"/>
    <x v="1"/>
    <x v="1"/>
    <m/>
    <m/>
    <m/>
  </r>
  <r>
    <s v="YK262101011"/>
    <x v="0"/>
    <x v="0"/>
    <n v="1"/>
    <x v="1"/>
    <d v="2026-06-06T11:57:35"/>
    <x v="17"/>
    <x v="7"/>
    <x v="17"/>
    <s v="17IA15.95"/>
    <x v="1"/>
    <x v="1"/>
    <m/>
    <m/>
    <m/>
  </r>
  <r>
    <s v="YK262101012"/>
    <x v="0"/>
    <x v="0"/>
    <n v="1"/>
    <x v="1"/>
    <d v="2026-06-05T12:16:03"/>
    <x v="17"/>
    <x v="7"/>
    <x v="17"/>
    <s v="17IA15.95"/>
    <x v="1"/>
    <x v="1"/>
    <m/>
    <m/>
    <m/>
  </r>
  <r>
    <s v="YK262101013"/>
    <x v="0"/>
    <x v="0"/>
    <n v="1"/>
    <x v="1"/>
    <d v="2026-06-26T11:49:27"/>
    <x v="17"/>
    <x v="7"/>
    <x v="17"/>
    <s v="17IA15.95"/>
    <x v="1"/>
    <x v="1"/>
    <m/>
    <m/>
    <m/>
  </r>
  <r>
    <s v="YK262101014"/>
    <x v="0"/>
    <x v="0"/>
    <n v="1"/>
    <x v="1"/>
    <d v="2026-06-05T12:15:31"/>
    <x v="17"/>
    <x v="7"/>
    <x v="17"/>
    <s v="17IA15.95"/>
    <x v="1"/>
    <x v="1"/>
    <m/>
    <m/>
    <m/>
  </r>
  <r>
    <s v="YK262101015"/>
    <x v="0"/>
    <x v="0"/>
    <n v="1"/>
    <x v="1"/>
    <d v="2026-06-11T14:10:04"/>
    <x v="17"/>
    <x v="7"/>
    <x v="17"/>
    <s v="17IA15.95"/>
    <x v="1"/>
    <x v="1"/>
    <m/>
    <m/>
    <m/>
  </r>
  <r>
    <s v="YK262101016"/>
    <x v="0"/>
    <x v="0"/>
    <n v="1"/>
    <x v="1"/>
    <d v="2026-06-19T12:04:59"/>
    <x v="17"/>
    <x v="7"/>
    <x v="17"/>
    <s v="17IA15.95"/>
    <x v="1"/>
    <x v="1"/>
    <m/>
    <m/>
    <m/>
  </r>
  <r>
    <s v="YK262101017"/>
    <x v="0"/>
    <x v="0"/>
    <n v="1"/>
    <x v="1"/>
    <d v="2026-07-20T10:40:13"/>
    <x v="17"/>
    <x v="7"/>
    <x v="17"/>
    <s v="17IA15.95"/>
    <x v="1"/>
    <x v="1"/>
    <m/>
    <m/>
    <m/>
  </r>
  <r>
    <s v="YK262101018"/>
    <x v="3"/>
    <x v="3"/>
    <n v="1"/>
    <x v="4"/>
    <d v="2026-08-06T14:15:29"/>
    <x v="17"/>
    <x v="7"/>
    <x v="17"/>
    <s v="17IA15.95"/>
    <x v="1"/>
    <x v="1"/>
    <m/>
    <m/>
    <m/>
  </r>
  <r>
    <s v="YK262101019"/>
    <x v="0"/>
    <x v="0"/>
    <n v="1"/>
    <x v="1"/>
    <d v="2026-06-23T15:26:28"/>
    <x v="17"/>
    <x v="7"/>
    <x v="17"/>
    <s v="17IA15.95"/>
    <x v="1"/>
    <x v="1"/>
    <m/>
    <m/>
    <m/>
  </r>
  <r>
    <s v="YK262101020"/>
    <x v="0"/>
    <x v="0"/>
    <n v="1"/>
    <x v="1"/>
    <d v="2026-06-25T10:53:40"/>
    <x v="17"/>
    <x v="7"/>
    <x v="17"/>
    <s v="17IA15.95"/>
    <x v="1"/>
    <x v="1"/>
    <m/>
    <d v="2026-06-23T00:00:00"/>
    <m/>
  </r>
  <r>
    <s v="YK262101021"/>
    <x v="0"/>
    <x v="0"/>
    <n v="1"/>
    <x v="1"/>
    <d v="2026-06-24T13:30:08"/>
    <x v="17"/>
    <x v="7"/>
    <x v="17"/>
    <s v="17IA15.95"/>
    <x v="1"/>
    <x v="1"/>
    <m/>
    <d v="2026-06-16T00:00:00"/>
    <m/>
  </r>
  <r>
    <s v="YK262101022"/>
    <x v="0"/>
    <x v="0"/>
    <n v="1"/>
    <x v="1"/>
    <d v="2026-06-25T11:03:33"/>
    <x v="17"/>
    <x v="7"/>
    <x v="17"/>
    <s v="17IA15.95"/>
    <x v="1"/>
    <x v="1"/>
    <m/>
    <m/>
    <m/>
  </r>
  <r>
    <s v="YK262101023"/>
    <x v="0"/>
    <x v="0"/>
    <n v="1"/>
    <x v="1"/>
    <d v="2026-06-17T10:46:09"/>
    <x v="17"/>
    <x v="7"/>
    <x v="17"/>
    <s v="17IA15.95"/>
    <x v="1"/>
    <x v="1"/>
    <m/>
    <m/>
    <m/>
  </r>
  <r>
    <s v="YK262101024"/>
    <x v="0"/>
    <x v="0"/>
    <n v="1"/>
    <x v="1"/>
    <d v="2026-06-17T11:41:30"/>
    <x v="17"/>
    <x v="7"/>
    <x v="17"/>
    <s v="17IA15.95"/>
    <x v="1"/>
    <x v="1"/>
    <m/>
    <m/>
    <m/>
  </r>
  <r>
    <s v="YK262101025"/>
    <x v="0"/>
    <x v="0"/>
    <n v="1"/>
    <x v="1"/>
    <d v="2026-07-21T09:31:53"/>
    <x v="17"/>
    <x v="7"/>
    <x v="17"/>
    <s v="17IA15.95"/>
    <x v="1"/>
    <x v="1"/>
    <m/>
    <m/>
    <m/>
  </r>
  <r>
    <s v="YK262101026"/>
    <x v="0"/>
    <x v="0"/>
    <n v="1"/>
    <x v="1"/>
    <d v="2026-06-11T06:51:16"/>
    <x v="17"/>
    <x v="7"/>
    <x v="17"/>
    <s v="17IA15.95"/>
    <x v="1"/>
    <x v="1"/>
    <m/>
    <m/>
    <m/>
  </r>
  <r>
    <s v="YK262101027"/>
    <x v="0"/>
    <x v="0"/>
    <n v="1"/>
    <x v="1"/>
    <d v="2026-06-26T11:49:32"/>
    <x v="17"/>
    <x v="7"/>
    <x v="17"/>
    <s v="17IA15.95"/>
    <x v="1"/>
    <x v="1"/>
    <m/>
    <m/>
    <m/>
  </r>
  <r>
    <s v="YK262101028"/>
    <x v="0"/>
    <x v="0"/>
    <n v="1"/>
    <x v="1"/>
    <d v="2026-06-10T14:14:15"/>
    <x v="17"/>
    <x v="7"/>
    <x v="17"/>
    <s v="17IA15.95"/>
    <x v="1"/>
    <x v="1"/>
    <m/>
    <m/>
    <m/>
  </r>
  <r>
    <s v="YK262101029"/>
    <x v="0"/>
    <x v="0"/>
    <n v="1"/>
    <x v="1"/>
    <d v="2026-06-26T11:49:33"/>
    <x v="17"/>
    <x v="7"/>
    <x v="17"/>
    <s v="17IA15.95"/>
    <x v="1"/>
    <x v="1"/>
    <m/>
    <m/>
    <m/>
  </r>
  <r>
    <s v="YK262101030"/>
    <x v="0"/>
    <x v="0"/>
    <n v="1"/>
    <x v="1"/>
    <d v="2026-07-06T11:20:21"/>
    <x v="17"/>
    <x v="7"/>
    <x v="17"/>
    <s v="17IA15.95"/>
    <x v="1"/>
    <x v="1"/>
    <m/>
    <d v="2026-06-23T00:00:00"/>
    <m/>
  </r>
  <r>
    <s v="YK262101031"/>
    <x v="0"/>
    <x v="0"/>
    <n v="1"/>
    <x v="1"/>
    <d v="2026-07-16T09:06:24"/>
    <x v="17"/>
    <x v="7"/>
    <x v="17"/>
    <s v="17IA15.95"/>
    <x v="1"/>
    <x v="1"/>
    <m/>
    <d v="2026-06-23T00:00:00"/>
    <m/>
  </r>
  <r>
    <s v="YK262101032"/>
    <x v="0"/>
    <x v="0"/>
    <n v="1"/>
    <x v="1"/>
    <d v="2026-06-25T10:36:05"/>
    <x v="17"/>
    <x v="7"/>
    <x v="17"/>
    <s v="17IA15.95"/>
    <x v="1"/>
    <x v="1"/>
    <m/>
    <d v="2026-06-23T00:00:00"/>
    <m/>
  </r>
  <r>
    <s v="YK262101033"/>
    <x v="0"/>
    <x v="0"/>
    <n v="1"/>
    <x v="1"/>
    <d v="2026-06-19T12:04:46"/>
    <x v="17"/>
    <x v="7"/>
    <x v="17"/>
    <s v="17IA15.95"/>
    <x v="1"/>
    <x v="1"/>
    <m/>
    <m/>
    <m/>
  </r>
  <r>
    <s v="YK262101034"/>
    <x v="0"/>
    <x v="0"/>
    <n v="1"/>
    <x v="1"/>
    <d v="2026-06-19T12:05:06"/>
    <x v="17"/>
    <x v="7"/>
    <x v="17"/>
    <s v="17IA15.95"/>
    <x v="1"/>
    <x v="1"/>
    <m/>
    <m/>
    <m/>
  </r>
  <r>
    <s v="YK262101035"/>
    <x v="0"/>
    <x v="0"/>
    <n v="1"/>
    <x v="1"/>
    <d v="2026-07-06T11:20:17"/>
    <x v="17"/>
    <x v="7"/>
    <x v="17"/>
    <s v="17IA15.95"/>
    <x v="1"/>
    <x v="1"/>
    <m/>
    <m/>
    <m/>
  </r>
  <r>
    <s v="YK262101036"/>
    <x v="0"/>
    <x v="0"/>
    <n v="1"/>
    <x v="1"/>
    <d v="2026-06-17T14:06:43"/>
    <x v="17"/>
    <x v="7"/>
    <x v="17"/>
    <s v="17IA15.95"/>
    <x v="1"/>
    <x v="1"/>
    <m/>
    <m/>
    <m/>
  </r>
  <r>
    <s v="YK262101037"/>
    <x v="0"/>
    <x v="0"/>
    <n v="1"/>
    <x v="1"/>
    <d v="2026-06-13T11:15:57"/>
    <x v="17"/>
    <x v="7"/>
    <x v="17"/>
    <s v="17IA15.95"/>
    <x v="1"/>
    <x v="1"/>
    <m/>
    <m/>
    <m/>
  </r>
  <r>
    <s v="YK262101038"/>
    <x v="0"/>
    <x v="0"/>
    <n v="1"/>
    <x v="1"/>
    <d v="2026-06-25T10:53:44"/>
    <x v="17"/>
    <x v="7"/>
    <x v="17"/>
    <s v="17IA15.95"/>
    <x v="1"/>
    <x v="1"/>
    <m/>
    <m/>
    <m/>
  </r>
  <r>
    <s v="YK262101039"/>
    <x v="0"/>
    <x v="0"/>
    <n v="1"/>
    <x v="1"/>
    <d v="2026-06-24T12:31:48"/>
    <x v="17"/>
    <x v="7"/>
    <x v="17"/>
    <s v="17IA15.95"/>
    <x v="1"/>
    <x v="1"/>
    <m/>
    <m/>
    <m/>
  </r>
  <r>
    <s v="YK262101040"/>
    <x v="0"/>
    <x v="0"/>
    <n v="1"/>
    <x v="1"/>
    <d v="2026-06-13T11:14:45"/>
    <x v="17"/>
    <x v="7"/>
    <x v="17"/>
    <s v="17IA15.95"/>
    <x v="1"/>
    <x v="1"/>
    <m/>
    <m/>
    <m/>
  </r>
  <r>
    <s v="YK262101041"/>
    <x v="0"/>
    <x v="0"/>
    <n v="1"/>
    <x v="1"/>
    <d v="2026-06-25T10:35:51"/>
    <x v="17"/>
    <x v="7"/>
    <x v="17"/>
    <s v="17IA15.95"/>
    <x v="1"/>
    <x v="1"/>
    <m/>
    <m/>
    <m/>
  </r>
  <r>
    <s v="YK262101042"/>
    <x v="0"/>
    <x v="0"/>
    <n v="1"/>
    <x v="1"/>
    <d v="2026-06-17T09:29:45"/>
    <x v="17"/>
    <x v="7"/>
    <x v="17"/>
    <s v="17IA15.95"/>
    <x v="1"/>
    <x v="1"/>
    <m/>
    <m/>
    <m/>
  </r>
  <r>
    <s v="YK262101043"/>
    <x v="0"/>
    <x v="0"/>
    <n v="1"/>
    <x v="1"/>
    <d v="2026-07-06T11:20:31"/>
    <x v="17"/>
    <x v="7"/>
    <x v="17"/>
    <s v="17IA15.95"/>
    <x v="1"/>
    <x v="1"/>
    <m/>
    <m/>
    <m/>
  </r>
  <r>
    <s v="YK262101044"/>
    <x v="0"/>
    <x v="0"/>
    <n v="1"/>
    <x v="1"/>
    <d v="2026-06-13T06:26:05"/>
    <x v="17"/>
    <x v="7"/>
    <x v="17"/>
    <s v="17IA15.95"/>
    <x v="1"/>
    <x v="1"/>
    <m/>
    <m/>
    <m/>
  </r>
  <r>
    <s v="YK262101045"/>
    <x v="0"/>
    <x v="0"/>
    <n v="1"/>
    <x v="1"/>
    <d v="2026-06-10T17:13:41"/>
    <x v="17"/>
    <x v="7"/>
    <x v="17"/>
    <s v="17IA15.95"/>
    <x v="1"/>
    <x v="1"/>
    <m/>
    <d v="2026-06-23T00:00:00"/>
    <m/>
  </r>
  <r>
    <s v="YK262101046"/>
    <x v="0"/>
    <x v="0"/>
    <n v="1"/>
    <x v="1"/>
    <d v="2026-06-25T11:03:37"/>
    <x v="17"/>
    <x v="7"/>
    <x v="17"/>
    <s v="17IA15.95"/>
    <x v="1"/>
    <x v="1"/>
    <m/>
    <m/>
    <m/>
  </r>
  <r>
    <s v="YK262101047"/>
    <x v="0"/>
    <x v="0"/>
    <n v="1"/>
    <x v="1"/>
    <d v="2026-06-24T12:31:54"/>
    <x v="17"/>
    <x v="7"/>
    <x v="17"/>
    <s v="17IA15.95"/>
    <x v="1"/>
    <x v="1"/>
    <m/>
    <m/>
    <m/>
  </r>
  <r>
    <s v="YK262101048"/>
    <x v="0"/>
    <x v="0"/>
    <n v="1"/>
    <x v="1"/>
    <d v="2026-06-17T14:06:54"/>
    <x v="17"/>
    <x v="7"/>
    <x v="17"/>
    <s v="17IA15.95"/>
    <x v="1"/>
    <x v="1"/>
    <m/>
    <m/>
    <m/>
  </r>
  <r>
    <s v="YK262101049"/>
    <x v="0"/>
    <x v="0"/>
    <n v="1"/>
    <x v="1"/>
    <d v="2026-06-13T11:16:19"/>
    <x v="17"/>
    <x v="7"/>
    <x v="17"/>
    <s v="17IA15.95"/>
    <x v="1"/>
    <x v="1"/>
    <m/>
    <m/>
    <m/>
  </r>
  <r>
    <s v="YK262101050"/>
    <x v="0"/>
    <x v="0"/>
    <n v="1"/>
    <x v="1"/>
    <d v="2026-06-24T13:25:43"/>
    <x v="17"/>
    <x v="7"/>
    <x v="17"/>
    <s v="17IA15.95"/>
    <x v="1"/>
    <x v="1"/>
    <m/>
    <m/>
    <m/>
  </r>
  <r>
    <s v="YK262101051"/>
    <x v="0"/>
    <x v="0"/>
    <n v="1"/>
    <x v="1"/>
    <d v="2026-06-26T11:49:31"/>
    <x v="17"/>
    <x v="7"/>
    <x v="17"/>
    <s v="17IA15.95"/>
    <x v="1"/>
    <x v="1"/>
    <m/>
    <m/>
    <m/>
  </r>
  <r>
    <s v="YK262101052"/>
    <x v="0"/>
    <x v="0"/>
    <n v="1"/>
    <x v="1"/>
    <d v="2026-06-17T09:29:40"/>
    <x v="17"/>
    <x v="7"/>
    <x v="17"/>
    <s v="17IA15.95"/>
    <x v="1"/>
    <x v="1"/>
    <m/>
    <m/>
    <m/>
  </r>
  <r>
    <s v="YK262101053"/>
    <x v="0"/>
    <x v="0"/>
    <n v="1"/>
    <x v="1"/>
    <d v="2026-06-25T11:03:41"/>
    <x v="17"/>
    <x v="7"/>
    <x v="17"/>
    <s v="17IA15.95"/>
    <x v="1"/>
    <x v="1"/>
    <m/>
    <m/>
    <m/>
  </r>
  <r>
    <s v="YK262101054"/>
    <x v="0"/>
    <x v="0"/>
    <n v="1"/>
    <x v="1"/>
    <d v="2026-06-08T17:04:55"/>
    <x v="17"/>
    <x v="7"/>
    <x v="17"/>
    <s v="17IA15.95"/>
    <x v="1"/>
    <x v="1"/>
    <m/>
    <m/>
    <m/>
  </r>
  <r>
    <s v="YK262101055"/>
    <x v="0"/>
    <x v="0"/>
    <n v="1"/>
    <x v="1"/>
    <d v="2026-06-25T10:35:46"/>
    <x v="17"/>
    <x v="7"/>
    <x v="17"/>
    <s v="17IA15.95"/>
    <x v="1"/>
    <x v="1"/>
    <m/>
    <m/>
    <m/>
  </r>
  <r>
    <s v="YK262101056"/>
    <x v="0"/>
    <x v="0"/>
    <n v="1"/>
    <x v="1"/>
    <d v="2026-06-16T11:18:38"/>
    <x v="17"/>
    <x v="7"/>
    <x v="17"/>
    <s v="17IA15.95"/>
    <x v="1"/>
    <x v="1"/>
    <m/>
    <m/>
    <m/>
  </r>
  <r>
    <s v="YK262101057"/>
    <x v="0"/>
    <x v="0"/>
    <n v="1"/>
    <x v="1"/>
    <d v="2026-06-19T12:05:08"/>
    <x v="17"/>
    <x v="7"/>
    <x v="17"/>
    <s v="17IA15.95"/>
    <x v="1"/>
    <x v="1"/>
    <m/>
    <m/>
    <m/>
  </r>
  <r>
    <s v="YK262101058"/>
    <x v="0"/>
    <x v="0"/>
    <n v="1"/>
    <x v="1"/>
    <d v="2026-06-15T14:23:02"/>
    <x v="17"/>
    <x v="7"/>
    <x v="17"/>
    <s v="17IA15.95"/>
    <x v="1"/>
    <x v="1"/>
    <m/>
    <m/>
    <m/>
  </r>
  <r>
    <s v="YK262101059"/>
    <x v="2"/>
    <x v="2"/>
    <n v="1"/>
    <x v="3"/>
    <d v="2026-06-19T06:50:45"/>
    <x v="17"/>
    <x v="7"/>
    <x v="17"/>
    <s v="17IA15.95"/>
    <x v="1"/>
    <x v="1"/>
    <m/>
    <m/>
    <m/>
  </r>
  <r>
    <s v="YK262101060"/>
    <x v="0"/>
    <x v="0"/>
    <n v="1"/>
    <x v="1"/>
    <d v="2026-06-19T13:59:36"/>
    <x v="17"/>
    <x v="7"/>
    <x v="17"/>
    <s v="17IA15.95"/>
    <x v="1"/>
    <x v="1"/>
    <m/>
    <m/>
    <m/>
  </r>
  <r>
    <s v="YK262101061"/>
    <x v="0"/>
    <x v="0"/>
    <n v="1"/>
    <x v="1"/>
    <d v="2026-06-08T13:15:07"/>
    <x v="17"/>
    <x v="7"/>
    <x v="17"/>
    <s v="17IA15.95"/>
    <x v="1"/>
    <x v="1"/>
    <m/>
    <m/>
    <m/>
  </r>
  <r>
    <s v="YK262101062"/>
    <x v="1"/>
    <x v="1"/>
    <n v="1"/>
    <x v="2"/>
    <d v="2026-06-22T13:17:45"/>
    <x v="17"/>
    <x v="7"/>
    <x v="17"/>
    <s v="17IA15.95"/>
    <x v="1"/>
    <x v="1"/>
    <m/>
    <m/>
    <m/>
  </r>
  <r>
    <s v="YK262101063"/>
    <x v="1"/>
    <x v="1"/>
    <n v="1"/>
    <x v="2"/>
    <d v="2026-06-12T10:34:08"/>
    <x v="17"/>
    <x v="7"/>
    <x v="17"/>
    <s v="17IA15.95"/>
    <x v="1"/>
    <x v="1"/>
    <m/>
    <m/>
    <m/>
  </r>
  <r>
    <s v="YK262101064"/>
    <x v="0"/>
    <x v="0"/>
    <n v="1"/>
    <x v="1"/>
    <d v="2026-07-29T18:54:16"/>
    <x v="17"/>
    <x v="7"/>
    <x v="17"/>
    <s v="17IA15.95"/>
    <x v="1"/>
    <x v="1"/>
    <m/>
    <m/>
    <m/>
  </r>
  <r>
    <s v="YK262101065"/>
    <x v="8"/>
    <x v="8"/>
    <n v="1"/>
    <x v="7"/>
    <d v="2026-09-04T07:42:53"/>
    <x v="17"/>
    <x v="7"/>
    <x v="17"/>
    <s v="17IA15.95"/>
    <x v="1"/>
    <x v="1"/>
    <m/>
    <m/>
    <m/>
  </r>
  <r>
    <s v="YK262101066"/>
    <x v="0"/>
    <x v="0"/>
    <n v="1"/>
    <x v="1"/>
    <d v="2026-06-23T13:20:07"/>
    <x v="17"/>
    <x v="7"/>
    <x v="17"/>
    <s v="17IA15.95"/>
    <x v="1"/>
    <x v="1"/>
    <m/>
    <m/>
    <m/>
  </r>
  <r>
    <s v="YK262101067"/>
    <x v="0"/>
    <x v="0"/>
    <n v="1"/>
    <x v="1"/>
    <d v="2026-06-23T13:20:01"/>
    <x v="17"/>
    <x v="7"/>
    <x v="17"/>
    <s v="17IA15.95"/>
    <x v="1"/>
    <x v="1"/>
    <m/>
    <m/>
    <m/>
  </r>
  <r>
    <s v="YK262101068"/>
    <x v="3"/>
    <x v="3"/>
    <n v="1"/>
    <x v="4"/>
    <d v="2026-08-06T14:02:56"/>
    <x v="17"/>
    <x v="7"/>
    <x v="17"/>
    <s v="17IA15.95"/>
    <x v="1"/>
    <x v="1"/>
    <m/>
    <m/>
    <m/>
  </r>
  <r>
    <s v="YK262101069"/>
    <x v="0"/>
    <x v="0"/>
    <n v="1"/>
    <x v="1"/>
    <d v="2026-06-19T13:59:39"/>
    <x v="17"/>
    <x v="7"/>
    <x v="17"/>
    <s v="17IA15.95"/>
    <x v="1"/>
    <x v="1"/>
    <m/>
    <m/>
    <m/>
  </r>
  <r>
    <s v="YK262101070"/>
    <x v="0"/>
    <x v="0"/>
    <n v="1"/>
    <x v="1"/>
    <d v="2026-08-25T14:52:25"/>
    <x v="17"/>
    <x v="7"/>
    <x v="17"/>
    <s v="17IA15.95"/>
    <x v="1"/>
    <x v="1"/>
    <m/>
    <m/>
    <m/>
  </r>
  <r>
    <s v="YK262101071"/>
    <x v="0"/>
    <x v="0"/>
    <n v="1"/>
    <x v="1"/>
    <d v="2026-06-16T15:55:43"/>
    <x v="17"/>
    <x v="7"/>
    <x v="17"/>
    <s v="17IA15.95"/>
    <x v="1"/>
    <x v="1"/>
    <m/>
    <m/>
    <m/>
  </r>
  <r>
    <s v="YK262101072"/>
    <x v="1"/>
    <x v="1"/>
    <n v="1"/>
    <x v="2"/>
    <d v="2026-06-22T13:18:34"/>
    <x v="17"/>
    <x v="7"/>
    <x v="17"/>
    <s v="17IA15.95"/>
    <x v="1"/>
    <x v="1"/>
    <m/>
    <m/>
    <m/>
  </r>
  <r>
    <s v="YK262101073"/>
    <x v="1"/>
    <x v="1"/>
    <n v="1"/>
    <x v="2"/>
    <d v="2026-06-22T13:23:40"/>
    <x v="17"/>
    <x v="7"/>
    <x v="17"/>
    <s v="17IA15.95"/>
    <x v="1"/>
    <x v="1"/>
    <m/>
    <m/>
    <m/>
  </r>
  <r>
    <s v="YK262101074"/>
    <x v="1"/>
    <x v="1"/>
    <n v="1"/>
    <x v="2"/>
    <d v="2026-06-22T13:18:05"/>
    <x v="17"/>
    <x v="7"/>
    <x v="17"/>
    <s v="17IA15.95"/>
    <x v="1"/>
    <x v="1"/>
    <m/>
    <m/>
    <m/>
  </r>
  <r>
    <s v="YK262101075"/>
    <x v="0"/>
    <x v="0"/>
    <n v="1"/>
    <x v="1"/>
    <d v="2026-06-24T12:32:08"/>
    <x v="17"/>
    <x v="7"/>
    <x v="17"/>
    <s v="17IA15.95"/>
    <x v="1"/>
    <x v="1"/>
    <m/>
    <m/>
    <m/>
  </r>
  <r>
    <s v="YK262101076"/>
    <x v="0"/>
    <x v="0"/>
    <n v="1"/>
    <x v="1"/>
    <d v="2026-06-17T14:06:21"/>
    <x v="17"/>
    <x v="7"/>
    <x v="17"/>
    <s v="17IA15.95"/>
    <x v="1"/>
    <x v="1"/>
    <m/>
    <m/>
    <m/>
  </r>
  <r>
    <s v="YK262101077"/>
    <x v="0"/>
    <x v="0"/>
    <n v="1"/>
    <x v="1"/>
    <d v="2026-06-17T11:41:22"/>
    <x v="17"/>
    <x v="7"/>
    <x v="17"/>
    <s v="17IA15.95"/>
    <x v="1"/>
    <x v="1"/>
    <m/>
    <m/>
    <m/>
  </r>
  <r>
    <s v="YK262101078"/>
    <x v="0"/>
    <x v="0"/>
    <n v="1"/>
    <x v="1"/>
    <d v="2026-06-24T12:31:44"/>
    <x v="17"/>
    <x v="7"/>
    <x v="17"/>
    <s v="17IA15.95"/>
    <x v="1"/>
    <x v="1"/>
    <m/>
    <m/>
    <m/>
  </r>
  <r>
    <s v="YK262101079"/>
    <x v="0"/>
    <x v="0"/>
    <n v="1"/>
    <x v="1"/>
    <d v="2026-06-17T11:41:27"/>
    <x v="17"/>
    <x v="7"/>
    <x v="17"/>
    <s v="17IA15.95"/>
    <x v="1"/>
    <x v="1"/>
    <m/>
    <m/>
    <m/>
  </r>
  <r>
    <s v="YK262101080"/>
    <x v="0"/>
    <x v="0"/>
    <n v="1"/>
    <x v="1"/>
    <d v="2026-06-17T09:29:42"/>
    <x v="17"/>
    <x v="7"/>
    <x v="17"/>
    <s v="17IA15.95"/>
    <x v="1"/>
    <x v="1"/>
    <m/>
    <m/>
    <m/>
  </r>
  <r>
    <s v="YK262101081"/>
    <x v="0"/>
    <x v="0"/>
    <n v="1"/>
    <x v="1"/>
    <d v="2026-06-25T11:03:45"/>
    <x v="17"/>
    <x v="7"/>
    <x v="17"/>
    <s v="17IA15.95"/>
    <x v="1"/>
    <x v="1"/>
    <m/>
    <m/>
    <m/>
  </r>
  <r>
    <s v="YK262101082"/>
    <x v="0"/>
    <x v="0"/>
    <n v="1"/>
    <x v="1"/>
    <d v="2026-06-17T09:29:47"/>
    <x v="17"/>
    <x v="7"/>
    <x v="17"/>
    <s v="17IA15.95"/>
    <x v="1"/>
    <x v="1"/>
    <m/>
    <m/>
    <m/>
  </r>
  <r>
    <s v="YK262101083"/>
    <x v="0"/>
    <x v="0"/>
    <n v="1"/>
    <x v="1"/>
    <d v="2026-06-17T14:06:46"/>
    <x v="17"/>
    <x v="7"/>
    <x v="17"/>
    <s v="17IA15.95"/>
    <x v="1"/>
    <x v="1"/>
    <m/>
    <m/>
    <m/>
  </r>
  <r>
    <s v="YK262101084"/>
    <x v="0"/>
    <x v="0"/>
    <n v="1"/>
    <x v="1"/>
    <d v="2026-07-02T09:09:29"/>
    <x v="17"/>
    <x v="7"/>
    <x v="17"/>
    <s v="17IA15.95"/>
    <x v="1"/>
    <x v="1"/>
    <m/>
    <m/>
    <m/>
  </r>
  <r>
    <s v="YK262101085"/>
    <x v="0"/>
    <x v="0"/>
    <n v="1"/>
    <x v="1"/>
    <d v="2026-06-24T13:25:52"/>
    <x v="17"/>
    <x v="7"/>
    <x v="17"/>
    <s v="17IA15.95"/>
    <x v="1"/>
    <x v="1"/>
    <m/>
    <m/>
    <m/>
  </r>
  <r>
    <s v="YK262100005"/>
    <x v="0"/>
    <x v="0"/>
    <n v="1"/>
    <x v="1"/>
    <d v="2026-06-17T14:06:59"/>
    <x v="18"/>
    <x v="8"/>
    <x v="18"/>
    <s v="17IA15.96"/>
    <x v="1"/>
    <x v="1"/>
    <m/>
    <m/>
    <m/>
  </r>
  <r>
    <s v="YK262100006"/>
    <x v="1"/>
    <x v="1"/>
    <n v="1"/>
    <x v="2"/>
    <d v="2026-06-22T13:12:53"/>
    <x v="18"/>
    <x v="8"/>
    <x v="18"/>
    <s v="17IA15.96"/>
    <x v="1"/>
    <x v="1"/>
    <m/>
    <m/>
    <m/>
  </r>
  <r>
    <s v="YK262100007"/>
    <x v="0"/>
    <x v="0"/>
    <n v="1"/>
    <x v="1"/>
    <d v="2026-08-05T08:52:47"/>
    <x v="18"/>
    <x v="8"/>
    <x v="18"/>
    <s v="17IA15.96"/>
    <x v="1"/>
    <x v="1"/>
    <m/>
    <m/>
    <m/>
  </r>
  <r>
    <s v="YK262100008"/>
    <x v="0"/>
    <x v="0"/>
    <n v="1"/>
    <x v="1"/>
    <d v="2026-08-05T08:52:39"/>
    <x v="18"/>
    <x v="8"/>
    <x v="18"/>
    <s v="17IA15.96"/>
    <x v="1"/>
    <x v="1"/>
    <m/>
    <m/>
    <m/>
  </r>
  <r>
    <s v="YK262100009"/>
    <x v="0"/>
    <x v="0"/>
    <n v="1"/>
    <x v="1"/>
    <d v="2026-07-15T13:51:12"/>
    <x v="18"/>
    <x v="8"/>
    <x v="18"/>
    <s v="17IA15.96"/>
    <x v="1"/>
    <x v="1"/>
    <m/>
    <m/>
    <m/>
  </r>
  <r>
    <s v="YK262100010"/>
    <x v="0"/>
    <x v="0"/>
    <n v="1"/>
    <x v="1"/>
    <d v="2026-06-16T11:19:04"/>
    <x v="18"/>
    <x v="8"/>
    <x v="18"/>
    <s v="17IA15.96"/>
    <x v="1"/>
    <x v="1"/>
    <m/>
    <m/>
    <m/>
  </r>
  <r>
    <s v="YK262100011"/>
    <x v="3"/>
    <x v="3"/>
    <n v="1"/>
    <x v="4"/>
    <d v="2026-08-13T07:30:48"/>
    <x v="18"/>
    <x v="8"/>
    <x v="18"/>
    <s v="17IA15.96"/>
    <x v="1"/>
    <x v="1"/>
    <m/>
    <m/>
    <m/>
  </r>
  <r>
    <s v="YK262100012"/>
    <x v="0"/>
    <x v="0"/>
    <n v="1"/>
    <x v="1"/>
    <d v="2026-06-24T13:30:05"/>
    <x v="18"/>
    <x v="8"/>
    <x v="18"/>
    <s v="17IA15.96"/>
    <x v="1"/>
    <x v="1"/>
    <m/>
    <m/>
    <m/>
  </r>
  <r>
    <s v="YK262100013"/>
    <x v="0"/>
    <x v="0"/>
    <n v="1"/>
    <x v="1"/>
    <d v="2026-06-13T06:27:06"/>
    <x v="18"/>
    <x v="8"/>
    <x v="18"/>
    <s v="17IA15.96"/>
    <x v="1"/>
    <x v="1"/>
    <m/>
    <m/>
    <m/>
  </r>
  <r>
    <s v="YK262100014"/>
    <x v="0"/>
    <x v="0"/>
    <n v="1"/>
    <x v="1"/>
    <d v="2026-06-23T15:26:35"/>
    <x v="18"/>
    <x v="8"/>
    <x v="18"/>
    <s v="17IA15.96"/>
    <x v="1"/>
    <x v="1"/>
    <m/>
    <m/>
    <m/>
  </r>
  <r>
    <s v="YK262100015"/>
    <x v="0"/>
    <x v="0"/>
    <n v="1"/>
    <x v="1"/>
    <d v="2026-06-10T10:46:56"/>
    <x v="18"/>
    <x v="8"/>
    <x v="18"/>
    <s v="17IA15.96"/>
    <x v="1"/>
    <x v="1"/>
    <m/>
    <m/>
    <m/>
  </r>
  <r>
    <s v="YK262100016"/>
    <x v="0"/>
    <x v="0"/>
    <n v="1"/>
    <x v="1"/>
    <d v="2026-06-24T12:31:28"/>
    <x v="18"/>
    <x v="8"/>
    <x v="18"/>
    <s v="17IA15.96"/>
    <x v="1"/>
    <x v="1"/>
    <m/>
    <m/>
    <m/>
  </r>
  <r>
    <s v="YK262100017"/>
    <x v="0"/>
    <x v="0"/>
    <n v="1"/>
    <x v="1"/>
    <d v="2026-06-10T14:12:03"/>
    <x v="18"/>
    <x v="8"/>
    <x v="18"/>
    <s v="17IA15.96"/>
    <x v="1"/>
    <x v="1"/>
    <m/>
    <m/>
    <m/>
  </r>
  <r>
    <s v="YK262100018"/>
    <x v="0"/>
    <x v="0"/>
    <n v="1"/>
    <x v="1"/>
    <d v="2026-06-11T13:57:08"/>
    <x v="18"/>
    <x v="8"/>
    <x v="18"/>
    <s v="17IA15.96"/>
    <x v="1"/>
    <x v="1"/>
    <m/>
    <m/>
    <m/>
  </r>
  <r>
    <s v="YK262100019"/>
    <x v="0"/>
    <x v="0"/>
    <n v="1"/>
    <x v="1"/>
    <d v="2026-06-25T11:03:28"/>
    <x v="18"/>
    <x v="8"/>
    <x v="18"/>
    <s v="17IA15.96"/>
    <x v="1"/>
    <x v="1"/>
    <m/>
    <m/>
    <m/>
  </r>
  <r>
    <s v="YK262100020"/>
    <x v="0"/>
    <x v="0"/>
    <n v="1"/>
    <x v="1"/>
    <d v="2026-06-25T10:36:11"/>
    <x v="18"/>
    <x v="8"/>
    <x v="18"/>
    <s v="17IA15.96"/>
    <x v="1"/>
    <x v="1"/>
    <m/>
    <m/>
    <m/>
  </r>
  <r>
    <s v="YK262100021"/>
    <x v="0"/>
    <x v="0"/>
    <n v="1"/>
    <x v="1"/>
    <d v="2026-06-08T17:03:48"/>
    <x v="18"/>
    <x v="8"/>
    <x v="18"/>
    <s v="17IA15.96"/>
    <x v="1"/>
    <x v="1"/>
    <m/>
    <m/>
    <m/>
  </r>
  <r>
    <s v="YK262100022"/>
    <x v="0"/>
    <x v="0"/>
    <n v="1"/>
    <x v="1"/>
    <d v="2026-06-16T11:19:09"/>
    <x v="18"/>
    <x v="8"/>
    <x v="18"/>
    <s v="17IA15.96"/>
    <x v="1"/>
    <x v="1"/>
    <m/>
    <m/>
    <m/>
  </r>
  <r>
    <s v="YK262100023"/>
    <x v="0"/>
    <x v="0"/>
    <n v="1"/>
    <x v="1"/>
    <d v="2026-06-25T11:03:24"/>
    <x v="18"/>
    <x v="8"/>
    <x v="18"/>
    <s v="17IA15.96"/>
    <x v="1"/>
    <x v="1"/>
    <m/>
    <m/>
    <m/>
  </r>
  <r>
    <s v="YK262100024"/>
    <x v="0"/>
    <x v="0"/>
    <n v="1"/>
    <x v="1"/>
    <d v="2026-06-25T10:53:23"/>
    <x v="18"/>
    <x v="8"/>
    <x v="18"/>
    <s v="17IA15.96"/>
    <x v="1"/>
    <x v="1"/>
    <m/>
    <m/>
    <m/>
  </r>
  <r>
    <s v="YK262100025"/>
    <x v="0"/>
    <x v="0"/>
    <n v="1"/>
    <x v="1"/>
    <d v="2026-06-10T17:14:58"/>
    <x v="18"/>
    <x v="8"/>
    <x v="18"/>
    <s v="17IA15.96"/>
    <x v="1"/>
    <x v="1"/>
    <m/>
    <m/>
    <m/>
  </r>
  <r>
    <s v="YK262100026"/>
    <x v="0"/>
    <x v="0"/>
    <n v="1"/>
    <x v="1"/>
    <d v="2026-06-25T11:03:52"/>
    <x v="18"/>
    <x v="8"/>
    <x v="18"/>
    <s v="17IA15.96"/>
    <x v="1"/>
    <x v="1"/>
    <m/>
    <m/>
    <m/>
  </r>
  <r>
    <s v="YK262100027"/>
    <x v="3"/>
    <x v="3"/>
    <n v="1"/>
    <x v="4"/>
    <d v="2026-08-06T16:28:51"/>
    <x v="18"/>
    <x v="8"/>
    <x v="18"/>
    <s v="17IA15.96"/>
    <x v="1"/>
    <x v="1"/>
    <m/>
    <m/>
    <m/>
  </r>
  <r>
    <s v="YK262100028"/>
    <x v="0"/>
    <x v="0"/>
    <n v="1"/>
    <x v="1"/>
    <d v="2026-07-23T06:15:27"/>
    <x v="18"/>
    <x v="8"/>
    <x v="18"/>
    <s v="17IA15.96"/>
    <x v="1"/>
    <x v="1"/>
    <m/>
    <m/>
    <m/>
  </r>
  <r>
    <s v="YK262100029"/>
    <x v="0"/>
    <x v="0"/>
    <n v="1"/>
    <x v="1"/>
    <d v="2026-06-23T13:19:47"/>
    <x v="18"/>
    <x v="8"/>
    <x v="18"/>
    <s v="17IA15.96"/>
    <x v="1"/>
    <x v="1"/>
    <m/>
    <m/>
    <m/>
  </r>
  <r>
    <s v="YK262100030"/>
    <x v="0"/>
    <x v="0"/>
    <n v="1"/>
    <x v="1"/>
    <d v="2026-06-13T06:24:49"/>
    <x v="18"/>
    <x v="8"/>
    <x v="18"/>
    <s v="17IA15.96"/>
    <x v="1"/>
    <x v="1"/>
    <m/>
    <m/>
    <m/>
  </r>
  <r>
    <s v="YK262100031"/>
    <x v="0"/>
    <x v="0"/>
    <n v="1"/>
    <x v="1"/>
    <d v="2026-06-19T12:05:13"/>
    <x v="18"/>
    <x v="8"/>
    <x v="18"/>
    <s v="17IA15.96"/>
    <x v="1"/>
    <x v="1"/>
    <m/>
    <m/>
    <m/>
  </r>
  <r>
    <s v="YK262100032"/>
    <x v="0"/>
    <x v="0"/>
    <n v="1"/>
    <x v="1"/>
    <d v="2026-06-10T17:15:12"/>
    <x v="18"/>
    <x v="8"/>
    <x v="18"/>
    <s v="17IA15.96"/>
    <x v="1"/>
    <x v="1"/>
    <m/>
    <m/>
    <m/>
  </r>
  <r>
    <s v="YK262100033"/>
    <x v="0"/>
    <x v="0"/>
    <n v="1"/>
    <x v="1"/>
    <d v="2026-06-10T10:44:33"/>
    <x v="18"/>
    <x v="8"/>
    <x v="18"/>
    <s v="17IA15.96"/>
    <x v="1"/>
    <x v="1"/>
    <m/>
    <m/>
    <m/>
  </r>
  <r>
    <s v="YK262100034"/>
    <x v="0"/>
    <x v="0"/>
    <n v="1"/>
    <x v="1"/>
    <d v="2026-06-24T12:32:20"/>
    <x v="18"/>
    <x v="8"/>
    <x v="18"/>
    <s v="17IA15.96"/>
    <x v="1"/>
    <x v="1"/>
    <m/>
    <d v="2026-06-23T00:00:00"/>
    <m/>
  </r>
  <r>
    <s v="YK262100035"/>
    <x v="3"/>
    <x v="3"/>
    <n v="1"/>
    <x v="4"/>
    <d v="2026-07-21T13:37:34"/>
    <x v="18"/>
    <x v="8"/>
    <x v="18"/>
    <s v="17IA15.96"/>
    <x v="1"/>
    <x v="1"/>
    <m/>
    <m/>
    <m/>
  </r>
  <r>
    <s v="YK262100036"/>
    <x v="3"/>
    <x v="3"/>
    <n v="1"/>
    <x v="4"/>
    <d v="2026-08-17T17:33:33"/>
    <x v="18"/>
    <x v="8"/>
    <x v="18"/>
    <s v="17IA15.96"/>
    <x v="1"/>
    <x v="1"/>
    <m/>
    <m/>
    <m/>
  </r>
  <r>
    <s v="YK262100037"/>
    <x v="0"/>
    <x v="0"/>
    <n v="1"/>
    <x v="1"/>
    <d v="2026-06-19T12:04:31"/>
    <x v="18"/>
    <x v="8"/>
    <x v="18"/>
    <s v="17IA15.96"/>
    <x v="1"/>
    <x v="1"/>
    <m/>
    <m/>
    <m/>
  </r>
  <r>
    <s v="YK262100038"/>
    <x v="0"/>
    <x v="0"/>
    <n v="1"/>
    <x v="1"/>
    <d v="2026-06-24T13:26:00"/>
    <x v="18"/>
    <x v="8"/>
    <x v="18"/>
    <s v="17IA15.96"/>
    <x v="1"/>
    <x v="1"/>
    <m/>
    <m/>
    <m/>
  </r>
  <r>
    <s v="YK262100039"/>
    <x v="0"/>
    <x v="0"/>
    <n v="1"/>
    <x v="1"/>
    <d v="2026-06-17T14:06:18"/>
    <x v="18"/>
    <x v="8"/>
    <x v="18"/>
    <s v="17IA15.96"/>
    <x v="1"/>
    <x v="1"/>
    <m/>
    <m/>
    <m/>
  </r>
  <r>
    <s v="YK262100040"/>
    <x v="0"/>
    <x v="0"/>
    <n v="1"/>
    <x v="1"/>
    <d v="2026-06-11T07:59:21"/>
    <x v="18"/>
    <x v="8"/>
    <x v="18"/>
    <s v="17IA15.96"/>
    <x v="1"/>
    <x v="1"/>
    <m/>
    <m/>
    <m/>
  </r>
  <r>
    <s v="YK262100041"/>
    <x v="0"/>
    <x v="0"/>
    <n v="1"/>
    <x v="1"/>
    <d v="2026-06-06T11:59:16"/>
    <x v="18"/>
    <x v="8"/>
    <x v="18"/>
    <s v="17IA15.96"/>
    <x v="1"/>
    <x v="1"/>
    <m/>
    <m/>
    <m/>
  </r>
  <r>
    <s v="YK262100042"/>
    <x v="0"/>
    <x v="0"/>
    <n v="1"/>
    <x v="1"/>
    <d v="2026-06-24T13:30:03"/>
    <x v="18"/>
    <x v="8"/>
    <x v="18"/>
    <s v="17IA15.96"/>
    <x v="1"/>
    <x v="1"/>
    <m/>
    <m/>
    <m/>
  </r>
  <r>
    <s v="YK262100043"/>
    <x v="0"/>
    <x v="0"/>
    <n v="1"/>
    <x v="1"/>
    <d v="2026-06-25T10:53:28"/>
    <x v="18"/>
    <x v="8"/>
    <x v="18"/>
    <s v="17IA15.96"/>
    <x v="1"/>
    <x v="1"/>
    <m/>
    <m/>
    <m/>
  </r>
  <r>
    <s v="YK262100044"/>
    <x v="0"/>
    <x v="0"/>
    <n v="1"/>
    <x v="1"/>
    <d v="2026-06-16T13:47:27"/>
    <x v="18"/>
    <x v="8"/>
    <x v="18"/>
    <s v="17IA15.96"/>
    <x v="1"/>
    <x v="1"/>
    <m/>
    <m/>
    <m/>
  </r>
  <r>
    <s v="YK262100045"/>
    <x v="0"/>
    <x v="0"/>
    <n v="1"/>
    <x v="1"/>
    <d v="2026-06-11T06:52:50"/>
    <x v="18"/>
    <x v="8"/>
    <x v="18"/>
    <s v="17IA15.96"/>
    <x v="1"/>
    <x v="1"/>
    <m/>
    <m/>
    <m/>
  </r>
  <r>
    <s v="YK262100046"/>
    <x v="0"/>
    <x v="0"/>
    <n v="1"/>
    <x v="1"/>
    <d v="2026-08-05T11:47:24"/>
    <x v="18"/>
    <x v="8"/>
    <x v="18"/>
    <s v="17IA15.96"/>
    <x v="1"/>
    <x v="1"/>
    <m/>
    <m/>
    <m/>
  </r>
  <r>
    <s v="YK262100047"/>
    <x v="9"/>
    <x v="9"/>
    <n v="1"/>
    <x v="3"/>
    <d v="2026-06-02T07:40:31"/>
    <x v="18"/>
    <x v="8"/>
    <x v="18"/>
    <s v="17IA15.96"/>
    <x v="1"/>
    <x v="1"/>
    <m/>
    <m/>
    <m/>
  </r>
  <r>
    <s v="YK262100048"/>
    <x v="0"/>
    <x v="0"/>
    <n v="1"/>
    <x v="1"/>
    <d v="2026-06-16T15:20:10"/>
    <x v="18"/>
    <x v="8"/>
    <x v="18"/>
    <s v="17IA15.96"/>
    <x v="1"/>
    <x v="1"/>
    <m/>
    <m/>
    <m/>
  </r>
  <r>
    <s v="YK262100049"/>
    <x v="3"/>
    <x v="3"/>
    <n v="1"/>
    <x v="4"/>
    <d v="2026-08-04T15:11:22"/>
    <x v="18"/>
    <x v="8"/>
    <x v="18"/>
    <s v="17IA15.96"/>
    <x v="1"/>
    <x v="1"/>
    <m/>
    <m/>
    <m/>
  </r>
  <r>
    <s v="YK262100050"/>
    <x v="0"/>
    <x v="0"/>
    <n v="1"/>
    <x v="1"/>
    <d v="2026-06-05T12:13:50"/>
    <x v="18"/>
    <x v="8"/>
    <x v="18"/>
    <s v="17IA15.96"/>
    <x v="1"/>
    <x v="1"/>
    <m/>
    <m/>
    <m/>
  </r>
  <r>
    <s v="YK262100051"/>
    <x v="0"/>
    <x v="0"/>
    <n v="1"/>
    <x v="1"/>
    <d v="2026-06-24T13:30:26"/>
    <x v="18"/>
    <x v="8"/>
    <x v="18"/>
    <s v="17IA15.96"/>
    <x v="1"/>
    <x v="1"/>
    <m/>
    <m/>
    <m/>
  </r>
  <r>
    <s v="YK262100052"/>
    <x v="0"/>
    <x v="0"/>
    <n v="1"/>
    <x v="1"/>
    <d v="2026-06-06T11:56:38"/>
    <x v="18"/>
    <x v="8"/>
    <x v="18"/>
    <s v="17IA15.96"/>
    <x v="1"/>
    <x v="1"/>
    <m/>
    <m/>
    <m/>
  </r>
  <r>
    <s v="YK262100053"/>
    <x v="0"/>
    <x v="0"/>
    <n v="1"/>
    <x v="1"/>
    <d v="2026-06-17T14:06:12"/>
    <x v="18"/>
    <x v="8"/>
    <x v="18"/>
    <s v="17IA15.96"/>
    <x v="1"/>
    <x v="1"/>
    <m/>
    <m/>
    <m/>
  </r>
  <r>
    <s v="YK262100054"/>
    <x v="0"/>
    <x v="0"/>
    <n v="1"/>
    <x v="1"/>
    <d v="2026-06-25T10:53:54"/>
    <x v="18"/>
    <x v="8"/>
    <x v="18"/>
    <s v="17IA15.96"/>
    <x v="1"/>
    <x v="1"/>
    <m/>
    <m/>
    <m/>
  </r>
  <r>
    <s v="YK262100055"/>
    <x v="4"/>
    <x v="4"/>
    <n v="1"/>
    <x v="5"/>
    <d v="2026-08-11T08:30:17"/>
    <x v="18"/>
    <x v="8"/>
    <x v="18"/>
    <s v="17IA15.96"/>
    <x v="1"/>
    <x v="1"/>
    <m/>
    <d v="2026-06-23T00:00:00"/>
    <m/>
  </r>
  <r>
    <s v="YK262100056"/>
    <x v="0"/>
    <x v="0"/>
    <n v="1"/>
    <x v="1"/>
    <d v="2026-06-08T17:06:15"/>
    <x v="18"/>
    <x v="8"/>
    <x v="18"/>
    <s v="17IA15.96"/>
    <x v="1"/>
    <x v="1"/>
    <m/>
    <m/>
    <m/>
  </r>
  <r>
    <s v="YK262100057"/>
    <x v="12"/>
    <x v="12"/>
    <n v="1"/>
    <x v="3"/>
    <d v="2026-06-24T07:41:04"/>
    <x v="18"/>
    <x v="8"/>
    <x v="18"/>
    <s v="17IA15.96"/>
    <x v="1"/>
    <x v="1"/>
    <m/>
    <m/>
    <m/>
  </r>
  <r>
    <s v="YK262100058"/>
    <x v="0"/>
    <x v="0"/>
    <n v="1"/>
    <x v="1"/>
    <d v="2026-06-25T10:53:49"/>
    <x v="18"/>
    <x v="8"/>
    <x v="18"/>
    <s v="17IA15.96"/>
    <x v="1"/>
    <x v="1"/>
    <m/>
    <m/>
    <m/>
  </r>
  <r>
    <s v="YK262100059"/>
    <x v="0"/>
    <x v="0"/>
    <n v="1"/>
    <x v="1"/>
    <d v="2026-06-24T13:25:25"/>
    <x v="18"/>
    <x v="8"/>
    <x v="18"/>
    <s v="17IA15.96"/>
    <x v="1"/>
    <x v="1"/>
    <m/>
    <m/>
    <m/>
  </r>
  <r>
    <s v="YK262100060"/>
    <x v="0"/>
    <x v="0"/>
    <n v="1"/>
    <x v="1"/>
    <d v="2026-06-23T13:20:10"/>
    <x v="18"/>
    <x v="8"/>
    <x v="18"/>
    <s v="17IA15.96"/>
    <x v="1"/>
    <x v="1"/>
    <m/>
    <m/>
    <m/>
  </r>
  <r>
    <s v="YK262100061"/>
    <x v="0"/>
    <x v="0"/>
    <n v="1"/>
    <x v="1"/>
    <d v="2026-07-27T07:51:16"/>
    <x v="18"/>
    <x v="8"/>
    <x v="18"/>
    <s v="17IA15.96"/>
    <x v="1"/>
    <x v="1"/>
    <m/>
    <m/>
    <m/>
  </r>
  <r>
    <s v="YK262100062"/>
    <x v="0"/>
    <x v="0"/>
    <n v="1"/>
    <x v="1"/>
    <d v="2026-08-27T12:20:38"/>
    <x v="18"/>
    <x v="8"/>
    <x v="18"/>
    <s v="17IA15.96"/>
    <x v="1"/>
    <x v="1"/>
    <m/>
    <m/>
    <m/>
  </r>
  <r>
    <s v="YK262100063"/>
    <x v="0"/>
    <x v="0"/>
    <n v="1"/>
    <x v="1"/>
    <d v="2026-06-24T12:32:14"/>
    <x v="18"/>
    <x v="8"/>
    <x v="18"/>
    <s v="17IA15.96"/>
    <x v="1"/>
    <x v="1"/>
    <m/>
    <m/>
    <m/>
  </r>
  <r>
    <s v="YK262100064"/>
    <x v="0"/>
    <x v="0"/>
    <n v="1"/>
    <x v="1"/>
    <d v="2026-06-06T11:55:42"/>
    <x v="18"/>
    <x v="8"/>
    <x v="18"/>
    <s v="17IA15.96"/>
    <x v="1"/>
    <x v="1"/>
    <m/>
    <m/>
    <m/>
  </r>
  <r>
    <s v="YK262100065"/>
    <x v="0"/>
    <x v="0"/>
    <n v="1"/>
    <x v="1"/>
    <d v="2026-06-24T13:25:30"/>
    <x v="18"/>
    <x v="8"/>
    <x v="18"/>
    <s v="17IA15.96"/>
    <x v="1"/>
    <x v="1"/>
    <m/>
    <d v="2026-06-23T00:00:00"/>
    <m/>
  </r>
  <r>
    <s v="YK262100066"/>
    <x v="0"/>
    <x v="0"/>
    <n v="1"/>
    <x v="1"/>
    <d v="2026-06-23T13:20:20"/>
    <x v="18"/>
    <x v="8"/>
    <x v="18"/>
    <s v="17IA15.96"/>
    <x v="1"/>
    <x v="1"/>
    <m/>
    <m/>
    <m/>
  </r>
  <r>
    <s v="YK262100067"/>
    <x v="0"/>
    <x v="0"/>
    <n v="1"/>
    <x v="1"/>
    <d v="2026-06-10T06:26:47"/>
    <x v="18"/>
    <x v="8"/>
    <x v="18"/>
    <s v="17IA15.96"/>
    <x v="1"/>
    <x v="1"/>
    <m/>
    <m/>
    <m/>
  </r>
  <r>
    <s v="YK262100068"/>
    <x v="0"/>
    <x v="0"/>
    <n v="1"/>
    <x v="1"/>
    <d v="2026-06-06T11:58:59"/>
    <x v="18"/>
    <x v="8"/>
    <x v="18"/>
    <s v="17IA15.96"/>
    <x v="1"/>
    <x v="1"/>
    <m/>
    <m/>
    <m/>
  </r>
  <r>
    <s v="YK262100069"/>
    <x v="0"/>
    <x v="0"/>
    <n v="1"/>
    <x v="1"/>
    <d v="2026-06-13T06:26:54"/>
    <x v="18"/>
    <x v="8"/>
    <x v="18"/>
    <s v="17IA15.96"/>
    <x v="1"/>
    <x v="1"/>
    <m/>
    <m/>
    <m/>
  </r>
  <r>
    <s v="YK262100070"/>
    <x v="0"/>
    <x v="0"/>
    <n v="1"/>
    <x v="1"/>
    <d v="2026-06-10T14:12:48"/>
    <x v="18"/>
    <x v="8"/>
    <x v="18"/>
    <s v="17IA15.96"/>
    <x v="1"/>
    <x v="1"/>
    <m/>
    <m/>
    <m/>
  </r>
  <r>
    <s v="YK262100071"/>
    <x v="0"/>
    <x v="0"/>
    <n v="1"/>
    <x v="1"/>
    <d v="2026-06-26T12:27:50"/>
    <x v="18"/>
    <x v="8"/>
    <x v="18"/>
    <s v="17IA15.96"/>
    <x v="1"/>
    <x v="1"/>
    <m/>
    <m/>
    <m/>
  </r>
  <r>
    <s v="YK262100072"/>
    <x v="0"/>
    <x v="0"/>
    <n v="1"/>
    <x v="1"/>
    <d v="2026-06-23T15:26:23"/>
    <x v="18"/>
    <x v="8"/>
    <x v="18"/>
    <s v="17IA15.96"/>
    <x v="1"/>
    <x v="1"/>
    <m/>
    <m/>
    <m/>
  </r>
  <r>
    <s v="YK262100073"/>
    <x v="0"/>
    <x v="0"/>
    <n v="1"/>
    <x v="1"/>
    <d v="2026-06-11T06:53:04"/>
    <x v="18"/>
    <x v="8"/>
    <x v="18"/>
    <s v="17IA15.96"/>
    <x v="1"/>
    <x v="1"/>
    <m/>
    <m/>
    <m/>
  </r>
  <r>
    <s v="YK262100074"/>
    <x v="0"/>
    <x v="0"/>
    <n v="1"/>
    <x v="1"/>
    <d v="2026-06-16T15:20:20"/>
    <x v="18"/>
    <x v="8"/>
    <x v="18"/>
    <s v="17IA15.96"/>
    <x v="1"/>
    <x v="1"/>
    <m/>
    <m/>
    <m/>
  </r>
  <r>
    <s v="YK262100075"/>
    <x v="0"/>
    <x v="0"/>
    <n v="1"/>
    <x v="1"/>
    <d v="2026-06-16T11:18:32"/>
    <x v="18"/>
    <x v="8"/>
    <x v="18"/>
    <s v="17IA15.96"/>
    <x v="1"/>
    <x v="1"/>
    <m/>
    <m/>
    <m/>
  </r>
  <r>
    <s v="YK262100076"/>
    <x v="1"/>
    <x v="1"/>
    <n v="1"/>
    <x v="2"/>
    <d v="2026-06-22T13:16:00"/>
    <x v="18"/>
    <x v="8"/>
    <x v="18"/>
    <s v="17IA15.96"/>
    <x v="1"/>
    <x v="1"/>
    <m/>
    <m/>
    <m/>
  </r>
  <r>
    <s v="YK262100077"/>
    <x v="0"/>
    <x v="0"/>
    <n v="1"/>
    <x v="1"/>
    <d v="2026-06-24T13:30:29"/>
    <x v="18"/>
    <x v="8"/>
    <x v="18"/>
    <s v="17IA15.96"/>
    <x v="1"/>
    <x v="1"/>
    <m/>
    <m/>
    <m/>
  </r>
  <r>
    <s v="YK262100078"/>
    <x v="0"/>
    <x v="0"/>
    <n v="1"/>
    <x v="1"/>
    <d v="2026-06-19T12:05:20"/>
    <x v="18"/>
    <x v="8"/>
    <x v="18"/>
    <s v="17IA15.96"/>
    <x v="1"/>
    <x v="1"/>
    <m/>
    <m/>
    <m/>
  </r>
  <r>
    <s v="YK262100079"/>
    <x v="0"/>
    <x v="0"/>
    <n v="1"/>
    <x v="1"/>
    <d v="2026-06-25T11:03:56"/>
    <x v="18"/>
    <x v="8"/>
    <x v="18"/>
    <s v="17IA15.96"/>
    <x v="1"/>
    <x v="1"/>
    <m/>
    <m/>
    <m/>
  </r>
  <r>
    <s v="YK262100080"/>
    <x v="0"/>
    <x v="0"/>
    <n v="1"/>
    <x v="1"/>
    <d v="2026-06-08T13:12:27"/>
    <x v="18"/>
    <x v="8"/>
    <x v="18"/>
    <s v="17IA15.96"/>
    <x v="1"/>
    <x v="1"/>
    <m/>
    <m/>
    <m/>
  </r>
  <r>
    <s v="YK262100081"/>
    <x v="0"/>
    <x v="0"/>
    <n v="1"/>
    <x v="1"/>
    <d v="2026-06-08T17:06:31"/>
    <x v="18"/>
    <x v="8"/>
    <x v="18"/>
    <s v="17IA15.96"/>
    <x v="1"/>
    <x v="1"/>
    <m/>
    <m/>
    <m/>
  </r>
  <r>
    <s v="YK262100082"/>
    <x v="0"/>
    <x v="0"/>
    <n v="1"/>
    <x v="1"/>
    <d v="2026-06-08T13:15:29"/>
    <x v="18"/>
    <x v="8"/>
    <x v="18"/>
    <s v="17IA15.96"/>
    <x v="1"/>
    <x v="1"/>
    <m/>
    <m/>
    <m/>
  </r>
  <r>
    <s v="YK262100083"/>
    <x v="0"/>
    <x v="0"/>
    <n v="1"/>
    <x v="1"/>
    <d v="2026-06-05T12:16:22"/>
    <x v="18"/>
    <x v="8"/>
    <x v="18"/>
    <s v="17IA15.96"/>
    <x v="1"/>
    <x v="1"/>
    <m/>
    <m/>
    <m/>
  </r>
  <r>
    <s v="YK262100084"/>
    <x v="0"/>
    <x v="0"/>
    <n v="1"/>
    <x v="1"/>
    <d v="2026-06-08T13:13:00"/>
    <x v="18"/>
    <x v="8"/>
    <x v="18"/>
    <s v="17IA15.96"/>
    <x v="1"/>
    <x v="1"/>
    <m/>
    <m/>
    <m/>
  </r>
  <r>
    <s v="YK262100085"/>
    <x v="0"/>
    <x v="0"/>
    <n v="1"/>
    <x v="1"/>
    <d v="2026-06-05T12:16:43"/>
    <x v="18"/>
    <x v="8"/>
    <x v="18"/>
    <s v="17IA15.96"/>
    <x v="1"/>
    <x v="1"/>
    <m/>
    <m/>
    <m/>
  </r>
  <r>
    <s v="YK262100086"/>
    <x v="0"/>
    <x v="0"/>
    <n v="1"/>
    <x v="1"/>
    <d v="2026-07-27T07:51:49"/>
    <x v="18"/>
    <x v="8"/>
    <x v="18"/>
    <s v="17IA15.96"/>
    <x v="1"/>
    <x v="1"/>
    <m/>
    <m/>
    <m/>
  </r>
  <r>
    <s v="YK262100087"/>
    <x v="0"/>
    <x v="0"/>
    <n v="1"/>
    <x v="1"/>
    <d v="2026-06-08T13:15:58"/>
    <x v="18"/>
    <x v="8"/>
    <x v="18"/>
    <s v="17IA15.96"/>
    <x v="1"/>
    <x v="1"/>
    <m/>
    <m/>
    <m/>
  </r>
  <r>
    <s v="YK262100088"/>
    <x v="0"/>
    <x v="0"/>
    <n v="1"/>
    <x v="1"/>
    <d v="2026-06-11T13:55:00"/>
    <x v="18"/>
    <x v="8"/>
    <x v="18"/>
    <s v="17IA15.96"/>
    <x v="1"/>
    <x v="1"/>
    <m/>
    <m/>
    <m/>
  </r>
  <r>
    <s v="YK262100089"/>
    <x v="0"/>
    <x v="0"/>
    <n v="1"/>
    <x v="1"/>
    <d v="2026-06-16T13:10:54"/>
    <x v="18"/>
    <x v="8"/>
    <x v="18"/>
    <s v="17IA15.96"/>
    <x v="1"/>
    <x v="1"/>
    <m/>
    <m/>
    <m/>
  </r>
  <r>
    <s v="YK262100090"/>
    <x v="0"/>
    <x v="0"/>
    <n v="1"/>
    <x v="1"/>
    <d v="2026-06-25T10:36:17"/>
    <x v="18"/>
    <x v="8"/>
    <x v="18"/>
    <s v="17IA15.96"/>
    <x v="1"/>
    <x v="1"/>
    <m/>
    <m/>
    <m/>
  </r>
  <r>
    <s v="YK262100091"/>
    <x v="0"/>
    <x v="0"/>
    <n v="1"/>
    <x v="1"/>
    <d v="2026-06-11T07:59:36"/>
    <x v="18"/>
    <x v="8"/>
    <x v="18"/>
    <s v="17IA15.96"/>
    <x v="1"/>
    <x v="1"/>
    <m/>
    <m/>
    <m/>
  </r>
  <r>
    <s v="YK262100092"/>
    <x v="0"/>
    <x v="0"/>
    <n v="1"/>
    <x v="1"/>
    <d v="2026-06-11T13:54:43"/>
    <x v="18"/>
    <x v="8"/>
    <x v="18"/>
    <s v="17IA15.96"/>
    <x v="1"/>
    <x v="1"/>
    <m/>
    <m/>
    <m/>
  </r>
  <r>
    <s v="YK262100093"/>
    <x v="0"/>
    <x v="0"/>
    <n v="1"/>
    <x v="1"/>
    <d v="2026-06-10T06:27:58"/>
    <x v="18"/>
    <x v="8"/>
    <x v="18"/>
    <s v="17IA15.96"/>
    <x v="1"/>
    <x v="1"/>
    <m/>
    <m/>
    <m/>
  </r>
  <r>
    <s v="YK262100094"/>
    <x v="0"/>
    <x v="0"/>
    <n v="1"/>
    <x v="1"/>
    <d v="2026-07-21T09:48:10"/>
    <x v="18"/>
    <x v="8"/>
    <x v="18"/>
    <s v="17IA15.96"/>
    <x v="1"/>
    <x v="1"/>
    <m/>
    <m/>
    <m/>
  </r>
  <r>
    <s v="YK262100095"/>
    <x v="0"/>
    <x v="0"/>
    <n v="1"/>
    <x v="1"/>
    <d v="2026-06-19T13:59:44"/>
    <x v="18"/>
    <x v="8"/>
    <x v="18"/>
    <s v="17IA15.96"/>
    <x v="1"/>
    <x v="1"/>
    <m/>
    <d v="2026-06-23T00:00:00"/>
    <m/>
  </r>
  <r>
    <s v="YK262100096"/>
    <x v="0"/>
    <x v="0"/>
    <n v="1"/>
    <x v="1"/>
    <d v="2026-06-10T17:12:48"/>
    <x v="18"/>
    <x v="8"/>
    <x v="18"/>
    <s v="17IA15.96"/>
    <x v="1"/>
    <x v="1"/>
    <m/>
    <d v="2026-06-23T00:00:00"/>
    <m/>
  </r>
  <r>
    <s v="YK262100097"/>
    <x v="1"/>
    <x v="1"/>
    <n v="1"/>
    <x v="2"/>
    <d v="2026-06-22T13:14:26"/>
    <x v="18"/>
    <x v="8"/>
    <x v="18"/>
    <s v="17IA15.96"/>
    <x v="1"/>
    <x v="1"/>
    <m/>
    <m/>
    <m/>
  </r>
  <r>
    <s v="YK262100098"/>
    <x v="0"/>
    <x v="0"/>
    <n v="1"/>
    <x v="1"/>
    <d v="2026-06-10T10:46:36"/>
    <x v="18"/>
    <x v="8"/>
    <x v="18"/>
    <s v="17IA15.96"/>
    <x v="1"/>
    <x v="1"/>
    <m/>
    <m/>
    <m/>
  </r>
  <r>
    <s v="YK262100099"/>
    <x v="0"/>
    <x v="0"/>
    <n v="1"/>
    <x v="1"/>
    <d v="2026-06-17T14:07:07"/>
    <x v="18"/>
    <x v="8"/>
    <x v="18"/>
    <s v="17IA15.96"/>
    <x v="1"/>
    <x v="1"/>
    <m/>
    <m/>
    <m/>
  </r>
  <r>
    <s v="YK262100100"/>
    <x v="0"/>
    <x v="0"/>
    <n v="1"/>
    <x v="1"/>
    <d v="2026-06-13T06:25:22"/>
    <x v="18"/>
    <x v="8"/>
    <x v="18"/>
    <s v="17IA15.96"/>
    <x v="1"/>
    <x v="1"/>
    <m/>
    <d v="2026-06-23T00:00:00"/>
    <m/>
  </r>
  <r>
    <s v="YK262100101"/>
    <x v="0"/>
    <x v="0"/>
    <n v="1"/>
    <x v="1"/>
    <d v="2026-06-23T15:26:31"/>
    <x v="18"/>
    <x v="8"/>
    <x v="18"/>
    <s v="17IA15.96"/>
    <x v="1"/>
    <x v="1"/>
    <m/>
    <m/>
    <m/>
  </r>
  <r>
    <s v="YK262100102"/>
    <x v="0"/>
    <x v="0"/>
    <n v="1"/>
    <x v="1"/>
    <d v="2026-06-19T12:04:42"/>
    <x v="18"/>
    <x v="8"/>
    <x v="18"/>
    <s v="17IA15.96"/>
    <x v="1"/>
    <x v="1"/>
    <m/>
    <m/>
    <m/>
  </r>
  <r>
    <s v="YK262100103"/>
    <x v="0"/>
    <x v="0"/>
    <n v="1"/>
    <x v="1"/>
    <d v="2026-06-24T13:25:53"/>
    <x v="18"/>
    <x v="8"/>
    <x v="18"/>
    <s v="17IA15.96"/>
    <x v="1"/>
    <x v="1"/>
    <m/>
    <m/>
    <m/>
  </r>
  <r>
    <s v="YK262100104"/>
    <x v="0"/>
    <x v="0"/>
    <n v="1"/>
    <x v="1"/>
    <d v="2026-06-23T13:19:41"/>
    <x v="18"/>
    <x v="8"/>
    <x v="18"/>
    <s v="17IA15.96"/>
    <x v="1"/>
    <x v="1"/>
    <m/>
    <d v="2026-02-05T00:00:00"/>
    <m/>
  </r>
  <r>
    <s v="YK262100105"/>
    <x v="8"/>
    <x v="8"/>
    <n v="1"/>
    <x v="7"/>
    <d v="2026-08-31T08:00:52"/>
    <x v="18"/>
    <x v="8"/>
    <x v="18"/>
    <s v="17IA15.96"/>
    <x v="1"/>
    <x v="1"/>
    <m/>
    <d v="2026-02-11T00:00:00"/>
    <m/>
  </r>
  <r>
    <s v="YK262100106"/>
    <x v="0"/>
    <x v="0"/>
    <n v="1"/>
    <x v="1"/>
    <d v="2026-06-13T11:13:39"/>
    <x v="18"/>
    <x v="8"/>
    <x v="18"/>
    <s v="17IA15.96"/>
    <x v="1"/>
    <x v="1"/>
    <m/>
    <d v="2026-03-19T00:00:00"/>
    <m/>
  </r>
  <r>
    <s v="YK262100107"/>
    <x v="1"/>
    <x v="1"/>
    <n v="1"/>
    <x v="2"/>
    <d v="2026-06-22T13:24:40"/>
    <x v="18"/>
    <x v="8"/>
    <x v="18"/>
    <s v="17IA15.96"/>
    <x v="1"/>
    <x v="1"/>
    <m/>
    <d v="2026-03-11T00:00:00"/>
    <m/>
  </r>
  <r>
    <s v="YK262100108"/>
    <x v="0"/>
    <x v="0"/>
    <n v="1"/>
    <x v="1"/>
    <d v="2026-06-17T11:41:33"/>
    <x v="18"/>
    <x v="8"/>
    <x v="18"/>
    <s v="17IA15.96"/>
    <x v="1"/>
    <x v="1"/>
    <m/>
    <m/>
    <m/>
  </r>
  <r>
    <s v="YK262100109"/>
    <x v="0"/>
    <x v="0"/>
    <n v="1"/>
    <x v="1"/>
    <d v="2026-06-24T12:31:40"/>
    <x v="18"/>
    <x v="8"/>
    <x v="18"/>
    <s v="17IA15.96"/>
    <x v="1"/>
    <x v="1"/>
    <m/>
    <m/>
    <m/>
  </r>
  <r>
    <s v="YK262100110"/>
    <x v="0"/>
    <x v="0"/>
    <n v="1"/>
    <x v="1"/>
    <d v="2026-06-17T11:41:15"/>
    <x v="18"/>
    <x v="8"/>
    <x v="18"/>
    <s v="17IA15.96"/>
    <x v="1"/>
    <x v="1"/>
    <m/>
    <m/>
    <m/>
  </r>
  <r>
    <s v="YK262100111"/>
    <x v="0"/>
    <x v="0"/>
    <n v="1"/>
    <x v="1"/>
    <d v="2026-06-17T10:46:35"/>
    <x v="18"/>
    <x v="8"/>
    <x v="18"/>
    <s v="17IA15.96"/>
    <x v="1"/>
    <x v="1"/>
    <m/>
    <m/>
    <m/>
  </r>
  <r>
    <s v="YK262100112"/>
    <x v="0"/>
    <x v="0"/>
    <n v="1"/>
    <x v="1"/>
    <d v="2026-06-17T09:29:38"/>
    <x v="18"/>
    <x v="8"/>
    <x v="18"/>
    <s v="17IA15.96"/>
    <x v="1"/>
    <x v="1"/>
    <m/>
    <m/>
    <m/>
  </r>
  <r>
    <s v="YK262100113"/>
    <x v="0"/>
    <x v="0"/>
    <n v="1"/>
    <x v="1"/>
    <d v="2026-06-13T11:17:00"/>
    <x v="18"/>
    <x v="8"/>
    <x v="18"/>
    <s v="17IA15.96"/>
    <x v="1"/>
    <x v="1"/>
    <m/>
    <m/>
    <m/>
  </r>
  <r>
    <s v="YK262100114"/>
    <x v="0"/>
    <x v="0"/>
    <n v="1"/>
    <x v="1"/>
    <d v="2026-06-13T11:14:05"/>
    <x v="18"/>
    <x v="8"/>
    <x v="18"/>
    <s v="17IA15.96"/>
    <x v="1"/>
    <x v="1"/>
    <m/>
    <m/>
    <m/>
  </r>
  <r>
    <s v="YK262100115"/>
    <x v="0"/>
    <x v="0"/>
    <n v="1"/>
    <x v="1"/>
    <d v="2026-06-17T09:29:49"/>
    <x v="18"/>
    <x v="8"/>
    <x v="18"/>
    <s v="17IA15.96"/>
    <x v="1"/>
    <x v="1"/>
    <m/>
    <m/>
    <m/>
  </r>
  <r>
    <s v="YK262100116"/>
    <x v="0"/>
    <x v="0"/>
    <n v="1"/>
    <x v="1"/>
    <d v="2026-06-10T14:15:50"/>
    <x v="18"/>
    <x v="8"/>
    <x v="18"/>
    <s v="17IA15.96"/>
    <x v="1"/>
    <x v="1"/>
    <m/>
    <m/>
    <m/>
  </r>
  <r>
    <s v="YK262100117"/>
    <x v="0"/>
    <x v="0"/>
    <n v="1"/>
    <x v="1"/>
    <d v="2026-06-17T11:41:12"/>
    <x v="18"/>
    <x v="8"/>
    <x v="18"/>
    <s v="17IA15.96"/>
    <x v="1"/>
    <x v="1"/>
    <m/>
    <m/>
    <m/>
  </r>
  <r>
    <s v="YK262100118"/>
    <x v="0"/>
    <x v="0"/>
    <n v="1"/>
    <x v="1"/>
    <d v="2026-06-25T10:35:41"/>
    <x v="18"/>
    <x v="8"/>
    <x v="18"/>
    <s v="17IA15.96"/>
    <x v="1"/>
    <x v="1"/>
    <m/>
    <m/>
    <m/>
  </r>
  <r>
    <s v="YK262100119"/>
    <x v="0"/>
    <x v="0"/>
    <n v="1"/>
    <x v="1"/>
    <d v="2026-06-17T09:29:54"/>
    <x v="18"/>
    <x v="8"/>
    <x v="18"/>
    <s v="17IA15.96"/>
    <x v="1"/>
    <x v="1"/>
    <m/>
    <m/>
    <m/>
  </r>
  <r>
    <s v="YK262100120"/>
    <x v="3"/>
    <x v="3"/>
    <n v="1"/>
    <x v="4"/>
    <d v="2026-07-21T12:17:38"/>
    <x v="18"/>
    <x v="8"/>
    <x v="18"/>
    <s v="17IA15.96"/>
    <x v="1"/>
    <x v="1"/>
    <m/>
    <m/>
    <m/>
  </r>
  <r>
    <s v="YK262100121"/>
    <x v="4"/>
    <x v="4"/>
    <n v="1"/>
    <x v="5"/>
    <d v="2026-07-08T10:43:01"/>
    <x v="18"/>
    <x v="8"/>
    <x v="18"/>
    <s v="17IA15.96"/>
    <x v="1"/>
    <x v="1"/>
    <m/>
    <m/>
    <m/>
  </r>
  <r>
    <s v="YK262100122"/>
    <x v="0"/>
    <x v="0"/>
    <n v="1"/>
    <x v="1"/>
    <d v="2026-06-10T10:44:15"/>
    <x v="18"/>
    <x v="8"/>
    <x v="18"/>
    <s v="17IA15.96"/>
    <x v="1"/>
    <x v="1"/>
    <m/>
    <m/>
    <m/>
  </r>
  <r>
    <s v="YK262100123"/>
    <x v="0"/>
    <x v="0"/>
    <n v="1"/>
    <x v="1"/>
    <d v="2026-06-10T14:16:14"/>
    <x v="18"/>
    <x v="8"/>
    <x v="18"/>
    <s v="17IA15.96"/>
    <x v="1"/>
    <x v="1"/>
    <m/>
    <m/>
    <m/>
  </r>
  <r>
    <s v="YK262100124"/>
    <x v="0"/>
    <x v="0"/>
    <n v="1"/>
    <x v="1"/>
    <d v="2026-06-19T13:59:51"/>
    <x v="18"/>
    <x v="8"/>
    <x v="18"/>
    <s v="17IA15.96"/>
    <x v="1"/>
    <x v="1"/>
    <m/>
    <m/>
    <m/>
  </r>
  <r>
    <s v="YK262100125"/>
    <x v="0"/>
    <x v="0"/>
    <n v="1"/>
    <x v="1"/>
    <d v="2026-06-17T10:46:41"/>
    <x v="18"/>
    <x v="8"/>
    <x v="18"/>
    <s v="17IA15.96"/>
    <x v="1"/>
    <x v="1"/>
    <m/>
    <m/>
    <m/>
  </r>
  <r>
    <s v="YK262100126"/>
    <x v="0"/>
    <x v="0"/>
    <n v="1"/>
    <x v="1"/>
    <d v="2026-06-17T10:45:48"/>
    <x v="18"/>
    <x v="8"/>
    <x v="18"/>
    <s v="17IA15.96"/>
    <x v="1"/>
    <x v="1"/>
    <m/>
    <m/>
    <m/>
  </r>
  <r>
    <s v="YK262100127"/>
    <x v="0"/>
    <x v="0"/>
    <n v="1"/>
    <x v="1"/>
    <d v="2026-06-08T17:04:25"/>
    <x v="18"/>
    <x v="8"/>
    <x v="18"/>
    <s v="17IA15.96"/>
    <x v="1"/>
    <x v="1"/>
    <m/>
    <d v="2026-02-11T00:00:00"/>
    <m/>
  </r>
  <r>
    <s v="YK262100128"/>
    <x v="0"/>
    <x v="0"/>
    <n v="1"/>
    <x v="1"/>
    <d v="2026-06-25T10:35:36"/>
    <x v="18"/>
    <x v="8"/>
    <x v="18"/>
    <s v="17IA15.96"/>
    <x v="1"/>
    <x v="1"/>
    <m/>
    <d v="2026-04-22T00:00:00"/>
    <m/>
  </r>
  <r>
    <s v="YK262100129"/>
    <x v="0"/>
    <x v="0"/>
    <n v="1"/>
    <x v="1"/>
    <d v="2026-06-10T06:25:52"/>
    <x v="18"/>
    <x v="8"/>
    <x v="18"/>
    <s v="17IA15.96"/>
    <x v="1"/>
    <x v="1"/>
    <m/>
    <m/>
    <m/>
  </r>
  <r>
    <s v="YK262100130"/>
    <x v="0"/>
    <x v="0"/>
    <n v="1"/>
    <x v="1"/>
    <d v="2026-06-11T06:49:52"/>
    <x v="18"/>
    <x v="8"/>
    <x v="18"/>
    <s v="17IA15.96"/>
    <x v="1"/>
    <x v="1"/>
    <m/>
    <m/>
    <m/>
  </r>
  <r>
    <s v="YK262100131"/>
    <x v="0"/>
    <x v="0"/>
    <n v="1"/>
    <x v="1"/>
    <d v="2026-06-10T17:26:19"/>
    <x v="18"/>
    <x v="8"/>
    <x v="18"/>
    <s v="17IA15.96"/>
    <x v="1"/>
    <x v="1"/>
    <m/>
    <m/>
    <m/>
  </r>
  <r>
    <s v="YK262100132"/>
    <x v="0"/>
    <x v="0"/>
    <n v="1"/>
    <x v="1"/>
    <d v="2026-06-10T06:28:14"/>
    <x v="18"/>
    <x v="8"/>
    <x v="18"/>
    <s v="17IA15.96"/>
    <x v="1"/>
    <x v="1"/>
    <m/>
    <d v="2026-04-22T00:00:00"/>
    <m/>
  </r>
  <r>
    <s v="YK262100133"/>
    <x v="0"/>
    <x v="0"/>
    <n v="1"/>
    <x v="1"/>
    <d v="2026-06-11T06:50:44"/>
    <x v="18"/>
    <x v="8"/>
    <x v="18"/>
    <s v="17IA15.96"/>
    <x v="1"/>
    <x v="1"/>
    <m/>
    <m/>
    <m/>
  </r>
  <r>
    <s v="YK262100134"/>
    <x v="4"/>
    <x v="4"/>
    <n v="1"/>
    <x v="5"/>
    <d v="2026-08-18T07:53:47"/>
    <x v="18"/>
    <x v="8"/>
    <x v="18"/>
    <s v="17IA15.96"/>
    <x v="1"/>
    <x v="1"/>
    <m/>
    <m/>
    <m/>
  </r>
  <r>
    <s v="YK262100135"/>
    <x v="0"/>
    <x v="0"/>
    <n v="1"/>
    <x v="1"/>
    <d v="2026-06-17T09:29:29"/>
    <x v="18"/>
    <x v="8"/>
    <x v="18"/>
    <s v="17IA15.96"/>
    <x v="1"/>
    <x v="1"/>
    <m/>
    <d v="2026-04-22T00:00:00"/>
    <m/>
  </r>
  <r>
    <s v="YK262100136"/>
    <x v="0"/>
    <x v="0"/>
    <n v="1"/>
    <x v="1"/>
    <d v="2026-06-13T11:16:40"/>
    <x v="18"/>
    <x v="8"/>
    <x v="18"/>
    <s v="17IA15.96"/>
    <x v="1"/>
    <x v="1"/>
    <m/>
    <m/>
    <m/>
  </r>
  <r>
    <s v="YK262100137"/>
    <x v="1"/>
    <x v="1"/>
    <n v="1"/>
    <x v="2"/>
    <d v="2026-06-22T13:25:42"/>
    <x v="18"/>
    <x v="8"/>
    <x v="18"/>
    <s v="17IA15.96"/>
    <x v="1"/>
    <x v="1"/>
    <m/>
    <m/>
    <m/>
  </r>
  <r>
    <s v="YK262100138"/>
    <x v="1"/>
    <x v="1"/>
    <n v="1"/>
    <x v="2"/>
    <d v="2026-06-22T13:24:09"/>
    <x v="18"/>
    <x v="8"/>
    <x v="18"/>
    <s v="17IA15.96"/>
    <x v="1"/>
    <x v="1"/>
    <m/>
    <m/>
    <m/>
  </r>
  <r>
    <s v="YK262100139"/>
    <x v="0"/>
    <x v="0"/>
    <n v="1"/>
    <x v="1"/>
    <d v="2026-06-19T13:59:23"/>
    <x v="18"/>
    <x v="8"/>
    <x v="18"/>
    <s v="17IA15.96"/>
    <x v="1"/>
    <x v="1"/>
    <m/>
    <d v="2026-05-28T00:00:00"/>
    <m/>
  </r>
  <r>
    <s v="YK262100140"/>
    <x v="0"/>
    <x v="0"/>
    <n v="1"/>
    <x v="1"/>
    <d v="2026-06-17T11:41:39"/>
    <x v="18"/>
    <x v="8"/>
    <x v="18"/>
    <s v="17IA15.96"/>
    <x v="1"/>
    <x v="1"/>
    <m/>
    <d v="2026-03-27T00:00:00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d v="2026-04-22T00:00:00"/>
    <m/>
  </r>
  <r>
    <s v="YK262100142"/>
    <x v="1"/>
    <x v="1"/>
    <n v="1"/>
    <x v="2"/>
    <d v="2026-08-18T09:27:45"/>
    <x v="18"/>
    <x v="8"/>
    <x v="18"/>
    <s v="17IA15.96"/>
    <x v="1"/>
    <x v="1"/>
    <m/>
    <m/>
    <m/>
  </r>
  <r>
    <s v="YK262100143"/>
    <x v="0"/>
    <x v="0"/>
    <n v="1"/>
    <x v="1"/>
    <d v="2026-06-26T12:27:47"/>
    <x v="18"/>
    <x v="8"/>
    <x v="18"/>
    <s v="17IA15.96"/>
    <x v="1"/>
    <x v="1"/>
    <m/>
    <d v="2026-04-27T00:00:00"/>
    <m/>
  </r>
  <r>
    <s v="YK262100144"/>
    <x v="0"/>
    <x v="0"/>
    <n v="1"/>
    <x v="1"/>
    <d v="2026-06-19T13:59:26"/>
    <x v="18"/>
    <x v="8"/>
    <x v="18"/>
    <s v="17IA15.96"/>
    <x v="1"/>
    <x v="1"/>
    <m/>
    <m/>
    <m/>
  </r>
  <r>
    <s v="YK260400002"/>
    <x v="0"/>
    <x v="0"/>
    <n v="1"/>
    <x v="1"/>
    <d v="2026-02-19T13:11:57"/>
    <x v="19"/>
    <x v="9"/>
    <x v="19"/>
    <s v="17IA23.00"/>
    <x v="1"/>
    <x v="2"/>
    <m/>
    <m/>
    <m/>
  </r>
  <r>
    <s v="YK260400003"/>
    <x v="1"/>
    <x v="1"/>
    <n v="1"/>
    <x v="2"/>
    <d v="2026-02-17T12:28:44"/>
    <x v="19"/>
    <x v="9"/>
    <x v="19"/>
    <s v="17IA23.00"/>
    <x v="1"/>
    <x v="2"/>
    <m/>
    <d v="2026-05-21T00:00:00"/>
    <m/>
  </r>
  <r>
    <s v="YK260400004"/>
    <x v="1"/>
    <x v="1"/>
    <n v="1"/>
    <x v="2"/>
    <d v="2026-02-11T11:25:38"/>
    <x v="19"/>
    <x v="9"/>
    <x v="19"/>
    <s v="17IA23.00"/>
    <x v="1"/>
    <x v="2"/>
    <m/>
    <d v="2026-04-22T00:00:00"/>
    <m/>
  </r>
  <r>
    <s v="YK260400005"/>
    <x v="1"/>
    <x v="1"/>
    <n v="1"/>
    <x v="2"/>
    <d v="2026-03-12T09:52:06"/>
    <x v="19"/>
    <x v="9"/>
    <x v="19"/>
    <s v="17IA23.00"/>
    <x v="1"/>
    <x v="2"/>
    <m/>
    <d v="2026-04-22T00:00:00"/>
    <m/>
  </r>
  <r>
    <s v="YK260400006"/>
    <x v="1"/>
    <x v="1"/>
    <n v="1"/>
    <x v="2"/>
    <d v="2026-03-10T11:11:06"/>
    <x v="19"/>
    <x v="9"/>
    <x v="19"/>
    <s v="17IA23.00"/>
    <x v="1"/>
    <x v="2"/>
    <m/>
    <d v="2026-05-21T00:00:00"/>
    <m/>
  </r>
  <r>
    <s v="YK260400007"/>
    <x v="1"/>
    <x v="1"/>
    <n v="1"/>
    <x v="2"/>
    <d v="2026-06-10T09:59:24"/>
    <x v="19"/>
    <x v="9"/>
    <x v="19"/>
    <s v="17IA23.00"/>
    <x v="1"/>
    <x v="2"/>
    <m/>
    <d v="2026-04-22T00:00:00"/>
    <m/>
  </r>
  <r>
    <s v="YK260400008"/>
    <x v="0"/>
    <x v="0"/>
    <n v="1"/>
    <x v="1"/>
    <d v="2026-03-11T07:40:30"/>
    <x v="19"/>
    <x v="9"/>
    <x v="19"/>
    <s v="17IA23.00"/>
    <x v="1"/>
    <x v="2"/>
    <m/>
    <m/>
    <m/>
  </r>
  <r>
    <s v="YK260400009"/>
    <x v="0"/>
    <x v="0"/>
    <n v="1"/>
    <x v="1"/>
    <d v="2026-02-18T10:29:06"/>
    <x v="19"/>
    <x v="9"/>
    <x v="19"/>
    <s v="17IA23.00"/>
    <x v="1"/>
    <x v="2"/>
    <m/>
    <m/>
    <m/>
  </r>
  <r>
    <s v="YK260400010"/>
    <x v="1"/>
    <x v="1"/>
    <n v="1"/>
    <x v="2"/>
    <d v="2026-06-10T10:38:45"/>
    <x v="19"/>
    <x v="9"/>
    <x v="19"/>
    <s v="17IA23.00"/>
    <x v="1"/>
    <x v="2"/>
    <m/>
    <d v="2026-05-21T00:00:00"/>
    <m/>
  </r>
  <r>
    <s v="YK260400011"/>
    <x v="0"/>
    <x v="0"/>
    <n v="1"/>
    <x v="1"/>
    <d v="2026-02-20T09:35:59"/>
    <x v="19"/>
    <x v="9"/>
    <x v="19"/>
    <s v="17IA23.00"/>
    <x v="1"/>
    <x v="2"/>
    <m/>
    <m/>
    <m/>
  </r>
  <r>
    <s v="YK260400012"/>
    <x v="0"/>
    <x v="0"/>
    <n v="1"/>
    <x v="1"/>
    <d v="2026-03-19T06:44:25"/>
    <x v="19"/>
    <x v="9"/>
    <x v="19"/>
    <s v="17IA23.00"/>
    <x v="1"/>
    <x v="2"/>
    <m/>
    <m/>
    <m/>
  </r>
  <r>
    <s v="YK260400013"/>
    <x v="0"/>
    <x v="0"/>
    <n v="1"/>
    <x v="1"/>
    <d v="2026-03-16T12:06:41"/>
    <x v="19"/>
    <x v="9"/>
    <x v="19"/>
    <s v="17IA23.00"/>
    <x v="1"/>
    <x v="2"/>
    <m/>
    <d v="2026-05-21T00:00:00"/>
    <m/>
  </r>
  <r>
    <s v="YK260400014"/>
    <x v="1"/>
    <x v="1"/>
    <n v="1"/>
    <x v="2"/>
    <d v="2026-06-10T10:39:49"/>
    <x v="19"/>
    <x v="9"/>
    <x v="19"/>
    <s v="17IA23.00"/>
    <x v="1"/>
    <x v="2"/>
    <m/>
    <m/>
    <m/>
  </r>
  <r>
    <s v="YK260400015"/>
    <x v="0"/>
    <x v="0"/>
    <n v="1"/>
    <x v="1"/>
    <d v="2026-02-19T07:39:06"/>
    <x v="19"/>
    <x v="9"/>
    <x v="19"/>
    <s v="17IA23.00"/>
    <x v="1"/>
    <x v="2"/>
    <m/>
    <m/>
    <m/>
  </r>
  <r>
    <s v="YK260400016"/>
    <x v="1"/>
    <x v="1"/>
    <n v="1"/>
    <x v="2"/>
    <d v="2026-03-30T13:11:00"/>
    <x v="19"/>
    <x v="9"/>
    <x v="19"/>
    <s v="17IA23.00"/>
    <x v="1"/>
    <x v="2"/>
    <m/>
    <m/>
    <m/>
  </r>
  <r>
    <s v="YK260400017"/>
    <x v="1"/>
    <x v="1"/>
    <n v="1"/>
    <x v="2"/>
    <d v="2026-06-10T10:44:29"/>
    <x v="19"/>
    <x v="9"/>
    <x v="19"/>
    <s v="17IA23.00"/>
    <x v="1"/>
    <x v="2"/>
    <m/>
    <m/>
    <m/>
  </r>
  <r>
    <s v="YK260400018"/>
    <x v="0"/>
    <x v="0"/>
    <n v="1"/>
    <x v="1"/>
    <d v="2026-02-19T10:46:52"/>
    <x v="19"/>
    <x v="9"/>
    <x v="19"/>
    <s v="17IA23.00"/>
    <x v="1"/>
    <x v="2"/>
    <m/>
    <m/>
    <m/>
  </r>
  <r>
    <s v="YK260400019"/>
    <x v="0"/>
    <x v="0"/>
    <n v="1"/>
    <x v="1"/>
    <d v="2026-02-18T09:54:04"/>
    <x v="19"/>
    <x v="9"/>
    <x v="19"/>
    <s v="17IA23.00"/>
    <x v="1"/>
    <x v="2"/>
    <m/>
    <m/>
    <m/>
  </r>
  <r>
    <s v="YK260400020"/>
    <x v="0"/>
    <x v="0"/>
    <n v="1"/>
    <x v="1"/>
    <d v="2026-03-10T14:24:50"/>
    <x v="19"/>
    <x v="9"/>
    <x v="19"/>
    <s v="17IA23.00"/>
    <x v="1"/>
    <x v="2"/>
    <m/>
    <m/>
    <m/>
  </r>
  <r>
    <s v="YK260400021"/>
    <x v="1"/>
    <x v="1"/>
    <n v="1"/>
    <x v="2"/>
    <d v="2026-06-10T10:47:03"/>
    <x v="19"/>
    <x v="9"/>
    <x v="19"/>
    <s v="17IA23.00"/>
    <x v="1"/>
    <x v="2"/>
    <m/>
    <m/>
    <m/>
  </r>
  <r>
    <s v="YK260400022"/>
    <x v="0"/>
    <x v="0"/>
    <n v="1"/>
    <x v="1"/>
    <d v="2026-03-16T09:00:33"/>
    <x v="19"/>
    <x v="9"/>
    <x v="19"/>
    <s v="17IA23.00"/>
    <x v="1"/>
    <x v="2"/>
    <m/>
    <m/>
    <m/>
  </r>
  <r>
    <s v="YK260400023"/>
    <x v="1"/>
    <x v="1"/>
    <n v="1"/>
    <x v="2"/>
    <d v="2026-03-30T13:12:28"/>
    <x v="19"/>
    <x v="9"/>
    <x v="19"/>
    <s v="17IA23.00"/>
    <x v="1"/>
    <x v="2"/>
    <m/>
    <m/>
    <m/>
  </r>
  <r>
    <s v="YK260400024"/>
    <x v="1"/>
    <x v="1"/>
    <n v="1"/>
    <x v="2"/>
    <d v="2026-06-10T10:48:49"/>
    <x v="19"/>
    <x v="9"/>
    <x v="19"/>
    <s v="17IA23.00"/>
    <x v="1"/>
    <x v="2"/>
    <m/>
    <m/>
    <m/>
  </r>
  <r>
    <s v="YK260400025"/>
    <x v="1"/>
    <x v="1"/>
    <n v="1"/>
    <x v="2"/>
    <d v="2026-06-10T10:49:49"/>
    <x v="19"/>
    <x v="9"/>
    <x v="19"/>
    <s v="17IA23.00"/>
    <x v="1"/>
    <x v="2"/>
    <m/>
    <m/>
    <m/>
  </r>
  <r>
    <s v="YK260400026"/>
    <x v="1"/>
    <x v="1"/>
    <n v="1"/>
    <x v="2"/>
    <d v="2026-02-11T11:20:12"/>
    <x v="19"/>
    <x v="9"/>
    <x v="19"/>
    <s v="17IA23.00"/>
    <x v="1"/>
    <x v="2"/>
    <m/>
    <m/>
    <m/>
  </r>
  <r>
    <s v="YK261100002"/>
    <x v="1"/>
    <x v="1"/>
    <n v="1"/>
    <x v="2"/>
    <d v="2026-06-01T11:45:21"/>
    <x v="20"/>
    <x v="10"/>
    <x v="20"/>
    <s v="17IA24.00"/>
    <x v="1"/>
    <x v="2"/>
    <m/>
    <m/>
    <m/>
  </r>
  <r>
    <s v="YK261100003"/>
    <x v="0"/>
    <x v="0"/>
    <n v="1"/>
    <x v="1"/>
    <d v="2026-05-07T13:26:46"/>
    <x v="20"/>
    <x v="10"/>
    <x v="20"/>
    <s v="17IA24.00"/>
    <x v="1"/>
    <x v="2"/>
    <m/>
    <m/>
    <m/>
  </r>
  <r>
    <s v="YK261100004"/>
    <x v="0"/>
    <x v="0"/>
    <n v="1"/>
    <x v="1"/>
    <d v="2026-05-08T09:00:56"/>
    <x v="20"/>
    <x v="10"/>
    <x v="20"/>
    <s v="17IA24.00"/>
    <x v="1"/>
    <x v="2"/>
    <m/>
    <m/>
    <m/>
  </r>
  <r>
    <s v="YK261100005"/>
    <x v="0"/>
    <x v="0"/>
    <n v="1"/>
    <x v="1"/>
    <d v="2026-05-07T09:55:22"/>
    <x v="20"/>
    <x v="10"/>
    <x v="20"/>
    <s v="17IA24.00"/>
    <x v="1"/>
    <x v="2"/>
    <m/>
    <m/>
    <m/>
  </r>
  <r>
    <s v="YK261100006"/>
    <x v="1"/>
    <x v="1"/>
    <n v="1"/>
    <x v="2"/>
    <d v="2026-06-01T11:46:22"/>
    <x v="20"/>
    <x v="10"/>
    <x v="20"/>
    <s v="17IA24.00"/>
    <x v="1"/>
    <x v="2"/>
    <m/>
    <m/>
    <m/>
  </r>
  <r>
    <s v="YK261100007"/>
    <x v="0"/>
    <x v="0"/>
    <n v="1"/>
    <x v="1"/>
    <d v="2026-05-12T06:58:44"/>
    <x v="20"/>
    <x v="10"/>
    <x v="20"/>
    <s v="17IA24.00"/>
    <x v="1"/>
    <x v="2"/>
    <m/>
    <m/>
    <m/>
  </r>
  <r>
    <s v="YK261100008"/>
    <x v="0"/>
    <x v="0"/>
    <n v="1"/>
    <x v="1"/>
    <d v="2026-04-11T06:40:00"/>
    <x v="20"/>
    <x v="10"/>
    <x v="20"/>
    <s v="17IA24.00"/>
    <x v="1"/>
    <x v="2"/>
    <m/>
    <m/>
    <m/>
  </r>
  <r>
    <s v="YK261100009"/>
    <x v="1"/>
    <x v="1"/>
    <n v="1"/>
    <x v="2"/>
    <d v="2026-06-30T07:37:16"/>
    <x v="20"/>
    <x v="10"/>
    <x v="20"/>
    <s v="17IA24.00"/>
    <x v="1"/>
    <x v="2"/>
    <m/>
    <m/>
    <m/>
  </r>
  <r>
    <s v="YK261100010"/>
    <x v="0"/>
    <x v="0"/>
    <n v="1"/>
    <x v="1"/>
    <d v="2026-05-11T10:56:59"/>
    <x v="20"/>
    <x v="10"/>
    <x v="20"/>
    <s v="17IA24.00"/>
    <x v="1"/>
    <x v="2"/>
    <m/>
    <m/>
    <m/>
  </r>
  <r>
    <s v="YK261100011"/>
    <x v="0"/>
    <x v="0"/>
    <n v="1"/>
    <x v="1"/>
    <d v="2026-04-13T13:29:23"/>
    <x v="20"/>
    <x v="10"/>
    <x v="20"/>
    <s v="17IA24.00"/>
    <x v="1"/>
    <x v="2"/>
    <m/>
    <m/>
    <m/>
  </r>
  <r>
    <s v="YK261100012"/>
    <x v="0"/>
    <x v="0"/>
    <n v="1"/>
    <x v="1"/>
    <d v="2026-05-08T10:05:36"/>
    <x v="20"/>
    <x v="10"/>
    <x v="20"/>
    <s v="17IA24.00"/>
    <x v="1"/>
    <x v="2"/>
    <m/>
    <m/>
    <m/>
  </r>
  <r>
    <s v="YK261100013"/>
    <x v="1"/>
    <x v="1"/>
    <n v="1"/>
    <x v="2"/>
    <d v="2026-05-28T06:52:25"/>
    <x v="20"/>
    <x v="10"/>
    <x v="20"/>
    <s v="17IA24.00"/>
    <x v="1"/>
    <x v="2"/>
    <m/>
    <m/>
    <m/>
  </r>
  <r>
    <s v="YK261100014"/>
    <x v="1"/>
    <x v="1"/>
    <n v="1"/>
    <x v="2"/>
    <d v="2026-03-27T14:15:59"/>
    <x v="20"/>
    <x v="10"/>
    <x v="20"/>
    <s v="17IA24.00"/>
    <x v="1"/>
    <x v="2"/>
    <m/>
    <m/>
    <m/>
  </r>
  <r>
    <s v="YK261100015"/>
    <x v="0"/>
    <x v="0"/>
    <n v="1"/>
    <x v="1"/>
    <d v="2026-08-27T13:16:18"/>
    <x v="20"/>
    <x v="10"/>
    <x v="20"/>
    <s v="17IA24.00"/>
    <x v="1"/>
    <x v="2"/>
    <m/>
    <m/>
    <m/>
  </r>
  <r>
    <s v="YK261100016"/>
    <x v="0"/>
    <x v="0"/>
    <n v="1"/>
    <x v="1"/>
    <d v="2026-04-15T06:57:42"/>
    <x v="20"/>
    <x v="10"/>
    <x v="20"/>
    <s v="17IA24.00"/>
    <x v="1"/>
    <x v="2"/>
    <m/>
    <m/>
    <m/>
  </r>
  <r>
    <s v="YK261100017"/>
    <x v="1"/>
    <x v="1"/>
    <n v="1"/>
    <x v="2"/>
    <d v="2026-04-27T07:47:49"/>
    <x v="20"/>
    <x v="10"/>
    <x v="20"/>
    <s v="17IA24.00"/>
    <x v="1"/>
    <x v="2"/>
    <m/>
    <m/>
    <m/>
  </r>
  <r>
    <s v="YK261100018"/>
    <x v="0"/>
    <x v="0"/>
    <n v="1"/>
    <x v="1"/>
    <d v="2026-05-12T10:43:58"/>
    <x v="20"/>
    <x v="10"/>
    <x v="20"/>
    <s v="17IA24.00"/>
    <x v="1"/>
    <x v="2"/>
    <m/>
    <m/>
    <m/>
  </r>
  <r>
    <s v="YK261100019"/>
    <x v="0"/>
    <x v="0"/>
    <n v="1"/>
    <x v="1"/>
    <d v="2026-05-11T07:24:34"/>
    <x v="20"/>
    <x v="10"/>
    <x v="20"/>
    <s v="17IA24.00"/>
    <x v="1"/>
    <x v="2"/>
    <m/>
    <m/>
    <m/>
  </r>
  <r>
    <s v="YK261100020"/>
    <x v="1"/>
    <x v="1"/>
    <n v="1"/>
    <x v="2"/>
    <d v="2026-06-10T09:15:26"/>
    <x v="20"/>
    <x v="10"/>
    <x v="20"/>
    <s v="17IA24.00"/>
    <x v="1"/>
    <x v="2"/>
    <m/>
    <m/>
    <m/>
  </r>
  <r>
    <s v="YK261100021"/>
    <x v="1"/>
    <x v="1"/>
    <n v="1"/>
    <x v="2"/>
    <d v="2026-06-01T11:49:14"/>
    <x v="20"/>
    <x v="10"/>
    <x v="20"/>
    <s v="17IA24.00"/>
    <x v="1"/>
    <x v="2"/>
    <m/>
    <m/>
    <m/>
  </r>
  <r>
    <s v="YK261100022"/>
    <x v="1"/>
    <x v="1"/>
    <n v="1"/>
    <x v="2"/>
    <d v="2026-06-01T11:50:23"/>
    <x v="20"/>
    <x v="10"/>
    <x v="20"/>
    <s v="17IA24.00"/>
    <x v="1"/>
    <x v="2"/>
    <m/>
    <m/>
    <m/>
  </r>
  <r>
    <s v="YK261100023"/>
    <x v="1"/>
    <x v="1"/>
    <n v="1"/>
    <x v="2"/>
    <d v="2026-06-10T09:14:42"/>
    <x v="20"/>
    <x v="10"/>
    <x v="20"/>
    <s v="17IA24.00"/>
    <x v="1"/>
    <x v="2"/>
    <m/>
    <m/>
    <m/>
  </r>
  <r>
    <s v="YK261100024"/>
    <x v="1"/>
    <x v="1"/>
    <n v="1"/>
    <x v="2"/>
    <d v="2026-06-01T11:51:25"/>
    <x v="20"/>
    <x v="10"/>
    <x v="20"/>
    <s v="17IA24.00"/>
    <x v="1"/>
    <x v="2"/>
    <m/>
    <m/>
    <m/>
  </r>
  <r>
    <s v="YK261100025"/>
    <x v="0"/>
    <x v="0"/>
    <n v="1"/>
    <x v="1"/>
    <d v="2026-05-11T13:04:34"/>
    <x v="20"/>
    <x v="10"/>
    <x v="20"/>
    <s v="17IA24.00"/>
    <x v="1"/>
    <x v="2"/>
    <m/>
    <m/>
    <m/>
  </r>
  <r>
    <s v="YK261100026"/>
    <x v="0"/>
    <x v="0"/>
    <n v="1"/>
    <x v="1"/>
    <d v="2026-05-07T14:15:08"/>
    <x v="20"/>
    <x v="10"/>
    <x v="20"/>
    <s v="17IA24.00"/>
    <x v="1"/>
    <x v="2"/>
    <m/>
    <m/>
    <m/>
  </r>
  <r>
    <s v="YK261100027"/>
    <x v="1"/>
    <x v="1"/>
    <n v="1"/>
    <x v="2"/>
    <d v="2026-06-10T09:10:27"/>
    <x v="20"/>
    <x v="10"/>
    <x v="20"/>
    <s v="17IA24.00"/>
    <x v="1"/>
    <x v="2"/>
    <m/>
    <m/>
    <m/>
  </r>
  <r>
    <s v="YK261100028"/>
    <x v="0"/>
    <x v="0"/>
    <n v="1"/>
    <x v="1"/>
    <d v="2026-04-11T10:59:12"/>
    <x v="20"/>
    <x v="10"/>
    <x v="20"/>
    <s v="17IA24.00"/>
    <x v="1"/>
    <x v="2"/>
    <m/>
    <m/>
    <m/>
  </r>
  <r>
    <s v="YK261100029"/>
    <x v="0"/>
    <x v="0"/>
    <n v="1"/>
    <x v="1"/>
    <d v="2026-05-06T11:36:49"/>
    <x v="20"/>
    <x v="10"/>
    <x v="20"/>
    <s v="17IA24.00"/>
    <x v="1"/>
    <x v="2"/>
    <m/>
    <m/>
    <m/>
  </r>
  <r>
    <s v="YK261100030"/>
    <x v="1"/>
    <x v="1"/>
    <n v="1"/>
    <x v="2"/>
    <d v="2026-06-10T09:11:20"/>
    <x v="20"/>
    <x v="10"/>
    <x v="20"/>
    <s v="17IA24.00"/>
    <x v="1"/>
    <x v="2"/>
    <m/>
    <d v="2026-08-07T00:00:00"/>
    <m/>
  </r>
  <r>
    <s v="YK261700001"/>
    <x v="0"/>
    <x v="0"/>
    <n v="1"/>
    <x v="1"/>
    <d v="2026-06-17T11:40:12"/>
    <x v="21"/>
    <x v="11"/>
    <x v="21"/>
    <s v="17IA24.10"/>
    <x v="1"/>
    <x v="2"/>
    <m/>
    <m/>
    <m/>
  </r>
  <r>
    <s v="YK261700002"/>
    <x v="13"/>
    <x v="13"/>
    <n v="1"/>
    <x v="7"/>
    <d v="2026-08-28T12:05:44"/>
    <x v="21"/>
    <x v="11"/>
    <x v="21"/>
    <s v="17IA24.10"/>
    <x v="1"/>
    <x v="2"/>
    <m/>
    <m/>
    <m/>
  </r>
  <r>
    <s v="YK261700003"/>
    <x v="0"/>
    <x v="0"/>
    <n v="1"/>
    <x v="1"/>
    <d v="2026-05-28T08:41:28"/>
    <x v="21"/>
    <x v="11"/>
    <x v="21"/>
    <s v="17IA24.10"/>
    <x v="1"/>
    <x v="2"/>
    <m/>
    <d v="2026-08-07T00:00:00"/>
    <m/>
  </r>
  <r>
    <s v="YK261700004"/>
    <x v="0"/>
    <x v="0"/>
    <n v="1"/>
    <x v="1"/>
    <d v="2026-06-17T15:16:31"/>
    <x v="21"/>
    <x v="11"/>
    <x v="21"/>
    <s v="17IA24.10"/>
    <x v="1"/>
    <x v="2"/>
    <m/>
    <m/>
    <m/>
  </r>
  <r>
    <s v="YK261700005"/>
    <x v="0"/>
    <x v="0"/>
    <n v="1"/>
    <x v="1"/>
    <d v="2026-06-13T07:15:09"/>
    <x v="21"/>
    <x v="11"/>
    <x v="21"/>
    <s v="17IA24.10"/>
    <x v="1"/>
    <x v="2"/>
    <m/>
    <m/>
    <m/>
  </r>
  <r>
    <s v="YK261700006"/>
    <x v="0"/>
    <x v="0"/>
    <n v="1"/>
    <x v="1"/>
    <d v="2026-06-22T10:03:52"/>
    <x v="21"/>
    <x v="11"/>
    <x v="21"/>
    <s v="17IA24.10"/>
    <x v="1"/>
    <x v="2"/>
    <m/>
    <d v="2026-07-21T00:00:00"/>
    <m/>
  </r>
  <r>
    <s v="YK261700007"/>
    <x v="0"/>
    <x v="0"/>
    <n v="1"/>
    <x v="1"/>
    <d v="2026-08-05T12:06:12"/>
    <x v="21"/>
    <x v="11"/>
    <x v="21"/>
    <s v="17IA24.10"/>
    <x v="1"/>
    <x v="2"/>
    <m/>
    <m/>
    <m/>
  </r>
  <r>
    <s v="YK261700008"/>
    <x v="0"/>
    <x v="0"/>
    <n v="1"/>
    <x v="1"/>
    <d v="2026-06-10T14:57:46"/>
    <x v="21"/>
    <x v="11"/>
    <x v="21"/>
    <s v="17IA24.10"/>
    <x v="1"/>
    <x v="2"/>
    <m/>
    <d v="2026-07-23T00:00:00"/>
    <m/>
  </r>
  <r>
    <s v="YK261700009"/>
    <x v="0"/>
    <x v="0"/>
    <n v="1"/>
    <x v="1"/>
    <d v="2026-06-17T11:21:43"/>
    <x v="21"/>
    <x v="11"/>
    <x v="21"/>
    <s v="17IA24.10"/>
    <x v="1"/>
    <x v="2"/>
    <m/>
    <m/>
    <m/>
  </r>
  <r>
    <s v="YK261700010"/>
    <x v="0"/>
    <x v="0"/>
    <n v="1"/>
    <x v="1"/>
    <d v="2026-07-23T09:24:54"/>
    <x v="21"/>
    <x v="11"/>
    <x v="21"/>
    <s v="17IA24.10"/>
    <x v="1"/>
    <x v="2"/>
    <m/>
    <m/>
    <m/>
  </r>
  <r>
    <s v="YK261700011"/>
    <x v="0"/>
    <x v="0"/>
    <n v="1"/>
    <x v="1"/>
    <d v="2026-06-06T12:54:18"/>
    <x v="21"/>
    <x v="11"/>
    <x v="21"/>
    <s v="17IA24.10"/>
    <x v="1"/>
    <x v="2"/>
    <m/>
    <m/>
    <m/>
  </r>
  <r>
    <s v="YK261700012"/>
    <x v="0"/>
    <x v="0"/>
    <n v="1"/>
    <x v="1"/>
    <d v="2026-06-08T17:39:28"/>
    <x v="21"/>
    <x v="11"/>
    <x v="21"/>
    <s v="17IA24.10"/>
    <x v="1"/>
    <x v="2"/>
    <m/>
    <d v="2026-07-23T00:00:00"/>
    <m/>
  </r>
  <r>
    <s v="YK261700013"/>
    <x v="0"/>
    <x v="0"/>
    <n v="1"/>
    <x v="1"/>
    <d v="2026-06-17T13:25:42"/>
    <x v="21"/>
    <x v="11"/>
    <x v="21"/>
    <s v="17IA24.10"/>
    <x v="1"/>
    <x v="2"/>
    <m/>
    <m/>
    <m/>
  </r>
  <r>
    <s v="YK261700014"/>
    <x v="0"/>
    <x v="0"/>
    <n v="1"/>
    <x v="1"/>
    <d v="2026-06-13T11:42:05"/>
    <x v="21"/>
    <x v="11"/>
    <x v="21"/>
    <s v="17IA24.10"/>
    <x v="1"/>
    <x v="2"/>
    <m/>
    <m/>
    <m/>
  </r>
  <r>
    <s v="YK261700015"/>
    <x v="0"/>
    <x v="0"/>
    <n v="1"/>
    <x v="1"/>
    <d v="2026-05-28T12:12:29"/>
    <x v="21"/>
    <x v="11"/>
    <x v="21"/>
    <s v="17IA24.10"/>
    <x v="1"/>
    <x v="2"/>
    <m/>
    <m/>
    <m/>
  </r>
  <r>
    <s v="YK261700016"/>
    <x v="0"/>
    <x v="0"/>
    <n v="1"/>
    <x v="1"/>
    <d v="2026-06-11T07:46:12"/>
    <x v="21"/>
    <x v="11"/>
    <x v="21"/>
    <s v="17IA24.10"/>
    <x v="1"/>
    <x v="2"/>
    <m/>
    <m/>
    <m/>
  </r>
  <r>
    <s v="YK261700017"/>
    <x v="0"/>
    <x v="0"/>
    <n v="1"/>
    <x v="1"/>
    <d v="2026-05-28T12:02:40"/>
    <x v="21"/>
    <x v="11"/>
    <x v="21"/>
    <s v="17IA24.10"/>
    <x v="1"/>
    <x v="2"/>
    <m/>
    <d v="2026-08-07T00:00:00"/>
    <m/>
  </r>
  <r>
    <s v="YK261700018"/>
    <x v="0"/>
    <x v="0"/>
    <n v="1"/>
    <x v="1"/>
    <d v="2026-06-16T13:56:17"/>
    <x v="21"/>
    <x v="11"/>
    <x v="21"/>
    <s v="17IA24.10"/>
    <x v="1"/>
    <x v="2"/>
    <m/>
    <m/>
    <m/>
  </r>
  <r>
    <s v="YK261700019"/>
    <x v="0"/>
    <x v="0"/>
    <n v="1"/>
    <x v="1"/>
    <d v="2026-05-27T09:21:53"/>
    <x v="21"/>
    <x v="11"/>
    <x v="21"/>
    <s v="17IA24.10"/>
    <x v="1"/>
    <x v="2"/>
    <m/>
    <m/>
    <m/>
  </r>
  <r>
    <s v="YK261700020"/>
    <x v="0"/>
    <x v="0"/>
    <n v="1"/>
    <x v="1"/>
    <d v="2026-06-17T14:39:50"/>
    <x v="21"/>
    <x v="11"/>
    <x v="21"/>
    <s v="17IA24.10"/>
    <x v="1"/>
    <x v="2"/>
    <m/>
    <d v="2026-08-07T00:00:00"/>
    <m/>
  </r>
  <r>
    <s v="YK261700021"/>
    <x v="0"/>
    <x v="0"/>
    <n v="1"/>
    <x v="1"/>
    <d v="2026-06-05T13:44:01"/>
    <x v="21"/>
    <x v="11"/>
    <x v="21"/>
    <s v="17IA24.10"/>
    <x v="1"/>
    <x v="2"/>
    <m/>
    <d v="2026-08-07T00:00:00"/>
    <m/>
  </r>
  <r>
    <s v="YK261700022"/>
    <x v="0"/>
    <x v="0"/>
    <n v="1"/>
    <x v="1"/>
    <d v="2026-06-19T13:54:13"/>
    <x v="21"/>
    <x v="11"/>
    <x v="21"/>
    <s v="17IA24.10"/>
    <x v="1"/>
    <x v="2"/>
    <m/>
    <m/>
    <m/>
  </r>
  <r>
    <s v="YK261700023"/>
    <x v="0"/>
    <x v="0"/>
    <n v="1"/>
    <x v="1"/>
    <d v="2026-07-29T21:01:32"/>
    <x v="21"/>
    <x v="11"/>
    <x v="21"/>
    <s v="17IA24.10"/>
    <x v="1"/>
    <x v="2"/>
    <m/>
    <m/>
    <m/>
  </r>
  <r>
    <s v="YK261700024"/>
    <x v="0"/>
    <x v="0"/>
    <n v="1"/>
    <x v="1"/>
    <d v="2026-05-27T09:39:47"/>
    <x v="21"/>
    <x v="11"/>
    <x v="21"/>
    <s v="17IA24.10"/>
    <x v="1"/>
    <x v="2"/>
    <m/>
    <m/>
    <m/>
  </r>
  <r>
    <s v="YK261700025"/>
    <x v="0"/>
    <x v="0"/>
    <n v="1"/>
    <x v="1"/>
    <d v="2026-06-11T10:33:59"/>
    <x v="21"/>
    <x v="11"/>
    <x v="21"/>
    <s v="17IA24.10"/>
    <x v="1"/>
    <x v="2"/>
    <m/>
    <d v="2026-08-07T00:00:00"/>
    <m/>
  </r>
  <r>
    <s v="YK261700026"/>
    <x v="0"/>
    <x v="0"/>
    <n v="1"/>
    <x v="1"/>
    <d v="2026-06-10T17:46:40"/>
    <x v="21"/>
    <x v="11"/>
    <x v="21"/>
    <s v="17IA24.10"/>
    <x v="1"/>
    <x v="2"/>
    <m/>
    <m/>
    <m/>
  </r>
  <r>
    <s v="YK261700027"/>
    <x v="0"/>
    <x v="0"/>
    <n v="1"/>
    <x v="1"/>
    <d v="2026-06-10T06:38:08"/>
    <x v="21"/>
    <x v="11"/>
    <x v="21"/>
    <s v="17IA24.10"/>
    <x v="1"/>
    <x v="2"/>
    <m/>
    <d v="2026-08-07T00:00:00"/>
    <m/>
  </r>
  <r>
    <s v="YK261700028"/>
    <x v="0"/>
    <x v="0"/>
    <n v="1"/>
    <x v="1"/>
    <d v="2026-08-05T12:05:45"/>
    <x v="21"/>
    <x v="11"/>
    <x v="21"/>
    <s v="17IA24.10"/>
    <x v="1"/>
    <x v="2"/>
    <m/>
    <m/>
    <m/>
  </r>
  <r>
    <s v="YK261700029"/>
    <x v="0"/>
    <x v="0"/>
    <n v="1"/>
    <x v="1"/>
    <d v="2026-06-08T13:39:44"/>
    <x v="21"/>
    <x v="11"/>
    <x v="21"/>
    <s v="17IA24.10"/>
    <x v="1"/>
    <x v="2"/>
    <m/>
    <m/>
    <m/>
  </r>
  <r>
    <s v="YK261700030"/>
    <x v="0"/>
    <x v="0"/>
    <n v="1"/>
    <x v="1"/>
    <d v="2026-06-13T13:01:17"/>
    <x v="21"/>
    <x v="11"/>
    <x v="21"/>
    <s v="17IA24.10"/>
    <x v="1"/>
    <x v="2"/>
    <m/>
    <m/>
    <m/>
  </r>
  <r>
    <s v="YK261700031"/>
    <x v="2"/>
    <x v="2"/>
    <n v="1"/>
    <x v="3"/>
    <d v="2026-08-19T13:49:58"/>
    <x v="21"/>
    <x v="11"/>
    <x v="21"/>
    <s v="17IA24.10"/>
    <x v="1"/>
    <x v="2"/>
    <m/>
    <m/>
    <m/>
  </r>
  <r>
    <s v="YK261700032"/>
    <x v="0"/>
    <x v="0"/>
    <n v="1"/>
    <x v="1"/>
    <d v="2026-05-28T09:26:00"/>
    <x v="21"/>
    <x v="11"/>
    <x v="21"/>
    <s v="17IA24.10"/>
    <x v="1"/>
    <x v="2"/>
    <m/>
    <m/>
    <m/>
  </r>
  <r>
    <s v="YK261700033"/>
    <x v="0"/>
    <x v="0"/>
    <n v="1"/>
    <x v="1"/>
    <d v="2026-07-07T13:38:17"/>
    <x v="21"/>
    <x v="11"/>
    <x v="21"/>
    <s v="17IA24.10"/>
    <x v="1"/>
    <x v="2"/>
    <m/>
    <m/>
    <m/>
  </r>
  <r>
    <s v="YK261700034"/>
    <x v="0"/>
    <x v="0"/>
    <n v="1"/>
    <x v="1"/>
    <d v="2026-07-09T13:15:43"/>
    <x v="21"/>
    <x v="11"/>
    <x v="21"/>
    <s v="17IA24.10"/>
    <x v="1"/>
    <x v="2"/>
    <m/>
    <m/>
    <m/>
  </r>
  <r>
    <s v="YK261700035"/>
    <x v="0"/>
    <x v="0"/>
    <n v="1"/>
    <x v="1"/>
    <d v="2026-05-28T08:30:31"/>
    <x v="21"/>
    <x v="11"/>
    <x v="21"/>
    <s v="17IA24.10"/>
    <x v="1"/>
    <x v="2"/>
    <m/>
    <m/>
    <m/>
  </r>
  <r>
    <s v="YK261700036"/>
    <x v="3"/>
    <x v="3"/>
    <n v="1"/>
    <x v="4"/>
    <d v="2026-08-10T17:25:52"/>
    <x v="21"/>
    <x v="11"/>
    <x v="21"/>
    <s v="17IA24.10"/>
    <x v="1"/>
    <x v="2"/>
    <m/>
    <m/>
    <m/>
  </r>
  <r>
    <s v="YK261700037"/>
    <x v="0"/>
    <x v="0"/>
    <n v="1"/>
    <x v="1"/>
    <d v="2026-06-11T15:55:27"/>
    <x v="21"/>
    <x v="11"/>
    <x v="21"/>
    <s v="17IA24.10"/>
    <x v="1"/>
    <x v="2"/>
    <m/>
    <m/>
    <m/>
  </r>
  <r>
    <s v="YK261700038"/>
    <x v="0"/>
    <x v="0"/>
    <n v="1"/>
    <x v="1"/>
    <d v="2026-05-27T09:34:47"/>
    <x v="21"/>
    <x v="11"/>
    <x v="21"/>
    <s v="17IA24.10"/>
    <x v="1"/>
    <x v="2"/>
    <m/>
    <m/>
    <m/>
  </r>
  <r>
    <s v="YK261700039"/>
    <x v="0"/>
    <x v="0"/>
    <n v="1"/>
    <x v="1"/>
    <d v="2026-05-28T12:13:31"/>
    <x v="21"/>
    <x v="11"/>
    <x v="21"/>
    <s v="17IA24.10"/>
    <x v="1"/>
    <x v="2"/>
    <m/>
    <m/>
    <m/>
  </r>
  <r>
    <s v="YK261700040"/>
    <x v="0"/>
    <x v="0"/>
    <n v="1"/>
    <x v="1"/>
    <d v="2026-06-23T13:52:15"/>
    <x v="21"/>
    <x v="11"/>
    <x v="21"/>
    <s v="17IA24.10"/>
    <x v="1"/>
    <x v="2"/>
    <m/>
    <m/>
    <m/>
  </r>
  <r>
    <s v="YK261700041"/>
    <x v="0"/>
    <x v="0"/>
    <n v="1"/>
    <x v="1"/>
    <d v="2026-05-27T13:17:49"/>
    <x v="21"/>
    <x v="11"/>
    <x v="21"/>
    <s v="17IA24.10"/>
    <x v="1"/>
    <x v="2"/>
    <m/>
    <m/>
    <m/>
  </r>
  <r>
    <s v="YK262500378"/>
    <x v="1"/>
    <x v="1"/>
    <n v="1"/>
    <x v="2"/>
    <d v="2026-08-07T13:51:19"/>
    <x v="22"/>
    <x v="12"/>
    <x v="22"/>
    <s v="17IA24.20"/>
    <x v="1"/>
    <x v="2"/>
    <m/>
    <m/>
    <m/>
  </r>
  <r>
    <s v="YK262500379"/>
    <x v="0"/>
    <x v="0"/>
    <n v="1"/>
    <x v="1"/>
    <d v="2026-09-15T21:21:20"/>
    <x v="22"/>
    <x v="12"/>
    <x v="22"/>
    <s v="17IA24.20"/>
    <x v="1"/>
    <x v="2"/>
    <m/>
    <m/>
    <m/>
  </r>
  <r>
    <s v="YK262500380"/>
    <x v="3"/>
    <x v="3"/>
    <n v="1"/>
    <x v="4"/>
    <d v="2026-09-11T07:41:01"/>
    <x v="22"/>
    <x v="12"/>
    <x v="22"/>
    <s v="17IA24.20"/>
    <x v="1"/>
    <x v="2"/>
    <m/>
    <m/>
    <m/>
  </r>
  <r>
    <s v="YK262500381"/>
    <x v="1"/>
    <x v="1"/>
    <n v="1"/>
    <x v="2"/>
    <d v="2026-08-07T13:52:04"/>
    <x v="22"/>
    <x v="12"/>
    <x v="22"/>
    <s v="17IA24.20"/>
    <x v="1"/>
    <x v="2"/>
    <m/>
    <m/>
    <m/>
  </r>
  <r>
    <s v="YK262500382"/>
    <x v="0"/>
    <x v="0"/>
    <n v="1"/>
    <x v="1"/>
    <d v="2026-09-17T06:37:53"/>
    <x v="22"/>
    <x v="12"/>
    <x v="22"/>
    <s v="17IA24.20"/>
    <x v="1"/>
    <x v="2"/>
    <m/>
    <m/>
    <m/>
  </r>
  <r>
    <s v="YK262500383"/>
    <x v="0"/>
    <x v="0"/>
    <n v="1"/>
    <x v="1"/>
    <d v="2026-09-15T21:24:24"/>
    <x v="22"/>
    <x v="12"/>
    <x v="22"/>
    <s v="17IA24.20"/>
    <x v="1"/>
    <x v="2"/>
    <m/>
    <m/>
    <m/>
  </r>
  <r>
    <s v="YK262500384"/>
    <x v="1"/>
    <x v="1"/>
    <n v="1"/>
    <x v="2"/>
    <d v="2026-07-21T06:25:09"/>
    <x v="22"/>
    <x v="12"/>
    <x v="22"/>
    <s v="17IA24.20"/>
    <x v="1"/>
    <x v="2"/>
    <m/>
    <m/>
    <m/>
  </r>
  <r>
    <s v="YK262500385"/>
    <x v="3"/>
    <x v="3"/>
    <n v="1"/>
    <x v="4"/>
    <d v="2026-09-10T11:57:09"/>
    <x v="22"/>
    <x v="12"/>
    <x v="22"/>
    <s v="17IA24.20"/>
    <x v="1"/>
    <x v="2"/>
    <m/>
    <m/>
    <m/>
  </r>
  <r>
    <s v="YK262500386"/>
    <x v="1"/>
    <x v="1"/>
    <n v="1"/>
    <x v="2"/>
    <d v="2026-07-23T14:20:26"/>
    <x v="22"/>
    <x v="12"/>
    <x v="22"/>
    <s v="17IA24.20"/>
    <x v="1"/>
    <x v="2"/>
    <m/>
    <m/>
    <m/>
  </r>
  <r>
    <s v="YK262500387"/>
    <x v="3"/>
    <x v="3"/>
    <n v="1"/>
    <x v="4"/>
    <d v="2026-09-11T07:35:40"/>
    <x v="22"/>
    <x v="12"/>
    <x v="22"/>
    <s v="17IA24.20"/>
    <x v="1"/>
    <x v="2"/>
    <m/>
    <m/>
    <m/>
  </r>
  <r>
    <s v="YK262500388"/>
    <x v="0"/>
    <x v="0"/>
    <n v="1"/>
    <x v="1"/>
    <d v="2026-09-16T13:10:49"/>
    <x v="22"/>
    <x v="12"/>
    <x v="22"/>
    <s v="17IA24.20"/>
    <x v="1"/>
    <x v="2"/>
    <m/>
    <m/>
    <m/>
  </r>
  <r>
    <s v="YK262500389"/>
    <x v="8"/>
    <x v="8"/>
    <n v="1"/>
    <x v="7"/>
    <d v="2026-09-09T11:25:31"/>
    <x v="22"/>
    <x v="12"/>
    <x v="22"/>
    <s v="17IA24.20"/>
    <x v="1"/>
    <x v="2"/>
    <m/>
    <m/>
    <m/>
  </r>
  <r>
    <s v="YK262500390"/>
    <x v="1"/>
    <x v="1"/>
    <n v="1"/>
    <x v="2"/>
    <d v="2026-07-23T14:20:48"/>
    <x v="22"/>
    <x v="12"/>
    <x v="22"/>
    <s v="17IA24.20"/>
    <x v="1"/>
    <x v="2"/>
    <m/>
    <m/>
    <m/>
  </r>
  <r>
    <s v="YK262500391"/>
    <x v="3"/>
    <x v="3"/>
    <n v="1"/>
    <x v="4"/>
    <d v="2026-09-11T07:42:00"/>
    <x v="22"/>
    <x v="12"/>
    <x v="22"/>
    <s v="17IA24.20"/>
    <x v="1"/>
    <x v="2"/>
    <m/>
    <m/>
    <m/>
  </r>
  <r>
    <s v="YK262500392"/>
    <x v="3"/>
    <x v="3"/>
    <n v="1"/>
    <x v="4"/>
    <d v="2026-09-10T11:32:11"/>
    <x v="22"/>
    <x v="12"/>
    <x v="22"/>
    <s v="17IA24.20"/>
    <x v="1"/>
    <x v="2"/>
    <m/>
    <m/>
    <m/>
  </r>
  <r>
    <s v="YK262500393"/>
    <x v="0"/>
    <x v="0"/>
    <n v="1"/>
    <x v="1"/>
    <d v="2026-09-15T21:27:01"/>
    <x v="22"/>
    <x v="12"/>
    <x v="22"/>
    <s v="17IA24.20"/>
    <x v="1"/>
    <x v="2"/>
    <m/>
    <m/>
    <m/>
  </r>
  <r>
    <s v="YK262500394"/>
    <x v="8"/>
    <x v="8"/>
    <n v="1"/>
    <x v="7"/>
    <d v="2026-09-09T08:42:02"/>
    <x v="22"/>
    <x v="12"/>
    <x v="22"/>
    <s v="17IA24.20"/>
    <x v="1"/>
    <x v="2"/>
    <m/>
    <m/>
    <m/>
  </r>
  <r>
    <s v="YK262500395"/>
    <x v="1"/>
    <x v="1"/>
    <n v="1"/>
    <x v="2"/>
    <d v="2026-08-07T13:53:30"/>
    <x v="22"/>
    <x v="12"/>
    <x v="22"/>
    <s v="17IA24.20"/>
    <x v="1"/>
    <x v="2"/>
    <m/>
    <m/>
    <m/>
  </r>
  <r>
    <s v="YK262500396"/>
    <x v="0"/>
    <x v="0"/>
    <n v="1"/>
    <x v="1"/>
    <d v="2026-08-25T16:24:43"/>
    <x v="22"/>
    <x v="12"/>
    <x v="22"/>
    <s v="17IA24.20"/>
    <x v="1"/>
    <x v="2"/>
    <m/>
    <m/>
    <m/>
  </r>
  <r>
    <s v="YK262500397"/>
    <x v="3"/>
    <x v="3"/>
    <n v="1"/>
    <x v="4"/>
    <d v="2026-09-10T12:00:32"/>
    <x v="22"/>
    <x v="12"/>
    <x v="22"/>
    <s v="17IA24.20"/>
    <x v="1"/>
    <x v="2"/>
    <m/>
    <m/>
    <m/>
  </r>
  <r>
    <s v="YK262500398"/>
    <x v="1"/>
    <x v="1"/>
    <n v="1"/>
    <x v="2"/>
    <d v="2026-08-07T13:52:36"/>
    <x v="22"/>
    <x v="12"/>
    <x v="22"/>
    <s v="17IA24.20"/>
    <x v="1"/>
    <x v="2"/>
    <m/>
    <m/>
    <m/>
  </r>
  <r>
    <s v="YK262500399"/>
    <x v="1"/>
    <x v="1"/>
    <n v="1"/>
    <x v="2"/>
    <d v="2026-08-07T13:50:10"/>
    <x v="22"/>
    <x v="12"/>
    <x v="22"/>
    <s v="17IA24.20"/>
    <x v="1"/>
    <x v="2"/>
    <m/>
    <m/>
    <m/>
  </r>
  <r>
    <s v="YK262500400"/>
    <x v="3"/>
    <x v="3"/>
    <n v="1"/>
    <x v="4"/>
    <d v="2026-09-11T07:40:02"/>
    <x v="22"/>
    <x v="12"/>
    <x v="22"/>
    <s v="17IA24.20"/>
    <x v="1"/>
    <x v="2"/>
    <m/>
    <m/>
    <m/>
  </r>
  <r>
    <s v="YK262500401"/>
    <x v="8"/>
    <x v="8"/>
    <n v="1"/>
    <x v="7"/>
    <d v="2026-09-10T09:46:15"/>
    <x v="22"/>
    <x v="12"/>
    <x v="22"/>
    <s v="17IA24.20"/>
    <x v="1"/>
    <x v="2"/>
    <m/>
    <m/>
    <m/>
  </r>
  <r>
    <s v="YK262500402"/>
    <x v="0"/>
    <x v="0"/>
    <n v="1"/>
    <x v="1"/>
    <d v="2026-09-16T12:24:53"/>
    <x v="22"/>
    <x v="12"/>
    <x v="22"/>
    <s v="17IA24.20"/>
    <x v="1"/>
    <x v="2"/>
    <m/>
    <m/>
    <m/>
  </r>
  <r>
    <s v="YK262500403"/>
    <x v="1"/>
    <x v="1"/>
    <n v="1"/>
    <x v="2"/>
    <d v="2026-08-07T13:54:41"/>
    <x v="22"/>
    <x v="12"/>
    <x v="22"/>
    <s v="17IA24.20"/>
    <x v="1"/>
    <x v="2"/>
    <m/>
    <m/>
    <m/>
  </r>
  <r>
    <s v="YK262500404"/>
    <x v="0"/>
    <x v="0"/>
    <n v="1"/>
    <x v="1"/>
    <d v="2026-09-15T21:30:48"/>
    <x v="22"/>
    <x v="12"/>
    <x v="22"/>
    <s v="17IA24.20"/>
    <x v="1"/>
    <x v="2"/>
    <m/>
    <m/>
    <m/>
  </r>
  <r>
    <s v="YK262500405"/>
    <x v="1"/>
    <x v="1"/>
    <n v="1"/>
    <x v="2"/>
    <d v="2026-08-07T13:53:59"/>
    <x v="22"/>
    <x v="12"/>
    <x v="22"/>
    <s v="17IA24.20"/>
    <x v="1"/>
    <x v="2"/>
    <m/>
    <m/>
    <m/>
  </r>
  <r>
    <s v="YK262500406"/>
    <x v="0"/>
    <x v="0"/>
    <n v="1"/>
    <x v="1"/>
    <d v="2026-09-15T11:43:06"/>
    <x v="22"/>
    <x v="12"/>
    <x v="22"/>
    <s v="17IA24.20"/>
    <x v="1"/>
    <x v="2"/>
    <m/>
    <m/>
    <m/>
  </r>
  <r>
    <s v="YK263300250"/>
    <x v="14"/>
    <x v="14"/>
    <n v="1"/>
    <x v="3"/>
    <d v="2026-08-14T09:02:43"/>
    <x v="23"/>
    <x v="12"/>
    <x v="23"/>
    <s v="17IA24.30"/>
    <x v="1"/>
    <x v="2"/>
    <m/>
    <m/>
    <m/>
  </r>
  <r>
    <s v="YK263300251"/>
    <x v="15"/>
    <x v="15"/>
    <n v="1"/>
    <x v="3"/>
    <d v="2026-08-15T10:36:35"/>
    <x v="23"/>
    <x v="12"/>
    <x v="23"/>
    <s v="17IA24.30"/>
    <x v="1"/>
    <x v="2"/>
    <m/>
    <m/>
    <m/>
  </r>
  <r>
    <s v="YK263300252"/>
    <x v="14"/>
    <x v="14"/>
    <n v="1"/>
    <x v="3"/>
    <d v="2026-08-27T05:24:51"/>
    <x v="23"/>
    <x v="12"/>
    <x v="23"/>
    <s v="17IA24.30"/>
    <x v="1"/>
    <x v="2"/>
    <m/>
    <m/>
    <m/>
  </r>
  <r>
    <s v="YK263300253"/>
    <x v="9"/>
    <x v="9"/>
    <n v="1"/>
    <x v="3"/>
    <d v="2026-08-27T15:02:26"/>
    <x v="23"/>
    <x v="12"/>
    <x v="23"/>
    <s v="17IA24.30"/>
    <x v="1"/>
    <x v="2"/>
    <m/>
    <m/>
    <m/>
  </r>
  <r>
    <s v="YK263300254"/>
    <x v="9"/>
    <x v="9"/>
    <n v="1"/>
    <x v="3"/>
    <d v="2026-08-27T15:27:52"/>
    <x v="23"/>
    <x v="12"/>
    <x v="23"/>
    <s v="17IA24.30"/>
    <x v="1"/>
    <x v="2"/>
    <m/>
    <m/>
    <m/>
  </r>
  <r>
    <s v="YK263300255"/>
    <x v="14"/>
    <x v="14"/>
    <n v="1"/>
    <x v="3"/>
    <d v="2026-08-27T06:01:28"/>
    <x v="23"/>
    <x v="12"/>
    <x v="23"/>
    <s v="17IA24.30"/>
    <x v="1"/>
    <x v="2"/>
    <m/>
    <m/>
    <m/>
  </r>
  <r>
    <s v="YK263300256"/>
    <x v="9"/>
    <x v="9"/>
    <n v="1"/>
    <x v="3"/>
    <d v="2026-08-27T15:21:41"/>
    <x v="23"/>
    <x v="12"/>
    <x v="23"/>
    <s v="17IA24.30"/>
    <x v="1"/>
    <x v="2"/>
    <m/>
    <m/>
    <m/>
  </r>
  <r>
    <s v="YK263300257"/>
    <x v="9"/>
    <x v="9"/>
    <n v="1"/>
    <x v="3"/>
    <d v="2026-08-27T15:27:23"/>
    <x v="23"/>
    <x v="12"/>
    <x v="23"/>
    <s v="17IA24.30"/>
    <x v="1"/>
    <x v="2"/>
    <m/>
    <m/>
    <m/>
  </r>
  <r>
    <s v="YK263300258"/>
    <x v="9"/>
    <x v="9"/>
    <n v="1"/>
    <x v="3"/>
    <d v="2026-08-14T12:13:47"/>
    <x v="23"/>
    <x v="12"/>
    <x v="23"/>
    <s v="17IA24.30"/>
    <x v="1"/>
    <x v="2"/>
    <m/>
    <m/>
    <m/>
  </r>
  <r>
    <s v="YK263300259"/>
    <x v="9"/>
    <x v="9"/>
    <n v="1"/>
    <x v="3"/>
    <d v="2026-08-14T12:14:37"/>
    <x v="23"/>
    <x v="12"/>
    <x v="23"/>
    <s v="17IA24.30"/>
    <x v="1"/>
    <x v="2"/>
    <m/>
    <m/>
    <m/>
  </r>
  <r>
    <s v="YK263300260"/>
    <x v="9"/>
    <x v="9"/>
    <n v="1"/>
    <x v="3"/>
    <d v="2026-08-14T12:14:55"/>
    <x v="23"/>
    <x v="12"/>
    <x v="23"/>
    <s v="17IA24.30"/>
    <x v="1"/>
    <x v="2"/>
    <m/>
    <m/>
    <m/>
  </r>
  <r>
    <s v="YK263300261"/>
    <x v="9"/>
    <x v="9"/>
    <n v="1"/>
    <x v="3"/>
    <d v="2026-08-14T12:15:03"/>
    <x v="23"/>
    <x v="12"/>
    <x v="23"/>
    <s v="17IA24.30"/>
    <x v="1"/>
    <x v="2"/>
    <m/>
    <m/>
    <m/>
  </r>
  <r>
    <s v="YK263300262"/>
    <x v="9"/>
    <x v="9"/>
    <n v="1"/>
    <x v="3"/>
    <d v="2026-08-14T13:31:53"/>
    <x v="23"/>
    <x v="12"/>
    <x v="23"/>
    <s v="17IA24.30"/>
    <x v="1"/>
    <x v="2"/>
    <m/>
    <m/>
    <m/>
  </r>
  <r>
    <s v="YK263300263"/>
    <x v="15"/>
    <x v="15"/>
    <n v="1"/>
    <x v="3"/>
    <d v="2026-09-05T11:48:13"/>
    <x v="23"/>
    <x v="12"/>
    <x v="23"/>
    <s v="17IA24.30"/>
    <x v="1"/>
    <x v="2"/>
    <m/>
    <m/>
    <m/>
  </r>
  <r>
    <s v="YK263300264"/>
    <x v="7"/>
    <x v="7"/>
    <n v="1"/>
    <x v="3"/>
    <d v="2026-09-17T07:29:37"/>
    <x v="23"/>
    <x v="12"/>
    <x v="23"/>
    <s v="17IA24.30"/>
    <x v="1"/>
    <x v="2"/>
    <m/>
    <m/>
    <m/>
  </r>
  <r>
    <s v="YK263300265"/>
    <x v="9"/>
    <x v="9"/>
    <n v="1"/>
    <x v="3"/>
    <d v="2026-08-27T15:06:59"/>
    <x v="23"/>
    <x v="12"/>
    <x v="23"/>
    <s v="17IA24.30"/>
    <x v="1"/>
    <x v="2"/>
    <m/>
    <m/>
    <m/>
  </r>
  <r>
    <s v="YK263300266"/>
    <x v="9"/>
    <x v="9"/>
    <n v="1"/>
    <x v="3"/>
    <d v="2026-08-27T15:13:52"/>
    <x v="23"/>
    <x v="12"/>
    <x v="23"/>
    <s v="17IA24.30"/>
    <x v="1"/>
    <x v="2"/>
    <m/>
    <m/>
    <m/>
  </r>
  <r>
    <s v="YK263300267"/>
    <x v="9"/>
    <x v="9"/>
    <n v="1"/>
    <x v="3"/>
    <d v="2026-08-14T14:00:00"/>
    <x v="23"/>
    <x v="12"/>
    <x v="23"/>
    <s v="17IA24.30"/>
    <x v="1"/>
    <x v="2"/>
    <m/>
    <m/>
    <m/>
  </r>
  <r>
    <s v="YK263300268"/>
    <x v="9"/>
    <x v="9"/>
    <n v="1"/>
    <x v="3"/>
    <d v="2026-08-14T14:13:23"/>
    <x v="23"/>
    <x v="12"/>
    <x v="23"/>
    <s v="17IA24.30"/>
    <x v="1"/>
    <x v="2"/>
    <m/>
    <m/>
    <m/>
  </r>
  <r>
    <s v="YK263300269"/>
    <x v="9"/>
    <x v="9"/>
    <n v="1"/>
    <x v="3"/>
    <d v="2026-08-14T14:16:26"/>
    <x v="23"/>
    <x v="12"/>
    <x v="23"/>
    <s v="17IA24.30"/>
    <x v="1"/>
    <x v="2"/>
    <m/>
    <m/>
    <m/>
  </r>
  <r>
    <s v="YK263300270"/>
    <x v="9"/>
    <x v="9"/>
    <n v="1"/>
    <x v="3"/>
    <d v="2026-08-14T14:16:31"/>
    <x v="23"/>
    <x v="12"/>
    <x v="23"/>
    <s v="17IA24.30"/>
    <x v="1"/>
    <x v="2"/>
    <m/>
    <m/>
    <m/>
  </r>
  <r>
    <s v="YK263300271"/>
    <x v="9"/>
    <x v="9"/>
    <n v="1"/>
    <x v="3"/>
    <d v="2026-08-14T14:18:12"/>
    <x v="23"/>
    <x v="12"/>
    <x v="23"/>
    <s v="17IA24.30"/>
    <x v="1"/>
    <x v="2"/>
    <m/>
    <m/>
    <m/>
  </r>
  <r>
    <s v="YK263300272"/>
    <x v="9"/>
    <x v="9"/>
    <n v="1"/>
    <x v="3"/>
    <d v="2026-08-14T14:31:23"/>
    <x v="23"/>
    <x v="12"/>
    <x v="23"/>
    <s v="17IA24.30"/>
    <x v="1"/>
    <x v="2"/>
    <m/>
    <m/>
    <m/>
  </r>
  <r>
    <s v="YK263300273"/>
    <x v="9"/>
    <x v="9"/>
    <n v="1"/>
    <x v="3"/>
    <d v="2026-08-14T14:33:59"/>
    <x v="23"/>
    <x v="12"/>
    <x v="23"/>
    <s v="17IA24.30"/>
    <x v="1"/>
    <x v="2"/>
    <m/>
    <m/>
    <m/>
  </r>
  <r>
    <s v="YK263300274"/>
    <x v="9"/>
    <x v="9"/>
    <n v="1"/>
    <x v="3"/>
    <d v="2026-08-14T14:38:55"/>
    <x v="23"/>
    <x v="12"/>
    <x v="23"/>
    <s v="17IA24.30"/>
    <x v="1"/>
    <x v="2"/>
    <m/>
    <m/>
    <m/>
  </r>
  <r>
    <s v="YK263300275"/>
    <x v="9"/>
    <x v="9"/>
    <n v="1"/>
    <x v="3"/>
    <d v="2026-08-14T15:03:00"/>
    <x v="23"/>
    <x v="12"/>
    <x v="23"/>
    <s v="17IA24.30"/>
    <x v="1"/>
    <x v="2"/>
    <m/>
    <m/>
    <m/>
  </r>
  <r>
    <s v="YK263300276"/>
    <x v="9"/>
    <x v="9"/>
    <n v="1"/>
    <x v="3"/>
    <d v="2026-08-14T15:03:07"/>
    <x v="23"/>
    <x v="12"/>
    <x v="23"/>
    <s v="17IA24.30"/>
    <x v="1"/>
    <x v="2"/>
    <m/>
    <m/>
    <m/>
  </r>
  <r>
    <s v="YK263300277"/>
    <x v="9"/>
    <x v="9"/>
    <n v="1"/>
    <x v="3"/>
    <d v="2026-08-14T15:51:15"/>
    <x v="23"/>
    <x v="12"/>
    <x v="23"/>
    <s v="17IA24.30"/>
    <x v="1"/>
    <x v="2"/>
    <m/>
    <m/>
    <m/>
  </r>
  <r>
    <s v="YK263300278"/>
    <x v="9"/>
    <x v="9"/>
    <n v="1"/>
    <x v="3"/>
    <d v="2026-08-14T15:51:44"/>
    <x v="23"/>
    <x v="12"/>
    <x v="23"/>
    <s v="17IA24.30"/>
    <x v="1"/>
    <x v="2"/>
    <m/>
    <m/>
    <m/>
  </r>
  <r>
    <s v="YK263300279"/>
    <x v="9"/>
    <x v="9"/>
    <n v="1"/>
    <x v="3"/>
    <d v="2026-09-01T15:46:13"/>
    <x v="23"/>
    <x v="12"/>
    <x v="23"/>
    <s v="17IA24.30"/>
    <x v="1"/>
    <x v="2"/>
    <m/>
    <m/>
    <m/>
  </r>
  <r>
    <s v="YK263300280"/>
    <x v="16"/>
    <x v="16"/>
    <n v="1"/>
    <x v="7"/>
    <d v="2026-08-20T15:18:22"/>
    <x v="23"/>
    <x v="12"/>
    <x v="23"/>
    <s v="17IA24.30"/>
    <x v="1"/>
    <x v="2"/>
    <m/>
    <m/>
    <m/>
  </r>
  <r>
    <s v="YK263300281"/>
    <x v="16"/>
    <x v="16"/>
    <n v="1"/>
    <x v="7"/>
    <d v="2026-09-16T12:35:05"/>
    <x v="23"/>
    <x v="12"/>
    <x v="23"/>
    <s v="17IA24.30"/>
    <x v="1"/>
    <x v="2"/>
    <m/>
    <m/>
    <m/>
  </r>
  <r>
    <s v="YK263300282"/>
    <x v="14"/>
    <x v="14"/>
    <n v="1"/>
    <x v="3"/>
    <d v="2026-08-27T04:59:00"/>
    <x v="23"/>
    <x v="12"/>
    <x v="23"/>
    <s v="17IA24.30"/>
    <x v="1"/>
    <x v="2"/>
    <m/>
    <m/>
    <m/>
  </r>
  <r>
    <s v="YK263300283"/>
    <x v="6"/>
    <x v="6"/>
    <n v="1"/>
    <x v="7"/>
    <d v="2026-09-16T17:29:31"/>
    <x v="23"/>
    <x v="12"/>
    <x v="23"/>
    <s v="17IA24.30"/>
    <x v="1"/>
    <x v="2"/>
    <m/>
    <m/>
    <m/>
  </r>
  <r>
    <s v="YK263300284"/>
    <x v="15"/>
    <x v="15"/>
    <n v="1"/>
    <x v="3"/>
    <d v="2026-09-02T06:12:59"/>
    <x v="23"/>
    <x v="12"/>
    <x v="23"/>
    <s v="17IA24.30"/>
    <x v="1"/>
    <x v="2"/>
    <m/>
    <m/>
    <m/>
  </r>
  <r>
    <s v="YK263300285"/>
    <x v="9"/>
    <x v="9"/>
    <n v="1"/>
    <x v="3"/>
    <d v="2026-08-27T15:15:29"/>
    <x v="23"/>
    <x v="12"/>
    <x v="23"/>
    <s v="17IA24.30"/>
    <x v="1"/>
    <x v="2"/>
    <m/>
    <m/>
    <m/>
  </r>
  <r>
    <s v="YK263300286"/>
    <x v="7"/>
    <x v="7"/>
    <n v="1"/>
    <x v="3"/>
    <d v="2026-09-16T13:59:01"/>
    <x v="23"/>
    <x v="12"/>
    <x v="23"/>
    <s v="17IA24.30"/>
    <x v="1"/>
    <x v="2"/>
    <m/>
    <m/>
    <m/>
  </r>
  <r>
    <s v="YK263300287"/>
    <x v="17"/>
    <x v="17"/>
    <n v="1"/>
    <x v="3"/>
    <d v="2026-09-16T18:32:05"/>
    <x v="23"/>
    <x v="12"/>
    <x v="23"/>
    <s v="17IA24.30"/>
    <x v="1"/>
    <x v="2"/>
    <m/>
    <m/>
    <m/>
  </r>
  <r>
    <s v="YK263300288"/>
    <x v="6"/>
    <x v="6"/>
    <n v="1"/>
    <x v="7"/>
    <d v="2026-09-16T15:21:18"/>
    <x v="23"/>
    <x v="12"/>
    <x v="23"/>
    <s v="17IA24.30"/>
    <x v="1"/>
    <x v="2"/>
    <m/>
    <m/>
    <m/>
  </r>
  <r>
    <s v="YK263300289"/>
    <x v="16"/>
    <x v="16"/>
    <n v="1"/>
    <x v="7"/>
    <d v="2026-09-17T07:07:36"/>
    <x v="23"/>
    <x v="12"/>
    <x v="23"/>
    <s v="17IA24.30"/>
    <x v="1"/>
    <x v="2"/>
    <m/>
    <m/>
    <m/>
  </r>
  <r>
    <s v="YK263300290"/>
    <x v="9"/>
    <x v="9"/>
    <n v="1"/>
    <x v="3"/>
    <d v="2026-08-27T14:50:11"/>
    <x v="23"/>
    <x v="12"/>
    <x v="23"/>
    <s v="17IA24.30"/>
    <x v="1"/>
    <x v="2"/>
    <m/>
    <m/>
    <m/>
  </r>
  <r>
    <s v="YK263300291"/>
    <x v="15"/>
    <x v="15"/>
    <n v="1"/>
    <x v="3"/>
    <d v="2026-09-05T12:12:31"/>
    <x v="23"/>
    <x v="12"/>
    <x v="23"/>
    <s v="17IA24.30"/>
    <x v="1"/>
    <x v="2"/>
    <m/>
    <m/>
    <m/>
  </r>
  <r>
    <s v="YK263300292"/>
    <x v="14"/>
    <x v="14"/>
    <n v="1"/>
    <x v="3"/>
    <d v="2026-08-27T16:21:38"/>
    <x v="23"/>
    <x v="12"/>
    <x v="23"/>
    <s v="17IA24.30"/>
    <x v="1"/>
    <x v="2"/>
    <m/>
    <m/>
    <m/>
  </r>
  <r>
    <s v="YK263300293"/>
    <x v="15"/>
    <x v="15"/>
    <n v="1"/>
    <x v="3"/>
    <d v="2026-09-05T13:22:12"/>
    <x v="23"/>
    <x v="12"/>
    <x v="23"/>
    <s v="17IA24.30"/>
    <x v="1"/>
    <x v="2"/>
    <m/>
    <m/>
    <m/>
  </r>
  <r>
    <s v="YK263300294"/>
    <x v="6"/>
    <x v="6"/>
    <n v="1"/>
    <x v="7"/>
    <d v="2026-09-16T18:29:19"/>
    <x v="23"/>
    <x v="12"/>
    <x v="23"/>
    <s v="17IA24.30"/>
    <x v="1"/>
    <x v="2"/>
    <m/>
    <m/>
    <m/>
  </r>
  <r>
    <s v="YK263300295"/>
    <x v="9"/>
    <x v="9"/>
    <n v="1"/>
    <x v="3"/>
    <d v="2026-08-27T14:43:06"/>
    <x v="23"/>
    <x v="12"/>
    <x v="23"/>
    <s v="17IA24.30"/>
    <x v="1"/>
    <x v="2"/>
    <m/>
    <m/>
    <m/>
  </r>
  <r>
    <s v="YK263300296"/>
    <x v="15"/>
    <x v="15"/>
    <n v="1"/>
    <x v="3"/>
    <d v="2026-08-27T16:13:48"/>
    <x v="23"/>
    <x v="12"/>
    <x v="23"/>
    <s v="17IA24.30"/>
    <x v="1"/>
    <x v="2"/>
    <m/>
    <m/>
    <m/>
  </r>
  <r>
    <s v="YK263300297"/>
    <x v="15"/>
    <x v="15"/>
    <n v="1"/>
    <x v="3"/>
    <d v="2026-09-01T13:30:34"/>
    <x v="23"/>
    <x v="12"/>
    <x v="23"/>
    <s v="17IA24.30"/>
    <x v="1"/>
    <x v="2"/>
    <m/>
    <m/>
    <m/>
  </r>
  <r>
    <s v="YK263300298"/>
    <x v="7"/>
    <x v="7"/>
    <n v="1"/>
    <x v="3"/>
    <d v="2026-09-16T14:22:40"/>
    <x v="23"/>
    <x v="12"/>
    <x v="23"/>
    <s v="17IA24.30"/>
    <x v="1"/>
    <x v="2"/>
    <m/>
    <m/>
    <m/>
  </r>
  <r>
    <s v="YK263300299"/>
    <x v="15"/>
    <x v="15"/>
    <n v="1"/>
    <x v="3"/>
    <d v="2026-08-27T15:50:51"/>
    <x v="23"/>
    <x v="12"/>
    <x v="23"/>
    <s v="17IA24.30"/>
    <x v="1"/>
    <x v="2"/>
    <m/>
    <m/>
    <m/>
  </r>
  <r>
    <s v="YK263300300"/>
    <x v="2"/>
    <x v="2"/>
    <n v="1"/>
    <x v="3"/>
    <d v="2026-09-09T09:57:08"/>
    <x v="23"/>
    <x v="12"/>
    <x v="23"/>
    <s v="17IA24.30"/>
    <x v="1"/>
    <x v="2"/>
    <m/>
    <m/>
    <m/>
  </r>
  <r>
    <s v="YK263300301"/>
    <x v="14"/>
    <x v="14"/>
    <n v="1"/>
    <x v="3"/>
    <d v="2026-08-27T16:28:21"/>
    <x v="23"/>
    <x v="12"/>
    <x v="23"/>
    <s v="17IA24.30"/>
    <x v="1"/>
    <x v="2"/>
    <m/>
    <m/>
    <m/>
  </r>
  <r>
    <s v="YK262300890"/>
    <x v="0"/>
    <x v="0"/>
    <n v="1"/>
    <x v="1"/>
    <d v="2026-06-24T14:13:32"/>
    <x v="24"/>
    <x v="11"/>
    <x v="24"/>
    <s v="17IA25.30"/>
    <x v="1"/>
    <x v="2"/>
    <m/>
    <m/>
    <m/>
  </r>
  <r>
    <s v="YK262300891"/>
    <x v="0"/>
    <x v="0"/>
    <n v="1"/>
    <x v="1"/>
    <d v="2026-06-26T13:25:57"/>
    <x v="24"/>
    <x v="11"/>
    <x v="24"/>
    <s v="17IA25.30"/>
    <x v="1"/>
    <x v="2"/>
    <m/>
    <m/>
    <m/>
  </r>
  <r>
    <s v="YK262300892"/>
    <x v="0"/>
    <x v="0"/>
    <n v="1"/>
    <x v="1"/>
    <d v="2026-07-28T09:36:58"/>
    <x v="24"/>
    <x v="11"/>
    <x v="24"/>
    <s v="17IA25.30"/>
    <x v="1"/>
    <x v="2"/>
    <m/>
    <m/>
    <m/>
  </r>
  <r>
    <s v="YK262300893"/>
    <x v="0"/>
    <x v="0"/>
    <n v="1"/>
    <x v="1"/>
    <d v="2026-07-02T09:41:13"/>
    <x v="24"/>
    <x v="11"/>
    <x v="24"/>
    <s v="17IA25.30"/>
    <x v="1"/>
    <x v="2"/>
    <m/>
    <m/>
    <m/>
  </r>
  <r>
    <s v="YK262300894"/>
    <x v="0"/>
    <x v="0"/>
    <n v="1"/>
    <x v="1"/>
    <d v="2026-07-14T14:31:59"/>
    <x v="24"/>
    <x v="11"/>
    <x v="24"/>
    <s v="17IA25.30"/>
    <x v="1"/>
    <x v="2"/>
    <m/>
    <m/>
    <m/>
  </r>
  <r>
    <s v="YK262300895"/>
    <x v="0"/>
    <x v="0"/>
    <n v="1"/>
    <x v="1"/>
    <d v="2026-07-14T07:33:34"/>
    <x v="24"/>
    <x v="11"/>
    <x v="24"/>
    <s v="17IA25.30"/>
    <x v="1"/>
    <x v="2"/>
    <m/>
    <d v="2026-02-12T00:00:00"/>
    <m/>
  </r>
  <r>
    <s v="YK262300896"/>
    <x v="0"/>
    <x v="0"/>
    <n v="1"/>
    <x v="1"/>
    <d v="2026-06-26T06:48:31"/>
    <x v="24"/>
    <x v="11"/>
    <x v="24"/>
    <s v="17IA25.30"/>
    <x v="1"/>
    <x v="2"/>
    <m/>
    <d v="2026-02-24T00:00:00"/>
    <m/>
  </r>
  <r>
    <s v="YK262300897"/>
    <x v="0"/>
    <x v="0"/>
    <n v="1"/>
    <x v="1"/>
    <d v="2026-07-16T10:51:02"/>
    <x v="24"/>
    <x v="11"/>
    <x v="24"/>
    <s v="17IA25.30"/>
    <x v="1"/>
    <x v="2"/>
    <m/>
    <d v="2026-02-13T00:00:00"/>
    <m/>
  </r>
  <r>
    <s v="YK262300898"/>
    <x v="0"/>
    <x v="0"/>
    <n v="1"/>
    <x v="1"/>
    <d v="2026-07-06T12:12:37"/>
    <x v="24"/>
    <x v="11"/>
    <x v="24"/>
    <s v="17IA25.30"/>
    <x v="1"/>
    <x v="2"/>
    <m/>
    <d v="2026-02-13T00:00:00"/>
    <m/>
  </r>
  <r>
    <s v="YK262300899"/>
    <x v="0"/>
    <x v="0"/>
    <n v="1"/>
    <x v="1"/>
    <d v="2026-07-17T06:07:16"/>
    <x v="24"/>
    <x v="11"/>
    <x v="24"/>
    <s v="17IA25.30"/>
    <x v="1"/>
    <x v="2"/>
    <m/>
    <d v="2026-02-13T00:00:00"/>
    <m/>
  </r>
  <r>
    <s v="YK262300900"/>
    <x v="18"/>
    <x v="18"/>
    <n v="1"/>
    <x v="4"/>
    <d v="2026-06-26T09:20:20"/>
    <x v="24"/>
    <x v="11"/>
    <x v="24"/>
    <s v="17IA25.30"/>
    <x v="1"/>
    <x v="2"/>
    <m/>
    <d v="2026-03-23T00:00:00"/>
    <m/>
  </r>
  <r>
    <s v="YK262300901"/>
    <x v="0"/>
    <x v="0"/>
    <n v="1"/>
    <x v="1"/>
    <d v="2026-06-24T14:05:45"/>
    <x v="24"/>
    <x v="11"/>
    <x v="24"/>
    <s v="17IA25.30"/>
    <x v="1"/>
    <x v="2"/>
    <m/>
    <d v="2026-03-04T00:00:00"/>
    <m/>
  </r>
  <r>
    <s v="YK262300902"/>
    <x v="0"/>
    <x v="0"/>
    <n v="1"/>
    <x v="1"/>
    <d v="2026-07-21T13:42:40"/>
    <x v="24"/>
    <x v="11"/>
    <x v="24"/>
    <s v="17IA25.30"/>
    <x v="1"/>
    <x v="2"/>
    <m/>
    <d v="2026-02-27T00:00:00"/>
    <m/>
  </r>
  <r>
    <s v="YK262300903"/>
    <x v="0"/>
    <x v="0"/>
    <n v="1"/>
    <x v="1"/>
    <d v="2026-08-12T11:03:03"/>
    <x v="24"/>
    <x v="11"/>
    <x v="24"/>
    <s v="17IA25.30"/>
    <x v="1"/>
    <x v="2"/>
    <m/>
    <d v="2026-03-20T00:00:00"/>
    <m/>
  </r>
  <r>
    <s v="YK262300904"/>
    <x v="0"/>
    <x v="0"/>
    <n v="1"/>
    <x v="1"/>
    <d v="2026-07-23T10:59:07"/>
    <x v="24"/>
    <x v="11"/>
    <x v="24"/>
    <s v="17IA25.30"/>
    <x v="1"/>
    <x v="2"/>
    <m/>
    <d v="2026-02-27T00:00:00"/>
    <m/>
  </r>
  <r>
    <s v="YK262300905"/>
    <x v="0"/>
    <x v="0"/>
    <n v="1"/>
    <x v="1"/>
    <d v="2026-07-13T09:45:37"/>
    <x v="24"/>
    <x v="11"/>
    <x v="24"/>
    <s v="17IA25.30"/>
    <x v="1"/>
    <x v="2"/>
    <m/>
    <d v="2026-03-04T00:00:00"/>
    <m/>
  </r>
  <r>
    <s v="YK262300906"/>
    <x v="0"/>
    <x v="0"/>
    <n v="1"/>
    <x v="1"/>
    <d v="2026-07-16T13:23:35"/>
    <x v="24"/>
    <x v="11"/>
    <x v="24"/>
    <s v="17IA25.30"/>
    <x v="1"/>
    <x v="2"/>
    <m/>
    <d v="2026-03-05T00:00:00"/>
    <m/>
  </r>
  <r>
    <s v="YK262300907"/>
    <x v="0"/>
    <x v="0"/>
    <n v="1"/>
    <x v="1"/>
    <d v="2026-06-24T14:07:01"/>
    <x v="24"/>
    <x v="11"/>
    <x v="24"/>
    <s v="17IA25.30"/>
    <x v="1"/>
    <x v="2"/>
    <m/>
    <d v="2026-02-27T00:00:00"/>
    <m/>
  </r>
  <r>
    <s v="YK262300908"/>
    <x v="0"/>
    <x v="0"/>
    <n v="1"/>
    <x v="1"/>
    <d v="2026-08-27T06:24:31"/>
    <x v="24"/>
    <x v="11"/>
    <x v="24"/>
    <s v="17IA25.30"/>
    <x v="1"/>
    <x v="2"/>
    <m/>
    <d v="2026-04-07T00:00:00"/>
    <m/>
  </r>
  <r>
    <s v="YK262300909"/>
    <x v="0"/>
    <x v="0"/>
    <n v="1"/>
    <x v="1"/>
    <d v="2026-07-15T10:20:30"/>
    <x v="24"/>
    <x v="11"/>
    <x v="24"/>
    <s v="17IA25.30"/>
    <x v="1"/>
    <x v="2"/>
    <m/>
    <d v="2026-03-16T00:00:00"/>
    <m/>
  </r>
  <r>
    <s v="YK262300910"/>
    <x v="0"/>
    <x v="0"/>
    <n v="1"/>
    <x v="1"/>
    <d v="2026-07-21T10:24:08"/>
    <x v="24"/>
    <x v="11"/>
    <x v="24"/>
    <s v="17IA25.30"/>
    <x v="1"/>
    <x v="2"/>
    <m/>
    <d v="2026-03-23T00:00:00"/>
    <m/>
  </r>
  <r>
    <s v="YK262300911"/>
    <x v="0"/>
    <x v="0"/>
    <n v="1"/>
    <x v="1"/>
    <d v="2026-09-01T06:56:02"/>
    <x v="24"/>
    <x v="11"/>
    <x v="24"/>
    <s v="17IA25.30"/>
    <x v="1"/>
    <x v="2"/>
    <m/>
    <d v="2026-03-12T00:00:00"/>
    <m/>
  </r>
  <r>
    <s v="YK262300912"/>
    <x v="0"/>
    <x v="0"/>
    <n v="1"/>
    <x v="1"/>
    <d v="2026-07-09T07:13:20"/>
    <x v="24"/>
    <x v="11"/>
    <x v="24"/>
    <s v="17IA25.30"/>
    <x v="1"/>
    <x v="2"/>
    <m/>
    <d v="2026-04-07T00:00:00"/>
    <m/>
  </r>
  <r>
    <s v="YK262300913"/>
    <x v="0"/>
    <x v="0"/>
    <n v="1"/>
    <x v="1"/>
    <d v="2026-07-14T11:02:09"/>
    <x v="24"/>
    <x v="11"/>
    <x v="24"/>
    <s v="17IA25.30"/>
    <x v="1"/>
    <x v="2"/>
    <m/>
    <d v="2026-04-07T00:00:00"/>
    <m/>
  </r>
  <r>
    <s v="YK262300914"/>
    <x v="0"/>
    <x v="0"/>
    <n v="1"/>
    <x v="1"/>
    <d v="2026-07-15T08:52:12"/>
    <x v="24"/>
    <x v="11"/>
    <x v="24"/>
    <s v="17IA25.30"/>
    <x v="1"/>
    <x v="2"/>
    <m/>
    <d v="2026-04-07T00:00:00"/>
    <m/>
  </r>
  <r>
    <s v="YK262300915"/>
    <x v="0"/>
    <x v="0"/>
    <n v="1"/>
    <x v="1"/>
    <d v="2026-07-16T05:35:21"/>
    <x v="24"/>
    <x v="11"/>
    <x v="24"/>
    <s v="17IA25.30"/>
    <x v="1"/>
    <x v="2"/>
    <m/>
    <d v="2026-05-22T00:00:00"/>
    <m/>
  </r>
  <r>
    <s v="YK262300916"/>
    <x v="0"/>
    <x v="0"/>
    <n v="1"/>
    <x v="1"/>
    <d v="2026-07-10T09:26:49"/>
    <x v="24"/>
    <x v="11"/>
    <x v="24"/>
    <s v="17IA25.30"/>
    <x v="1"/>
    <x v="2"/>
    <m/>
    <d v="2026-05-13T00:00:00"/>
    <m/>
  </r>
  <r>
    <s v="YK262300917"/>
    <x v="0"/>
    <x v="0"/>
    <n v="1"/>
    <x v="1"/>
    <d v="2026-07-16T09:53:30"/>
    <x v="24"/>
    <x v="11"/>
    <x v="24"/>
    <s v="17IA25.30"/>
    <x v="1"/>
    <x v="2"/>
    <m/>
    <d v="2026-05-13T00:00:00"/>
    <m/>
  </r>
  <r>
    <s v="YK262300918"/>
    <x v="0"/>
    <x v="0"/>
    <n v="1"/>
    <x v="1"/>
    <d v="2026-06-25T13:12:35"/>
    <x v="24"/>
    <x v="11"/>
    <x v="24"/>
    <s v="17IA25.30"/>
    <x v="1"/>
    <x v="2"/>
    <m/>
    <d v="2026-05-19T00:00:00"/>
    <m/>
  </r>
  <r>
    <s v="YK262300919"/>
    <x v="0"/>
    <x v="0"/>
    <n v="1"/>
    <x v="1"/>
    <d v="2026-07-28T06:11:43"/>
    <x v="24"/>
    <x v="11"/>
    <x v="24"/>
    <s v="17IA25.30"/>
    <x v="1"/>
    <x v="2"/>
    <m/>
    <d v="2026-05-08T00:00:00"/>
    <m/>
  </r>
  <r>
    <s v="YK262300920"/>
    <x v="0"/>
    <x v="0"/>
    <n v="1"/>
    <x v="1"/>
    <d v="2026-08-05T09:32:18"/>
    <x v="24"/>
    <x v="11"/>
    <x v="24"/>
    <s v="17IA25.30"/>
    <x v="1"/>
    <x v="2"/>
    <m/>
    <d v="2026-05-08T00:00:00"/>
    <m/>
  </r>
  <r>
    <s v="YK262300921"/>
    <x v="0"/>
    <x v="0"/>
    <n v="1"/>
    <x v="1"/>
    <d v="2026-07-10T09:17:13"/>
    <x v="24"/>
    <x v="11"/>
    <x v="24"/>
    <s v="17IA25.30"/>
    <x v="1"/>
    <x v="2"/>
    <m/>
    <d v="2026-05-08T00:00:00"/>
    <m/>
  </r>
  <r>
    <s v="YK262300922"/>
    <x v="0"/>
    <x v="0"/>
    <n v="1"/>
    <x v="1"/>
    <d v="2026-07-21T11:04:54"/>
    <x v="24"/>
    <x v="11"/>
    <x v="24"/>
    <s v="17IA25.30"/>
    <x v="1"/>
    <x v="2"/>
    <m/>
    <d v="2026-05-08T00:00:00"/>
    <m/>
  </r>
  <r>
    <s v="YK262300923"/>
    <x v="0"/>
    <x v="0"/>
    <n v="1"/>
    <x v="1"/>
    <d v="2026-07-08T11:10:31"/>
    <x v="24"/>
    <x v="11"/>
    <x v="24"/>
    <s v="17IA25.30"/>
    <x v="1"/>
    <x v="2"/>
    <m/>
    <d v="2026-05-20T00:00:00"/>
    <m/>
  </r>
  <r>
    <s v="YK262300924"/>
    <x v="0"/>
    <x v="0"/>
    <n v="1"/>
    <x v="1"/>
    <d v="2026-07-20T11:30:18"/>
    <x v="24"/>
    <x v="11"/>
    <x v="24"/>
    <s v="17IA25.30"/>
    <x v="1"/>
    <x v="2"/>
    <m/>
    <d v="2026-05-14T00:00:00"/>
    <m/>
  </r>
  <r>
    <s v="YK262300925"/>
    <x v="0"/>
    <x v="0"/>
    <n v="1"/>
    <x v="1"/>
    <d v="2026-08-10T17:27:08"/>
    <x v="24"/>
    <x v="11"/>
    <x v="24"/>
    <s v="17IA25.30"/>
    <x v="1"/>
    <x v="2"/>
    <m/>
    <d v="2026-05-13T00:00:00"/>
    <m/>
  </r>
  <r>
    <s v="YK262300926"/>
    <x v="17"/>
    <x v="17"/>
    <n v="1"/>
    <x v="3"/>
    <d v="2026-09-01T13:43:03"/>
    <x v="24"/>
    <x v="11"/>
    <x v="24"/>
    <s v="17IA25.30"/>
    <x v="1"/>
    <x v="2"/>
    <m/>
    <d v="2026-05-14T00:00:00"/>
    <m/>
  </r>
  <r>
    <s v="YK262300927"/>
    <x v="0"/>
    <x v="0"/>
    <n v="1"/>
    <x v="1"/>
    <d v="2026-07-23T06:16:00"/>
    <x v="24"/>
    <x v="11"/>
    <x v="24"/>
    <s v="17IA25.30"/>
    <x v="1"/>
    <x v="2"/>
    <m/>
    <d v="2026-05-13T00:00:00"/>
    <m/>
  </r>
  <r>
    <s v="YK262300928"/>
    <x v="0"/>
    <x v="0"/>
    <n v="1"/>
    <x v="1"/>
    <d v="2026-07-24T09:27:57"/>
    <x v="24"/>
    <x v="11"/>
    <x v="24"/>
    <s v="17IA25.30"/>
    <x v="1"/>
    <x v="2"/>
    <m/>
    <d v="2026-05-13T00:00:00"/>
    <m/>
  </r>
  <r>
    <s v="YK262300929"/>
    <x v="0"/>
    <x v="0"/>
    <n v="1"/>
    <x v="1"/>
    <d v="2026-07-21T10:43:56"/>
    <x v="24"/>
    <x v="11"/>
    <x v="24"/>
    <s v="17IA25.30"/>
    <x v="1"/>
    <x v="2"/>
    <m/>
    <d v="2026-05-22T00:00:00"/>
    <m/>
  </r>
  <r>
    <s v="YK262300930"/>
    <x v="0"/>
    <x v="0"/>
    <n v="1"/>
    <x v="1"/>
    <d v="2026-07-15T13:44:46"/>
    <x v="24"/>
    <x v="11"/>
    <x v="24"/>
    <s v="17IA25.30"/>
    <x v="1"/>
    <x v="2"/>
    <m/>
    <d v="2026-06-12T00:00:00"/>
    <m/>
  </r>
  <r>
    <s v="YK262300931"/>
    <x v="0"/>
    <x v="0"/>
    <n v="1"/>
    <x v="1"/>
    <d v="2026-07-31T08:24:30"/>
    <x v="24"/>
    <x v="11"/>
    <x v="24"/>
    <s v="17IA25.30"/>
    <x v="1"/>
    <x v="2"/>
    <m/>
    <d v="2026-06-12T00:00:00"/>
    <m/>
  </r>
  <r>
    <s v="YK262300932"/>
    <x v="0"/>
    <x v="0"/>
    <n v="1"/>
    <x v="1"/>
    <d v="2026-08-25T15:16:59"/>
    <x v="24"/>
    <x v="11"/>
    <x v="24"/>
    <s v="17IA25.30"/>
    <x v="1"/>
    <x v="2"/>
    <m/>
    <d v="2026-06-12T00:00:00"/>
    <m/>
  </r>
  <r>
    <s v="YK262300933"/>
    <x v="0"/>
    <x v="0"/>
    <n v="1"/>
    <x v="1"/>
    <d v="2026-06-23T15:55:15"/>
    <x v="24"/>
    <x v="11"/>
    <x v="24"/>
    <s v="17IA25.30"/>
    <x v="1"/>
    <x v="2"/>
    <m/>
    <d v="2026-06-12T00:00:00"/>
    <m/>
  </r>
  <r>
    <s v="YK262300934"/>
    <x v="0"/>
    <x v="0"/>
    <n v="1"/>
    <x v="1"/>
    <d v="2026-07-14T14:00:26"/>
    <x v="24"/>
    <x v="11"/>
    <x v="24"/>
    <s v="17IA25.30"/>
    <x v="1"/>
    <x v="2"/>
    <m/>
    <d v="2026-06-12T00:00:00"/>
    <m/>
  </r>
  <r>
    <s v="YK262300935"/>
    <x v="0"/>
    <x v="0"/>
    <n v="1"/>
    <x v="1"/>
    <d v="2026-07-21T13:43:28"/>
    <x v="24"/>
    <x v="11"/>
    <x v="24"/>
    <s v="17IA25.30"/>
    <x v="1"/>
    <x v="2"/>
    <m/>
    <d v="2026-06-19T00:00:00"/>
    <m/>
  </r>
  <r>
    <s v="YK262300936"/>
    <x v="0"/>
    <x v="0"/>
    <n v="1"/>
    <x v="1"/>
    <d v="2026-07-16T09:49:08"/>
    <x v="24"/>
    <x v="11"/>
    <x v="24"/>
    <s v="17IA25.30"/>
    <x v="1"/>
    <x v="2"/>
    <m/>
    <d v="2026-06-23T00:00:00"/>
    <m/>
  </r>
  <r>
    <s v="YK260400027"/>
    <x v="1"/>
    <x v="1"/>
    <n v="1"/>
    <x v="2"/>
    <d v="2026-03-04T12:05:48"/>
    <x v="25"/>
    <x v="13"/>
    <x v="25"/>
    <s v="17IA43.00"/>
    <x v="1"/>
    <x v="3"/>
    <m/>
    <d v="2026-06-19T00:00:00"/>
    <m/>
  </r>
  <r>
    <s v="YK260400028"/>
    <x v="1"/>
    <x v="1"/>
    <n v="1"/>
    <x v="2"/>
    <d v="2026-03-03T13:36:27"/>
    <x v="25"/>
    <x v="13"/>
    <x v="25"/>
    <s v="17IA43.00"/>
    <x v="1"/>
    <x v="3"/>
    <m/>
    <d v="2026-06-12T00:00:00"/>
    <m/>
  </r>
  <r>
    <s v="YK260400029"/>
    <x v="1"/>
    <x v="1"/>
    <n v="1"/>
    <x v="2"/>
    <d v="2026-03-17T06:28:36"/>
    <x v="25"/>
    <x v="13"/>
    <x v="25"/>
    <s v="17IA43.00"/>
    <x v="1"/>
    <x v="3"/>
    <m/>
    <d v="2026-06-2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6-15T00:00:00"/>
    <m/>
  </r>
  <r>
    <s v="YK260400031"/>
    <x v="1"/>
    <x v="1"/>
    <n v="1"/>
    <x v="2"/>
    <d v="2026-03-04T07:41:22"/>
    <x v="25"/>
    <x v="13"/>
    <x v="25"/>
    <s v="17IA43.00"/>
    <x v="1"/>
    <x v="3"/>
    <m/>
    <d v="2026-06-18T00:00:00"/>
    <m/>
  </r>
  <r>
    <s v="YK260400032"/>
    <x v="1"/>
    <x v="1"/>
    <n v="1"/>
    <x v="2"/>
    <d v="2026-04-22T06:14:27"/>
    <x v="25"/>
    <x v="13"/>
    <x v="25"/>
    <s v="17IA43.00"/>
    <x v="1"/>
    <x v="3"/>
    <m/>
    <d v="2026-06-24T00:00:00"/>
    <m/>
  </r>
  <r>
    <s v="YK260400033"/>
    <x v="1"/>
    <x v="1"/>
    <n v="1"/>
    <x v="2"/>
    <d v="2026-03-04T12:04:47"/>
    <x v="25"/>
    <x v="13"/>
    <x v="25"/>
    <s v="17IA43.00"/>
    <x v="1"/>
    <x v="3"/>
    <m/>
    <d v="2026-06-2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7-01T00:00:00"/>
    <m/>
  </r>
  <r>
    <s v="YK260400035"/>
    <x v="1"/>
    <x v="1"/>
    <n v="1"/>
    <x v="2"/>
    <d v="2026-04-22T06:15:29"/>
    <x v="25"/>
    <x v="13"/>
    <x v="25"/>
    <s v="17IA43.00"/>
    <x v="1"/>
    <x v="3"/>
    <m/>
    <d v="2026-06-19T00:00:00"/>
    <m/>
  </r>
  <r>
    <s v="YK260400036"/>
    <x v="1"/>
    <x v="1"/>
    <n v="1"/>
    <x v="2"/>
    <d v="2026-02-27T12:29:21"/>
    <x v="25"/>
    <x v="13"/>
    <x v="25"/>
    <s v="17IA43.00"/>
    <x v="1"/>
    <x v="3"/>
    <m/>
    <m/>
    <m/>
  </r>
  <r>
    <s v="YK260400037"/>
    <x v="1"/>
    <x v="1"/>
    <n v="1"/>
    <x v="2"/>
    <d v="2026-03-04T12:07:09"/>
    <x v="25"/>
    <x v="13"/>
    <x v="25"/>
    <s v="17IA43.00"/>
    <x v="1"/>
    <x v="3"/>
    <m/>
    <d v="2026-06-23T00:00:00"/>
    <m/>
  </r>
  <r>
    <s v="YK260400038"/>
    <x v="1"/>
    <x v="1"/>
    <n v="1"/>
    <x v="2"/>
    <d v="2026-02-27T13:15:11"/>
    <x v="25"/>
    <x v="13"/>
    <x v="25"/>
    <s v="17IA43.00"/>
    <x v="1"/>
    <x v="3"/>
    <m/>
    <d v="2026-06-26T00:00:00"/>
    <m/>
  </r>
  <r>
    <s v="YK260400039"/>
    <x v="1"/>
    <x v="1"/>
    <n v="1"/>
    <x v="2"/>
    <d v="2026-02-27T12:30:55"/>
    <x v="25"/>
    <x v="13"/>
    <x v="25"/>
    <s v="17IA43.00"/>
    <x v="1"/>
    <x v="3"/>
    <m/>
    <d v="2026-06-26T00:00:00"/>
    <m/>
  </r>
  <r>
    <s v="YK260400040"/>
    <x v="1"/>
    <x v="1"/>
    <n v="1"/>
    <x v="2"/>
    <d v="2026-04-22T06:16:55"/>
    <x v="25"/>
    <x v="13"/>
    <x v="25"/>
    <s v="17IA43.00"/>
    <x v="1"/>
    <x v="3"/>
    <m/>
    <d v="2026-06-25T00:00:00"/>
    <m/>
  </r>
  <r>
    <s v="YK260400041"/>
    <x v="1"/>
    <x v="1"/>
    <n v="1"/>
    <x v="2"/>
    <d v="2026-03-17T07:26:14"/>
    <x v="25"/>
    <x v="13"/>
    <x v="25"/>
    <s v="17IA43.00"/>
    <x v="1"/>
    <x v="3"/>
    <m/>
    <d v="2026-06-29T00:00:00"/>
    <m/>
  </r>
  <r>
    <s v="YK260400042"/>
    <x v="1"/>
    <x v="1"/>
    <n v="1"/>
    <x v="2"/>
    <d v="2026-04-22T06:16:09"/>
    <x v="25"/>
    <x v="13"/>
    <x v="25"/>
    <s v="17IA43.00"/>
    <x v="1"/>
    <x v="3"/>
    <m/>
    <d v="2026-08-04T00:00:00"/>
    <m/>
  </r>
  <r>
    <s v="YK260400043"/>
    <x v="1"/>
    <x v="1"/>
    <n v="1"/>
    <x v="2"/>
    <d v="2026-03-16T08:50:34"/>
    <x v="25"/>
    <x v="13"/>
    <x v="25"/>
    <s v="17IA43.00"/>
    <x v="1"/>
    <x v="3"/>
    <m/>
    <d v="2026-06-30T00:00:00"/>
    <m/>
  </r>
  <r>
    <s v="YK260400044"/>
    <x v="1"/>
    <x v="1"/>
    <n v="1"/>
    <x v="2"/>
    <d v="2026-03-30T13:22:54"/>
    <x v="25"/>
    <x v="13"/>
    <x v="25"/>
    <s v="17IA43.00"/>
    <x v="1"/>
    <x v="3"/>
    <m/>
    <d v="2026-06-30T00:00:00"/>
    <m/>
  </r>
  <r>
    <s v="YK260400045"/>
    <x v="1"/>
    <x v="1"/>
    <n v="1"/>
    <x v="2"/>
    <d v="2026-03-30T13:24:58"/>
    <x v="25"/>
    <x v="13"/>
    <x v="25"/>
    <s v="17IA43.00"/>
    <x v="1"/>
    <x v="3"/>
    <m/>
    <d v="2026-06-29T00:00:00"/>
    <m/>
  </r>
  <r>
    <s v="YK260400046"/>
    <x v="1"/>
    <x v="1"/>
    <n v="1"/>
    <x v="2"/>
    <d v="2026-03-30T13:26:52"/>
    <x v="25"/>
    <x v="13"/>
    <x v="25"/>
    <s v="17IA43.00"/>
    <x v="1"/>
    <x v="3"/>
    <m/>
    <d v="2026-06-30T00:00:00"/>
    <m/>
  </r>
  <r>
    <s v="YK261200019"/>
    <x v="1"/>
    <x v="1"/>
    <n v="1"/>
    <x v="2"/>
    <d v="2026-07-02T10:31:21"/>
    <x v="26"/>
    <x v="14"/>
    <x v="26"/>
    <s v="17IA44.00"/>
    <x v="1"/>
    <x v="3"/>
    <m/>
    <d v="2026-08-21T00:00:00"/>
    <m/>
  </r>
  <r>
    <s v="YK261200020"/>
    <x v="1"/>
    <x v="1"/>
    <n v="1"/>
    <x v="2"/>
    <d v="2026-05-13T06:11:34"/>
    <x v="26"/>
    <x v="14"/>
    <x v="26"/>
    <s v="17IA44.00"/>
    <x v="1"/>
    <x v="3"/>
    <m/>
    <d v="2026-07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7-10T00:00:00"/>
    <m/>
  </r>
  <r>
    <s v="YK261200022"/>
    <x v="1"/>
    <x v="1"/>
    <n v="1"/>
    <x v="2"/>
    <d v="2026-07-02T10:32:28"/>
    <x v="26"/>
    <x v="14"/>
    <x v="26"/>
    <s v="17IA44.00"/>
    <x v="1"/>
    <x v="3"/>
    <m/>
    <d v="2026-08-27T00:00:00"/>
    <m/>
  </r>
  <r>
    <s v="YK261200023"/>
    <x v="1"/>
    <x v="1"/>
    <n v="1"/>
    <x v="2"/>
    <d v="2026-05-13T06:43:42"/>
    <x v="26"/>
    <x v="14"/>
    <x v="26"/>
    <s v="17IA44.00"/>
    <x v="1"/>
    <x v="3"/>
    <m/>
    <m/>
    <m/>
  </r>
  <r>
    <s v="YK261200024"/>
    <x v="1"/>
    <x v="1"/>
    <n v="1"/>
    <x v="2"/>
    <d v="2026-05-13T06:44:26"/>
    <x v="26"/>
    <x v="14"/>
    <x v="26"/>
    <s v="17IA44.00"/>
    <x v="1"/>
    <x v="3"/>
    <m/>
    <m/>
    <m/>
  </r>
  <r>
    <s v="YK261200025"/>
    <x v="1"/>
    <x v="1"/>
    <n v="1"/>
    <x v="2"/>
    <d v="2026-05-13T06:44:55"/>
    <x v="26"/>
    <x v="14"/>
    <x v="26"/>
    <s v="17IA44.00"/>
    <x v="1"/>
    <x v="3"/>
    <m/>
    <m/>
    <m/>
  </r>
  <r>
    <s v="YK261200026"/>
    <x v="1"/>
    <x v="1"/>
    <n v="1"/>
    <x v="2"/>
    <d v="2026-05-13T06:45:23"/>
    <x v="26"/>
    <x v="14"/>
    <x v="26"/>
    <s v="17IA44.00"/>
    <x v="1"/>
    <x v="3"/>
    <m/>
    <m/>
    <m/>
  </r>
  <r>
    <s v="YK261200027"/>
    <x v="1"/>
    <x v="1"/>
    <n v="1"/>
    <x v="2"/>
    <d v="2026-07-02T10:33:12"/>
    <x v="26"/>
    <x v="14"/>
    <x v="26"/>
    <s v="17IA44.00"/>
    <x v="1"/>
    <x v="3"/>
    <m/>
    <m/>
    <m/>
  </r>
  <r>
    <s v="YK261200028"/>
    <x v="1"/>
    <x v="1"/>
    <n v="1"/>
    <x v="2"/>
    <d v="2026-06-01T11:40:29"/>
    <x v="26"/>
    <x v="14"/>
    <x v="26"/>
    <s v="17IA44.00"/>
    <x v="1"/>
    <x v="3"/>
    <m/>
    <m/>
    <m/>
  </r>
  <r>
    <s v="YK261200029"/>
    <x v="1"/>
    <x v="1"/>
    <n v="1"/>
    <x v="2"/>
    <d v="2026-05-13T06:41:59"/>
    <x v="26"/>
    <x v="14"/>
    <x v="26"/>
    <s v="17IA44.00"/>
    <x v="1"/>
    <x v="3"/>
    <m/>
    <m/>
    <m/>
  </r>
  <r>
    <s v="YK261200030"/>
    <x v="1"/>
    <x v="1"/>
    <n v="1"/>
    <x v="2"/>
    <d v="2026-06-01T11:41:24"/>
    <x v="26"/>
    <x v="14"/>
    <x v="26"/>
    <s v="17IA44.00"/>
    <x v="1"/>
    <x v="3"/>
    <m/>
    <m/>
    <m/>
  </r>
  <r>
    <s v="YK261200031"/>
    <x v="1"/>
    <x v="1"/>
    <n v="1"/>
    <x v="2"/>
    <d v="2026-05-13T06:42:52"/>
    <x v="26"/>
    <x v="14"/>
    <x v="26"/>
    <s v="17IA44.00"/>
    <x v="1"/>
    <x v="3"/>
    <m/>
    <m/>
    <m/>
  </r>
  <r>
    <s v="YK261200032"/>
    <x v="1"/>
    <x v="1"/>
    <n v="1"/>
    <x v="2"/>
    <d v="2026-06-01T11:42:16"/>
    <x v="26"/>
    <x v="14"/>
    <x v="26"/>
    <s v="17IA44.00"/>
    <x v="1"/>
    <x v="3"/>
    <m/>
    <m/>
    <m/>
  </r>
  <r>
    <s v="YK261200033"/>
    <x v="1"/>
    <x v="1"/>
    <n v="1"/>
    <x v="2"/>
    <d v="2026-07-02T10:34:11"/>
    <x v="26"/>
    <x v="14"/>
    <x v="26"/>
    <s v="17IA44.00"/>
    <x v="1"/>
    <x v="3"/>
    <m/>
    <m/>
    <m/>
  </r>
  <r>
    <s v="YK262300796"/>
    <x v="1"/>
    <x v="1"/>
    <n v="1"/>
    <x v="2"/>
    <d v="2026-06-08T14:20:05"/>
    <x v="27"/>
    <x v="15"/>
    <x v="27"/>
    <s v="17IA44.10"/>
    <x v="1"/>
    <x v="4"/>
    <m/>
    <m/>
    <m/>
  </r>
  <r>
    <s v="YK262300797"/>
    <x v="1"/>
    <x v="1"/>
    <n v="1"/>
    <x v="2"/>
    <d v="2026-06-12T10:27:52"/>
    <x v="27"/>
    <x v="15"/>
    <x v="27"/>
    <s v="17IA44.10"/>
    <x v="1"/>
    <x v="4"/>
    <m/>
    <m/>
    <m/>
  </r>
  <r>
    <s v="YK262300798"/>
    <x v="1"/>
    <x v="1"/>
    <n v="1"/>
    <x v="2"/>
    <d v="2026-06-08T14:19:36"/>
    <x v="27"/>
    <x v="15"/>
    <x v="27"/>
    <s v="17IA44.10"/>
    <x v="1"/>
    <x v="4"/>
    <m/>
    <m/>
    <m/>
  </r>
  <r>
    <s v="YK262300799"/>
    <x v="1"/>
    <x v="1"/>
    <n v="1"/>
    <x v="2"/>
    <d v="2026-06-12T10:27:22"/>
    <x v="27"/>
    <x v="15"/>
    <x v="27"/>
    <s v="17IA44.10"/>
    <x v="1"/>
    <x v="4"/>
    <m/>
    <d v="2026-07-13T00:00:00"/>
    <m/>
  </r>
  <r>
    <s v="YK262300800"/>
    <x v="1"/>
    <x v="1"/>
    <n v="1"/>
    <x v="2"/>
    <d v="2026-06-12T10:26:50"/>
    <x v="27"/>
    <x v="15"/>
    <x v="27"/>
    <s v="17IA44.10"/>
    <x v="1"/>
    <x v="4"/>
    <m/>
    <d v="2026-07-13T00:00:00"/>
    <m/>
  </r>
  <r>
    <s v="YK262300801"/>
    <x v="1"/>
    <x v="1"/>
    <n v="1"/>
    <x v="2"/>
    <d v="2026-06-18T07:42:59"/>
    <x v="27"/>
    <x v="15"/>
    <x v="27"/>
    <s v="17IA44.10"/>
    <x v="1"/>
    <x v="4"/>
    <m/>
    <d v="2026-07-23T00:00:00"/>
    <m/>
  </r>
  <r>
    <s v="YK262300802"/>
    <x v="1"/>
    <x v="1"/>
    <n v="1"/>
    <x v="2"/>
    <d v="2026-06-24T12:15:51"/>
    <x v="27"/>
    <x v="15"/>
    <x v="27"/>
    <s v="17IA44.10"/>
    <x v="1"/>
    <x v="4"/>
    <m/>
    <d v="2026-07-17T00:00:00"/>
    <m/>
  </r>
  <r>
    <s v="YK262300803"/>
    <x v="1"/>
    <x v="1"/>
    <n v="1"/>
    <x v="2"/>
    <d v="2026-07-02T07:12:10"/>
    <x v="27"/>
    <x v="15"/>
    <x v="27"/>
    <s v="17IA44.10"/>
    <x v="1"/>
    <x v="4"/>
    <m/>
    <d v="2026-07-17T00:00:00"/>
    <m/>
  </r>
  <r>
    <s v="YK262300804"/>
    <x v="1"/>
    <x v="1"/>
    <n v="1"/>
    <x v="2"/>
    <d v="2026-06-12T10:26:06"/>
    <x v="27"/>
    <x v="15"/>
    <x v="27"/>
    <s v="17IA44.10"/>
    <x v="1"/>
    <x v="4"/>
    <m/>
    <d v="2026-07-17T00:00:00"/>
    <m/>
  </r>
  <r>
    <s v="YK262300805"/>
    <x v="1"/>
    <x v="1"/>
    <n v="1"/>
    <x v="2"/>
    <d v="2026-06-24T12:16:27"/>
    <x v="27"/>
    <x v="15"/>
    <x v="27"/>
    <s v="17IA44.10"/>
    <x v="1"/>
    <x v="4"/>
    <m/>
    <d v="2026-08-19T00:00:00"/>
    <m/>
  </r>
  <r>
    <s v="YK262300806"/>
    <x v="1"/>
    <x v="1"/>
    <n v="1"/>
    <x v="2"/>
    <d v="2026-06-18T07:44:11"/>
    <x v="27"/>
    <x v="15"/>
    <x v="27"/>
    <s v="17IA44.10"/>
    <x v="1"/>
    <x v="4"/>
    <m/>
    <d v="2026-07-21T00:00:00"/>
    <m/>
  </r>
  <r>
    <s v="YK262300807"/>
    <x v="1"/>
    <x v="1"/>
    <n v="1"/>
    <x v="2"/>
    <d v="2026-06-16T08:44:09"/>
    <x v="27"/>
    <x v="15"/>
    <x v="27"/>
    <s v="17IA44.10"/>
    <x v="1"/>
    <x v="4"/>
    <m/>
    <d v="2026-07-21T00:00:00"/>
    <m/>
  </r>
  <r>
    <s v="YK262300808"/>
    <x v="1"/>
    <x v="1"/>
    <n v="1"/>
    <x v="2"/>
    <d v="2026-06-18T07:44:39"/>
    <x v="27"/>
    <x v="15"/>
    <x v="27"/>
    <s v="17IA44.10"/>
    <x v="1"/>
    <x v="4"/>
    <m/>
    <d v="2026-07-21T00:00:00"/>
    <m/>
  </r>
  <r>
    <s v="YK262300809"/>
    <x v="1"/>
    <x v="1"/>
    <n v="1"/>
    <x v="2"/>
    <d v="2026-06-24T12:16:59"/>
    <x v="27"/>
    <x v="15"/>
    <x v="27"/>
    <s v="17IA44.10"/>
    <x v="1"/>
    <x v="4"/>
    <m/>
    <d v="2026-07-17T00:00:00"/>
    <m/>
  </r>
  <r>
    <s v="YK262300810"/>
    <x v="1"/>
    <x v="1"/>
    <n v="1"/>
    <x v="2"/>
    <d v="2026-07-01T14:25:06"/>
    <x v="27"/>
    <x v="15"/>
    <x v="27"/>
    <s v="17IA44.10"/>
    <x v="1"/>
    <x v="4"/>
    <m/>
    <d v="2026-08-2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8-21T00:00:00"/>
    <m/>
  </r>
  <r>
    <s v="YK262300812"/>
    <x v="1"/>
    <x v="1"/>
    <n v="1"/>
    <x v="2"/>
    <d v="2026-06-18T07:46:51"/>
    <x v="27"/>
    <x v="15"/>
    <x v="27"/>
    <s v="17IA44.10"/>
    <x v="1"/>
    <x v="4"/>
    <m/>
    <d v="2026-07-17T00:00:00"/>
    <m/>
  </r>
  <r>
    <s v="YK262300813"/>
    <x v="1"/>
    <x v="1"/>
    <n v="1"/>
    <x v="2"/>
    <d v="2026-06-23T12:31:30"/>
    <x v="27"/>
    <x v="15"/>
    <x v="27"/>
    <s v="17IA44.10"/>
    <x v="1"/>
    <x v="4"/>
    <m/>
    <d v="2026-07-20T00:00:00"/>
    <m/>
  </r>
  <r>
    <s v="YK262300814"/>
    <x v="1"/>
    <x v="1"/>
    <n v="1"/>
    <x v="2"/>
    <d v="2026-06-25T09:34:23"/>
    <x v="27"/>
    <x v="15"/>
    <x v="27"/>
    <s v="17IA44.10"/>
    <x v="1"/>
    <x v="4"/>
    <m/>
    <d v="2026-08-11T00:00:00"/>
    <m/>
  </r>
  <r>
    <s v="YK262300815"/>
    <x v="1"/>
    <x v="1"/>
    <n v="1"/>
    <x v="2"/>
    <d v="2026-06-25T09:34:46"/>
    <x v="27"/>
    <x v="15"/>
    <x v="27"/>
    <s v="17IA44.10"/>
    <x v="1"/>
    <x v="4"/>
    <m/>
    <d v="2026-07-24T00:00:00"/>
    <m/>
  </r>
  <r>
    <s v="YK262300816"/>
    <x v="1"/>
    <x v="1"/>
    <n v="1"/>
    <x v="2"/>
    <d v="2026-06-24T12:11:25"/>
    <x v="27"/>
    <x v="15"/>
    <x v="27"/>
    <s v="17IA44.10"/>
    <x v="1"/>
    <x v="4"/>
    <m/>
    <d v="2026-07-22T00:00:00"/>
    <m/>
  </r>
  <r>
    <s v="YK262300817"/>
    <x v="1"/>
    <x v="1"/>
    <n v="1"/>
    <x v="2"/>
    <d v="2026-07-01T14:25:34"/>
    <x v="27"/>
    <x v="15"/>
    <x v="27"/>
    <s v="17IA44.10"/>
    <x v="1"/>
    <x v="4"/>
    <m/>
    <d v="2026-07-23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11T00:00:00"/>
    <m/>
  </r>
  <r>
    <s v="YK262300819"/>
    <x v="1"/>
    <x v="1"/>
    <n v="1"/>
    <x v="2"/>
    <d v="2026-07-01T14:26:21"/>
    <x v="27"/>
    <x v="15"/>
    <x v="27"/>
    <s v="17IA44.10"/>
    <x v="1"/>
    <x v="4"/>
    <m/>
    <d v="2026-08-21T00:00:00"/>
    <m/>
  </r>
  <r>
    <s v="YK262300820"/>
    <x v="1"/>
    <x v="1"/>
    <n v="1"/>
    <x v="2"/>
    <d v="2026-07-02T06:50:22"/>
    <x v="27"/>
    <x v="15"/>
    <x v="27"/>
    <s v="17IA44.10"/>
    <x v="1"/>
    <x v="4"/>
    <m/>
    <d v="2026-08-21T00:00:00"/>
    <m/>
  </r>
  <r>
    <s v="YK262300821"/>
    <x v="1"/>
    <x v="1"/>
    <n v="1"/>
    <x v="2"/>
    <d v="2026-07-02T06:50:49"/>
    <x v="27"/>
    <x v="15"/>
    <x v="27"/>
    <s v="17IA44.10"/>
    <x v="1"/>
    <x v="4"/>
    <m/>
    <d v="2026-07-21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7-27T00:00:00"/>
    <m/>
  </r>
  <r>
    <s v="YK262300823"/>
    <x v="1"/>
    <x v="1"/>
    <n v="1"/>
    <x v="2"/>
    <d v="2026-07-15T14:07:40"/>
    <x v="27"/>
    <x v="15"/>
    <x v="27"/>
    <s v="17IA44.10"/>
    <x v="1"/>
    <x v="4"/>
    <m/>
    <d v="2026-07-24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21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23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11T00:00:00"/>
    <m/>
  </r>
  <r>
    <s v="YK263403030"/>
    <x v="19"/>
    <x v="19"/>
    <n v="1"/>
    <x v="3"/>
    <d v="2026-09-17T07:26:15"/>
    <x v="28"/>
    <x v="16"/>
    <x v="28"/>
    <s v="17IA44.20"/>
    <x v="1"/>
    <x v="4"/>
    <s v="Pack out"/>
    <d v="2026-09-04T00:00:00"/>
    <m/>
  </r>
  <r>
    <s v="YK263403031"/>
    <x v="8"/>
    <x v="8"/>
    <n v="1"/>
    <x v="7"/>
    <d v="2026-09-14T13:54:55"/>
    <x v="28"/>
    <x v="16"/>
    <x v="28"/>
    <s v="17IA44.20"/>
    <x v="1"/>
    <x v="4"/>
    <m/>
    <d v="2026-08-20T00:00:00"/>
    <m/>
  </r>
  <r>
    <s v="YK263403032"/>
    <x v="19"/>
    <x v="19"/>
    <n v="1"/>
    <x v="3"/>
    <d v="2026-09-17T07:25:02"/>
    <x v="28"/>
    <x v="16"/>
    <x v="28"/>
    <s v="17IA44.20"/>
    <x v="1"/>
    <x v="4"/>
    <m/>
    <d v="2026-08-19T00:00:00"/>
    <m/>
  </r>
  <r>
    <s v="YK263403033"/>
    <x v="19"/>
    <x v="19"/>
    <n v="1"/>
    <x v="3"/>
    <d v="2026-09-17T07:24:20"/>
    <x v="28"/>
    <x v="16"/>
    <x v="28"/>
    <s v="17IA44.20"/>
    <x v="1"/>
    <x v="4"/>
    <m/>
    <d v="2026-07-23T00:00:00"/>
    <m/>
  </r>
  <r>
    <s v="YK263403034"/>
    <x v="20"/>
    <x v="20"/>
    <n v="1"/>
    <x v="7"/>
    <d v="2026-09-15T14:50:12"/>
    <x v="28"/>
    <x v="16"/>
    <x v="28"/>
    <s v="17IA44.20"/>
    <x v="1"/>
    <x v="4"/>
    <s v="Golden"/>
    <d v="2026-07-27T00:00:00"/>
    <m/>
  </r>
  <r>
    <s v="YK263403035"/>
    <x v="21"/>
    <x v="21"/>
    <n v="1"/>
    <x v="3"/>
    <d v="2026-09-17T07:01:27"/>
    <x v="28"/>
    <x v="16"/>
    <x v="28"/>
    <s v="17IA44.20"/>
    <x v="1"/>
    <x v="4"/>
    <m/>
    <d v="2026-08-26T00:00:00"/>
    <m/>
  </r>
  <r>
    <s v="YK263403036"/>
    <x v="22"/>
    <x v="22"/>
    <n v="1"/>
    <x v="8"/>
    <d v="2026-09-16T13:52:00"/>
    <x v="28"/>
    <x v="16"/>
    <x v="28"/>
    <s v="17IA44.20"/>
    <x v="1"/>
    <x v="4"/>
    <m/>
    <d v="2026-07-24T00:00:00"/>
    <m/>
  </r>
  <r>
    <s v="YK263403037"/>
    <x v="23"/>
    <x v="23"/>
    <n v="1"/>
    <x v="8"/>
    <d v="2026-09-16T15:26:03"/>
    <x v="28"/>
    <x v="16"/>
    <x v="28"/>
    <s v="17IA44.20"/>
    <x v="1"/>
    <x v="4"/>
    <m/>
    <m/>
    <m/>
  </r>
  <r>
    <s v="YK263403038"/>
    <x v="22"/>
    <x v="22"/>
    <n v="1"/>
    <x v="8"/>
    <d v="2026-09-16T13:55:49"/>
    <x v="28"/>
    <x v="16"/>
    <x v="28"/>
    <s v="17IA44.20"/>
    <x v="1"/>
    <x v="4"/>
    <m/>
    <d v="2026-08-17T00:00:00"/>
    <m/>
  </r>
  <r>
    <s v="YK263403039"/>
    <x v="24"/>
    <x v="24"/>
    <n v="1"/>
    <x v="8"/>
    <d v="2026-09-16T17:06:56"/>
    <x v="28"/>
    <x v="16"/>
    <x v="28"/>
    <s v="17IA44.20"/>
    <x v="1"/>
    <x v="4"/>
    <m/>
    <m/>
    <m/>
  </r>
  <r>
    <s v="YK263403040"/>
    <x v="0"/>
    <x v="0"/>
    <n v="1"/>
    <x v="0"/>
    <d v="2026-08-18T06:42:34"/>
    <x v="28"/>
    <x v="16"/>
    <x v="28"/>
    <s v="17IA44.20"/>
    <x v="1"/>
    <x v="4"/>
    <m/>
    <d v="2026-07-23T00:00:00"/>
    <m/>
  </r>
  <r>
    <s v="YK263403041"/>
    <x v="0"/>
    <x v="0"/>
    <n v="1"/>
    <x v="0"/>
    <d v="2026-08-18T06:42:34"/>
    <x v="28"/>
    <x v="16"/>
    <x v="28"/>
    <s v="17IA44.20"/>
    <x v="1"/>
    <x v="4"/>
    <m/>
    <m/>
    <m/>
  </r>
  <r>
    <s v="YK263403042"/>
    <x v="0"/>
    <x v="0"/>
    <n v="1"/>
    <x v="0"/>
    <d v="2026-08-18T06:42:34"/>
    <x v="28"/>
    <x v="16"/>
    <x v="28"/>
    <s v="17IA44.20"/>
    <x v="1"/>
    <x v="4"/>
    <m/>
    <m/>
    <m/>
  </r>
  <r>
    <s v="YK263403043"/>
    <x v="0"/>
    <x v="0"/>
    <n v="1"/>
    <x v="0"/>
    <d v="2026-08-18T06:42:34"/>
    <x v="28"/>
    <x v="16"/>
    <x v="28"/>
    <s v="17IA44.20"/>
    <x v="1"/>
    <x v="4"/>
    <m/>
    <d v="2026-08-28T00:00:00"/>
    <m/>
  </r>
  <r>
    <s v="YK262700620"/>
    <x v="1"/>
    <x v="1"/>
    <n v="1"/>
    <x v="2"/>
    <d v="2026-07-15T14:23:57"/>
    <x v="29"/>
    <x v="15"/>
    <x v="29"/>
    <s v="17IA45.30"/>
    <x v="1"/>
    <x v="4"/>
    <m/>
    <d v="2026-08-17T00:00:00"/>
    <m/>
  </r>
  <r>
    <s v="YK262700621"/>
    <x v="1"/>
    <x v="1"/>
    <n v="1"/>
    <x v="2"/>
    <d v="2026-07-15T14:16:55"/>
    <x v="29"/>
    <x v="15"/>
    <x v="29"/>
    <s v="17IA45.30"/>
    <x v="1"/>
    <x v="4"/>
    <m/>
    <d v="2026-08-19T00:00:00"/>
    <m/>
  </r>
  <r>
    <s v="YK262700622"/>
    <x v="1"/>
    <x v="1"/>
    <n v="1"/>
    <x v="2"/>
    <d v="2026-07-24T13:15:32"/>
    <x v="29"/>
    <x v="15"/>
    <x v="29"/>
    <s v="17IA45.30"/>
    <x v="1"/>
    <x v="4"/>
    <m/>
    <m/>
    <m/>
  </r>
  <r>
    <s v="YK262700623"/>
    <x v="1"/>
    <x v="1"/>
    <n v="1"/>
    <x v="2"/>
    <d v="2026-07-15T14:17:30"/>
    <x v="29"/>
    <x v="15"/>
    <x v="29"/>
    <s v="17IA45.30"/>
    <x v="1"/>
    <x v="4"/>
    <m/>
    <d v="2026-08-19T00:00:00"/>
    <m/>
  </r>
  <r>
    <s v="YK262700624"/>
    <x v="1"/>
    <x v="1"/>
    <n v="1"/>
    <x v="2"/>
    <d v="2026-07-15T14:18:03"/>
    <x v="29"/>
    <x v="15"/>
    <x v="29"/>
    <s v="17IA45.30"/>
    <x v="1"/>
    <x v="4"/>
    <m/>
    <d v="2026-09-01T00:00:00"/>
    <m/>
  </r>
  <r>
    <s v="YK262700625"/>
    <x v="1"/>
    <x v="1"/>
    <n v="1"/>
    <x v="2"/>
    <d v="2026-07-15T14:23:22"/>
    <x v="29"/>
    <x v="15"/>
    <x v="29"/>
    <s v="17IA45.30"/>
    <x v="1"/>
    <x v="4"/>
    <m/>
    <d v="2026-05-28T00:00:00"/>
    <m/>
  </r>
  <r>
    <s v="YK262700626"/>
    <x v="1"/>
    <x v="1"/>
    <n v="1"/>
    <x v="2"/>
    <d v="2026-08-14T12:06:01"/>
    <x v="29"/>
    <x v="15"/>
    <x v="29"/>
    <s v="17IA45.30"/>
    <x v="1"/>
    <x v="4"/>
    <m/>
    <d v="2026-06-04T00:00:00"/>
    <m/>
  </r>
  <r>
    <s v="YK262700627"/>
    <x v="1"/>
    <x v="1"/>
    <n v="1"/>
    <x v="2"/>
    <d v="2026-07-21T09:06:08"/>
    <x v="29"/>
    <x v="15"/>
    <x v="29"/>
    <s v="17IA45.30"/>
    <x v="1"/>
    <x v="4"/>
    <m/>
    <d v="2026-05-28T00:00:00"/>
    <m/>
  </r>
  <r>
    <s v="YK262700628"/>
    <x v="1"/>
    <x v="1"/>
    <n v="1"/>
    <x v="2"/>
    <d v="2026-07-21T09:10:10"/>
    <x v="29"/>
    <x v="15"/>
    <x v="29"/>
    <s v="17IA45.30"/>
    <x v="1"/>
    <x v="4"/>
    <m/>
    <d v="2026-05-28T00:00:00"/>
    <m/>
  </r>
  <r>
    <s v="YK262700629"/>
    <x v="1"/>
    <x v="1"/>
    <n v="1"/>
    <x v="2"/>
    <d v="2026-07-21T09:09:43"/>
    <x v="29"/>
    <x v="15"/>
    <x v="29"/>
    <s v="17IA45.30"/>
    <x v="1"/>
    <x v="4"/>
    <m/>
    <d v="2026-06-04T00:00:00"/>
    <m/>
  </r>
  <r>
    <s v="YK262700630"/>
    <x v="1"/>
    <x v="1"/>
    <n v="1"/>
    <x v="2"/>
    <d v="2026-07-15T14:19:10"/>
    <x v="29"/>
    <x v="15"/>
    <x v="29"/>
    <s v="17IA45.30"/>
    <x v="1"/>
    <x v="4"/>
    <m/>
    <d v="2026-05-29T00:00:00"/>
    <m/>
  </r>
  <r>
    <s v="YK262700631"/>
    <x v="1"/>
    <x v="1"/>
    <n v="1"/>
    <x v="2"/>
    <d v="2026-07-15T14:19:39"/>
    <x v="29"/>
    <x v="15"/>
    <x v="29"/>
    <s v="17IA45.30"/>
    <x v="1"/>
    <x v="4"/>
    <m/>
    <d v="2026-05-29T00:00:00"/>
    <m/>
  </r>
  <r>
    <s v="YK262700632"/>
    <x v="1"/>
    <x v="1"/>
    <n v="1"/>
    <x v="2"/>
    <d v="2026-07-15T14:22:38"/>
    <x v="29"/>
    <x v="15"/>
    <x v="29"/>
    <s v="17IA45.30"/>
    <x v="1"/>
    <x v="4"/>
    <m/>
    <d v="2026-05-28T00:00:00"/>
    <m/>
  </r>
  <r>
    <s v="YK262700633"/>
    <x v="1"/>
    <x v="1"/>
    <n v="1"/>
    <x v="2"/>
    <d v="2026-07-20T09:17:24"/>
    <x v="29"/>
    <x v="15"/>
    <x v="29"/>
    <s v="17IA45.30"/>
    <x v="1"/>
    <x v="4"/>
    <m/>
    <d v="2026-05-29T00:00:00"/>
    <m/>
  </r>
  <r>
    <s v="YK262700634"/>
    <x v="1"/>
    <x v="1"/>
    <n v="1"/>
    <x v="2"/>
    <d v="2026-07-21T09:25:09"/>
    <x v="29"/>
    <x v="15"/>
    <x v="29"/>
    <s v="17IA45.30"/>
    <x v="1"/>
    <x v="4"/>
    <m/>
    <d v="2026-05-29T00:00:00"/>
    <m/>
  </r>
  <r>
    <s v="YK262700635"/>
    <x v="1"/>
    <x v="1"/>
    <n v="1"/>
    <x v="2"/>
    <d v="2026-08-05T12:29:29"/>
    <x v="29"/>
    <x v="15"/>
    <x v="29"/>
    <s v="17IA45.30"/>
    <x v="1"/>
    <x v="4"/>
    <m/>
    <d v="2026-06-18T00:00:00"/>
    <m/>
  </r>
  <r>
    <s v="YK262700636"/>
    <x v="1"/>
    <x v="1"/>
    <n v="1"/>
    <x v="2"/>
    <d v="2026-07-24T13:16:21"/>
    <x v="29"/>
    <x v="15"/>
    <x v="29"/>
    <s v="17IA45.30"/>
    <x v="1"/>
    <x v="4"/>
    <m/>
    <m/>
    <m/>
  </r>
  <r>
    <s v="YK262700637"/>
    <x v="1"/>
    <x v="1"/>
    <n v="1"/>
    <x v="2"/>
    <d v="2026-07-21T09:26:20"/>
    <x v="29"/>
    <x v="15"/>
    <x v="29"/>
    <s v="17IA45.30"/>
    <x v="1"/>
    <x v="4"/>
    <m/>
    <m/>
    <m/>
  </r>
  <r>
    <s v="YK262700638"/>
    <x v="1"/>
    <x v="1"/>
    <n v="1"/>
    <x v="2"/>
    <d v="2026-07-24T13:16:58"/>
    <x v="29"/>
    <x v="15"/>
    <x v="29"/>
    <s v="17IA45.30"/>
    <x v="1"/>
    <x v="4"/>
    <m/>
    <m/>
    <m/>
  </r>
  <r>
    <s v="YK262700639"/>
    <x v="1"/>
    <x v="1"/>
    <n v="1"/>
    <x v="2"/>
    <d v="2026-07-21T09:31:23"/>
    <x v="29"/>
    <x v="15"/>
    <x v="29"/>
    <s v="17IA45.30"/>
    <x v="1"/>
    <x v="4"/>
    <m/>
    <m/>
    <m/>
  </r>
  <r>
    <s v="YK262700640"/>
    <x v="1"/>
    <x v="1"/>
    <n v="1"/>
    <x v="2"/>
    <d v="2026-08-20T09:45:20"/>
    <x v="29"/>
    <x v="15"/>
    <x v="29"/>
    <s v="17IA45.30"/>
    <x v="1"/>
    <x v="4"/>
    <m/>
    <m/>
    <m/>
  </r>
  <r>
    <s v="YK262700641"/>
    <x v="1"/>
    <x v="1"/>
    <n v="1"/>
    <x v="2"/>
    <d v="2026-07-20T09:19:04"/>
    <x v="29"/>
    <x v="15"/>
    <x v="29"/>
    <s v="17IA45.30"/>
    <x v="1"/>
    <x v="4"/>
    <m/>
    <m/>
    <m/>
  </r>
  <r>
    <s v="YK262700642"/>
    <x v="1"/>
    <x v="1"/>
    <n v="1"/>
    <x v="2"/>
    <d v="2026-07-21T09:23:42"/>
    <x v="29"/>
    <x v="15"/>
    <x v="29"/>
    <s v="17IA45.30"/>
    <x v="1"/>
    <x v="4"/>
    <m/>
    <m/>
    <m/>
  </r>
  <r>
    <s v="YK262700643"/>
    <x v="1"/>
    <x v="1"/>
    <n v="1"/>
    <x v="2"/>
    <d v="2026-07-24T13:17:56"/>
    <x v="29"/>
    <x v="15"/>
    <x v="29"/>
    <s v="17IA45.30"/>
    <x v="1"/>
    <x v="4"/>
    <m/>
    <m/>
    <m/>
  </r>
  <r>
    <s v="YK262700644"/>
    <x v="1"/>
    <x v="1"/>
    <n v="1"/>
    <x v="2"/>
    <d v="2026-07-24T13:18:31"/>
    <x v="29"/>
    <x v="15"/>
    <x v="29"/>
    <s v="17IA45.30"/>
    <x v="1"/>
    <x v="4"/>
    <m/>
    <m/>
    <m/>
  </r>
  <r>
    <s v="YK262700645"/>
    <x v="1"/>
    <x v="1"/>
    <n v="1"/>
    <x v="2"/>
    <d v="2026-07-21T09:22:36"/>
    <x v="29"/>
    <x v="15"/>
    <x v="29"/>
    <s v="17IA45.30"/>
    <x v="1"/>
    <x v="4"/>
    <m/>
    <m/>
    <m/>
  </r>
  <r>
    <s v="YK262700646"/>
    <x v="1"/>
    <x v="1"/>
    <n v="1"/>
    <x v="2"/>
    <d v="2026-07-24T13:19:30"/>
    <x v="29"/>
    <x v="15"/>
    <x v="29"/>
    <s v="17IA45.30"/>
    <x v="1"/>
    <x v="4"/>
    <m/>
    <m/>
    <m/>
  </r>
  <r>
    <s v="YK262700647"/>
    <x v="1"/>
    <x v="1"/>
    <n v="1"/>
    <x v="2"/>
    <d v="2026-08-05T12:27:43"/>
    <x v="29"/>
    <x v="15"/>
    <x v="29"/>
    <s v="17IA45.30"/>
    <x v="1"/>
    <x v="4"/>
    <m/>
    <m/>
    <m/>
  </r>
  <r>
    <s v="YK262700648"/>
    <x v="1"/>
    <x v="1"/>
    <n v="1"/>
    <x v="2"/>
    <d v="2026-09-03T06:29:04"/>
    <x v="29"/>
    <x v="15"/>
    <x v="29"/>
    <s v="17IA45.30"/>
    <x v="1"/>
    <x v="4"/>
    <m/>
    <m/>
    <m/>
  </r>
  <r>
    <s v="YK262700649"/>
    <x v="1"/>
    <x v="1"/>
    <n v="1"/>
    <x v="2"/>
    <d v="2026-08-05T12:26:56"/>
    <x v="29"/>
    <x v="15"/>
    <x v="29"/>
    <s v="17IA45.30"/>
    <x v="1"/>
    <x v="4"/>
    <m/>
    <m/>
    <m/>
  </r>
  <r>
    <s v="YK262700650"/>
    <x v="1"/>
    <x v="1"/>
    <n v="1"/>
    <x v="2"/>
    <d v="2026-08-12T08:55:02"/>
    <x v="29"/>
    <x v="15"/>
    <x v="29"/>
    <s v="17IA45.30"/>
    <x v="1"/>
    <x v="4"/>
    <m/>
    <m/>
    <m/>
  </r>
  <r>
    <s v="YK262700651"/>
    <x v="1"/>
    <x v="1"/>
    <n v="1"/>
    <x v="2"/>
    <d v="2026-07-24T13:20:11"/>
    <x v="29"/>
    <x v="15"/>
    <x v="29"/>
    <s v="17IA45.30"/>
    <x v="1"/>
    <x v="4"/>
    <m/>
    <m/>
    <m/>
  </r>
  <r>
    <s v="YK262700652"/>
    <x v="1"/>
    <x v="1"/>
    <n v="1"/>
    <x v="2"/>
    <d v="2026-07-24T13:20:57"/>
    <x v="29"/>
    <x v="15"/>
    <x v="29"/>
    <s v="17IA45.30"/>
    <x v="1"/>
    <x v="4"/>
    <m/>
    <m/>
    <m/>
  </r>
  <r>
    <s v="YK262700653"/>
    <x v="1"/>
    <x v="1"/>
    <n v="1"/>
    <x v="2"/>
    <d v="2026-08-05T12:26:11"/>
    <x v="29"/>
    <x v="15"/>
    <x v="29"/>
    <s v="17IA45.30"/>
    <x v="1"/>
    <x v="4"/>
    <m/>
    <m/>
    <m/>
  </r>
  <r>
    <s v="YK262700654"/>
    <x v="1"/>
    <x v="1"/>
    <n v="1"/>
    <x v="2"/>
    <d v="2026-07-24T13:22:29"/>
    <x v="29"/>
    <x v="15"/>
    <x v="29"/>
    <s v="17IA45.30"/>
    <x v="1"/>
    <x v="4"/>
    <m/>
    <m/>
    <m/>
  </r>
  <r>
    <s v="YK262700655"/>
    <x v="24"/>
    <x v="24"/>
    <n v="1"/>
    <x v="8"/>
    <d v="2026-07-20T18:53:54"/>
    <x v="29"/>
    <x v="15"/>
    <x v="29"/>
    <s v="17IA45.30"/>
    <x v="1"/>
    <x v="4"/>
    <m/>
    <m/>
    <m/>
  </r>
  <r>
    <s v="YK262700656"/>
    <x v="1"/>
    <x v="1"/>
    <n v="1"/>
    <x v="2"/>
    <d v="2026-08-12T08:55:30"/>
    <x v="29"/>
    <x v="15"/>
    <x v="29"/>
    <s v="17IA45.30"/>
    <x v="1"/>
    <x v="4"/>
    <m/>
    <m/>
    <m/>
  </r>
  <r>
    <s v="YK262700657"/>
    <x v="24"/>
    <x v="24"/>
    <n v="1"/>
    <x v="8"/>
    <d v="2026-07-20T19:26:48"/>
    <x v="29"/>
    <x v="15"/>
    <x v="29"/>
    <s v="17IA45.30"/>
    <x v="1"/>
    <x v="4"/>
    <m/>
    <m/>
    <m/>
  </r>
  <r>
    <s v="YK262700658"/>
    <x v="1"/>
    <x v="1"/>
    <n v="1"/>
    <x v="2"/>
    <d v="2026-08-05T12:25:05"/>
    <x v="29"/>
    <x v="15"/>
    <x v="29"/>
    <s v="17IA45.30"/>
    <x v="1"/>
    <x v="4"/>
    <m/>
    <m/>
    <m/>
  </r>
  <r>
    <s v="YK262700659"/>
    <x v="20"/>
    <x v="20"/>
    <n v="1"/>
    <x v="7"/>
    <d v="2026-09-15T12:00:26"/>
    <x v="29"/>
    <x v="15"/>
    <x v="29"/>
    <s v="17IA45.30"/>
    <x v="1"/>
    <x v="4"/>
    <m/>
    <m/>
    <m/>
  </r>
  <r>
    <s v="YK262700660"/>
    <x v="24"/>
    <x v="24"/>
    <n v="1"/>
    <x v="8"/>
    <d v="2026-07-21T19:01:36"/>
    <x v="29"/>
    <x v="15"/>
    <x v="29"/>
    <s v="17IA45.30"/>
    <x v="1"/>
    <x v="4"/>
    <m/>
    <m/>
    <m/>
  </r>
  <r>
    <s v="YK262700661"/>
    <x v="1"/>
    <x v="1"/>
    <n v="1"/>
    <x v="2"/>
    <d v="2026-08-28T09:16:16"/>
    <x v="29"/>
    <x v="15"/>
    <x v="29"/>
    <s v="17IA45.30"/>
    <x v="1"/>
    <x v="4"/>
    <m/>
    <d v="2026-05-15T00:00:00"/>
    <m/>
  </r>
  <r>
    <s v="YK262700662"/>
    <x v="1"/>
    <x v="1"/>
    <n v="1"/>
    <x v="2"/>
    <d v="2026-08-12T08:56:18"/>
    <x v="29"/>
    <x v="15"/>
    <x v="29"/>
    <s v="17IA45.30"/>
    <x v="1"/>
    <x v="4"/>
    <m/>
    <m/>
    <m/>
  </r>
  <r>
    <s v="YK262700663"/>
    <x v="1"/>
    <x v="1"/>
    <n v="1"/>
    <x v="2"/>
    <d v="2026-08-12T08:56:50"/>
    <x v="29"/>
    <x v="15"/>
    <x v="29"/>
    <s v="17IA45.30"/>
    <x v="1"/>
    <x v="4"/>
    <m/>
    <m/>
    <m/>
  </r>
  <r>
    <s v="YK262700664"/>
    <x v="24"/>
    <x v="24"/>
    <n v="1"/>
    <x v="8"/>
    <d v="2026-07-21T22:16:57"/>
    <x v="29"/>
    <x v="15"/>
    <x v="29"/>
    <s v="17IA45.30"/>
    <x v="1"/>
    <x v="4"/>
    <m/>
    <d v="2026-05-15T00:00:00"/>
    <m/>
  </r>
  <r>
    <s v="YK262700665"/>
    <x v="1"/>
    <x v="1"/>
    <n v="1"/>
    <x v="2"/>
    <d v="2026-08-20T09:44:40"/>
    <x v="29"/>
    <x v="15"/>
    <x v="29"/>
    <s v="17IA45.30"/>
    <x v="1"/>
    <x v="4"/>
    <m/>
    <d v="2026-05-15T00:00:00"/>
    <m/>
  </r>
  <r>
    <s v="YK262700666"/>
    <x v="1"/>
    <x v="1"/>
    <n v="1"/>
    <x v="2"/>
    <d v="2026-08-28T14:44:37"/>
    <x v="29"/>
    <x v="15"/>
    <x v="29"/>
    <s v="17IA45.30"/>
    <x v="1"/>
    <x v="4"/>
    <m/>
    <d v="2026-05-15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15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1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15T00:00:00"/>
    <m/>
  </r>
  <r>
    <s v="YK262101089"/>
    <x v="1"/>
    <x v="1"/>
    <n v="1"/>
    <x v="2"/>
    <d v="2026-05-29T07:07:47"/>
    <x v="30"/>
    <x v="15"/>
    <x v="30"/>
    <s v="17IA45.40"/>
    <x v="1"/>
    <x v="4"/>
    <m/>
    <d v="2026-06-01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1T00:00:00"/>
    <m/>
  </r>
  <r>
    <s v="YK262101091"/>
    <x v="1"/>
    <x v="1"/>
    <n v="1"/>
    <x v="2"/>
    <d v="2026-06-01T10:56:52"/>
    <x v="30"/>
    <x v="15"/>
    <x v="30"/>
    <s v="17IA45.40"/>
    <x v="1"/>
    <x v="4"/>
    <m/>
    <d v="2026-06-01T00:00:00"/>
    <m/>
  </r>
  <r>
    <s v="YK262101092"/>
    <x v="1"/>
    <x v="1"/>
    <n v="1"/>
    <x v="2"/>
    <d v="2026-06-01T11:10:53"/>
    <x v="30"/>
    <x v="15"/>
    <x v="30"/>
    <s v="17IA45.40"/>
    <x v="1"/>
    <x v="4"/>
    <m/>
    <d v="2026-06-01T00:00:00"/>
    <m/>
  </r>
  <r>
    <s v="YK262101093"/>
    <x v="1"/>
    <x v="1"/>
    <n v="1"/>
    <x v="2"/>
    <d v="2026-05-29T07:03:30"/>
    <x v="30"/>
    <x v="15"/>
    <x v="30"/>
    <s v="17IA45.40"/>
    <x v="1"/>
    <x v="4"/>
    <m/>
    <d v="2026-06-01T00:00:00"/>
    <m/>
  </r>
  <r>
    <s v="YK262101094"/>
    <x v="1"/>
    <x v="1"/>
    <n v="1"/>
    <x v="2"/>
    <d v="2026-06-01T11:11:40"/>
    <x v="30"/>
    <x v="15"/>
    <x v="30"/>
    <s v="17IA45.40"/>
    <x v="1"/>
    <x v="4"/>
    <m/>
    <m/>
    <m/>
  </r>
  <r>
    <s v="YK262101095"/>
    <x v="1"/>
    <x v="1"/>
    <n v="1"/>
    <x v="2"/>
    <d v="2026-06-01T11:12:57"/>
    <x v="30"/>
    <x v="15"/>
    <x v="30"/>
    <s v="17IA45.40"/>
    <x v="1"/>
    <x v="4"/>
    <m/>
    <d v="2026-05-15T00:00:00"/>
    <m/>
  </r>
  <r>
    <s v="YK262101096"/>
    <x v="1"/>
    <x v="1"/>
    <n v="1"/>
    <x v="2"/>
    <d v="2026-06-16T08:38:10"/>
    <x v="30"/>
    <x v="15"/>
    <x v="30"/>
    <s v="17IA45.40"/>
    <x v="1"/>
    <x v="4"/>
    <m/>
    <d v="2026-05-15T00:00:00"/>
    <m/>
  </r>
  <r>
    <s v="YK263100801"/>
    <x v="9"/>
    <x v="9"/>
    <n v="1"/>
    <x v="3"/>
    <d v="2026-08-27T15:41:36"/>
    <x v="31"/>
    <x v="17"/>
    <x v="31"/>
    <s v="18OA12.00"/>
    <x v="2"/>
    <x v="1"/>
    <m/>
    <d v="2026-05-15T00:00:00"/>
    <m/>
  </r>
  <r>
    <s v="YK263100802"/>
    <x v="7"/>
    <x v="7"/>
    <n v="1"/>
    <x v="3"/>
    <d v="2026-09-03T12:28:14"/>
    <x v="31"/>
    <x v="17"/>
    <x v="31"/>
    <s v="18OA12.00"/>
    <x v="2"/>
    <x v="1"/>
    <m/>
    <d v="2026-05-15T00:00:00"/>
    <m/>
  </r>
  <r>
    <s v="YK263100803"/>
    <x v="7"/>
    <x v="7"/>
    <n v="1"/>
    <x v="3"/>
    <d v="2026-09-03T14:25:51"/>
    <x v="31"/>
    <x v="17"/>
    <x v="31"/>
    <s v="18OA12.00"/>
    <x v="2"/>
    <x v="1"/>
    <m/>
    <d v="2026-06-01T00:00:00"/>
    <m/>
  </r>
  <r>
    <s v="YK263100804"/>
    <x v="7"/>
    <x v="7"/>
    <n v="1"/>
    <x v="3"/>
    <d v="2026-09-04T10:15:12"/>
    <x v="31"/>
    <x v="17"/>
    <x v="31"/>
    <s v="18OA12.00"/>
    <x v="2"/>
    <x v="1"/>
    <m/>
    <d v="2026-05-15T00:00:00"/>
    <m/>
  </r>
  <r>
    <s v="YK263100805"/>
    <x v="7"/>
    <x v="7"/>
    <n v="1"/>
    <x v="3"/>
    <d v="2026-09-03T15:23:00"/>
    <x v="31"/>
    <x v="17"/>
    <x v="31"/>
    <s v="18OA12.00"/>
    <x v="2"/>
    <x v="1"/>
    <m/>
    <d v="2026-06-01T00:00:00"/>
    <m/>
  </r>
  <r>
    <s v="YK263100806"/>
    <x v="7"/>
    <x v="7"/>
    <n v="1"/>
    <x v="3"/>
    <d v="2026-09-04T04:50:05"/>
    <x v="31"/>
    <x v="17"/>
    <x v="31"/>
    <s v="18OA12.00"/>
    <x v="2"/>
    <x v="1"/>
    <m/>
    <d v="2026-06-01T00:00:00"/>
    <m/>
  </r>
  <r>
    <s v="YK263100807"/>
    <x v="7"/>
    <x v="7"/>
    <n v="1"/>
    <x v="3"/>
    <d v="2026-09-03T11:57:12"/>
    <x v="31"/>
    <x v="17"/>
    <x v="31"/>
    <s v="18OA12.00"/>
    <x v="2"/>
    <x v="1"/>
    <m/>
    <d v="2026-06-01T00:00:00"/>
    <m/>
  </r>
  <r>
    <s v="YK263100808"/>
    <x v="7"/>
    <x v="7"/>
    <n v="1"/>
    <x v="3"/>
    <d v="2026-09-03T15:07:50"/>
    <x v="31"/>
    <x v="17"/>
    <x v="31"/>
    <s v="18OA12.00"/>
    <x v="2"/>
    <x v="1"/>
    <m/>
    <d v="2026-06-01T00:00:00"/>
    <m/>
  </r>
  <r>
    <s v="YK263100809"/>
    <x v="7"/>
    <x v="7"/>
    <n v="1"/>
    <x v="3"/>
    <d v="2026-09-03T11:40:16"/>
    <x v="31"/>
    <x v="17"/>
    <x v="31"/>
    <s v="18OA12.00"/>
    <x v="2"/>
    <x v="1"/>
    <m/>
    <d v="2026-06-01T00:00:00"/>
    <m/>
  </r>
  <r>
    <s v="YK263100810"/>
    <x v="7"/>
    <x v="7"/>
    <n v="1"/>
    <x v="3"/>
    <d v="2026-09-03T12:11:20"/>
    <x v="31"/>
    <x v="17"/>
    <x v="31"/>
    <s v="18OA12.00"/>
    <x v="2"/>
    <x v="1"/>
    <m/>
    <d v="2026-06-01T00:00:00"/>
    <m/>
  </r>
  <r>
    <s v="YK263100811"/>
    <x v="7"/>
    <x v="7"/>
    <n v="1"/>
    <x v="3"/>
    <d v="2026-09-03T14:59:16"/>
    <x v="31"/>
    <x v="17"/>
    <x v="31"/>
    <s v="18OA12.00"/>
    <x v="2"/>
    <x v="1"/>
    <m/>
    <d v="2026-05-15T00:00:00"/>
    <m/>
  </r>
  <r>
    <s v="YK263100812"/>
    <x v="7"/>
    <x v="7"/>
    <n v="1"/>
    <x v="3"/>
    <d v="2026-09-04T04:55:23"/>
    <x v="31"/>
    <x v="17"/>
    <x v="31"/>
    <s v="18OA12.00"/>
    <x v="2"/>
    <x v="1"/>
    <m/>
    <m/>
    <m/>
  </r>
  <r>
    <s v="YK263100813"/>
    <x v="7"/>
    <x v="7"/>
    <n v="1"/>
    <x v="3"/>
    <d v="2026-09-03T14:20:31"/>
    <x v="31"/>
    <x v="17"/>
    <x v="31"/>
    <s v="18OA12.00"/>
    <x v="2"/>
    <x v="1"/>
    <m/>
    <m/>
    <m/>
  </r>
  <r>
    <s v="YK263100814"/>
    <x v="7"/>
    <x v="7"/>
    <n v="1"/>
    <x v="3"/>
    <d v="2026-09-03T11:30:23"/>
    <x v="31"/>
    <x v="17"/>
    <x v="31"/>
    <s v="18OA12.00"/>
    <x v="2"/>
    <x v="1"/>
    <m/>
    <m/>
    <m/>
  </r>
  <r>
    <s v="YK263500001"/>
    <x v="0"/>
    <x v="0"/>
    <n v="1"/>
    <x v="0"/>
    <d v="2026-08-24T06:37:16"/>
    <x v="32"/>
    <x v="18"/>
    <x v="32"/>
    <s v="18OA21.00"/>
    <x v="2"/>
    <x v="2"/>
    <m/>
    <m/>
    <m/>
  </r>
  <r>
    <s v="YK263500002"/>
    <x v="0"/>
    <x v="0"/>
    <n v="1"/>
    <x v="0"/>
    <d v="2026-08-24T06:37:16"/>
    <x v="32"/>
    <x v="18"/>
    <x v="32"/>
    <s v="18OA21.00"/>
    <x v="2"/>
    <x v="2"/>
    <m/>
    <m/>
    <m/>
  </r>
  <r>
    <s v="YK263500003"/>
    <x v="9"/>
    <x v="9"/>
    <n v="1"/>
    <x v="3"/>
    <d v="2026-09-02T11:19:35"/>
    <x v="32"/>
    <x v="18"/>
    <x v="32"/>
    <s v="18OA21.00"/>
    <x v="2"/>
    <x v="2"/>
    <m/>
    <m/>
    <m/>
  </r>
  <r>
    <s v="YK263500004"/>
    <x v="9"/>
    <x v="9"/>
    <n v="1"/>
    <x v="3"/>
    <d v="2026-08-27T14:07:05"/>
    <x v="32"/>
    <x v="18"/>
    <x v="32"/>
    <s v="18OA21.00"/>
    <x v="2"/>
    <x v="2"/>
    <m/>
    <m/>
    <m/>
  </r>
  <r>
    <s v="YK263500005"/>
    <x v="9"/>
    <x v="9"/>
    <n v="1"/>
    <x v="3"/>
    <d v="2026-08-28T08:56:56"/>
    <x v="32"/>
    <x v="18"/>
    <x v="32"/>
    <s v="18OA21.00"/>
    <x v="2"/>
    <x v="2"/>
    <m/>
    <m/>
    <m/>
  </r>
  <r>
    <s v="YK263500006"/>
    <x v="9"/>
    <x v="9"/>
    <n v="1"/>
    <x v="3"/>
    <d v="2026-08-28T08:31:00"/>
    <x v="32"/>
    <x v="18"/>
    <x v="32"/>
    <s v="18OA21.00"/>
    <x v="2"/>
    <x v="2"/>
    <m/>
    <m/>
    <m/>
  </r>
  <r>
    <s v="YK263500007"/>
    <x v="14"/>
    <x v="14"/>
    <n v="1"/>
    <x v="3"/>
    <d v="2026-08-28T10:38:31"/>
    <x v="32"/>
    <x v="18"/>
    <x v="32"/>
    <s v="18OA21.00"/>
    <x v="2"/>
    <x v="2"/>
    <m/>
    <m/>
    <m/>
  </r>
  <r>
    <s v="YK263500008"/>
    <x v="9"/>
    <x v="9"/>
    <n v="1"/>
    <x v="3"/>
    <d v="2026-08-28T08:37:04"/>
    <x v="32"/>
    <x v="18"/>
    <x v="32"/>
    <s v="18OA21.00"/>
    <x v="2"/>
    <x v="2"/>
    <m/>
    <m/>
    <m/>
  </r>
  <r>
    <s v="YK263500009"/>
    <x v="9"/>
    <x v="9"/>
    <n v="1"/>
    <x v="3"/>
    <d v="2026-08-27T14:15:00"/>
    <x v="32"/>
    <x v="18"/>
    <x v="32"/>
    <s v="18OA21.00"/>
    <x v="2"/>
    <x v="2"/>
    <m/>
    <m/>
    <m/>
  </r>
  <r>
    <s v="YK263500010"/>
    <x v="9"/>
    <x v="9"/>
    <n v="1"/>
    <x v="3"/>
    <d v="2026-08-27T14:10:45"/>
    <x v="32"/>
    <x v="18"/>
    <x v="32"/>
    <s v="18OA21.00"/>
    <x v="2"/>
    <x v="2"/>
    <m/>
    <m/>
    <m/>
  </r>
  <r>
    <s v="YK263500011"/>
    <x v="9"/>
    <x v="9"/>
    <n v="1"/>
    <x v="3"/>
    <d v="2026-08-28T08:54:00"/>
    <x v="32"/>
    <x v="18"/>
    <x v="32"/>
    <s v="18OA21.00"/>
    <x v="2"/>
    <x v="2"/>
    <m/>
    <m/>
    <m/>
  </r>
  <r>
    <s v="YK261900001"/>
    <x v="1"/>
    <x v="1"/>
    <n v="1"/>
    <x v="2"/>
    <d v="2026-06-03T09:52:26"/>
    <x v="33"/>
    <x v="19"/>
    <x v="33"/>
    <s v="19BA11.00"/>
    <x v="3"/>
    <x v="1"/>
    <m/>
    <m/>
    <m/>
  </r>
  <r>
    <s v="YK261900002"/>
    <x v="1"/>
    <x v="1"/>
    <n v="1"/>
    <x v="2"/>
    <d v="2026-06-10T09:28:51"/>
    <x v="33"/>
    <x v="19"/>
    <x v="33"/>
    <s v="19BA11.00"/>
    <x v="3"/>
    <x v="1"/>
    <m/>
    <m/>
    <m/>
  </r>
  <r>
    <s v="YK261900003"/>
    <x v="1"/>
    <x v="1"/>
    <n v="1"/>
    <x v="2"/>
    <d v="2026-06-10T09:18:20"/>
    <x v="33"/>
    <x v="19"/>
    <x v="33"/>
    <s v="19BA11.00"/>
    <x v="3"/>
    <x v="1"/>
    <m/>
    <m/>
    <m/>
  </r>
  <r>
    <s v="YK261900004"/>
    <x v="1"/>
    <x v="1"/>
    <n v="1"/>
    <x v="2"/>
    <d v="2026-06-03T09:53:44"/>
    <x v="33"/>
    <x v="19"/>
    <x v="33"/>
    <s v="19BA11.00"/>
    <x v="3"/>
    <x v="1"/>
    <m/>
    <m/>
    <m/>
  </r>
  <r>
    <s v="YK261900005"/>
    <x v="1"/>
    <x v="1"/>
    <n v="1"/>
    <x v="2"/>
    <d v="2026-06-03T09:54:41"/>
    <x v="33"/>
    <x v="19"/>
    <x v="33"/>
    <s v="19BA11.00"/>
    <x v="3"/>
    <x v="1"/>
    <m/>
    <m/>
    <m/>
  </r>
  <r>
    <s v="YK261900006"/>
    <x v="1"/>
    <x v="1"/>
    <n v="1"/>
    <x v="2"/>
    <d v="2026-06-03T09:55:39"/>
    <x v="33"/>
    <x v="19"/>
    <x v="33"/>
    <s v="19BA11.00"/>
    <x v="3"/>
    <x v="1"/>
    <m/>
    <m/>
    <m/>
  </r>
  <r>
    <s v="YK261900007"/>
    <x v="1"/>
    <x v="1"/>
    <n v="1"/>
    <x v="2"/>
    <d v="2026-06-03T09:56:28"/>
    <x v="33"/>
    <x v="19"/>
    <x v="33"/>
    <s v="19BA11.00"/>
    <x v="3"/>
    <x v="1"/>
    <m/>
    <m/>
    <m/>
  </r>
  <r>
    <s v="YK261900008"/>
    <x v="1"/>
    <x v="1"/>
    <n v="1"/>
    <x v="2"/>
    <d v="2026-06-10T09:29:33"/>
    <x v="33"/>
    <x v="19"/>
    <x v="33"/>
    <s v="19BA11.00"/>
    <x v="3"/>
    <x v="1"/>
    <m/>
    <m/>
    <m/>
  </r>
  <r>
    <s v="YK261900009"/>
    <x v="1"/>
    <x v="1"/>
    <n v="1"/>
    <x v="2"/>
    <d v="2026-06-10T09:17:10"/>
    <x v="33"/>
    <x v="19"/>
    <x v="33"/>
    <s v="19BA11.00"/>
    <x v="3"/>
    <x v="1"/>
    <m/>
    <m/>
    <m/>
  </r>
  <r>
    <s v="YK261900010"/>
    <x v="1"/>
    <x v="1"/>
    <n v="1"/>
    <x v="2"/>
    <d v="2026-06-10T09:30:27"/>
    <x v="33"/>
    <x v="19"/>
    <x v="33"/>
    <s v="19BA11.00"/>
    <x v="3"/>
    <x v="1"/>
    <m/>
    <m/>
    <m/>
  </r>
  <r>
    <s v="YK261900011"/>
    <x v="1"/>
    <x v="1"/>
    <n v="1"/>
    <x v="2"/>
    <d v="2026-06-10T09:36:22"/>
    <x v="33"/>
    <x v="19"/>
    <x v="33"/>
    <s v="19BA11.00"/>
    <x v="3"/>
    <x v="1"/>
    <m/>
    <m/>
    <m/>
  </r>
  <r>
    <s v="YK261900012"/>
    <x v="1"/>
    <x v="1"/>
    <n v="1"/>
    <x v="2"/>
    <d v="2026-06-10T09:41:58"/>
    <x v="33"/>
    <x v="19"/>
    <x v="33"/>
    <s v="19BA11.00"/>
    <x v="3"/>
    <x v="1"/>
    <m/>
    <m/>
    <m/>
  </r>
  <r>
    <s v="YK261900013"/>
    <x v="1"/>
    <x v="1"/>
    <n v="1"/>
    <x v="2"/>
    <d v="2026-06-10T09:42:31"/>
    <x v="33"/>
    <x v="19"/>
    <x v="33"/>
    <s v="19BA11.00"/>
    <x v="3"/>
    <x v="1"/>
    <m/>
    <m/>
    <m/>
  </r>
  <r>
    <s v="YK261900014"/>
    <x v="1"/>
    <x v="1"/>
    <n v="1"/>
    <x v="2"/>
    <d v="2026-06-10T09:43:15"/>
    <x v="33"/>
    <x v="19"/>
    <x v="33"/>
    <s v="19BA11.00"/>
    <x v="3"/>
    <x v="1"/>
    <m/>
    <m/>
    <m/>
  </r>
  <r>
    <s v="YK261900015"/>
    <x v="1"/>
    <x v="1"/>
    <n v="1"/>
    <x v="2"/>
    <d v="2026-06-03T06:42:59"/>
    <x v="34"/>
    <x v="20"/>
    <x v="34"/>
    <s v="19BA11.10"/>
    <x v="3"/>
    <x v="1"/>
    <m/>
    <m/>
    <m/>
  </r>
  <r>
    <s v="YK261900016"/>
    <x v="1"/>
    <x v="1"/>
    <n v="1"/>
    <x v="2"/>
    <d v="2026-06-10T09:51:42"/>
    <x v="34"/>
    <x v="20"/>
    <x v="34"/>
    <s v="19BA11.10"/>
    <x v="3"/>
    <x v="1"/>
    <m/>
    <m/>
    <m/>
  </r>
  <r>
    <s v="YK261900017"/>
    <x v="1"/>
    <x v="1"/>
    <n v="1"/>
    <x v="2"/>
    <d v="2026-06-10T09:52:20"/>
    <x v="34"/>
    <x v="20"/>
    <x v="34"/>
    <s v="19BA11.10"/>
    <x v="3"/>
    <x v="1"/>
    <m/>
    <m/>
    <m/>
  </r>
  <r>
    <s v="YK261900018"/>
    <x v="1"/>
    <x v="1"/>
    <n v="1"/>
    <x v="2"/>
    <d v="2026-06-10T09:52:56"/>
    <x v="34"/>
    <x v="20"/>
    <x v="34"/>
    <s v="19BA11.10"/>
    <x v="3"/>
    <x v="1"/>
    <m/>
    <m/>
    <m/>
  </r>
  <r>
    <s v="YK261900019"/>
    <x v="1"/>
    <x v="1"/>
    <n v="1"/>
    <x v="2"/>
    <d v="2026-06-10T09:53:32"/>
    <x v="34"/>
    <x v="20"/>
    <x v="34"/>
    <s v="19BA11.10"/>
    <x v="3"/>
    <x v="1"/>
    <m/>
    <m/>
    <m/>
  </r>
  <r>
    <s v="YK261900020"/>
    <x v="1"/>
    <x v="1"/>
    <n v="1"/>
    <x v="2"/>
    <d v="2026-06-10T09:44:57"/>
    <x v="34"/>
    <x v="20"/>
    <x v="34"/>
    <s v="19BA11.10"/>
    <x v="3"/>
    <x v="1"/>
    <m/>
    <m/>
    <m/>
  </r>
  <r>
    <s v="YK261900021"/>
    <x v="1"/>
    <x v="1"/>
    <n v="1"/>
    <x v="2"/>
    <d v="2026-06-10T09:54:08"/>
    <x v="34"/>
    <x v="20"/>
    <x v="34"/>
    <s v="19BA11.10"/>
    <x v="3"/>
    <x v="1"/>
    <m/>
    <m/>
    <m/>
  </r>
  <r>
    <s v="YK261900022"/>
    <x v="1"/>
    <x v="1"/>
    <n v="1"/>
    <x v="2"/>
    <d v="2026-06-10T09:45:33"/>
    <x v="34"/>
    <x v="20"/>
    <x v="34"/>
    <s v="19BA11.10"/>
    <x v="3"/>
    <x v="1"/>
    <m/>
    <m/>
    <m/>
  </r>
  <r>
    <s v="YK261900023"/>
    <x v="1"/>
    <x v="1"/>
    <n v="1"/>
    <x v="2"/>
    <d v="2026-06-10T09:46:18"/>
    <x v="34"/>
    <x v="20"/>
    <x v="34"/>
    <s v="19BA11.10"/>
    <x v="3"/>
    <x v="1"/>
    <m/>
    <m/>
    <m/>
  </r>
  <r>
    <s v="YK261900024"/>
    <x v="1"/>
    <x v="1"/>
    <n v="1"/>
    <x v="2"/>
    <d v="2026-06-10T09:46:53"/>
    <x v="34"/>
    <x v="20"/>
    <x v="34"/>
    <s v="19BA11.10"/>
    <x v="3"/>
    <x v="1"/>
    <m/>
    <m/>
    <m/>
  </r>
  <r>
    <s v="YK261900025"/>
    <x v="1"/>
    <x v="1"/>
    <n v="1"/>
    <x v="2"/>
    <d v="2026-06-10T09:47:40"/>
    <x v="34"/>
    <x v="20"/>
    <x v="34"/>
    <s v="19BA11.10"/>
    <x v="3"/>
    <x v="1"/>
    <m/>
    <m/>
    <m/>
  </r>
  <r>
    <s v="YK261900026"/>
    <x v="1"/>
    <x v="1"/>
    <n v="1"/>
    <x v="2"/>
    <d v="2026-06-10T09:48:13"/>
    <x v="34"/>
    <x v="20"/>
    <x v="34"/>
    <s v="19BA11.10"/>
    <x v="3"/>
    <x v="1"/>
    <m/>
    <m/>
    <m/>
  </r>
  <r>
    <s v="YK261900027"/>
    <x v="1"/>
    <x v="1"/>
    <n v="1"/>
    <x v="2"/>
    <d v="2026-06-10T09:48:55"/>
    <x v="34"/>
    <x v="20"/>
    <x v="34"/>
    <s v="19BA11.10"/>
    <x v="3"/>
    <x v="1"/>
    <m/>
    <m/>
    <m/>
  </r>
  <r>
    <s v="YK261900028"/>
    <x v="1"/>
    <x v="1"/>
    <n v="1"/>
    <x v="2"/>
    <d v="2026-06-10T09:54:52"/>
    <x v="34"/>
    <x v="20"/>
    <x v="34"/>
    <s v="19BA11.10"/>
    <x v="3"/>
    <x v="1"/>
    <m/>
    <m/>
    <m/>
  </r>
  <r>
    <s v="YK263100815"/>
    <x v="0"/>
    <x v="0"/>
    <n v="1"/>
    <x v="1"/>
    <d v="2026-09-14T10:53:23"/>
    <x v="35"/>
    <x v="19"/>
    <x v="35"/>
    <s v="19BA13.00"/>
    <x v="4"/>
    <x v="1"/>
    <m/>
    <m/>
    <m/>
  </r>
  <r>
    <s v="YK263100816"/>
    <x v="3"/>
    <x v="3"/>
    <n v="1"/>
    <x v="4"/>
    <d v="2026-08-14T11:21:07"/>
    <x v="35"/>
    <x v="19"/>
    <x v="35"/>
    <s v="19BA13.00"/>
    <x v="4"/>
    <x v="1"/>
    <m/>
    <m/>
    <m/>
  </r>
  <r>
    <s v="YK263100817"/>
    <x v="0"/>
    <x v="0"/>
    <n v="1"/>
    <x v="1"/>
    <d v="2026-09-11T18:58:37"/>
    <x v="35"/>
    <x v="19"/>
    <x v="35"/>
    <s v="19BA13.00"/>
    <x v="4"/>
    <x v="1"/>
    <m/>
    <m/>
    <m/>
  </r>
  <r>
    <s v="YK263100818"/>
    <x v="7"/>
    <x v="7"/>
    <n v="1"/>
    <x v="3"/>
    <d v="2026-08-25T06:09:00"/>
    <x v="35"/>
    <x v="19"/>
    <x v="35"/>
    <s v="19BA13.00"/>
    <x v="4"/>
    <x v="1"/>
    <m/>
    <m/>
    <m/>
  </r>
  <r>
    <s v="YK263100819"/>
    <x v="3"/>
    <x v="3"/>
    <n v="1"/>
    <x v="4"/>
    <d v="2026-09-15T11:37:11"/>
    <x v="35"/>
    <x v="19"/>
    <x v="35"/>
    <s v="19BA13.00"/>
    <x v="4"/>
    <x v="1"/>
    <m/>
    <m/>
    <m/>
  </r>
  <r>
    <s v="YK263100820"/>
    <x v="3"/>
    <x v="3"/>
    <n v="1"/>
    <x v="4"/>
    <d v="2026-08-21T10:32:46"/>
    <x v="35"/>
    <x v="19"/>
    <x v="35"/>
    <s v="19BA13.00"/>
    <x v="4"/>
    <x v="1"/>
    <m/>
    <m/>
    <m/>
  </r>
  <r>
    <s v="YK263100821"/>
    <x v="0"/>
    <x v="0"/>
    <n v="1"/>
    <x v="1"/>
    <d v="2026-08-14T10:47:43"/>
    <x v="35"/>
    <x v="19"/>
    <x v="35"/>
    <s v="19BA13.00"/>
    <x v="4"/>
    <x v="1"/>
    <m/>
    <m/>
    <m/>
  </r>
  <r>
    <s v="YK263100822"/>
    <x v="3"/>
    <x v="3"/>
    <n v="1"/>
    <x v="4"/>
    <d v="2026-08-21T10:26:03"/>
    <x v="35"/>
    <x v="19"/>
    <x v="35"/>
    <s v="19BA13.00"/>
    <x v="4"/>
    <x v="1"/>
    <m/>
    <m/>
    <m/>
  </r>
  <r>
    <s v="YK263100823"/>
    <x v="0"/>
    <x v="0"/>
    <n v="1"/>
    <x v="1"/>
    <d v="2026-08-14T15:55:34"/>
    <x v="35"/>
    <x v="19"/>
    <x v="35"/>
    <s v="19BA13.00"/>
    <x v="4"/>
    <x v="1"/>
    <m/>
    <m/>
    <m/>
  </r>
  <r>
    <s v="YK263100824"/>
    <x v="0"/>
    <x v="0"/>
    <n v="1"/>
    <x v="1"/>
    <d v="2026-09-11T18:57:54"/>
    <x v="35"/>
    <x v="19"/>
    <x v="35"/>
    <s v="19BA13.00"/>
    <x v="4"/>
    <x v="1"/>
    <m/>
    <m/>
    <m/>
  </r>
  <r>
    <s v="YK263100825"/>
    <x v="3"/>
    <x v="3"/>
    <n v="1"/>
    <x v="4"/>
    <d v="2026-08-21T10:40:32"/>
    <x v="35"/>
    <x v="19"/>
    <x v="35"/>
    <s v="19BA13.00"/>
    <x v="4"/>
    <x v="1"/>
    <m/>
    <m/>
    <m/>
  </r>
  <r>
    <s v="YK263100826"/>
    <x v="3"/>
    <x v="3"/>
    <n v="1"/>
    <x v="4"/>
    <d v="2026-08-11T13:31:10"/>
    <x v="35"/>
    <x v="19"/>
    <x v="35"/>
    <s v="19BA13.00"/>
    <x v="4"/>
    <x v="1"/>
    <m/>
    <m/>
    <m/>
  </r>
  <r>
    <s v="YK263100827"/>
    <x v="3"/>
    <x v="3"/>
    <n v="1"/>
    <x v="4"/>
    <d v="2026-08-17T18:54:28"/>
    <x v="35"/>
    <x v="19"/>
    <x v="35"/>
    <s v="19BA13.00"/>
    <x v="4"/>
    <x v="1"/>
    <m/>
    <m/>
    <m/>
  </r>
  <r>
    <s v="YK263100828"/>
    <x v="0"/>
    <x v="0"/>
    <n v="1"/>
    <x v="1"/>
    <d v="2026-09-16T10:51:25"/>
    <x v="35"/>
    <x v="19"/>
    <x v="35"/>
    <s v="19BA13.00"/>
    <x v="4"/>
    <x v="1"/>
    <m/>
    <m/>
    <m/>
  </r>
  <r>
    <s v="YK263100829"/>
    <x v="0"/>
    <x v="0"/>
    <n v="1"/>
    <x v="1"/>
    <d v="2026-08-31T21:23:57"/>
    <x v="35"/>
    <x v="19"/>
    <x v="35"/>
    <s v="19BA13.00"/>
    <x v="4"/>
    <x v="1"/>
    <m/>
    <m/>
    <m/>
  </r>
  <r>
    <s v="YK263100830"/>
    <x v="0"/>
    <x v="0"/>
    <n v="1"/>
    <x v="1"/>
    <d v="2026-08-14T10:46:17"/>
    <x v="35"/>
    <x v="19"/>
    <x v="35"/>
    <s v="19BA13.00"/>
    <x v="4"/>
    <x v="1"/>
    <m/>
    <m/>
    <m/>
  </r>
  <r>
    <s v="YK263100831"/>
    <x v="3"/>
    <x v="3"/>
    <n v="1"/>
    <x v="4"/>
    <d v="2026-08-21T12:13:14"/>
    <x v="35"/>
    <x v="19"/>
    <x v="35"/>
    <s v="19BA13.00"/>
    <x v="4"/>
    <x v="1"/>
    <m/>
    <m/>
    <m/>
  </r>
  <r>
    <s v="YK263100832"/>
    <x v="0"/>
    <x v="0"/>
    <n v="1"/>
    <x v="1"/>
    <d v="2026-08-31T21:23:57"/>
    <x v="35"/>
    <x v="19"/>
    <x v="35"/>
    <s v="19BA13.00"/>
    <x v="4"/>
    <x v="1"/>
    <m/>
    <m/>
    <m/>
  </r>
  <r>
    <s v="YK263100833"/>
    <x v="3"/>
    <x v="3"/>
    <n v="1"/>
    <x v="4"/>
    <d v="2026-08-21T11:32:05"/>
    <x v="35"/>
    <x v="19"/>
    <x v="35"/>
    <s v="19BA13.00"/>
    <x v="4"/>
    <x v="1"/>
    <m/>
    <m/>
    <m/>
  </r>
  <r>
    <s v="YK263100834"/>
    <x v="0"/>
    <x v="0"/>
    <n v="1"/>
    <x v="1"/>
    <d v="2026-09-01T13:44:27"/>
    <x v="35"/>
    <x v="19"/>
    <x v="35"/>
    <s v="19BA13.00"/>
    <x v="4"/>
    <x v="1"/>
    <m/>
    <m/>
    <m/>
  </r>
  <r>
    <s v="YK263100835"/>
    <x v="3"/>
    <x v="3"/>
    <n v="1"/>
    <x v="4"/>
    <d v="2026-08-13T10:39:17"/>
    <x v="35"/>
    <x v="19"/>
    <x v="35"/>
    <s v="19BA13.00"/>
    <x v="4"/>
    <x v="1"/>
    <m/>
    <m/>
    <m/>
  </r>
  <r>
    <s v="YK263100836"/>
    <x v="3"/>
    <x v="3"/>
    <n v="1"/>
    <x v="4"/>
    <d v="2026-08-21T11:37:50"/>
    <x v="35"/>
    <x v="19"/>
    <x v="35"/>
    <s v="19BA13.00"/>
    <x v="4"/>
    <x v="1"/>
    <m/>
    <m/>
    <m/>
  </r>
  <r>
    <s v="YK263100837"/>
    <x v="0"/>
    <x v="0"/>
    <n v="1"/>
    <x v="1"/>
    <d v="2026-08-31T10:27:53"/>
    <x v="35"/>
    <x v="19"/>
    <x v="35"/>
    <s v="19BA13.00"/>
    <x v="4"/>
    <x v="1"/>
    <m/>
    <m/>
    <m/>
  </r>
  <r>
    <s v="YK263100838"/>
    <x v="0"/>
    <x v="0"/>
    <n v="1"/>
    <x v="1"/>
    <d v="2026-08-31T10:33:19"/>
    <x v="35"/>
    <x v="19"/>
    <x v="35"/>
    <s v="19BA13.00"/>
    <x v="4"/>
    <x v="1"/>
    <m/>
    <m/>
    <m/>
  </r>
  <r>
    <s v="YK263100839"/>
    <x v="3"/>
    <x v="3"/>
    <n v="1"/>
    <x v="4"/>
    <d v="2026-08-20T08:33:22"/>
    <x v="35"/>
    <x v="19"/>
    <x v="35"/>
    <s v="19BA13.00"/>
    <x v="4"/>
    <x v="1"/>
    <m/>
    <m/>
    <m/>
  </r>
  <r>
    <s v="YK263100840"/>
    <x v="3"/>
    <x v="3"/>
    <n v="1"/>
    <x v="4"/>
    <d v="2026-08-11T13:16:49"/>
    <x v="35"/>
    <x v="19"/>
    <x v="35"/>
    <s v="19BA13.00"/>
    <x v="4"/>
    <x v="1"/>
    <m/>
    <m/>
    <m/>
  </r>
  <r>
    <s v="YK263100841"/>
    <x v="0"/>
    <x v="0"/>
    <n v="1"/>
    <x v="1"/>
    <d v="2026-08-14T10:46:33"/>
    <x v="35"/>
    <x v="19"/>
    <x v="35"/>
    <s v="19BA13.00"/>
    <x v="4"/>
    <x v="1"/>
    <m/>
    <m/>
    <m/>
  </r>
  <r>
    <s v="YK263100842"/>
    <x v="3"/>
    <x v="3"/>
    <n v="1"/>
    <x v="4"/>
    <d v="2026-08-14T11:02:34"/>
    <x v="35"/>
    <x v="19"/>
    <x v="35"/>
    <s v="19BA13.00"/>
    <x v="4"/>
    <x v="1"/>
    <m/>
    <m/>
    <m/>
  </r>
  <r>
    <s v="YK263100843"/>
    <x v="3"/>
    <x v="3"/>
    <n v="1"/>
    <x v="4"/>
    <d v="2026-08-13T10:52:54"/>
    <x v="35"/>
    <x v="19"/>
    <x v="35"/>
    <s v="19BA13.00"/>
    <x v="4"/>
    <x v="1"/>
    <m/>
    <m/>
    <m/>
  </r>
  <r>
    <s v="YK263100844"/>
    <x v="9"/>
    <x v="9"/>
    <n v="1"/>
    <x v="3"/>
    <d v="2026-08-01T12:59:32"/>
    <x v="35"/>
    <x v="19"/>
    <x v="35"/>
    <s v="19BA13.00"/>
    <x v="4"/>
    <x v="1"/>
    <m/>
    <m/>
    <m/>
  </r>
  <r>
    <s v="YK263100845"/>
    <x v="0"/>
    <x v="0"/>
    <n v="1"/>
    <x v="1"/>
    <d v="2026-09-02T09:46:15"/>
    <x v="35"/>
    <x v="19"/>
    <x v="35"/>
    <s v="19BA13.00"/>
    <x v="4"/>
    <x v="1"/>
    <m/>
    <m/>
    <m/>
  </r>
  <r>
    <s v="YK263100846"/>
    <x v="0"/>
    <x v="0"/>
    <n v="1"/>
    <x v="1"/>
    <d v="2026-09-14T06:20:44"/>
    <x v="35"/>
    <x v="19"/>
    <x v="35"/>
    <s v="19BA13.00"/>
    <x v="4"/>
    <x v="1"/>
    <m/>
    <m/>
    <m/>
  </r>
  <r>
    <s v="YK263100847"/>
    <x v="0"/>
    <x v="0"/>
    <n v="1"/>
    <x v="1"/>
    <d v="2026-08-14T15:54:47"/>
    <x v="35"/>
    <x v="19"/>
    <x v="35"/>
    <s v="19BA13.00"/>
    <x v="4"/>
    <x v="1"/>
    <m/>
    <m/>
    <m/>
  </r>
  <r>
    <s v="YK263100848"/>
    <x v="3"/>
    <x v="3"/>
    <n v="1"/>
    <x v="4"/>
    <d v="2026-08-24T11:28:40"/>
    <x v="35"/>
    <x v="19"/>
    <x v="35"/>
    <s v="19BA13.00"/>
    <x v="4"/>
    <x v="1"/>
    <m/>
    <m/>
    <m/>
  </r>
  <r>
    <s v="YK263100849"/>
    <x v="0"/>
    <x v="0"/>
    <n v="1"/>
    <x v="1"/>
    <d v="2026-09-01T08:29:15"/>
    <x v="35"/>
    <x v="19"/>
    <x v="35"/>
    <s v="19BA13.00"/>
    <x v="4"/>
    <x v="1"/>
    <m/>
    <m/>
    <m/>
  </r>
  <r>
    <s v="YK263100850"/>
    <x v="0"/>
    <x v="0"/>
    <n v="1"/>
    <x v="1"/>
    <d v="2026-08-14T15:54:26"/>
    <x v="35"/>
    <x v="19"/>
    <x v="35"/>
    <s v="19BA13.00"/>
    <x v="4"/>
    <x v="1"/>
    <m/>
    <m/>
    <m/>
  </r>
  <r>
    <s v="YK263100851"/>
    <x v="0"/>
    <x v="0"/>
    <n v="1"/>
    <x v="1"/>
    <d v="2026-08-14T10:47:28"/>
    <x v="35"/>
    <x v="19"/>
    <x v="35"/>
    <s v="19BA13.00"/>
    <x v="4"/>
    <x v="1"/>
    <m/>
    <m/>
    <m/>
  </r>
  <r>
    <s v="YK263100852"/>
    <x v="3"/>
    <x v="3"/>
    <n v="1"/>
    <x v="4"/>
    <d v="2026-08-12T20:41:20"/>
    <x v="35"/>
    <x v="19"/>
    <x v="35"/>
    <s v="19BA13.00"/>
    <x v="4"/>
    <x v="1"/>
    <m/>
    <m/>
    <m/>
  </r>
  <r>
    <s v="YK263100853"/>
    <x v="3"/>
    <x v="3"/>
    <n v="1"/>
    <x v="4"/>
    <d v="2026-08-24T11:04:35"/>
    <x v="35"/>
    <x v="19"/>
    <x v="35"/>
    <s v="19BA13.00"/>
    <x v="4"/>
    <x v="1"/>
    <m/>
    <m/>
    <m/>
  </r>
  <r>
    <s v="YK263100854"/>
    <x v="3"/>
    <x v="3"/>
    <n v="1"/>
    <x v="4"/>
    <d v="2026-08-20T08:26:49"/>
    <x v="35"/>
    <x v="19"/>
    <x v="35"/>
    <s v="19BA13.00"/>
    <x v="4"/>
    <x v="1"/>
    <m/>
    <m/>
    <m/>
  </r>
  <r>
    <s v="YK263100855"/>
    <x v="3"/>
    <x v="3"/>
    <n v="1"/>
    <x v="4"/>
    <d v="2026-08-17T19:13:15"/>
    <x v="35"/>
    <x v="19"/>
    <x v="35"/>
    <s v="19BA13.00"/>
    <x v="4"/>
    <x v="1"/>
    <m/>
    <m/>
    <m/>
  </r>
  <r>
    <s v="YK263100856"/>
    <x v="3"/>
    <x v="3"/>
    <n v="1"/>
    <x v="4"/>
    <d v="2026-08-19T10:54:13"/>
    <x v="35"/>
    <x v="19"/>
    <x v="35"/>
    <s v="19BA13.00"/>
    <x v="4"/>
    <x v="1"/>
    <m/>
    <m/>
    <m/>
  </r>
  <r>
    <s v="YK263100857"/>
    <x v="0"/>
    <x v="0"/>
    <n v="1"/>
    <x v="1"/>
    <d v="2026-09-14T06:08:39"/>
    <x v="35"/>
    <x v="19"/>
    <x v="35"/>
    <s v="19BA13.00"/>
    <x v="4"/>
    <x v="1"/>
    <m/>
    <m/>
    <m/>
  </r>
  <r>
    <s v="YK263100858"/>
    <x v="3"/>
    <x v="3"/>
    <n v="1"/>
    <x v="4"/>
    <d v="2026-08-11T07:04:25"/>
    <x v="35"/>
    <x v="19"/>
    <x v="35"/>
    <s v="19BA13.00"/>
    <x v="4"/>
    <x v="1"/>
    <m/>
    <m/>
    <m/>
  </r>
  <r>
    <s v="YK263100859"/>
    <x v="3"/>
    <x v="3"/>
    <n v="1"/>
    <x v="4"/>
    <d v="2026-08-24T10:53:20"/>
    <x v="35"/>
    <x v="19"/>
    <x v="35"/>
    <s v="19BA13.00"/>
    <x v="4"/>
    <x v="1"/>
    <m/>
    <m/>
    <m/>
  </r>
  <r>
    <s v="YK263100860"/>
    <x v="3"/>
    <x v="3"/>
    <n v="1"/>
    <x v="4"/>
    <d v="2026-08-24T11:23:38"/>
    <x v="35"/>
    <x v="19"/>
    <x v="35"/>
    <s v="19BA13.00"/>
    <x v="4"/>
    <x v="1"/>
    <m/>
    <m/>
    <m/>
  </r>
  <r>
    <s v="YK263100861"/>
    <x v="0"/>
    <x v="0"/>
    <n v="1"/>
    <x v="1"/>
    <d v="2026-08-31T15:33:50"/>
    <x v="35"/>
    <x v="19"/>
    <x v="35"/>
    <s v="19BA13.00"/>
    <x v="4"/>
    <x v="1"/>
    <m/>
    <m/>
    <m/>
  </r>
  <r>
    <s v="YK263100862"/>
    <x v="3"/>
    <x v="3"/>
    <n v="1"/>
    <x v="4"/>
    <d v="2026-08-12T11:33:11"/>
    <x v="35"/>
    <x v="19"/>
    <x v="35"/>
    <s v="19BA13.00"/>
    <x v="4"/>
    <x v="1"/>
    <m/>
    <m/>
    <m/>
  </r>
  <r>
    <s v="YK263100863"/>
    <x v="0"/>
    <x v="0"/>
    <n v="1"/>
    <x v="1"/>
    <d v="2026-09-14T06:09:19"/>
    <x v="35"/>
    <x v="19"/>
    <x v="35"/>
    <s v="19BA13.00"/>
    <x v="4"/>
    <x v="1"/>
    <m/>
    <m/>
    <m/>
  </r>
  <r>
    <s v="YK263100864"/>
    <x v="3"/>
    <x v="3"/>
    <n v="1"/>
    <x v="4"/>
    <d v="2026-08-12T20:36:32"/>
    <x v="35"/>
    <x v="19"/>
    <x v="35"/>
    <s v="19BA13.00"/>
    <x v="4"/>
    <x v="1"/>
    <m/>
    <m/>
    <m/>
  </r>
  <r>
    <s v="YK263100865"/>
    <x v="3"/>
    <x v="3"/>
    <n v="1"/>
    <x v="4"/>
    <d v="2026-08-20T09:07:08"/>
    <x v="35"/>
    <x v="19"/>
    <x v="35"/>
    <s v="19BA13.00"/>
    <x v="4"/>
    <x v="1"/>
    <m/>
    <m/>
    <m/>
  </r>
  <r>
    <s v="YK263100866"/>
    <x v="0"/>
    <x v="0"/>
    <n v="1"/>
    <x v="1"/>
    <d v="2026-09-14T06:19:47"/>
    <x v="35"/>
    <x v="19"/>
    <x v="35"/>
    <s v="19BA13.00"/>
    <x v="4"/>
    <x v="1"/>
    <m/>
    <m/>
    <m/>
  </r>
  <r>
    <s v="YK263100867"/>
    <x v="0"/>
    <x v="0"/>
    <n v="1"/>
    <x v="1"/>
    <d v="2026-08-31T10:27:43"/>
    <x v="35"/>
    <x v="19"/>
    <x v="35"/>
    <s v="19BA13.00"/>
    <x v="4"/>
    <x v="1"/>
    <m/>
    <m/>
    <m/>
  </r>
  <r>
    <s v="YK263100868"/>
    <x v="3"/>
    <x v="3"/>
    <n v="1"/>
    <x v="4"/>
    <d v="2026-08-17T19:05:22"/>
    <x v="35"/>
    <x v="19"/>
    <x v="35"/>
    <s v="19BA13.00"/>
    <x v="4"/>
    <x v="1"/>
    <m/>
    <m/>
    <m/>
  </r>
  <r>
    <s v="YK263100869"/>
    <x v="0"/>
    <x v="0"/>
    <n v="1"/>
    <x v="1"/>
    <d v="2026-09-01T08:30:17"/>
    <x v="35"/>
    <x v="19"/>
    <x v="35"/>
    <s v="19BA13.00"/>
    <x v="4"/>
    <x v="1"/>
    <m/>
    <m/>
    <m/>
  </r>
  <r>
    <s v="YK263100870"/>
    <x v="0"/>
    <x v="0"/>
    <n v="1"/>
    <x v="1"/>
    <d v="2026-09-15T11:55:48"/>
    <x v="35"/>
    <x v="19"/>
    <x v="35"/>
    <s v="19BA13.00"/>
    <x v="4"/>
    <x v="1"/>
    <m/>
    <m/>
    <m/>
  </r>
  <r>
    <s v="YK263100871"/>
    <x v="3"/>
    <x v="3"/>
    <n v="1"/>
    <x v="4"/>
    <d v="2026-08-12T11:26:59"/>
    <x v="35"/>
    <x v="19"/>
    <x v="35"/>
    <s v="19BA13.00"/>
    <x v="4"/>
    <x v="1"/>
    <m/>
    <m/>
    <m/>
  </r>
  <r>
    <s v="YK263100872"/>
    <x v="3"/>
    <x v="3"/>
    <n v="1"/>
    <x v="4"/>
    <d v="2026-08-20T11:46:19"/>
    <x v="35"/>
    <x v="19"/>
    <x v="35"/>
    <s v="19BA13.00"/>
    <x v="4"/>
    <x v="1"/>
    <m/>
    <m/>
    <m/>
  </r>
  <r>
    <s v="YK263100873"/>
    <x v="3"/>
    <x v="3"/>
    <n v="1"/>
    <x v="4"/>
    <d v="2026-08-20T08:47:05"/>
    <x v="35"/>
    <x v="19"/>
    <x v="35"/>
    <s v="19BA13.00"/>
    <x v="4"/>
    <x v="1"/>
    <m/>
    <m/>
    <m/>
  </r>
  <r>
    <s v="YK263100874"/>
    <x v="3"/>
    <x v="3"/>
    <n v="1"/>
    <x v="4"/>
    <d v="2026-08-12T11:16:20"/>
    <x v="35"/>
    <x v="19"/>
    <x v="35"/>
    <s v="19BA13.00"/>
    <x v="4"/>
    <x v="1"/>
    <m/>
    <m/>
    <m/>
  </r>
  <r>
    <s v="YK263100875"/>
    <x v="0"/>
    <x v="0"/>
    <n v="1"/>
    <x v="1"/>
    <d v="2026-09-14T06:08:37"/>
    <x v="35"/>
    <x v="19"/>
    <x v="35"/>
    <s v="19BA13.00"/>
    <x v="4"/>
    <x v="1"/>
    <m/>
    <m/>
    <m/>
  </r>
  <r>
    <s v="YK263100876"/>
    <x v="0"/>
    <x v="0"/>
    <n v="1"/>
    <x v="1"/>
    <d v="2026-09-16T10:48:38"/>
    <x v="35"/>
    <x v="19"/>
    <x v="35"/>
    <s v="19BA13.00"/>
    <x v="4"/>
    <x v="1"/>
    <m/>
    <m/>
    <m/>
  </r>
  <r>
    <s v="YK263100877"/>
    <x v="3"/>
    <x v="3"/>
    <n v="1"/>
    <x v="4"/>
    <d v="2026-08-11T06:45:38"/>
    <x v="35"/>
    <x v="19"/>
    <x v="35"/>
    <s v="19BA13.00"/>
    <x v="4"/>
    <x v="1"/>
    <m/>
    <m/>
    <m/>
  </r>
  <r>
    <s v="YK263100878"/>
    <x v="3"/>
    <x v="3"/>
    <n v="1"/>
    <x v="4"/>
    <d v="2026-08-12T10:59:03"/>
    <x v="35"/>
    <x v="19"/>
    <x v="35"/>
    <s v="19BA13.00"/>
    <x v="4"/>
    <x v="1"/>
    <m/>
    <m/>
    <m/>
  </r>
  <r>
    <s v="YK263100879"/>
    <x v="3"/>
    <x v="3"/>
    <n v="1"/>
    <x v="4"/>
    <d v="2026-08-20T08:53:12"/>
    <x v="35"/>
    <x v="19"/>
    <x v="35"/>
    <s v="19BA13.00"/>
    <x v="4"/>
    <x v="1"/>
    <m/>
    <m/>
    <m/>
  </r>
  <r>
    <s v="YK263100880"/>
    <x v="0"/>
    <x v="0"/>
    <n v="1"/>
    <x v="1"/>
    <d v="2026-09-14T10:52:23"/>
    <x v="35"/>
    <x v="19"/>
    <x v="35"/>
    <s v="19BA13.00"/>
    <x v="4"/>
    <x v="1"/>
    <m/>
    <m/>
    <m/>
  </r>
  <r>
    <s v="YK263100881"/>
    <x v="0"/>
    <x v="0"/>
    <n v="1"/>
    <x v="1"/>
    <d v="2026-08-14T15:55:50"/>
    <x v="35"/>
    <x v="19"/>
    <x v="35"/>
    <s v="19BA13.00"/>
    <x v="4"/>
    <x v="1"/>
    <m/>
    <m/>
    <m/>
  </r>
  <r>
    <s v="YK263100882"/>
    <x v="0"/>
    <x v="0"/>
    <n v="1"/>
    <x v="1"/>
    <d v="2026-08-31T10:34:02"/>
    <x v="35"/>
    <x v="19"/>
    <x v="35"/>
    <s v="19BA13.00"/>
    <x v="4"/>
    <x v="1"/>
    <m/>
    <m/>
    <m/>
  </r>
  <r>
    <s v="YK263100883"/>
    <x v="3"/>
    <x v="3"/>
    <n v="1"/>
    <x v="4"/>
    <d v="2026-08-12T11:21:40"/>
    <x v="35"/>
    <x v="19"/>
    <x v="35"/>
    <s v="19BA13.00"/>
    <x v="4"/>
    <x v="1"/>
    <m/>
    <m/>
    <m/>
  </r>
  <r>
    <s v="YK263100884"/>
    <x v="0"/>
    <x v="0"/>
    <n v="1"/>
    <x v="1"/>
    <d v="2026-09-01T08:29:31"/>
    <x v="35"/>
    <x v="19"/>
    <x v="35"/>
    <s v="19BA13.00"/>
    <x v="4"/>
    <x v="1"/>
    <m/>
    <m/>
    <m/>
  </r>
  <r>
    <s v="YK263100885"/>
    <x v="3"/>
    <x v="3"/>
    <n v="1"/>
    <x v="4"/>
    <d v="2026-08-14T11:25:43"/>
    <x v="35"/>
    <x v="19"/>
    <x v="35"/>
    <s v="19BA13.00"/>
    <x v="4"/>
    <x v="1"/>
    <m/>
    <m/>
    <m/>
  </r>
  <r>
    <s v="YK263100886"/>
    <x v="0"/>
    <x v="0"/>
    <n v="1"/>
    <x v="1"/>
    <d v="2026-09-01T13:45:41"/>
    <x v="35"/>
    <x v="19"/>
    <x v="35"/>
    <s v="19BA13.00"/>
    <x v="4"/>
    <x v="1"/>
    <m/>
    <m/>
    <m/>
  </r>
  <r>
    <s v="YK263100887"/>
    <x v="0"/>
    <x v="0"/>
    <n v="1"/>
    <x v="1"/>
    <d v="2026-09-02T09:48:18"/>
    <x v="35"/>
    <x v="19"/>
    <x v="35"/>
    <s v="19BA13.00"/>
    <x v="4"/>
    <x v="1"/>
    <m/>
    <m/>
    <m/>
  </r>
  <r>
    <s v="YK263100888"/>
    <x v="3"/>
    <x v="3"/>
    <n v="1"/>
    <x v="4"/>
    <d v="2026-08-11T07:24:24"/>
    <x v="35"/>
    <x v="19"/>
    <x v="35"/>
    <s v="19BA13.00"/>
    <x v="4"/>
    <x v="1"/>
    <m/>
    <m/>
    <m/>
  </r>
  <r>
    <s v="YK263100889"/>
    <x v="3"/>
    <x v="3"/>
    <n v="1"/>
    <x v="4"/>
    <d v="2026-08-11T13:22:39"/>
    <x v="35"/>
    <x v="19"/>
    <x v="35"/>
    <s v="19BA13.00"/>
    <x v="4"/>
    <x v="1"/>
    <m/>
    <m/>
    <m/>
  </r>
  <r>
    <s v="YK263100890"/>
    <x v="0"/>
    <x v="0"/>
    <n v="1"/>
    <x v="1"/>
    <d v="2026-09-01T17:45:16"/>
    <x v="35"/>
    <x v="19"/>
    <x v="35"/>
    <s v="19BA13.00"/>
    <x v="4"/>
    <x v="1"/>
    <m/>
    <m/>
    <m/>
  </r>
  <r>
    <s v="YK263100891"/>
    <x v="0"/>
    <x v="0"/>
    <n v="1"/>
    <x v="1"/>
    <d v="2026-09-14T10:48:57"/>
    <x v="35"/>
    <x v="19"/>
    <x v="35"/>
    <s v="19BA13.00"/>
    <x v="4"/>
    <x v="1"/>
    <m/>
    <m/>
    <m/>
  </r>
  <r>
    <s v="YK263100892"/>
    <x v="0"/>
    <x v="0"/>
    <n v="1"/>
    <x v="1"/>
    <d v="2026-09-01T17:45:23"/>
    <x v="35"/>
    <x v="19"/>
    <x v="35"/>
    <s v="19BA13.00"/>
    <x v="4"/>
    <x v="1"/>
    <m/>
    <m/>
    <m/>
  </r>
  <r>
    <s v="YK263100893"/>
    <x v="0"/>
    <x v="0"/>
    <n v="1"/>
    <x v="1"/>
    <d v="2026-08-31T15:33:36"/>
    <x v="35"/>
    <x v="19"/>
    <x v="35"/>
    <s v="19BA13.00"/>
    <x v="4"/>
    <x v="1"/>
    <m/>
    <m/>
    <m/>
  </r>
  <r>
    <s v="YK263100894"/>
    <x v="3"/>
    <x v="3"/>
    <n v="1"/>
    <x v="4"/>
    <d v="2026-08-11T07:15:19"/>
    <x v="35"/>
    <x v="19"/>
    <x v="35"/>
    <s v="19BA13.00"/>
    <x v="4"/>
    <x v="1"/>
    <m/>
    <m/>
    <m/>
  </r>
  <r>
    <s v="YK263100895"/>
    <x v="3"/>
    <x v="3"/>
    <n v="1"/>
    <x v="4"/>
    <d v="2026-08-11T07:10:15"/>
    <x v="35"/>
    <x v="19"/>
    <x v="35"/>
    <s v="19BA13.00"/>
    <x v="4"/>
    <x v="1"/>
    <m/>
    <m/>
    <m/>
  </r>
  <r>
    <s v="YK263100896"/>
    <x v="0"/>
    <x v="0"/>
    <n v="1"/>
    <x v="1"/>
    <d v="2026-09-14T11:13:39"/>
    <x v="35"/>
    <x v="19"/>
    <x v="35"/>
    <s v="19BA13.00"/>
    <x v="4"/>
    <x v="1"/>
    <m/>
    <m/>
    <m/>
  </r>
  <r>
    <s v="YK263100897"/>
    <x v="3"/>
    <x v="3"/>
    <n v="1"/>
    <x v="4"/>
    <d v="2026-08-11T19:10:06"/>
    <x v="35"/>
    <x v="19"/>
    <x v="35"/>
    <s v="19BA13.00"/>
    <x v="4"/>
    <x v="1"/>
    <m/>
    <m/>
    <m/>
  </r>
  <r>
    <s v="YK263100898"/>
    <x v="0"/>
    <x v="0"/>
    <n v="1"/>
    <x v="1"/>
    <d v="2026-09-02T13:40:38"/>
    <x v="35"/>
    <x v="19"/>
    <x v="35"/>
    <s v="19BA13.00"/>
    <x v="4"/>
    <x v="1"/>
    <m/>
    <m/>
    <m/>
  </r>
  <r>
    <s v="YK263100899"/>
    <x v="0"/>
    <x v="0"/>
    <n v="1"/>
    <x v="1"/>
    <d v="2026-09-02T13:42:50"/>
    <x v="35"/>
    <x v="19"/>
    <x v="35"/>
    <s v="19BA13.00"/>
    <x v="4"/>
    <x v="1"/>
    <m/>
    <m/>
    <m/>
  </r>
  <r>
    <s v="YK263100900"/>
    <x v="3"/>
    <x v="3"/>
    <n v="1"/>
    <x v="4"/>
    <d v="2026-08-11T19:31:30"/>
    <x v="35"/>
    <x v="19"/>
    <x v="35"/>
    <s v="19BA13.00"/>
    <x v="4"/>
    <x v="1"/>
    <m/>
    <m/>
    <m/>
  </r>
  <r>
    <s v="YK263100901"/>
    <x v="3"/>
    <x v="3"/>
    <n v="1"/>
    <x v="4"/>
    <d v="2026-08-11T19:05:04"/>
    <x v="35"/>
    <x v="19"/>
    <x v="35"/>
    <s v="19BA13.00"/>
    <x v="4"/>
    <x v="1"/>
    <m/>
    <m/>
    <m/>
  </r>
  <r>
    <s v="YK263100902"/>
    <x v="7"/>
    <x v="7"/>
    <n v="1"/>
    <x v="3"/>
    <d v="2026-08-28T07:50:13"/>
    <x v="35"/>
    <x v="19"/>
    <x v="35"/>
    <s v="19BA13.00"/>
    <x v="4"/>
    <x v="1"/>
    <m/>
    <m/>
    <m/>
  </r>
  <r>
    <s v="YK263100903"/>
    <x v="0"/>
    <x v="0"/>
    <n v="1"/>
    <x v="1"/>
    <d v="2026-09-11T12:22:46"/>
    <x v="35"/>
    <x v="19"/>
    <x v="35"/>
    <s v="19BA13.00"/>
    <x v="4"/>
    <x v="1"/>
    <m/>
    <m/>
    <m/>
  </r>
  <r>
    <s v="YK263100904"/>
    <x v="3"/>
    <x v="3"/>
    <n v="1"/>
    <x v="4"/>
    <d v="2026-08-11T19:15:18"/>
    <x v="35"/>
    <x v="19"/>
    <x v="35"/>
    <s v="19BA13.00"/>
    <x v="4"/>
    <x v="1"/>
    <m/>
    <m/>
    <m/>
  </r>
  <r>
    <s v="YK263100905"/>
    <x v="0"/>
    <x v="0"/>
    <n v="1"/>
    <x v="1"/>
    <d v="2026-08-31T21:21:33"/>
    <x v="35"/>
    <x v="19"/>
    <x v="35"/>
    <s v="19BA13.00"/>
    <x v="4"/>
    <x v="1"/>
    <m/>
    <m/>
    <m/>
  </r>
  <r>
    <s v="YK263100906"/>
    <x v="0"/>
    <x v="0"/>
    <n v="1"/>
    <x v="1"/>
    <d v="2026-08-31T10:26:56"/>
    <x v="35"/>
    <x v="19"/>
    <x v="35"/>
    <s v="19BA13.00"/>
    <x v="4"/>
    <x v="1"/>
    <m/>
    <m/>
    <m/>
  </r>
  <r>
    <s v="YK263100907"/>
    <x v="0"/>
    <x v="0"/>
    <n v="1"/>
    <x v="1"/>
    <d v="2026-09-15T11:56:44"/>
    <x v="35"/>
    <x v="19"/>
    <x v="35"/>
    <s v="19BA13.00"/>
    <x v="4"/>
    <x v="1"/>
    <m/>
    <m/>
    <m/>
  </r>
  <r>
    <s v="YK263100908"/>
    <x v="7"/>
    <x v="7"/>
    <n v="1"/>
    <x v="3"/>
    <d v="2026-08-28T08:21:06"/>
    <x v="35"/>
    <x v="19"/>
    <x v="35"/>
    <s v="19BA13.00"/>
    <x v="4"/>
    <x v="1"/>
    <m/>
    <m/>
    <m/>
  </r>
  <r>
    <s v="YK263100909"/>
    <x v="0"/>
    <x v="0"/>
    <n v="1"/>
    <x v="1"/>
    <d v="2026-09-02T13:42:14"/>
    <x v="35"/>
    <x v="19"/>
    <x v="35"/>
    <s v="19BA13.00"/>
    <x v="4"/>
    <x v="1"/>
    <m/>
    <m/>
    <m/>
  </r>
  <r>
    <s v="YK263100910"/>
    <x v="9"/>
    <x v="9"/>
    <n v="1"/>
    <x v="3"/>
    <d v="2026-08-15T11:49:49"/>
    <x v="35"/>
    <x v="19"/>
    <x v="35"/>
    <s v="19BA13.00"/>
    <x v="4"/>
    <x v="1"/>
    <m/>
    <m/>
    <m/>
  </r>
  <r>
    <s v="YK263100911"/>
    <x v="7"/>
    <x v="7"/>
    <n v="1"/>
    <x v="3"/>
    <d v="2026-08-28T07:50:57"/>
    <x v="35"/>
    <x v="19"/>
    <x v="35"/>
    <s v="19BA13.00"/>
    <x v="4"/>
    <x v="1"/>
    <m/>
    <m/>
    <m/>
  </r>
  <r>
    <s v="YK263100912"/>
    <x v="0"/>
    <x v="0"/>
    <n v="1"/>
    <x v="1"/>
    <d v="2026-09-11T12:23:04"/>
    <x v="35"/>
    <x v="19"/>
    <x v="35"/>
    <s v="19BA13.00"/>
    <x v="4"/>
    <x v="1"/>
    <m/>
    <m/>
    <m/>
  </r>
  <r>
    <s v="YK263100913"/>
    <x v="3"/>
    <x v="3"/>
    <n v="1"/>
    <x v="4"/>
    <d v="2026-08-11T19:25:46"/>
    <x v="35"/>
    <x v="19"/>
    <x v="35"/>
    <s v="19BA13.00"/>
    <x v="4"/>
    <x v="1"/>
    <m/>
    <m/>
    <m/>
  </r>
  <r>
    <s v="YK263100914"/>
    <x v="3"/>
    <x v="3"/>
    <n v="1"/>
    <x v="4"/>
    <d v="2026-08-11T12:12:16"/>
    <x v="35"/>
    <x v="19"/>
    <x v="35"/>
    <s v="19BA13.00"/>
    <x v="4"/>
    <x v="1"/>
    <m/>
    <m/>
    <m/>
  </r>
  <r>
    <s v="YK263100915"/>
    <x v="3"/>
    <x v="3"/>
    <n v="1"/>
    <x v="4"/>
    <d v="2026-08-11T11:59:28"/>
    <x v="35"/>
    <x v="19"/>
    <x v="35"/>
    <s v="19BA13.00"/>
    <x v="4"/>
    <x v="1"/>
    <m/>
    <m/>
    <m/>
  </r>
  <r>
    <s v="YK263100916"/>
    <x v="3"/>
    <x v="3"/>
    <n v="1"/>
    <x v="4"/>
    <d v="2026-08-11T13:50:20"/>
    <x v="35"/>
    <x v="19"/>
    <x v="35"/>
    <s v="19BA13.00"/>
    <x v="4"/>
    <x v="1"/>
    <m/>
    <m/>
    <m/>
  </r>
  <r>
    <s v="YK263100917"/>
    <x v="3"/>
    <x v="3"/>
    <n v="1"/>
    <x v="4"/>
    <d v="2026-08-17T15:14:15"/>
    <x v="35"/>
    <x v="19"/>
    <x v="35"/>
    <s v="19BA13.00"/>
    <x v="4"/>
    <x v="1"/>
    <m/>
    <m/>
    <m/>
  </r>
  <r>
    <s v="YK263100918"/>
    <x v="3"/>
    <x v="3"/>
    <n v="1"/>
    <x v="4"/>
    <d v="2026-08-17T19:17:55"/>
    <x v="35"/>
    <x v="19"/>
    <x v="35"/>
    <s v="19BA13.00"/>
    <x v="4"/>
    <x v="1"/>
    <m/>
    <m/>
    <m/>
  </r>
  <r>
    <s v="YK263100919"/>
    <x v="0"/>
    <x v="0"/>
    <n v="1"/>
    <x v="1"/>
    <d v="2026-09-16T10:48:05"/>
    <x v="35"/>
    <x v="19"/>
    <x v="35"/>
    <s v="19BA13.00"/>
    <x v="4"/>
    <x v="1"/>
    <m/>
    <m/>
    <m/>
  </r>
  <r>
    <s v="YK263100920"/>
    <x v="3"/>
    <x v="3"/>
    <n v="1"/>
    <x v="4"/>
    <d v="2026-08-24T11:18:45"/>
    <x v="35"/>
    <x v="19"/>
    <x v="35"/>
    <s v="19BA13.00"/>
    <x v="4"/>
    <x v="1"/>
    <m/>
    <m/>
    <m/>
  </r>
  <r>
    <s v="YK263100921"/>
    <x v="7"/>
    <x v="7"/>
    <n v="1"/>
    <x v="3"/>
    <d v="2026-08-28T07:49:42"/>
    <x v="35"/>
    <x v="19"/>
    <x v="35"/>
    <s v="19BA13.00"/>
    <x v="4"/>
    <x v="1"/>
    <m/>
    <m/>
    <m/>
  </r>
  <r>
    <s v="YK263100922"/>
    <x v="7"/>
    <x v="7"/>
    <n v="1"/>
    <x v="3"/>
    <d v="2026-08-24T11:22:23"/>
    <x v="35"/>
    <x v="19"/>
    <x v="35"/>
    <s v="19BA13.00"/>
    <x v="4"/>
    <x v="1"/>
    <m/>
    <m/>
    <m/>
  </r>
  <r>
    <s v="YK263100923"/>
    <x v="3"/>
    <x v="3"/>
    <n v="1"/>
    <x v="4"/>
    <d v="2026-08-11T14:05:33"/>
    <x v="35"/>
    <x v="19"/>
    <x v="35"/>
    <s v="19BA13.00"/>
    <x v="4"/>
    <x v="1"/>
    <m/>
    <m/>
    <m/>
  </r>
  <r>
    <s v="YK263100924"/>
    <x v="7"/>
    <x v="7"/>
    <n v="1"/>
    <x v="3"/>
    <d v="2026-08-28T07:49:21"/>
    <x v="35"/>
    <x v="19"/>
    <x v="35"/>
    <s v="19BA13.00"/>
    <x v="4"/>
    <x v="1"/>
    <m/>
    <m/>
    <m/>
  </r>
  <r>
    <s v="YK263100925"/>
    <x v="3"/>
    <x v="3"/>
    <n v="1"/>
    <x v="4"/>
    <d v="2026-08-11T09:50:13"/>
    <x v="35"/>
    <x v="19"/>
    <x v="35"/>
    <s v="19BA13.00"/>
    <x v="4"/>
    <x v="1"/>
    <m/>
    <m/>
    <m/>
  </r>
  <r>
    <s v="YK263100926"/>
    <x v="3"/>
    <x v="3"/>
    <n v="1"/>
    <x v="4"/>
    <d v="2026-08-14T11:31:58"/>
    <x v="35"/>
    <x v="19"/>
    <x v="35"/>
    <s v="19BA13.00"/>
    <x v="4"/>
    <x v="1"/>
    <m/>
    <m/>
    <m/>
  </r>
  <r>
    <s v="YK263100927"/>
    <x v="3"/>
    <x v="3"/>
    <n v="1"/>
    <x v="4"/>
    <d v="2026-08-14T11:50:48"/>
    <x v="35"/>
    <x v="19"/>
    <x v="35"/>
    <s v="19BA13.00"/>
    <x v="4"/>
    <x v="1"/>
    <m/>
    <m/>
    <m/>
  </r>
  <r>
    <s v="YK263100928"/>
    <x v="3"/>
    <x v="3"/>
    <n v="1"/>
    <x v="4"/>
    <d v="2026-08-10T14:28:33"/>
    <x v="35"/>
    <x v="19"/>
    <x v="35"/>
    <s v="19BA13.00"/>
    <x v="4"/>
    <x v="1"/>
    <m/>
    <m/>
    <m/>
  </r>
  <r>
    <s v="YK263100929"/>
    <x v="3"/>
    <x v="3"/>
    <n v="1"/>
    <x v="4"/>
    <d v="2026-08-21T11:21:39"/>
    <x v="35"/>
    <x v="19"/>
    <x v="35"/>
    <s v="19BA13.00"/>
    <x v="4"/>
    <x v="1"/>
    <m/>
    <m/>
    <m/>
  </r>
  <r>
    <s v="YK263100930"/>
    <x v="3"/>
    <x v="3"/>
    <n v="1"/>
    <x v="4"/>
    <d v="2026-08-21T11:48:26"/>
    <x v="35"/>
    <x v="19"/>
    <x v="35"/>
    <s v="19BA13.00"/>
    <x v="4"/>
    <x v="1"/>
    <m/>
    <m/>
    <m/>
  </r>
  <r>
    <s v="YK263100931"/>
    <x v="7"/>
    <x v="7"/>
    <n v="1"/>
    <x v="3"/>
    <d v="2026-08-28T07:50:08"/>
    <x v="35"/>
    <x v="19"/>
    <x v="35"/>
    <s v="19BA13.00"/>
    <x v="4"/>
    <x v="1"/>
    <m/>
    <m/>
    <m/>
  </r>
  <r>
    <s v="YK263100932"/>
    <x v="3"/>
    <x v="3"/>
    <n v="1"/>
    <x v="4"/>
    <d v="2026-08-21T12:07:47"/>
    <x v="35"/>
    <x v="19"/>
    <x v="35"/>
    <s v="19BA13.00"/>
    <x v="4"/>
    <x v="1"/>
    <m/>
    <m/>
    <m/>
  </r>
  <r>
    <s v="YK263100933"/>
    <x v="7"/>
    <x v="7"/>
    <n v="1"/>
    <x v="3"/>
    <d v="2026-08-28T07:47:43"/>
    <x v="35"/>
    <x v="19"/>
    <x v="35"/>
    <s v="19BA13.00"/>
    <x v="4"/>
    <x v="1"/>
    <m/>
    <m/>
    <m/>
  </r>
  <r>
    <s v="YK263100934"/>
    <x v="3"/>
    <x v="3"/>
    <n v="1"/>
    <x v="4"/>
    <d v="2026-08-11T06:34:22"/>
    <x v="35"/>
    <x v="19"/>
    <x v="35"/>
    <s v="19BA13.00"/>
    <x v="4"/>
    <x v="1"/>
    <m/>
    <m/>
    <m/>
  </r>
  <r>
    <s v="YK263100935"/>
    <x v="9"/>
    <x v="9"/>
    <n v="1"/>
    <x v="3"/>
    <d v="2026-08-15T11:49:18"/>
    <x v="35"/>
    <x v="19"/>
    <x v="35"/>
    <s v="19BA13.00"/>
    <x v="4"/>
    <x v="1"/>
    <m/>
    <m/>
    <m/>
  </r>
  <r>
    <s v="YK263100936"/>
    <x v="3"/>
    <x v="3"/>
    <n v="1"/>
    <x v="4"/>
    <d v="2026-08-12T20:46:07"/>
    <x v="35"/>
    <x v="19"/>
    <x v="35"/>
    <s v="19BA13.00"/>
    <x v="4"/>
    <x v="1"/>
    <m/>
    <m/>
    <m/>
  </r>
  <r>
    <s v="YK263100937"/>
    <x v="0"/>
    <x v="0"/>
    <n v="1"/>
    <x v="1"/>
    <d v="2026-09-01T13:45:28"/>
    <x v="35"/>
    <x v="19"/>
    <x v="35"/>
    <s v="19BA13.00"/>
    <x v="4"/>
    <x v="1"/>
    <m/>
    <m/>
    <m/>
  </r>
  <r>
    <s v="YK263100938"/>
    <x v="3"/>
    <x v="3"/>
    <n v="1"/>
    <x v="4"/>
    <d v="2026-08-12T10:35:20"/>
    <x v="35"/>
    <x v="19"/>
    <x v="35"/>
    <s v="19BA13.00"/>
    <x v="4"/>
    <x v="1"/>
    <m/>
    <m/>
    <m/>
  </r>
  <r>
    <s v="YK263100939"/>
    <x v="3"/>
    <x v="3"/>
    <n v="1"/>
    <x v="4"/>
    <d v="2026-08-11T19:20:16"/>
    <x v="35"/>
    <x v="19"/>
    <x v="35"/>
    <s v="19BA13.00"/>
    <x v="4"/>
    <x v="1"/>
    <m/>
    <m/>
    <m/>
  </r>
  <r>
    <s v="YK263100940"/>
    <x v="0"/>
    <x v="0"/>
    <n v="1"/>
    <x v="1"/>
    <d v="2026-09-14T11:16:47"/>
    <x v="35"/>
    <x v="19"/>
    <x v="35"/>
    <s v="19BA13.00"/>
    <x v="4"/>
    <x v="1"/>
    <m/>
    <m/>
    <m/>
  </r>
  <r>
    <s v="YK263100941"/>
    <x v="3"/>
    <x v="3"/>
    <n v="1"/>
    <x v="4"/>
    <d v="2026-08-12T11:48:45"/>
    <x v="35"/>
    <x v="19"/>
    <x v="35"/>
    <s v="19BA13.00"/>
    <x v="4"/>
    <x v="1"/>
    <m/>
    <m/>
    <m/>
  </r>
  <r>
    <s v="YK263100942"/>
    <x v="0"/>
    <x v="0"/>
    <n v="1"/>
    <x v="1"/>
    <d v="2026-09-01T17:45:06"/>
    <x v="35"/>
    <x v="19"/>
    <x v="35"/>
    <s v="19BA13.00"/>
    <x v="4"/>
    <x v="1"/>
    <m/>
    <m/>
    <m/>
  </r>
  <r>
    <s v="YK263100943"/>
    <x v="0"/>
    <x v="0"/>
    <n v="1"/>
    <x v="1"/>
    <d v="2026-08-31T10:35:39"/>
    <x v="35"/>
    <x v="19"/>
    <x v="35"/>
    <s v="19BA13.00"/>
    <x v="4"/>
    <x v="1"/>
    <m/>
    <m/>
    <m/>
  </r>
  <r>
    <s v="YK263100944"/>
    <x v="3"/>
    <x v="3"/>
    <n v="1"/>
    <x v="4"/>
    <d v="2026-08-14T11:44:50"/>
    <x v="35"/>
    <x v="19"/>
    <x v="35"/>
    <s v="19BA13.00"/>
    <x v="4"/>
    <x v="1"/>
    <m/>
    <m/>
    <m/>
  </r>
  <r>
    <s v="YK263100945"/>
    <x v="3"/>
    <x v="3"/>
    <n v="1"/>
    <x v="4"/>
    <d v="2026-08-11T06:24:10"/>
    <x v="35"/>
    <x v="19"/>
    <x v="35"/>
    <s v="19BA13.00"/>
    <x v="4"/>
    <x v="1"/>
    <m/>
    <m/>
    <m/>
  </r>
  <r>
    <s v="YK263100946"/>
    <x v="3"/>
    <x v="3"/>
    <n v="1"/>
    <x v="4"/>
    <d v="2026-08-19T08:50:27"/>
    <x v="35"/>
    <x v="19"/>
    <x v="35"/>
    <s v="19BA13.00"/>
    <x v="4"/>
    <x v="1"/>
    <m/>
    <m/>
    <m/>
  </r>
  <r>
    <s v="YK263100947"/>
    <x v="0"/>
    <x v="0"/>
    <n v="1"/>
    <x v="1"/>
    <d v="2026-09-16T10:50:58"/>
    <x v="35"/>
    <x v="19"/>
    <x v="35"/>
    <s v="19BA13.00"/>
    <x v="4"/>
    <x v="1"/>
    <m/>
    <m/>
    <m/>
  </r>
  <r>
    <s v="YK263100948"/>
    <x v="0"/>
    <x v="0"/>
    <n v="1"/>
    <x v="1"/>
    <d v="2026-09-14T06:09:14"/>
    <x v="35"/>
    <x v="19"/>
    <x v="35"/>
    <s v="19BA13.00"/>
    <x v="4"/>
    <x v="1"/>
    <m/>
    <m/>
    <m/>
  </r>
  <r>
    <s v="YK263100949"/>
    <x v="3"/>
    <x v="3"/>
    <n v="1"/>
    <x v="4"/>
    <d v="2026-08-12T10:30:21"/>
    <x v="35"/>
    <x v="19"/>
    <x v="35"/>
    <s v="19BA13.00"/>
    <x v="4"/>
    <x v="1"/>
    <m/>
    <m/>
    <m/>
  </r>
  <r>
    <s v="YK263100950"/>
    <x v="0"/>
    <x v="0"/>
    <n v="1"/>
    <x v="1"/>
    <d v="2026-09-11T12:24:29"/>
    <x v="35"/>
    <x v="19"/>
    <x v="35"/>
    <s v="19BA13.00"/>
    <x v="4"/>
    <x v="1"/>
    <m/>
    <m/>
    <m/>
  </r>
  <r>
    <s v="YK263100951"/>
    <x v="0"/>
    <x v="0"/>
    <n v="1"/>
    <x v="1"/>
    <d v="2026-09-14T19:12:59"/>
    <x v="35"/>
    <x v="19"/>
    <x v="35"/>
    <s v="19BA13.00"/>
    <x v="4"/>
    <x v="1"/>
    <m/>
    <m/>
    <m/>
  </r>
  <r>
    <s v="YK263100952"/>
    <x v="3"/>
    <x v="3"/>
    <n v="1"/>
    <x v="4"/>
    <d v="2026-08-17T19:23:29"/>
    <x v="35"/>
    <x v="19"/>
    <x v="35"/>
    <s v="19BA13.00"/>
    <x v="4"/>
    <x v="1"/>
    <m/>
    <m/>
    <m/>
  </r>
  <r>
    <s v="YK263100953"/>
    <x v="3"/>
    <x v="3"/>
    <n v="1"/>
    <x v="4"/>
    <d v="2026-08-11T13:37:08"/>
    <x v="35"/>
    <x v="19"/>
    <x v="35"/>
    <s v="19BA13.00"/>
    <x v="4"/>
    <x v="1"/>
    <m/>
    <m/>
    <m/>
  </r>
  <r>
    <s v="YK263100954"/>
    <x v="0"/>
    <x v="0"/>
    <n v="1"/>
    <x v="1"/>
    <d v="2026-09-14T11:17:21"/>
    <x v="35"/>
    <x v="19"/>
    <x v="35"/>
    <s v="19BA13.00"/>
    <x v="4"/>
    <x v="1"/>
    <m/>
    <m/>
    <m/>
  </r>
  <r>
    <s v="YK263100955"/>
    <x v="3"/>
    <x v="3"/>
    <n v="1"/>
    <x v="4"/>
    <d v="2026-08-11T13:42:24"/>
    <x v="35"/>
    <x v="19"/>
    <x v="35"/>
    <s v="19BA13.00"/>
    <x v="4"/>
    <x v="1"/>
    <m/>
    <m/>
    <m/>
  </r>
  <r>
    <s v="YK263100956"/>
    <x v="0"/>
    <x v="0"/>
    <n v="1"/>
    <x v="1"/>
    <d v="2026-09-11T18:58:53"/>
    <x v="35"/>
    <x v="19"/>
    <x v="35"/>
    <s v="19BA13.00"/>
    <x v="4"/>
    <x v="1"/>
    <m/>
    <m/>
    <m/>
  </r>
  <r>
    <s v="YK263100957"/>
    <x v="7"/>
    <x v="7"/>
    <n v="1"/>
    <x v="3"/>
    <d v="2026-08-10T12:16:33"/>
    <x v="35"/>
    <x v="19"/>
    <x v="35"/>
    <s v="19BA13.00"/>
    <x v="4"/>
    <x v="1"/>
    <m/>
    <m/>
    <m/>
  </r>
  <r>
    <s v="YK263100958"/>
    <x v="0"/>
    <x v="0"/>
    <n v="1"/>
    <x v="1"/>
    <d v="2026-09-11T18:57:42"/>
    <x v="35"/>
    <x v="19"/>
    <x v="35"/>
    <s v="19BA13.00"/>
    <x v="4"/>
    <x v="1"/>
    <m/>
    <m/>
    <m/>
  </r>
  <r>
    <s v="YK263100959"/>
    <x v="7"/>
    <x v="7"/>
    <n v="1"/>
    <x v="3"/>
    <d v="2026-08-25T06:09:05"/>
    <x v="35"/>
    <x v="19"/>
    <x v="35"/>
    <s v="19BA13.00"/>
    <x v="4"/>
    <x v="1"/>
    <m/>
    <m/>
    <m/>
  </r>
  <r>
    <s v="YK263100960"/>
    <x v="3"/>
    <x v="3"/>
    <n v="1"/>
    <x v="4"/>
    <d v="2026-08-11T14:10:44"/>
    <x v="35"/>
    <x v="19"/>
    <x v="35"/>
    <s v="19BA13.00"/>
    <x v="4"/>
    <x v="1"/>
    <m/>
    <m/>
    <m/>
  </r>
  <r>
    <s v="YK263100961"/>
    <x v="0"/>
    <x v="0"/>
    <n v="1"/>
    <x v="1"/>
    <d v="2026-09-01T10:34:39"/>
    <x v="35"/>
    <x v="19"/>
    <x v="35"/>
    <s v="19BA13.00"/>
    <x v="4"/>
    <x v="1"/>
    <m/>
    <m/>
    <m/>
  </r>
  <r>
    <s v="YK263100962"/>
    <x v="0"/>
    <x v="0"/>
    <n v="1"/>
    <x v="1"/>
    <d v="2026-08-31T21:24:07"/>
    <x v="35"/>
    <x v="19"/>
    <x v="35"/>
    <s v="19BA13.00"/>
    <x v="4"/>
    <x v="1"/>
    <m/>
    <m/>
    <m/>
  </r>
  <r>
    <s v="YK263100963"/>
    <x v="3"/>
    <x v="3"/>
    <n v="1"/>
    <x v="4"/>
    <d v="2026-08-24T10:59:09"/>
    <x v="35"/>
    <x v="19"/>
    <x v="35"/>
    <s v="19BA13.00"/>
    <x v="4"/>
    <x v="1"/>
    <m/>
    <m/>
    <m/>
  </r>
  <r>
    <s v="YK263100964"/>
    <x v="0"/>
    <x v="0"/>
    <n v="1"/>
    <x v="1"/>
    <d v="2026-09-02T13:42:30"/>
    <x v="35"/>
    <x v="19"/>
    <x v="35"/>
    <s v="19BA13.00"/>
    <x v="4"/>
    <x v="1"/>
    <m/>
    <m/>
    <m/>
  </r>
  <r>
    <s v="YK263100965"/>
    <x v="3"/>
    <x v="3"/>
    <n v="1"/>
    <x v="4"/>
    <d v="2026-08-21T12:01:00"/>
    <x v="35"/>
    <x v="19"/>
    <x v="35"/>
    <s v="19BA13.00"/>
    <x v="4"/>
    <x v="1"/>
    <m/>
    <m/>
    <m/>
  </r>
  <r>
    <s v="YK263100966"/>
    <x v="6"/>
    <x v="6"/>
    <n v="1"/>
    <x v="7"/>
    <d v="2026-08-26T11:01:43"/>
    <x v="35"/>
    <x v="19"/>
    <x v="35"/>
    <s v="19BA13.00"/>
    <x v="4"/>
    <x v="1"/>
    <m/>
    <m/>
    <m/>
  </r>
  <r>
    <s v="YK263100967"/>
    <x v="3"/>
    <x v="3"/>
    <n v="1"/>
    <x v="4"/>
    <d v="2026-08-12T10:47:52"/>
    <x v="35"/>
    <x v="19"/>
    <x v="35"/>
    <s v="19BA13.00"/>
    <x v="4"/>
    <x v="1"/>
    <m/>
    <m/>
    <m/>
  </r>
  <r>
    <s v="YK263100968"/>
    <x v="0"/>
    <x v="0"/>
    <n v="1"/>
    <x v="1"/>
    <d v="2026-08-31T15:34:57"/>
    <x v="35"/>
    <x v="19"/>
    <x v="35"/>
    <s v="19BA13.00"/>
    <x v="4"/>
    <x v="1"/>
    <m/>
    <m/>
    <m/>
  </r>
  <r>
    <s v="YK263100969"/>
    <x v="3"/>
    <x v="3"/>
    <n v="1"/>
    <x v="4"/>
    <d v="2026-08-21T09:50:49"/>
    <x v="35"/>
    <x v="19"/>
    <x v="35"/>
    <s v="19BA13.00"/>
    <x v="4"/>
    <x v="1"/>
    <m/>
    <m/>
    <m/>
  </r>
  <r>
    <s v="YK263100970"/>
    <x v="3"/>
    <x v="3"/>
    <n v="1"/>
    <x v="4"/>
    <d v="2026-08-14T10:40:01"/>
    <x v="35"/>
    <x v="19"/>
    <x v="35"/>
    <s v="19BA13.00"/>
    <x v="4"/>
    <x v="1"/>
    <m/>
    <m/>
    <m/>
  </r>
  <r>
    <s v="YK263100971"/>
    <x v="9"/>
    <x v="9"/>
    <n v="1"/>
    <x v="3"/>
    <d v="2026-08-04T11:30:23"/>
    <x v="35"/>
    <x v="19"/>
    <x v="35"/>
    <s v="19BA13.00"/>
    <x v="4"/>
    <x v="1"/>
    <m/>
    <m/>
    <m/>
  </r>
  <r>
    <s v="YK263100972"/>
    <x v="3"/>
    <x v="3"/>
    <n v="1"/>
    <x v="4"/>
    <d v="2026-08-11T19:37:23"/>
    <x v="35"/>
    <x v="19"/>
    <x v="35"/>
    <s v="19BA13.00"/>
    <x v="4"/>
    <x v="1"/>
    <m/>
    <m/>
    <m/>
  </r>
  <r>
    <s v="YK263100973"/>
    <x v="7"/>
    <x v="7"/>
    <n v="1"/>
    <x v="3"/>
    <d v="2026-08-28T07:50:21"/>
    <x v="35"/>
    <x v="19"/>
    <x v="35"/>
    <s v="19BA13.00"/>
    <x v="4"/>
    <x v="1"/>
    <m/>
    <m/>
    <m/>
  </r>
  <r>
    <s v="YK263100974"/>
    <x v="3"/>
    <x v="3"/>
    <n v="1"/>
    <x v="4"/>
    <d v="2026-08-11T19:42:38"/>
    <x v="35"/>
    <x v="19"/>
    <x v="35"/>
    <s v="19BA13.00"/>
    <x v="4"/>
    <x v="1"/>
    <m/>
    <m/>
    <m/>
  </r>
  <r>
    <s v="YK263100975"/>
    <x v="7"/>
    <x v="7"/>
    <n v="1"/>
    <x v="3"/>
    <d v="2026-08-28T08:21:14"/>
    <x v="35"/>
    <x v="19"/>
    <x v="35"/>
    <s v="19BA13.00"/>
    <x v="4"/>
    <x v="1"/>
    <m/>
    <m/>
    <m/>
  </r>
  <r>
    <s v="YK263100976"/>
    <x v="7"/>
    <x v="7"/>
    <n v="1"/>
    <x v="3"/>
    <d v="2026-08-28T07:47:38"/>
    <x v="35"/>
    <x v="19"/>
    <x v="35"/>
    <s v="19BA13.00"/>
    <x v="4"/>
    <x v="1"/>
    <m/>
    <m/>
    <m/>
  </r>
  <r>
    <s v="YK263100977"/>
    <x v="0"/>
    <x v="0"/>
    <n v="1"/>
    <x v="1"/>
    <d v="2026-09-02T13:41:55"/>
    <x v="35"/>
    <x v="19"/>
    <x v="35"/>
    <s v="19BA13.00"/>
    <x v="4"/>
    <x v="1"/>
    <m/>
    <m/>
    <m/>
  </r>
  <r>
    <s v="YK263100978"/>
    <x v="7"/>
    <x v="7"/>
    <n v="1"/>
    <x v="3"/>
    <d v="2026-08-28T07:48:46"/>
    <x v="35"/>
    <x v="19"/>
    <x v="35"/>
    <s v="19BA13.00"/>
    <x v="4"/>
    <x v="1"/>
    <m/>
    <m/>
    <m/>
  </r>
  <r>
    <s v="YK263100979"/>
    <x v="3"/>
    <x v="3"/>
    <n v="1"/>
    <x v="4"/>
    <d v="2026-08-11T17:55:48"/>
    <x v="35"/>
    <x v="19"/>
    <x v="35"/>
    <s v="19BA13.00"/>
    <x v="4"/>
    <x v="1"/>
    <m/>
    <m/>
    <m/>
  </r>
  <r>
    <s v="YK263100980"/>
    <x v="0"/>
    <x v="0"/>
    <n v="1"/>
    <x v="1"/>
    <d v="2026-09-11T12:24:18"/>
    <x v="35"/>
    <x v="19"/>
    <x v="35"/>
    <s v="19BA13.00"/>
    <x v="4"/>
    <x v="1"/>
    <m/>
    <m/>
    <m/>
  </r>
  <r>
    <s v="YK263100981"/>
    <x v="0"/>
    <x v="0"/>
    <n v="1"/>
    <x v="1"/>
    <d v="2026-09-01T10:35:19"/>
    <x v="35"/>
    <x v="19"/>
    <x v="35"/>
    <s v="19BA13.00"/>
    <x v="4"/>
    <x v="1"/>
    <m/>
    <m/>
    <m/>
  </r>
  <r>
    <s v="YK263100982"/>
    <x v="3"/>
    <x v="3"/>
    <n v="1"/>
    <x v="4"/>
    <d v="2026-08-21T11:43:32"/>
    <x v="35"/>
    <x v="19"/>
    <x v="35"/>
    <s v="19BA13.00"/>
    <x v="4"/>
    <x v="1"/>
    <m/>
    <m/>
    <m/>
  </r>
  <r>
    <s v="YK263100983"/>
    <x v="0"/>
    <x v="0"/>
    <n v="1"/>
    <x v="1"/>
    <d v="2026-09-02T13:40:48"/>
    <x v="35"/>
    <x v="19"/>
    <x v="35"/>
    <s v="19BA13.00"/>
    <x v="4"/>
    <x v="1"/>
    <m/>
    <m/>
    <m/>
  </r>
  <r>
    <s v="YK263100984"/>
    <x v="0"/>
    <x v="0"/>
    <n v="1"/>
    <x v="1"/>
    <d v="2026-09-01T10:38:01"/>
    <x v="35"/>
    <x v="19"/>
    <x v="35"/>
    <s v="19BA13.00"/>
    <x v="4"/>
    <x v="1"/>
    <m/>
    <m/>
    <m/>
  </r>
  <r>
    <s v="YK263100985"/>
    <x v="0"/>
    <x v="0"/>
    <n v="1"/>
    <x v="1"/>
    <d v="2026-08-31T21:21:25"/>
    <x v="35"/>
    <x v="19"/>
    <x v="35"/>
    <s v="19BA13.00"/>
    <x v="4"/>
    <x v="1"/>
    <m/>
    <m/>
    <m/>
  </r>
  <r>
    <s v="YK263100986"/>
    <x v="0"/>
    <x v="0"/>
    <n v="1"/>
    <x v="1"/>
    <d v="2026-09-14T11:13:12"/>
    <x v="35"/>
    <x v="19"/>
    <x v="35"/>
    <s v="19BA13.00"/>
    <x v="4"/>
    <x v="1"/>
    <m/>
    <m/>
    <m/>
  </r>
  <r>
    <s v="YK263100987"/>
    <x v="0"/>
    <x v="0"/>
    <n v="1"/>
    <x v="1"/>
    <d v="2026-09-01T10:37:39"/>
    <x v="35"/>
    <x v="19"/>
    <x v="35"/>
    <s v="19BA13.00"/>
    <x v="4"/>
    <x v="1"/>
    <m/>
    <m/>
    <m/>
  </r>
  <r>
    <s v="YK263100988"/>
    <x v="3"/>
    <x v="3"/>
    <n v="1"/>
    <x v="4"/>
    <d v="2026-08-17T18:59:25"/>
    <x v="35"/>
    <x v="19"/>
    <x v="35"/>
    <s v="19BA13.00"/>
    <x v="4"/>
    <x v="1"/>
    <m/>
    <m/>
    <m/>
  </r>
  <r>
    <s v="YK263100989"/>
    <x v="3"/>
    <x v="3"/>
    <n v="1"/>
    <x v="4"/>
    <d v="2026-08-20T08:38:59"/>
    <x v="35"/>
    <x v="19"/>
    <x v="35"/>
    <s v="19BA13.00"/>
    <x v="4"/>
    <x v="1"/>
    <m/>
    <m/>
    <m/>
  </r>
  <r>
    <s v="YK263100990"/>
    <x v="3"/>
    <x v="3"/>
    <n v="1"/>
    <x v="4"/>
    <d v="2026-08-24T11:10:37"/>
    <x v="35"/>
    <x v="19"/>
    <x v="35"/>
    <s v="19BA13.00"/>
    <x v="4"/>
    <x v="1"/>
    <m/>
    <m/>
    <m/>
  </r>
  <r>
    <s v="YK263100991"/>
    <x v="0"/>
    <x v="0"/>
    <n v="1"/>
    <x v="1"/>
    <d v="2026-09-01T17:45:03"/>
    <x v="35"/>
    <x v="19"/>
    <x v="35"/>
    <s v="19BA13.00"/>
    <x v="4"/>
    <x v="1"/>
    <m/>
    <m/>
    <m/>
  </r>
  <r>
    <s v="YK263100992"/>
    <x v="3"/>
    <x v="3"/>
    <n v="1"/>
    <x v="4"/>
    <d v="2026-08-21T09:18:49"/>
    <x v="35"/>
    <x v="19"/>
    <x v="35"/>
    <s v="19BA13.00"/>
    <x v="4"/>
    <x v="1"/>
    <m/>
    <m/>
    <m/>
  </r>
  <r>
    <s v="YK263100993"/>
    <x v="0"/>
    <x v="0"/>
    <n v="1"/>
    <x v="1"/>
    <d v="2026-09-02T09:46:52"/>
    <x v="35"/>
    <x v="19"/>
    <x v="35"/>
    <s v="19BA13.00"/>
    <x v="4"/>
    <x v="1"/>
    <m/>
    <m/>
    <m/>
  </r>
  <r>
    <s v="YK263100994"/>
    <x v="3"/>
    <x v="3"/>
    <n v="1"/>
    <x v="4"/>
    <d v="2026-08-10T14:10:46"/>
    <x v="35"/>
    <x v="19"/>
    <x v="35"/>
    <s v="19BA13.00"/>
    <x v="4"/>
    <x v="1"/>
    <m/>
    <m/>
    <m/>
  </r>
  <r>
    <s v="YK263100995"/>
    <x v="3"/>
    <x v="3"/>
    <n v="1"/>
    <x v="4"/>
    <d v="2026-08-14T11:37:32"/>
    <x v="35"/>
    <x v="19"/>
    <x v="35"/>
    <s v="19BA13.00"/>
    <x v="4"/>
    <x v="1"/>
    <m/>
    <m/>
    <m/>
  </r>
  <r>
    <s v="YK263100996"/>
    <x v="0"/>
    <x v="0"/>
    <n v="1"/>
    <x v="1"/>
    <d v="2026-08-31T10:26:36"/>
    <x v="35"/>
    <x v="19"/>
    <x v="35"/>
    <s v="19BA13.00"/>
    <x v="4"/>
    <x v="1"/>
    <m/>
    <m/>
    <m/>
  </r>
  <r>
    <s v="YK263100997"/>
    <x v="3"/>
    <x v="3"/>
    <n v="1"/>
    <x v="4"/>
    <d v="2026-08-11T18:33:23"/>
    <x v="35"/>
    <x v="19"/>
    <x v="35"/>
    <s v="19BA13.00"/>
    <x v="4"/>
    <x v="1"/>
    <m/>
    <m/>
    <m/>
  </r>
  <r>
    <s v="YK263100998"/>
    <x v="3"/>
    <x v="3"/>
    <n v="1"/>
    <x v="4"/>
    <d v="2026-08-10T14:17:13"/>
    <x v="35"/>
    <x v="19"/>
    <x v="35"/>
    <s v="19BA13.00"/>
    <x v="4"/>
    <x v="1"/>
    <m/>
    <m/>
    <m/>
  </r>
  <r>
    <s v="YK263100999"/>
    <x v="3"/>
    <x v="3"/>
    <n v="1"/>
    <x v="4"/>
    <d v="2026-08-11T09:21:09"/>
    <x v="35"/>
    <x v="19"/>
    <x v="35"/>
    <s v="19BA13.00"/>
    <x v="4"/>
    <x v="1"/>
    <m/>
    <m/>
    <m/>
  </r>
  <r>
    <s v="YK263101000"/>
    <x v="0"/>
    <x v="0"/>
    <n v="1"/>
    <x v="1"/>
    <d v="2026-09-14T19:22:39"/>
    <x v="35"/>
    <x v="19"/>
    <x v="35"/>
    <s v="19BA13.00"/>
    <x v="4"/>
    <x v="1"/>
    <m/>
    <m/>
    <m/>
  </r>
  <r>
    <s v="YK263101001"/>
    <x v="3"/>
    <x v="3"/>
    <n v="1"/>
    <x v="4"/>
    <d v="2026-08-10T14:21:20"/>
    <x v="35"/>
    <x v="19"/>
    <x v="35"/>
    <s v="19BA13.00"/>
    <x v="4"/>
    <x v="1"/>
    <m/>
    <m/>
    <m/>
  </r>
  <r>
    <s v="YK263101002"/>
    <x v="0"/>
    <x v="0"/>
    <n v="1"/>
    <x v="1"/>
    <d v="2026-09-02T13:40:26"/>
    <x v="35"/>
    <x v="19"/>
    <x v="35"/>
    <s v="19BA13.00"/>
    <x v="4"/>
    <x v="1"/>
    <m/>
    <m/>
    <m/>
  </r>
  <r>
    <s v="YK263101003"/>
    <x v="0"/>
    <x v="0"/>
    <n v="1"/>
    <x v="1"/>
    <d v="2026-09-02T09:48:47"/>
    <x v="35"/>
    <x v="19"/>
    <x v="35"/>
    <s v="19BA13.00"/>
    <x v="4"/>
    <x v="1"/>
    <m/>
    <m/>
    <m/>
  </r>
  <r>
    <s v="YK263101004"/>
    <x v="3"/>
    <x v="3"/>
    <n v="1"/>
    <x v="4"/>
    <d v="2026-08-21T11:55:31"/>
    <x v="35"/>
    <x v="19"/>
    <x v="35"/>
    <s v="19BA13.00"/>
    <x v="4"/>
    <x v="1"/>
    <m/>
    <m/>
    <m/>
  </r>
  <r>
    <s v="YK263101005"/>
    <x v="0"/>
    <x v="0"/>
    <n v="1"/>
    <x v="1"/>
    <d v="2026-09-14T10:52:55"/>
    <x v="35"/>
    <x v="19"/>
    <x v="35"/>
    <s v="19BA13.00"/>
    <x v="4"/>
    <x v="1"/>
    <m/>
    <m/>
    <m/>
  </r>
  <r>
    <s v="YK263101006"/>
    <x v="0"/>
    <x v="0"/>
    <n v="1"/>
    <x v="1"/>
    <d v="2026-09-14T10:53:46"/>
    <x v="35"/>
    <x v="19"/>
    <x v="35"/>
    <s v="19BA13.00"/>
    <x v="4"/>
    <x v="1"/>
    <m/>
    <m/>
    <m/>
  </r>
  <r>
    <s v="YK263101007"/>
    <x v="0"/>
    <x v="0"/>
    <n v="1"/>
    <x v="1"/>
    <d v="2026-09-14T19:13:05"/>
    <x v="35"/>
    <x v="19"/>
    <x v="35"/>
    <s v="19BA13.00"/>
    <x v="4"/>
    <x v="1"/>
    <m/>
    <m/>
    <m/>
  </r>
  <r>
    <s v="YK263101008"/>
    <x v="7"/>
    <x v="7"/>
    <n v="1"/>
    <x v="3"/>
    <d v="2026-08-28T08:24:34"/>
    <x v="35"/>
    <x v="19"/>
    <x v="35"/>
    <s v="19BA13.00"/>
    <x v="4"/>
    <x v="1"/>
    <m/>
    <m/>
    <m/>
  </r>
  <r>
    <s v="YK263101009"/>
    <x v="3"/>
    <x v="3"/>
    <n v="1"/>
    <x v="4"/>
    <d v="2026-08-11T09:11:15"/>
    <x v="35"/>
    <x v="19"/>
    <x v="35"/>
    <s v="19BA13.00"/>
    <x v="4"/>
    <x v="1"/>
    <m/>
    <m/>
    <m/>
  </r>
  <r>
    <s v="YK263101010"/>
    <x v="3"/>
    <x v="3"/>
    <n v="1"/>
    <x v="4"/>
    <d v="2026-08-11T09:45:28"/>
    <x v="35"/>
    <x v="19"/>
    <x v="35"/>
    <s v="19BA13.00"/>
    <x v="4"/>
    <x v="1"/>
    <m/>
    <m/>
    <m/>
  </r>
  <r>
    <s v="YK263101011"/>
    <x v="0"/>
    <x v="0"/>
    <n v="1"/>
    <x v="1"/>
    <d v="2026-09-15T11:52:47"/>
    <x v="35"/>
    <x v="19"/>
    <x v="35"/>
    <s v="19BA13.00"/>
    <x v="4"/>
    <x v="1"/>
    <m/>
    <m/>
    <m/>
  </r>
  <r>
    <s v="YK263101012"/>
    <x v="0"/>
    <x v="0"/>
    <n v="1"/>
    <x v="1"/>
    <d v="2026-09-14T19:22:56"/>
    <x v="35"/>
    <x v="19"/>
    <x v="35"/>
    <s v="19BA13.00"/>
    <x v="4"/>
    <x v="1"/>
    <m/>
    <m/>
    <m/>
  </r>
  <r>
    <s v="YK263101013"/>
    <x v="3"/>
    <x v="3"/>
    <n v="1"/>
    <x v="4"/>
    <d v="2026-08-11T09:55:10"/>
    <x v="35"/>
    <x v="19"/>
    <x v="35"/>
    <s v="19BA13.00"/>
    <x v="4"/>
    <x v="1"/>
    <m/>
    <m/>
    <m/>
  </r>
  <r>
    <s v="YK263101014"/>
    <x v="0"/>
    <x v="0"/>
    <n v="1"/>
    <x v="1"/>
    <d v="2026-09-14T10:57:12"/>
    <x v="35"/>
    <x v="19"/>
    <x v="35"/>
    <s v="19BA13.00"/>
    <x v="4"/>
    <x v="1"/>
    <m/>
    <m/>
    <m/>
  </r>
  <r>
    <s v="YK263101015"/>
    <x v="3"/>
    <x v="3"/>
    <n v="1"/>
    <x v="4"/>
    <d v="2026-08-17T19:28:24"/>
    <x v="35"/>
    <x v="19"/>
    <x v="35"/>
    <s v="19BA13.00"/>
    <x v="4"/>
    <x v="1"/>
    <m/>
    <m/>
    <m/>
  </r>
  <r>
    <s v="YK263101016"/>
    <x v="3"/>
    <x v="3"/>
    <n v="1"/>
    <x v="4"/>
    <d v="2026-08-11T09:59:59"/>
    <x v="35"/>
    <x v="19"/>
    <x v="35"/>
    <s v="19BA13.00"/>
    <x v="4"/>
    <x v="1"/>
    <m/>
    <m/>
    <m/>
  </r>
  <r>
    <s v="YK263101017"/>
    <x v="3"/>
    <x v="3"/>
    <n v="1"/>
    <x v="4"/>
    <d v="2026-08-11T09:39:42"/>
    <x v="35"/>
    <x v="19"/>
    <x v="35"/>
    <s v="19BA13.00"/>
    <x v="4"/>
    <x v="1"/>
    <m/>
    <m/>
    <m/>
  </r>
  <r>
    <s v="YK263101018"/>
    <x v="0"/>
    <x v="0"/>
    <n v="1"/>
    <x v="1"/>
    <d v="2026-09-14T10:54:52"/>
    <x v="35"/>
    <x v="19"/>
    <x v="35"/>
    <s v="19BA13.00"/>
    <x v="4"/>
    <x v="1"/>
    <m/>
    <m/>
    <m/>
  </r>
  <r>
    <s v="YK263101019"/>
    <x v="0"/>
    <x v="0"/>
    <n v="1"/>
    <x v="1"/>
    <d v="2026-09-15T11:53:20"/>
    <x v="35"/>
    <x v="19"/>
    <x v="35"/>
    <s v="19BA13.00"/>
    <x v="4"/>
    <x v="1"/>
    <m/>
    <m/>
    <m/>
  </r>
  <r>
    <s v="YK263101020"/>
    <x v="3"/>
    <x v="3"/>
    <n v="1"/>
    <x v="4"/>
    <d v="2026-08-11T12:07:13"/>
    <x v="35"/>
    <x v="19"/>
    <x v="35"/>
    <s v="19BA13.00"/>
    <x v="4"/>
    <x v="1"/>
    <m/>
    <m/>
    <m/>
  </r>
  <r>
    <s v="YK263101021"/>
    <x v="3"/>
    <x v="3"/>
    <n v="1"/>
    <x v="4"/>
    <d v="2026-08-11T18:28:26"/>
    <x v="35"/>
    <x v="19"/>
    <x v="35"/>
    <s v="19BA13.00"/>
    <x v="4"/>
    <x v="1"/>
    <m/>
    <m/>
    <m/>
  </r>
  <r>
    <s v="YK263101022"/>
    <x v="0"/>
    <x v="0"/>
    <n v="1"/>
    <x v="1"/>
    <d v="2026-08-31T21:21:42"/>
    <x v="35"/>
    <x v="19"/>
    <x v="35"/>
    <s v="19BA13.00"/>
    <x v="4"/>
    <x v="1"/>
    <m/>
    <m/>
    <m/>
  </r>
  <r>
    <s v="YK263101023"/>
    <x v="0"/>
    <x v="0"/>
    <n v="1"/>
    <x v="1"/>
    <d v="2026-08-31T21:21:45"/>
    <x v="35"/>
    <x v="19"/>
    <x v="35"/>
    <s v="19BA13.00"/>
    <x v="4"/>
    <x v="1"/>
    <m/>
    <m/>
    <m/>
  </r>
  <r>
    <s v="YK263101024"/>
    <x v="0"/>
    <x v="0"/>
    <n v="1"/>
    <x v="1"/>
    <d v="2026-08-31T21:29:02"/>
    <x v="35"/>
    <x v="19"/>
    <x v="35"/>
    <s v="19BA13.00"/>
    <x v="4"/>
    <x v="1"/>
    <m/>
    <m/>
    <m/>
  </r>
  <r>
    <s v="YK263101025"/>
    <x v="7"/>
    <x v="7"/>
    <n v="1"/>
    <x v="3"/>
    <d v="2026-08-28T07:48:53"/>
    <x v="35"/>
    <x v="19"/>
    <x v="35"/>
    <s v="19BA13.00"/>
    <x v="4"/>
    <x v="1"/>
    <m/>
    <m/>
    <m/>
  </r>
  <r>
    <s v="YK263101026"/>
    <x v="3"/>
    <x v="3"/>
    <n v="1"/>
    <x v="4"/>
    <d v="2026-08-12T11:05:51"/>
    <x v="35"/>
    <x v="19"/>
    <x v="35"/>
    <s v="19BA13.00"/>
    <x v="4"/>
    <x v="1"/>
    <m/>
    <m/>
    <m/>
  </r>
  <r>
    <s v="YK263101027"/>
    <x v="3"/>
    <x v="3"/>
    <n v="1"/>
    <x v="4"/>
    <d v="2026-08-21T11:27:19"/>
    <x v="35"/>
    <x v="19"/>
    <x v="35"/>
    <s v="19BA13.00"/>
    <x v="4"/>
    <x v="1"/>
    <m/>
    <m/>
    <m/>
  </r>
  <r>
    <s v="YK263101028"/>
    <x v="3"/>
    <x v="3"/>
    <n v="1"/>
    <x v="4"/>
    <d v="2026-08-21T09:57:47"/>
    <x v="35"/>
    <x v="19"/>
    <x v="35"/>
    <s v="19BA13.00"/>
    <x v="4"/>
    <x v="1"/>
    <m/>
    <m/>
    <m/>
  </r>
  <r>
    <s v="YK263101029"/>
    <x v="0"/>
    <x v="0"/>
    <n v="1"/>
    <x v="1"/>
    <d v="2026-09-01T08:30:33"/>
    <x v="35"/>
    <x v="19"/>
    <x v="35"/>
    <s v="19BA13.00"/>
    <x v="4"/>
    <x v="1"/>
    <m/>
    <m/>
    <m/>
  </r>
  <r>
    <s v="YK263101030"/>
    <x v="0"/>
    <x v="0"/>
    <n v="1"/>
    <x v="1"/>
    <d v="2026-09-02T13:41:07"/>
    <x v="35"/>
    <x v="19"/>
    <x v="35"/>
    <s v="19BA13.00"/>
    <x v="4"/>
    <x v="1"/>
    <m/>
    <m/>
    <m/>
  </r>
  <r>
    <s v="YK263101031"/>
    <x v="3"/>
    <x v="3"/>
    <n v="1"/>
    <x v="4"/>
    <d v="2026-08-12T11:11:20"/>
    <x v="35"/>
    <x v="19"/>
    <x v="35"/>
    <s v="19BA13.00"/>
    <x v="4"/>
    <x v="1"/>
    <m/>
    <m/>
    <m/>
  </r>
  <r>
    <s v="YK263101032"/>
    <x v="0"/>
    <x v="0"/>
    <n v="1"/>
    <x v="1"/>
    <d v="2026-09-01T13:44:40"/>
    <x v="35"/>
    <x v="19"/>
    <x v="35"/>
    <s v="19BA13.00"/>
    <x v="4"/>
    <x v="1"/>
    <m/>
    <m/>
    <m/>
  </r>
  <r>
    <s v="YK263101033"/>
    <x v="3"/>
    <x v="3"/>
    <n v="1"/>
    <x v="4"/>
    <d v="2026-08-21T09:45:48"/>
    <x v="35"/>
    <x v="19"/>
    <x v="35"/>
    <s v="19BA13.00"/>
    <x v="4"/>
    <x v="1"/>
    <m/>
    <m/>
    <m/>
  </r>
  <r>
    <s v="YK263101034"/>
    <x v="8"/>
    <x v="8"/>
    <n v="1"/>
    <x v="7"/>
    <d v="2026-09-02T06:49:48"/>
    <x v="35"/>
    <x v="19"/>
    <x v="35"/>
    <s v="19BA13.00"/>
    <x v="4"/>
    <x v="1"/>
    <m/>
    <m/>
    <m/>
  </r>
  <r>
    <s v="YK263101035"/>
    <x v="9"/>
    <x v="9"/>
    <n v="1"/>
    <x v="3"/>
    <d v="2026-09-01T10:30:00"/>
    <x v="35"/>
    <x v="19"/>
    <x v="35"/>
    <s v="19BA13.00"/>
    <x v="4"/>
    <x v="1"/>
    <m/>
    <m/>
    <m/>
  </r>
  <r>
    <s v="YK263101036"/>
    <x v="8"/>
    <x v="8"/>
    <n v="1"/>
    <x v="7"/>
    <d v="2026-09-02T06:45:20"/>
    <x v="35"/>
    <x v="19"/>
    <x v="35"/>
    <s v="19BA13.00"/>
    <x v="4"/>
    <x v="1"/>
    <m/>
    <m/>
    <m/>
  </r>
  <r>
    <s v="YK263101037"/>
    <x v="8"/>
    <x v="8"/>
    <n v="1"/>
    <x v="7"/>
    <d v="2026-09-03T06:30:28"/>
    <x v="35"/>
    <x v="19"/>
    <x v="35"/>
    <s v="19BA13.00"/>
    <x v="4"/>
    <x v="1"/>
    <m/>
    <m/>
    <m/>
  </r>
  <r>
    <s v="YK263101038"/>
    <x v="8"/>
    <x v="8"/>
    <n v="1"/>
    <x v="7"/>
    <d v="2026-09-08T09:06:07"/>
    <x v="35"/>
    <x v="19"/>
    <x v="35"/>
    <s v="19BA13.00"/>
    <x v="4"/>
    <x v="1"/>
    <m/>
    <m/>
    <m/>
  </r>
  <r>
    <s v="YK263101039"/>
    <x v="8"/>
    <x v="8"/>
    <n v="1"/>
    <x v="7"/>
    <d v="2026-09-08T09:03:45"/>
    <x v="35"/>
    <x v="19"/>
    <x v="35"/>
    <s v="19BA13.00"/>
    <x v="4"/>
    <x v="1"/>
    <m/>
    <m/>
    <m/>
  </r>
  <r>
    <s v="YK263101040"/>
    <x v="8"/>
    <x v="8"/>
    <n v="1"/>
    <x v="7"/>
    <d v="2026-09-08T09:05:08"/>
    <x v="35"/>
    <x v="19"/>
    <x v="35"/>
    <s v="19BA13.00"/>
    <x v="4"/>
    <x v="1"/>
    <m/>
    <m/>
    <m/>
  </r>
  <r>
    <s v="YK263101041"/>
    <x v="8"/>
    <x v="8"/>
    <n v="1"/>
    <x v="7"/>
    <d v="2026-09-08T09:06:52"/>
    <x v="35"/>
    <x v="19"/>
    <x v="35"/>
    <s v="19BA13.00"/>
    <x v="4"/>
    <x v="1"/>
    <m/>
    <m/>
    <m/>
  </r>
  <r>
    <s v="YK263101042"/>
    <x v="10"/>
    <x v="10"/>
    <n v="1"/>
    <x v="7"/>
    <d v="2026-09-09T15:23:00"/>
    <x v="35"/>
    <x v="19"/>
    <x v="35"/>
    <s v="19BA13.00"/>
    <x v="4"/>
    <x v="1"/>
    <m/>
    <m/>
    <m/>
  </r>
  <r>
    <s v="YK263101043"/>
    <x v="10"/>
    <x v="10"/>
    <n v="1"/>
    <x v="7"/>
    <d v="2026-09-09T15:29:46"/>
    <x v="35"/>
    <x v="19"/>
    <x v="35"/>
    <s v="19BA13.00"/>
    <x v="4"/>
    <x v="1"/>
    <m/>
    <m/>
    <m/>
  </r>
  <r>
    <s v="YK263101044"/>
    <x v="8"/>
    <x v="8"/>
    <n v="1"/>
    <x v="7"/>
    <d v="2026-09-02T06:53:27"/>
    <x v="35"/>
    <x v="19"/>
    <x v="35"/>
    <s v="19BA13.00"/>
    <x v="4"/>
    <x v="1"/>
    <m/>
    <m/>
    <m/>
  </r>
  <r>
    <s v="YK263101045"/>
    <x v="8"/>
    <x v="8"/>
    <n v="1"/>
    <x v="7"/>
    <d v="2026-09-02T06:47:38"/>
    <x v="35"/>
    <x v="19"/>
    <x v="35"/>
    <s v="19BA13.00"/>
    <x v="4"/>
    <x v="1"/>
    <m/>
    <m/>
    <m/>
  </r>
  <r>
    <s v="YK263101046"/>
    <x v="3"/>
    <x v="3"/>
    <n v="1"/>
    <x v="4"/>
    <d v="2026-08-31T12:10:03"/>
    <x v="35"/>
    <x v="19"/>
    <x v="35"/>
    <s v="19BA13.00"/>
    <x v="4"/>
    <x v="1"/>
    <m/>
    <m/>
    <m/>
  </r>
  <r>
    <s v="YK263101047"/>
    <x v="3"/>
    <x v="3"/>
    <n v="1"/>
    <x v="4"/>
    <d v="2026-09-01T09:56:21"/>
    <x v="35"/>
    <x v="19"/>
    <x v="35"/>
    <s v="19BA13.00"/>
    <x v="4"/>
    <x v="1"/>
    <m/>
    <m/>
    <m/>
  </r>
  <r>
    <s v="YK263101048"/>
    <x v="3"/>
    <x v="3"/>
    <n v="1"/>
    <x v="4"/>
    <d v="2026-08-31T12:21:57"/>
    <x v="35"/>
    <x v="19"/>
    <x v="35"/>
    <s v="19BA13.00"/>
    <x v="4"/>
    <x v="1"/>
    <m/>
    <m/>
    <m/>
  </r>
  <r>
    <s v="YK263101049"/>
    <x v="3"/>
    <x v="3"/>
    <n v="1"/>
    <x v="4"/>
    <d v="2026-08-31T11:54:09"/>
    <x v="35"/>
    <x v="19"/>
    <x v="35"/>
    <s v="19BA13.00"/>
    <x v="4"/>
    <x v="1"/>
    <m/>
    <m/>
    <m/>
  </r>
  <r>
    <s v="YK263101050"/>
    <x v="0"/>
    <x v="0"/>
    <n v="1"/>
    <x v="1"/>
    <d v="2026-09-11T19:03:08"/>
    <x v="35"/>
    <x v="19"/>
    <x v="35"/>
    <s v="19BA13.00"/>
    <x v="4"/>
    <x v="1"/>
    <m/>
    <m/>
    <m/>
  </r>
  <r>
    <s v="YK263101051"/>
    <x v="10"/>
    <x v="10"/>
    <n v="1"/>
    <x v="7"/>
    <d v="2026-09-09T15:26:03"/>
    <x v="35"/>
    <x v="19"/>
    <x v="35"/>
    <s v="19BA13.00"/>
    <x v="4"/>
    <x v="1"/>
    <m/>
    <m/>
    <m/>
  </r>
  <r>
    <s v="YK263101052"/>
    <x v="3"/>
    <x v="3"/>
    <n v="1"/>
    <x v="4"/>
    <d v="2026-08-31T17:29:48"/>
    <x v="35"/>
    <x v="19"/>
    <x v="35"/>
    <s v="19BA13.00"/>
    <x v="4"/>
    <x v="1"/>
    <m/>
    <m/>
    <m/>
  </r>
  <r>
    <s v="YK263101053"/>
    <x v="0"/>
    <x v="0"/>
    <n v="1"/>
    <x v="1"/>
    <d v="2026-09-11T19:00:47"/>
    <x v="35"/>
    <x v="19"/>
    <x v="35"/>
    <s v="19BA13.00"/>
    <x v="4"/>
    <x v="1"/>
    <m/>
    <m/>
    <m/>
  </r>
  <r>
    <s v="YK263101054"/>
    <x v="3"/>
    <x v="3"/>
    <n v="1"/>
    <x v="4"/>
    <d v="2026-08-31T17:24:33"/>
    <x v="35"/>
    <x v="19"/>
    <x v="35"/>
    <s v="19BA13.00"/>
    <x v="4"/>
    <x v="1"/>
    <m/>
    <m/>
    <m/>
  </r>
  <r>
    <s v="YK263101055"/>
    <x v="9"/>
    <x v="9"/>
    <n v="1"/>
    <x v="3"/>
    <d v="2026-08-20T12:13:36"/>
    <x v="35"/>
    <x v="19"/>
    <x v="35"/>
    <s v="19BA13.00"/>
    <x v="4"/>
    <x v="1"/>
    <m/>
    <m/>
    <m/>
  </r>
  <r>
    <s v="YK263101056"/>
    <x v="3"/>
    <x v="3"/>
    <n v="1"/>
    <x v="4"/>
    <d v="2026-08-31T11:17:03"/>
    <x v="35"/>
    <x v="19"/>
    <x v="35"/>
    <s v="19BA13.00"/>
    <x v="4"/>
    <x v="1"/>
    <m/>
    <m/>
    <m/>
  </r>
  <r>
    <s v="YK263101057"/>
    <x v="9"/>
    <x v="9"/>
    <n v="1"/>
    <x v="3"/>
    <d v="2026-08-20T12:15:51"/>
    <x v="35"/>
    <x v="19"/>
    <x v="35"/>
    <s v="19BA13.00"/>
    <x v="4"/>
    <x v="1"/>
    <m/>
    <m/>
    <m/>
  </r>
  <r>
    <s v="YK263101058"/>
    <x v="9"/>
    <x v="9"/>
    <n v="1"/>
    <x v="3"/>
    <d v="2026-08-20T12:17:06"/>
    <x v="35"/>
    <x v="19"/>
    <x v="35"/>
    <s v="19BA13.00"/>
    <x v="4"/>
    <x v="1"/>
    <m/>
    <m/>
    <m/>
  </r>
  <r>
    <s v="YK263101059"/>
    <x v="10"/>
    <x v="10"/>
    <n v="1"/>
    <x v="7"/>
    <d v="2026-09-09T14:22:36"/>
    <x v="35"/>
    <x v="19"/>
    <x v="35"/>
    <s v="19BA13.00"/>
    <x v="4"/>
    <x v="1"/>
    <m/>
    <m/>
    <m/>
  </r>
  <r>
    <s v="YK263101060"/>
    <x v="10"/>
    <x v="10"/>
    <n v="1"/>
    <x v="7"/>
    <d v="2026-09-09T14:19:20"/>
    <x v="35"/>
    <x v="19"/>
    <x v="35"/>
    <s v="19BA13.00"/>
    <x v="4"/>
    <x v="1"/>
    <m/>
    <m/>
    <m/>
  </r>
  <r>
    <s v="YK263101061"/>
    <x v="10"/>
    <x v="10"/>
    <n v="1"/>
    <x v="7"/>
    <d v="2026-09-09T14:59:56"/>
    <x v="35"/>
    <x v="19"/>
    <x v="35"/>
    <s v="19BA13.00"/>
    <x v="4"/>
    <x v="1"/>
    <m/>
    <m/>
    <m/>
  </r>
  <r>
    <s v="YK263101062"/>
    <x v="10"/>
    <x v="10"/>
    <n v="1"/>
    <x v="7"/>
    <d v="2026-09-09T14:55:41"/>
    <x v="35"/>
    <x v="19"/>
    <x v="35"/>
    <s v="19BA13.00"/>
    <x v="4"/>
    <x v="1"/>
    <m/>
    <m/>
    <m/>
  </r>
  <r>
    <s v="YK263101063"/>
    <x v="7"/>
    <x v="7"/>
    <n v="1"/>
    <x v="3"/>
    <d v="2026-09-09T13:45:04"/>
    <x v="35"/>
    <x v="19"/>
    <x v="35"/>
    <s v="19BA13.00"/>
    <x v="4"/>
    <x v="1"/>
    <m/>
    <m/>
    <m/>
  </r>
  <r>
    <s v="YK263101064"/>
    <x v="7"/>
    <x v="7"/>
    <n v="1"/>
    <x v="3"/>
    <d v="2026-09-09T13:59:45"/>
    <x v="35"/>
    <x v="19"/>
    <x v="35"/>
    <s v="19BA13.00"/>
    <x v="4"/>
    <x v="1"/>
    <m/>
    <m/>
    <m/>
  </r>
  <r>
    <s v="YK263101065"/>
    <x v="10"/>
    <x v="10"/>
    <n v="1"/>
    <x v="7"/>
    <d v="2026-09-09T14:31:19"/>
    <x v="35"/>
    <x v="19"/>
    <x v="35"/>
    <s v="19BA13.00"/>
    <x v="4"/>
    <x v="1"/>
    <m/>
    <m/>
    <m/>
  </r>
  <r>
    <s v="YK263101066"/>
    <x v="10"/>
    <x v="10"/>
    <n v="1"/>
    <x v="7"/>
    <d v="2026-09-09T14:35:55"/>
    <x v="35"/>
    <x v="19"/>
    <x v="35"/>
    <s v="19BA13.00"/>
    <x v="4"/>
    <x v="1"/>
    <m/>
    <m/>
    <m/>
  </r>
  <r>
    <s v="YK263101067"/>
    <x v="10"/>
    <x v="10"/>
    <n v="1"/>
    <x v="7"/>
    <d v="2026-09-09T13:41:51"/>
    <x v="35"/>
    <x v="19"/>
    <x v="35"/>
    <s v="19BA13.00"/>
    <x v="4"/>
    <x v="1"/>
    <m/>
    <m/>
    <m/>
  </r>
  <r>
    <s v="YK263101068"/>
    <x v="10"/>
    <x v="10"/>
    <n v="1"/>
    <x v="7"/>
    <d v="2026-09-09T14:33:57"/>
    <x v="35"/>
    <x v="19"/>
    <x v="35"/>
    <s v="19BA13.00"/>
    <x v="4"/>
    <x v="1"/>
    <m/>
    <m/>
    <m/>
  </r>
  <r>
    <s v="YK263101069"/>
    <x v="7"/>
    <x v="7"/>
    <n v="1"/>
    <x v="3"/>
    <d v="2026-09-09T13:52:11"/>
    <x v="35"/>
    <x v="19"/>
    <x v="35"/>
    <s v="19BA13.00"/>
    <x v="4"/>
    <x v="1"/>
    <m/>
    <m/>
    <m/>
  </r>
  <r>
    <s v="YK263101070"/>
    <x v="10"/>
    <x v="10"/>
    <n v="1"/>
    <x v="7"/>
    <d v="2026-09-09T14:49:16"/>
    <x v="35"/>
    <x v="19"/>
    <x v="35"/>
    <s v="19BA13.00"/>
    <x v="4"/>
    <x v="1"/>
    <m/>
    <m/>
    <m/>
  </r>
  <r>
    <s v="YK263101071"/>
    <x v="10"/>
    <x v="10"/>
    <n v="1"/>
    <x v="7"/>
    <d v="2026-09-09T14:51:22"/>
    <x v="35"/>
    <x v="19"/>
    <x v="35"/>
    <s v="19BA13.00"/>
    <x v="4"/>
    <x v="1"/>
    <m/>
    <m/>
    <m/>
  </r>
  <r>
    <s v="YK263101072"/>
    <x v="7"/>
    <x v="7"/>
    <n v="1"/>
    <x v="3"/>
    <d v="2026-09-09T13:48:42"/>
    <x v="35"/>
    <x v="19"/>
    <x v="35"/>
    <s v="19BA13.00"/>
    <x v="4"/>
    <x v="1"/>
    <m/>
    <m/>
    <m/>
  </r>
  <r>
    <s v="YK263101073"/>
    <x v="7"/>
    <x v="7"/>
    <n v="1"/>
    <x v="3"/>
    <d v="2026-09-09T13:50:17"/>
    <x v="35"/>
    <x v="19"/>
    <x v="35"/>
    <s v="19BA13.00"/>
    <x v="4"/>
    <x v="1"/>
    <m/>
    <m/>
    <m/>
  </r>
  <r>
    <s v="YK263101074"/>
    <x v="10"/>
    <x v="10"/>
    <n v="1"/>
    <x v="7"/>
    <d v="2026-09-09T15:31:53"/>
    <x v="35"/>
    <x v="19"/>
    <x v="35"/>
    <s v="19BA13.00"/>
    <x v="4"/>
    <x v="1"/>
    <m/>
    <m/>
    <m/>
  </r>
  <r>
    <s v="YK263101075"/>
    <x v="10"/>
    <x v="10"/>
    <n v="1"/>
    <x v="7"/>
    <d v="2026-09-09T14:28:28"/>
    <x v="35"/>
    <x v="19"/>
    <x v="35"/>
    <s v="19BA13.00"/>
    <x v="4"/>
    <x v="1"/>
    <m/>
    <m/>
    <m/>
  </r>
  <r>
    <s v="YK263101076"/>
    <x v="10"/>
    <x v="10"/>
    <n v="1"/>
    <x v="7"/>
    <d v="2026-09-09T14:42:55"/>
    <x v="35"/>
    <x v="19"/>
    <x v="35"/>
    <s v="19BA13.00"/>
    <x v="4"/>
    <x v="1"/>
    <m/>
    <m/>
    <m/>
  </r>
  <r>
    <s v="YK263101077"/>
    <x v="10"/>
    <x v="10"/>
    <n v="1"/>
    <x v="7"/>
    <d v="2026-09-09T14:57:22"/>
    <x v="35"/>
    <x v="19"/>
    <x v="35"/>
    <s v="19BA13.00"/>
    <x v="4"/>
    <x v="1"/>
    <m/>
    <m/>
    <m/>
  </r>
  <r>
    <s v="YK263101078"/>
    <x v="7"/>
    <x v="7"/>
    <n v="1"/>
    <x v="3"/>
    <d v="2026-09-09T14:08:15"/>
    <x v="35"/>
    <x v="19"/>
    <x v="35"/>
    <s v="19BA13.00"/>
    <x v="4"/>
    <x v="1"/>
    <m/>
    <m/>
    <m/>
  </r>
  <r>
    <s v="YK263101079"/>
    <x v="10"/>
    <x v="10"/>
    <n v="1"/>
    <x v="7"/>
    <d v="2026-09-09T15:03:00"/>
    <x v="35"/>
    <x v="19"/>
    <x v="35"/>
    <s v="19BA13.00"/>
    <x v="4"/>
    <x v="1"/>
    <m/>
    <m/>
    <m/>
  </r>
  <r>
    <s v="YK263101080"/>
    <x v="10"/>
    <x v="10"/>
    <n v="1"/>
    <x v="7"/>
    <d v="2026-09-09T14:46:17"/>
    <x v="35"/>
    <x v="19"/>
    <x v="35"/>
    <s v="19BA13.00"/>
    <x v="4"/>
    <x v="1"/>
    <m/>
    <m/>
    <m/>
  </r>
  <r>
    <s v="YK263101081"/>
    <x v="7"/>
    <x v="7"/>
    <n v="1"/>
    <x v="3"/>
    <d v="2026-09-09T14:06:37"/>
    <x v="35"/>
    <x v="19"/>
    <x v="35"/>
    <s v="19BA13.00"/>
    <x v="4"/>
    <x v="1"/>
    <m/>
    <m/>
    <m/>
  </r>
  <r>
    <s v="YK263101082"/>
    <x v="10"/>
    <x v="10"/>
    <n v="1"/>
    <x v="7"/>
    <d v="2026-09-09T14:25:31"/>
    <x v="35"/>
    <x v="19"/>
    <x v="35"/>
    <s v="19BA13.00"/>
    <x v="4"/>
    <x v="1"/>
    <m/>
    <m/>
    <m/>
  </r>
  <r>
    <s v="YK263101083"/>
    <x v="10"/>
    <x v="10"/>
    <n v="1"/>
    <x v="7"/>
    <d v="2026-09-09T13:20:46"/>
    <x v="35"/>
    <x v="19"/>
    <x v="35"/>
    <s v="19BA13.00"/>
    <x v="4"/>
    <x v="1"/>
    <m/>
    <m/>
    <m/>
  </r>
  <r>
    <s v="YK263101084"/>
    <x v="10"/>
    <x v="10"/>
    <n v="1"/>
    <x v="7"/>
    <d v="2026-09-09T13:24:01"/>
    <x v="35"/>
    <x v="19"/>
    <x v="35"/>
    <s v="19BA13.00"/>
    <x v="4"/>
    <x v="1"/>
    <m/>
    <m/>
    <m/>
  </r>
  <r>
    <s v="YK263101085"/>
    <x v="7"/>
    <x v="7"/>
    <n v="1"/>
    <x v="3"/>
    <d v="2026-09-03T15:28:15"/>
    <x v="35"/>
    <x v="19"/>
    <x v="35"/>
    <s v="19BA13.00"/>
    <x v="4"/>
    <x v="1"/>
    <m/>
    <m/>
    <m/>
  </r>
  <r>
    <s v="YK263101086"/>
    <x v="10"/>
    <x v="10"/>
    <n v="1"/>
    <x v="7"/>
    <d v="2026-09-09T13:27:43"/>
    <x v="35"/>
    <x v="19"/>
    <x v="35"/>
    <s v="19BA13.00"/>
    <x v="4"/>
    <x v="1"/>
    <m/>
    <m/>
    <m/>
  </r>
  <r>
    <s v="YK263101087"/>
    <x v="3"/>
    <x v="3"/>
    <n v="1"/>
    <x v="4"/>
    <d v="2026-08-31T10:06:44"/>
    <x v="35"/>
    <x v="19"/>
    <x v="35"/>
    <s v="19BA13.00"/>
    <x v="4"/>
    <x v="1"/>
    <m/>
    <m/>
    <m/>
  </r>
  <r>
    <s v="YK263101088"/>
    <x v="10"/>
    <x v="10"/>
    <n v="1"/>
    <x v="7"/>
    <d v="2026-09-09T13:16:14"/>
    <x v="35"/>
    <x v="19"/>
    <x v="35"/>
    <s v="19BA13.00"/>
    <x v="4"/>
    <x v="1"/>
    <m/>
    <m/>
    <m/>
  </r>
  <r>
    <s v="YK263101089"/>
    <x v="10"/>
    <x v="10"/>
    <n v="1"/>
    <x v="7"/>
    <d v="2026-09-09T13:14:13"/>
    <x v="35"/>
    <x v="19"/>
    <x v="35"/>
    <s v="19BA13.00"/>
    <x v="4"/>
    <x v="1"/>
    <m/>
    <m/>
    <m/>
  </r>
  <r>
    <s v="YK263101090"/>
    <x v="10"/>
    <x v="10"/>
    <n v="1"/>
    <x v="7"/>
    <d v="2026-09-09T13:12:08"/>
    <x v="35"/>
    <x v="19"/>
    <x v="35"/>
    <s v="19BA13.00"/>
    <x v="4"/>
    <x v="1"/>
    <m/>
    <m/>
    <m/>
  </r>
  <r>
    <s v="YK263101091"/>
    <x v="7"/>
    <x v="7"/>
    <n v="1"/>
    <x v="3"/>
    <d v="2026-09-09T09:10:44"/>
    <x v="35"/>
    <x v="19"/>
    <x v="35"/>
    <s v="19BA13.00"/>
    <x v="4"/>
    <x v="1"/>
    <m/>
    <m/>
    <m/>
  </r>
  <r>
    <s v="YK263101092"/>
    <x v="9"/>
    <x v="9"/>
    <n v="1"/>
    <x v="3"/>
    <d v="2026-08-20T14:13:07"/>
    <x v="35"/>
    <x v="19"/>
    <x v="35"/>
    <s v="19BA13.00"/>
    <x v="4"/>
    <x v="1"/>
    <m/>
    <m/>
    <m/>
  </r>
  <r>
    <s v="YK263101093"/>
    <x v="10"/>
    <x v="10"/>
    <n v="1"/>
    <x v="7"/>
    <d v="2026-09-09T09:08:36"/>
    <x v="35"/>
    <x v="19"/>
    <x v="35"/>
    <s v="19BA13.00"/>
    <x v="4"/>
    <x v="1"/>
    <m/>
    <m/>
    <m/>
  </r>
  <r>
    <s v="YK263101094"/>
    <x v="10"/>
    <x v="10"/>
    <n v="1"/>
    <x v="7"/>
    <d v="2026-09-09T13:10:02"/>
    <x v="35"/>
    <x v="19"/>
    <x v="35"/>
    <s v="19BA13.00"/>
    <x v="4"/>
    <x v="1"/>
    <m/>
    <m/>
    <m/>
  </r>
  <r>
    <s v="YK263101095"/>
    <x v="9"/>
    <x v="9"/>
    <n v="1"/>
    <x v="3"/>
    <d v="2026-08-20T14:41:57"/>
    <x v="35"/>
    <x v="19"/>
    <x v="35"/>
    <s v="19BA13.00"/>
    <x v="4"/>
    <x v="1"/>
    <m/>
    <m/>
    <m/>
  </r>
  <r>
    <s v="YK263101096"/>
    <x v="10"/>
    <x v="10"/>
    <n v="1"/>
    <x v="7"/>
    <d v="2026-09-09T15:34:46"/>
    <x v="35"/>
    <x v="19"/>
    <x v="35"/>
    <s v="19BA13.00"/>
    <x v="4"/>
    <x v="1"/>
    <m/>
    <m/>
    <m/>
  </r>
  <r>
    <s v="YK263101097"/>
    <x v="9"/>
    <x v="9"/>
    <n v="1"/>
    <x v="3"/>
    <d v="2026-08-20T14:43:18"/>
    <x v="35"/>
    <x v="19"/>
    <x v="35"/>
    <s v="19BA13.00"/>
    <x v="4"/>
    <x v="1"/>
    <m/>
    <m/>
    <m/>
  </r>
  <r>
    <s v="YK263101098"/>
    <x v="3"/>
    <x v="3"/>
    <n v="1"/>
    <x v="4"/>
    <d v="2026-08-31T17:35:18"/>
    <x v="35"/>
    <x v="19"/>
    <x v="35"/>
    <s v="19BA13.00"/>
    <x v="4"/>
    <x v="1"/>
    <m/>
    <m/>
    <m/>
  </r>
  <r>
    <s v="YK263101099"/>
    <x v="3"/>
    <x v="3"/>
    <n v="1"/>
    <x v="4"/>
    <d v="2026-08-31T11:23:09"/>
    <x v="35"/>
    <x v="19"/>
    <x v="35"/>
    <s v="19BA13.00"/>
    <x v="4"/>
    <x v="1"/>
    <m/>
    <m/>
    <m/>
  </r>
  <r>
    <s v="YK263101100"/>
    <x v="3"/>
    <x v="3"/>
    <n v="1"/>
    <x v="4"/>
    <d v="2026-08-31T11:11:48"/>
    <x v="35"/>
    <x v="19"/>
    <x v="35"/>
    <s v="19BA13.00"/>
    <x v="4"/>
    <x v="1"/>
    <m/>
    <m/>
    <m/>
  </r>
  <r>
    <s v="YK263101101"/>
    <x v="9"/>
    <x v="9"/>
    <n v="1"/>
    <x v="3"/>
    <d v="2026-08-20T14:48:54"/>
    <x v="35"/>
    <x v="19"/>
    <x v="35"/>
    <s v="19BA13.00"/>
    <x v="4"/>
    <x v="1"/>
    <m/>
    <m/>
    <m/>
  </r>
  <r>
    <s v="YK263101102"/>
    <x v="9"/>
    <x v="9"/>
    <n v="1"/>
    <x v="3"/>
    <d v="2026-08-20T14:49:14"/>
    <x v="35"/>
    <x v="19"/>
    <x v="35"/>
    <s v="19BA13.00"/>
    <x v="4"/>
    <x v="1"/>
    <m/>
    <m/>
    <m/>
  </r>
  <r>
    <s v="YK263101103"/>
    <x v="10"/>
    <x v="10"/>
    <n v="1"/>
    <x v="7"/>
    <d v="2026-09-09T15:18:54"/>
    <x v="35"/>
    <x v="19"/>
    <x v="35"/>
    <s v="19BA13.00"/>
    <x v="4"/>
    <x v="1"/>
    <m/>
    <m/>
    <m/>
  </r>
  <r>
    <s v="YK263101104"/>
    <x v="10"/>
    <x v="10"/>
    <n v="1"/>
    <x v="7"/>
    <d v="2026-09-07T13:09:39"/>
    <x v="35"/>
    <x v="19"/>
    <x v="35"/>
    <s v="19BA13.00"/>
    <x v="4"/>
    <x v="1"/>
    <m/>
    <m/>
    <m/>
  </r>
  <r>
    <s v="YK263101105"/>
    <x v="10"/>
    <x v="10"/>
    <n v="1"/>
    <x v="7"/>
    <d v="2026-09-07T13:09:59"/>
    <x v="35"/>
    <x v="19"/>
    <x v="35"/>
    <s v="19BA13.00"/>
    <x v="4"/>
    <x v="1"/>
    <m/>
    <m/>
    <m/>
  </r>
  <r>
    <s v="YK263101106"/>
    <x v="3"/>
    <x v="3"/>
    <n v="1"/>
    <x v="4"/>
    <d v="2026-09-15T22:22:41"/>
    <x v="35"/>
    <x v="19"/>
    <x v="35"/>
    <s v="19BA13.00"/>
    <x v="4"/>
    <x v="1"/>
    <m/>
    <m/>
    <m/>
  </r>
  <r>
    <s v="YK263101107"/>
    <x v="10"/>
    <x v="10"/>
    <n v="1"/>
    <x v="7"/>
    <d v="2026-09-07T13:10:19"/>
    <x v="35"/>
    <x v="19"/>
    <x v="35"/>
    <s v="19BA13.00"/>
    <x v="4"/>
    <x v="1"/>
    <m/>
    <m/>
    <m/>
  </r>
  <r>
    <s v="YK263101108"/>
    <x v="10"/>
    <x v="10"/>
    <n v="1"/>
    <x v="7"/>
    <d v="2026-09-07T13:10:38"/>
    <x v="35"/>
    <x v="19"/>
    <x v="35"/>
    <s v="19BA13.00"/>
    <x v="4"/>
    <x v="1"/>
    <m/>
    <m/>
    <m/>
  </r>
  <r>
    <s v="YK263101109"/>
    <x v="3"/>
    <x v="3"/>
    <n v="1"/>
    <x v="4"/>
    <d v="2026-09-15T22:06:28"/>
    <x v="35"/>
    <x v="19"/>
    <x v="35"/>
    <s v="19BA13.00"/>
    <x v="4"/>
    <x v="1"/>
    <m/>
    <m/>
    <m/>
  </r>
  <r>
    <s v="YK263101110"/>
    <x v="9"/>
    <x v="9"/>
    <n v="1"/>
    <x v="3"/>
    <d v="2026-08-20T15:02:20"/>
    <x v="35"/>
    <x v="19"/>
    <x v="35"/>
    <s v="19BA13.00"/>
    <x v="4"/>
    <x v="1"/>
    <m/>
    <m/>
    <m/>
  </r>
  <r>
    <s v="YK263101111"/>
    <x v="0"/>
    <x v="0"/>
    <n v="1"/>
    <x v="1"/>
    <d v="2026-09-11T19:02:50"/>
    <x v="35"/>
    <x v="19"/>
    <x v="35"/>
    <s v="19BA13.00"/>
    <x v="4"/>
    <x v="1"/>
    <m/>
    <m/>
    <m/>
  </r>
  <r>
    <s v="YK263101112"/>
    <x v="10"/>
    <x v="10"/>
    <n v="1"/>
    <x v="7"/>
    <d v="2026-09-07T13:30:54"/>
    <x v="35"/>
    <x v="19"/>
    <x v="35"/>
    <s v="19BA13.00"/>
    <x v="4"/>
    <x v="1"/>
    <m/>
    <m/>
    <m/>
  </r>
  <r>
    <s v="YK263101113"/>
    <x v="0"/>
    <x v="0"/>
    <n v="1"/>
    <x v="1"/>
    <d v="2026-09-11T19:00:27"/>
    <x v="35"/>
    <x v="19"/>
    <x v="35"/>
    <s v="19BA13.00"/>
    <x v="4"/>
    <x v="1"/>
    <m/>
    <m/>
    <m/>
  </r>
  <r>
    <s v="YK263101114"/>
    <x v="10"/>
    <x v="10"/>
    <n v="1"/>
    <x v="7"/>
    <d v="2026-09-07T13:34:57"/>
    <x v="35"/>
    <x v="19"/>
    <x v="35"/>
    <s v="19BA13.00"/>
    <x v="4"/>
    <x v="1"/>
    <m/>
    <m/>
    <m/>
  </r>
  <r>
    <s v="YK263101115"/>
    <x v="3"/>
    <x v="3"/>
    <n v="1"/>
    <x v="4"/>
    <d v="2026-09-15T22:26:57"/>
    <x v="35"/>
    <x v="19"/>
    <x v="35"/>
    <s v="19BA13.00"/>
    <x v="4"/>
    <x v="1"/>
    <m/>
    <m/>
    <m/>
  </r>
  <r>
    <s v="YK263101116"/>
    <x v="3"/>
    <x v="3"/>
    <n v="1"/>
    <x v="4"/>
    <d v="2026-09-15T21:39:36"/>
    <x v="35"/>
    <x v="19"/>
    <x v="35"/>
    <s v="19BA13.00"/>
    <x v="4"/>
    <x v="1"/>
    <m/>
    <m/>
    <m/>
  </r>
  <r>
    <s v="YK263101117"/>
    <x v="10"/>
    <x v="10"/>
    <n v="1"/>
    <x v="7"/>
    <d v="2026-09-07T13:39:33"/>
    <x v="35"/>
    <x v="19"/>
    <x v="35"/>
    <s v="19BA13.00"/>
    <x v="4"/>
    <x v="1"/>
    <m/>
    <m/>
    <m/>
  </r>
  <r>
    <s v="YK263101118"/>
    <x v="3"/>
    <x v="3"/>
    <n v="1"/>
    <x v="4"/>
    <d v="2026-09-16T09:29:38"/>
    <x v="35"/>
    <x v="19"/>
    <x v="35"/>
    <s v="19BA13.00"/>
    <x v="4"/>
    <x v="1"/>
    <m/>
    <m/>
    <m/>
  </r>
  <r>
    <s v="YK263101119"/>
    <x v="10"/>
    <x v="10"/>
    <n v="1"/>
    <x v="7"/>
    <d v="2026-09-07T12:38:15"/>
    <x v="35"/>
    <x v="19"/>
    <x v="35"/>
    <s v="19BA13.00"/>
    <x v="4"/>
    <x v="1"/>
    <m/>
    <m/>
    <m/>
  </r>
  <r>
    <s v="YK263101120"/>
    <x v="3"/>
    <x v="3"/>
    <n v="1"/>
    <x v="4"/>
    <d v="2026-09-16T08:55:23"/>
    <x v="35"/>
    <x v="19"/>
    <x v="35"/>
    <s v="19BA13.00"/>
    <x v="4"/>
    <x v="1"/>
    <m/>
    <m/>
    <m/>
  </r>
  <r>
    <s v="YK263101121"/>
    <x v="3"/>
    <x v="3"/>
    <n v="1"/>
    <x v="4"/>
    <d v="2026-09-16T07:55:58"/>
    <x v="35"/>
    <x v="19"/>
    <x v="35"/>
    <s v="19BA13.00"/>
    <x v="4"/>
    <x v="1"/>
    <m/>
    <m/>
    <m/>
  </r>
  <r>
    <s v="YK263101122"/>
    <x v="3"/>
    <x v="3"/>
    <n v="1"/>
    <x v="4"/>
    <d v="2026-09-15T22:14:45"/>
    <x v="35"/>
    <x v="19"/>
    <x v="35"/>
    <s v="19BA13.00"/>
    <x v="4"/>
    <x v="1"/>
    <m/>
    <m/>
    <m/>
  </r>
  <r>
    <s v="YK263101123"/>
    <x v="3"/>
    <x v="3"/>
    <n v="1"/>
    <x v="4"/>
    <d v="2026-09-16T09:38:37"/>
    <x v="35"/>
    <x v="19"/>
    <x v="35"/>
    <s v="19BA13.00"/>
    <x v="4"/>
    <x v="1"/>
    <m/>
    <m/>
    <m/>
  </r>
  <r>
    <s v="YK263101124"/>
    <x v="3"/>
    <x v="3"/>
    <n v="1"/>
    <x v="4"/>
    <d v="2026-09-01T09:36:06"/>
    <x v="35"/>
    <x v="19"/>
    <x v="35"/>
    <s v="19BA13.00"/>
    <x v="4"/>
    <x v="1"/>
    <m/>
    <m/>
    <m/>
  </r>
  <r>
    <s v="YK263101125"/>
    <x v="3"/>
    <x v="3"/>
    <n v="1"/>
    <x v="4"/>
    <d v="2026-09-01T09:30:15"/>
    <x v="35"/>
    <x v="19"/>
    <x v="35"/>
    <s v="19BA13.00"/>
    <x v="4"/>
    <x v="1"/>
    <m/>
    <m/>
    <m/>
  </r>
  <r>
    <s v="YK263101126"/>
    <x v="9"/>
    <x v="9"/>
    <n v="1"/>
    <x v="3"/>
    <d v="2026-08-20T17:18:49"/>
    <x v="35"/>
    <x v="19"/>
    <x v="35"/>
    <s v="19BA13.00"/>
    <x v="4"/>
    <x v="1"/>
    <m/>
    <m/>
    <m/>
  </r>
  <r>
    <s v="YK263101127"/>
    <x v="3"/>
    <x v="3"/>
    <n v="1"/>
    <x v="4"/>
    <d v="2026-09-16T07:47:17"/>
    <x v="35"/>
    <x v="19"/>
    <x v="35"/>
    <s v="19BA13.00"/>
    <x v="4"/>
    <x v="1"/>
    <m/>
    <m/>
    <m/>
  </r>
  <r>
    <s v="YK263101128"/>
    <x v="3"/>
    <x v="3"/>
    <n v="1"/>
    <x v="4"/>
    <d v="2026-09-15T22:02:11"/>
    <x v="35"/>
    <x v="19"/>
    <x v="35"/>
    <s v="19BA13.00"/>
    <x v="4"/>
    <x v="1"/>
    <m/>
    <m/>
    <m/>
  </r>
  <r>
    <s v="YK263101129"/>
    <x v="3"/>
    <x v="3"/>
    <n v="1"/>
    <x v="4"/>
    <d v="2026-09-15T22:10:28"/>
    <x v="35"/>
    <x v="19"/>
    <x v="35"/>
    <s v="19BA13.00"/>
    <x v="4"/>
    <x v="1"/>
    <m/>
    <m/>
    <m/>
  </r>
  <r>
    <s v="YK263101130"/>
    <x v="3"/>
    <x v="3"/>
    <n v="1"/>
    <x v="4"/>
    <d v="2026-09-16T09:51:34"/>
    <x v="35"/>
    <x v="19"/>
    <x v="35"/>
    <s v="19BA13.00"/>
    <x v="4"/>
    <x v="1"/>
    <m/>
    <m/>
    <m/>
  </r>
  <r>
    <s v="YK263101131"/>
    <x v="3"/>
    <x v="3"/>
    <n v="1"/>
    <x v="4"/>
    <d v="2026-09-16T08:05:52"/>
    <x v="35"/>
    <x v="19"/>
    <x v="35"/>
    <s v="19BA13.00"/>
    <x v="4"/>
    <x v="1"/>
    <m/>
    <m/>
    <m/>
  </r>
  <r>
    <s v="YK263101132"/>
    <x v="10"/>
    <x v="10"/>
    <n v="1"/>
    <x v="7"/>
    <d v="2026-09-07T12:38:44"/>
    <x v="35"/>
    <x v="19"/>
    <x v="35"/>
    <s v="19BA13.00"/>
    <x v="4"/>
    <x v="1"/>
    <m/>
    <m/>
    <m/>
  </r>
  <r>
    <s v="YK263101133"/>
    <x v="10"/>
    <x v="10"/>
    <n v="1"/>
    <x v="7"/>
    <d v="2026-09-07T12:39:18"/>
    <x v="35"/>
    <x v="19"/>
    <x v="35"/>
    <s v="19BA13.00"/>
    <x v="4"/>
    <x v="1"/>
    <m/>
    <m/>
    <m/>
  </r>
  <r>
    <s v="YK263101134"/>
    <x v="3"/>
    <x v="3"/>
    <n v="1"/>
    <x v="4"/>
    <d v="2026-08-31T13:18:26"/>
    <x v="35"/>
    <x v="19"/>
    <x v="35"/>
    <s v="19BA13.00"/>
    <x v="4"/>
    <x v="1"/>
    <m/>
    <m/>
    <m/>
  </r>
  <r>
    <s v="YK263101135"/>
    <x v="3"/>
    <x v="3"/>
    <n v="1"/>
    <x v="4"/>
    <d v="2026-08-31T12:27:14"/>
    <x v="35"/>
    <x v="19"/>
    <x v="35"/>
    <s v="19BA13.00"/>
    <x v="4"/>
    <x v="1"/>
    <m/>
    <m/>
    <m/>
  </r>
  <r>
    <s v="YK263101136"/>
    <x v="9"/>
    <x v="9"/>
    <n v="1"/>
    <x v="3"/>
    <d v="2026-08-20T17:32:23"/>
    <x v="35"/>
    <x v="19"/>
    <x v="35"/>
    <s v="19BA13.00"/>
    <x v="4"/>
    <x v="1"/>
    <m/>
    <m/>
    <m/>
  </r>
  <r>
    <s v="YK263101137"/>
    <x v="9"/>
    <x v="9"/>
    <n v="1"/>
    <x v="3"/>
    <d v="2026-08-20T17:33:04"/>
    <x v="35"/>
    <x v="19"/>
    <x v="35"/>
    <s v="19BA13.00"/>
    <x v="4"/>
    <x v="1"/>
    <m/>
    <m/>
    <m/>
  </r>
  <r>
    <s v="YK263101138"/>
    <x v="17"/>
    <x v="17"/>
    <n v="1"/>
    <x v="3"/>
    <d v="2026-08-31T10:36:25"/>
    <x v="35"/>
    <x v="19"/>
    <x v="35"/>
    <s v="19BA13.00"/>
    <x v="4"/>
    <x v="1"/>
    <m/>
    <m/>
    <m/>
  </r>
  <r>
    <s v="YK263101139"/>
    <x v="10"/>
    <x v="10"/>
    <n v="1"/>
    <x v="7"/>
    <d v="2026-08-28T09:30:52"/>
    <x v="35"/>
    <x v="19"/>
    <x v="35"/>
    <s v="19BA13.00"/>
    <x v="4"/>
    <x v="1"/>
    <m/>
    <m/>
    <m/>
  </r>
  <r>
    <s v="YK263101140"/>
    <x v="7"/>
    <x v="7"/>
    <n v="1"/>
    <x v="3"/>
    <d v="2026-09-03T15:32:52"/>
    <x v="35"/>
    <x v="19"/>
    <x v="35"/>
    <s v="19BA13.00"/>
    <x v="4"/>
    <x v="1"/>
    <m/>
    <m/>
    <m/>
  </r>
  <r>
    <s v="YK263101141"/>
    <x v="9"/>
    <x v="9"/>
    <n v="1"/>
    <x v="3"/>
    <d v="2026-08-20T17:35:23"/>
    <x v="35"/>
    <x v="19"/>
    <x v="35"/>
    <s v="19BA13.00"/>
    <x v="4"/>
    <x v="1"/>
    <m/>
    <m/>
    <m/>
  </r>
  <r>
    <s v="YK263101142"/>
    <x v="3"/>
    <x v="3"/>
    <n v="1"/>
    <x v="4"/>
    <d v="2026-09-01T09:50:46"/>
    <x v="35"/>
    <x v="19"/>
    <x v="35"/>
    <s v="19BA13.00"/>
    <x v="4"/>
    <x v="1"/>
    <m/>
    <m/>
    <m/>
  </r>
  <r>
    <s v="YK263101143"/>
    <x v="3"/>
    <x v="3"/>
    <n v="1"/>
    <x v="4"/>
    <d v="2026-09-01T09:41:09"/>
    <x v="35"/>
    <x v="19"/>
    <x v="35"/>
    <s v="19BA13.00"/>
    <x v="4"/>
    <x v="1"/>
    <m/>
    <m/>
    <m/>
  </r>
  <r>
    <s v="YK263101144"/>
    <x v="3"/>
    <x v="3"/>
    <n v="1"/>
    <x v="4"/>
    <d v="2026-09-01T09:12:45"/>
    <x v="35"/>
    <x v="19"/>
    <x v="35"/>
    <s v="19BA13.00"/>
    <x v="4"/>
    <x v="1"/>
    <m/>
    <m/>
    <m/>
  </r>
  <r>
    <s v="YK263101145"/>
    <x v="0"/>
    <x v="0"/>
    <n v="1"/>
    <x v="1"/>
    <d v="2026-08-31T15:35:12"/>
    <x v="35"/>
    <x v="19"/>
    <x v="35"/>
    <s v="19BA13.00"/>
    <x v="4"/>
    <x v="1"/>
    <m/>
    <m/>
    <m/>
  </r>
  <r>
    <s v="YK263101146"/>
    <x v="3"/>
    <x v="3"/>
    <n v="1"/>
    <x v="4"/>
    <d v="2026-08-31T12:05:06"/>
    <x v="35"/>
    <x v="19"/>
    <x v="35"/>
    <s v="19BA13.00"/>
    <x v="4"/>
    <x v="1"/>
    <m/>
    <m/>
    <m/>
  </r>
  <r>
    <s v="YK263101147"/>
    <x v="3"/>
    <x v="3"/>
    <n v="1"/>
    <x v="4"/>
    <d v="2026-08-31T11:31:46"/>
    <x v="35"/>
    <x v="19"/>
    <x v="35"/>
    <s v="19BA13.00"/>
    <x v="4"/>
    <x v="1"/>
    <m/>
    <m/>
    <m/>
  </r>
  <r>
    <s v="YK263101148"/>
    <x v="3"/>
    <x v="3"/>
    <n v="1"/>
    <x v="4"/>
    <d v="2026-08-31T09:52:59"/>
    <x v="35"/>
    <x v="19"/>
    <x v="35"/>
    <s v="19BA13.00"/>
    <x v="4"/>
    <x v="1"/>
    <m/>
    <m/>
    <m/>
  </r>
  <r>
    <s v="YK263101149"/>
    <x v="0"/>
    <x v="0"/>
    <n v="1"/>
    <x v="1"/>
    <d v="2026-09-14T10:49:39"/>
    <x v="35"/>
    <x v="19"/>
    <x v="35"/>
    <s v="19BA13.00"/>
    <x v="4"/>
    <x v="1"/>
    <m/>
    <m/>
    <m/>
  </r>
  <r>
    <s v="YK263101150"/>
    <x v="3"/>
    <x v="3"/>
    <n v="1"/>
    <x v="4"/>
    <d v="2026-08-31T11:45:17"/>
    <x v="35"/>
    <x v="19"/>
    <x v="35"/>
    <s v="19BA13.00"/>
    <x v="4"/>
    <x v="1"/>
    <m/>
    <m/>
    <m/>
  </r>
  <r>
    <s v="YK263101151"/>
    <x v="9"/>
    <x v="9"/>
    <n v="1"/>
    <x v="3"/>
    <d v="2026-08-20T18:36:59"/>
    <x v="35"/>
    <x v="19"/>
    <x v="35"/>
    <s v="19BA13.00"/>
    <x v="4"/>
    <x v="1"/>
    <m/>
    <m/>
    <m/>
  </r>
  <r>
    <s v="YK263101152"/>
    <x v="3"/>
    <x v="3"/>
    <n v="1"/>
    <x v="4"/>
    <d v="2026-08-31T13:10:42"/>
    <x v="35"/>
    <x v="19"/>
    <x v="35"/>
    <s v="19BA13.00"/>
    <x v="4"/>
    <x v="1"/>
    <m/>
    <m/>
    <m/>
  </r>
  <r>
    <s v="YK263101153"/>
    <x v="3"/>
    <x v="3"/>
    <n v="1"/>
    <x v="4"/>
    <d v="2026-08-31T10:46:05"/>
    <x v="35"/>
    <x v="19"/>
    <x v="35"/>
    <s v="19BA13.00"/>
    <x v="4"/>
    <x v="1"/>
    <m/>
    <m/>
    <m/>
  </r>
  <r>
    <s v="YK263101154"/>
    <x v="0"/>
    <x v="0"/>
    <n v="1"/>
    <x v="1"/>
    <d v="2026-09-14T06:24:50"/>
    <x v="35"/>
    <x v="19"/>
    <x v="35"/>
    <s v="19BA13.00"/>
    <x v="4"/>
    <x v="1"/>
    <m/>
    <m/>
    <m/>
  </r>
  <r>
    <s v="YK263101155"/>
    <x v="0"/>
    <x v="0"/>
    <n v="1"/>
    <x v="1"/>
    <d v="2026-09-14T06:23:47"/>
    <x v="35"/>
    <x v="19"/>
    <x v="35"/>
    <s v="19BA13.00"/>
    <x v="4"/>
    <x v="1"/>
    <m/>
    <m/>
    <m/>
  </r>
  <r>
    <s v="YK263101156"/>
    <x v="3"/>
    <x v="3"/>
    <n v="1"/>
    <x v="4"/>
    <d v="2026-08-31T11:37:26"/>
    <x v="35"/>
    <x v="19"/>
    <x v="35"/>
    <s v="19BA13.00"/>
    <x v="4"/>
    <x v="1"/>
    <m/>
    <m/>
    <m/>
  </r>
  <r>
    <s v="YK263101157"/>
    <x v="10"/>
    <x v="10"/>
    <n v="1"/>
    <x v="7"/>
    <d v="2026-09-09T08:42:46"/>
    <x v="35"/>
    <x v="19"/>
    <x v="35"/>
    <s v="19BA13.00"/>
    <x v="4"/>
    <x v="1"/>
    <m/>
    <m/>
    <m/>
  </r>
  <r>
    <s v="YK263101158"/>
    <x v="7"/>
    <x v="7"/>
    <n v="1"/>
    <x v="3"/>
    <d v="2026-08-31T14:47:15"/>
    <x v="35"/>
    <x v="19"/>
    <x v="35"/>
    <s v="19BA13.00"/>
    <x v="4"/>
    <x v="1"/>
    <m/>
    <m/>
    <m/>
  </r>
  <r>
    <s v="YK263101159"/>
    <x v="7"/>
    <x v="7"/>
    <n v="1"/>
    <x v="3"/>
    <d v="2026-08-31T14:37:29"/>
    <x v="35"/>
    <x v="19"/>
    <x v="35"/>
    <s v="19BA13.00"/>
    <x v="4"/>
    <x v="1"/>
    <m/>
    <m/>
    <m/>
  </r>
  <r>
    <s v="YK263101160"/>
    <x v="3"/>
    <x v="3"/>
    <n v="1"/>
    <x v="4"/>
    <d v="2026-08-31T11:59:02"/>
    <x v="35"/>
    <x v="19"/>
    <x v="35"/>
    <s v="19BA13.00"/>
    <x v="4"/>
    <x v="1"/>
    <m/>
    <m/>
    <m/>
  </r>
  <r>
    <s v="YK263101161"/>
    <x v="3"/>
    <x v="3"/>
    <n v="1"/>
    <x v="4"/>
    <d v="2026-09-01T09:06:19"/>
    <x v="35"/>
    <x v="19"/>
    <x v="35"/>
    <s v="19BA13.00"/>
    <x v="4"/>
    <x v="1"/>
    <m/>
    <m/>
    <m/>
  </r>
  <r>
    <s v="YK263101162"/>
    <x v="3"/>
    <x v="3"/>
    <n v="1"/>
    <x v="4"/>
    <d v="2026-09-01T09:17:02"/>
    <x v="35"/>
    <x v="19"/>
    <x v="35"/>
    <s v="19BA13.00"/>
    <x v="4"/>
    <x v="1"/>
    <m/>
    <m/>
    <m/>
  </r>
  <r>
    <s v="YK263101163"/>
    <x v="3"/>
    <x v="3"/>
    <n v="1"/>
    <x v="4"/>
    <d v="2026-09-01T09:22:43"/>
    <x v="35"/>
    <x v="19"/>
    <x v="35"/>
    <s v="19BA13.00"/>
    <x v="4"/>
    <x v="1"/>
    <m/>
    <m/>
    <m/>
  </r>
  <r>
    <s v="YK263101164"/>
    <x v="3"/>
    <x v="3"/>
    <n v="1"/>
    <x v="4"/>
    <d v="2026-09-01T10:02:20"/>
    <x v="35"/>
    <x v="19"/>
    <x v="35"/>
    <s v="19BA13.00"/>
    <x v="4"/>
    <x v="1"/>
    <m/>
    <m/>
    <m/>
  </r>
  <r>
    <s v="YK263101165"/>
    <x v="10"/>
    <x v="10"/>
    <n v="1"/>
    <x v="7"/>
    <d v="2026-09-03T08:23:38"/>
    <x v="35"/>
    <x v="19"/>
    <x v="35"/>
    <s v="19BA13.00"/>
    <x v="4"/>
    <x v="1"/>
    <m/>
    <m/>
    <m/>
  </r>
  <r>
    <s v="YK263101166"/>
    <x v="7"/>
    <x v="7"/>
    <n v="1"/>
    <x v="3"/>
    <d v="2026-08-31T14:49:38"/>
    <x v="35"/>
    <x v="19"/>
    <x v="35"/>
    <s v="19BA13.00"/>
    <x v="4"/>
    <x v="1"/>
    <m/>
    <m/>
    <m/>
  </r>
  <r>
    <s v="YK263101167"/>
    <x v="7"/>
    <x v="7"/>
    <n v="1"/>
    <x v="3"/>
    <d v="2026-08-31T14:44:18"/>
    <x v="35"/>
    <x v="19"/>
    <x v="35"/>
    <s v="19BA13.00"/>
    <x v="4"/>
    <x v="1"/>
    <m/>
    <m/>
    <m/>
  </r>
  <r>
    <s v="YK263101168"/>
    <x v="7"/>
    <x v="7"/>
    <n v="1"/>
    <x v="3"/>
    <d v="2026-08-31T14:57:13"/>
    <x v="35"/>
    <x v="19"/>
    <x v="35"/>
    <s v="19BA13.00"/>
    <x v="4"/>
    <x v="1"/>
    <m/>
    <m/>
    <m/>
  </r>
  <r>
    <s v="YK263101169"/>
    <x v="9"/>
    <x v="9"/>
    <n v="1"/>
    <x v="3"/>
    <d v="2026-08-20T21:07:24"/>
    <x v="35"/>
    <x v="19"/>
    <x v="35"/>
    <s v="19BA13.00"/>
    <x v="4"/>
    <x v="1"/>
    <m/>
    <m/>
    <m/>
  </r>
  <r>
    <s v="YK263101170"/>
    <x v="7"/>
    <x v="7"/>
    <n v="1"/>
    <x v="3"/>
    <d v="2026-08-31T14:41:14"/>
    <x v="35"/>
    <x v="19"/>
    <x v="35"/>
    <s v="19BA13.00"/>
    <x v="4"/>
    <x v="1"/>
    <m/>
    <m/>
    <m/>
  </r>
  <r>
    <s v="YK263101171"/>
    <x v="9"/>
    <x v="9"/>
    <n v="1"/>
    <x v="3"/>
    <d v="2026-08-20T21:09:57"/>
    <x v="35"/>
    <x v="19"/>
    <x v="35"/>
    <s v="19BA13.00"/>
    <x v="4"/>
    <x v="1"/>
    <m/>
    <m/>
    <m/>
  </r>
  <r>
    <s v="YK263101172"/>
    <x v="7"/>
    <x v="7"/>
    <n v="1"/>
    <x v="3"/>
    <d v="2026-08-31T14:54:55"/>
    <x v="35"/>
    <x v="19"/>
    <x v="35"/>
    <s v="19BA13.00"/>
    <x v="4"/>
    <x v="1"/>
    <m/>
    <m/>
    <m/>
  </r>
  <r>
    <s v="YK263101173"/>
    <x v="9"/>
    <x v="9"/>
    <n v="1"/>
    <x v="3"/>
    <d v="2026-08-20T21:12:20"/>
    <x v="35"/>
    <x v="19"/>
    <x v="35"/>
    <s v="19BA13.00"/>
    <x v="4"/>
    <x v="1"/>
    <m/>
    <m/>
    <m/>
  </r>
  <r>
    <s v="YK263101174"/>
    <x v="7"/>
    <x v="7"/>
    <n v="1"/>
    <x v="3"/>
    <d v="2026-08-31T15:03:24"/>
    <x v="35"/>
    <x v="19"/>
    <x v="35"/>
    <s v="19BA13.00"/>
    <x v="4"/>
    <x v="1"/>
    <m/>
    <m/>
    <m/>
  </r>
  <r>
    <s v="YK263101175"/>
    <x v="7"/>
    <x v="7"/>
    <n v="1"/>
    <x v="3"/>
    <d v="2026-08-31T15:00:41"/>
    <x v="35"/>
    <x v="19"/>
    <x v="35"/>
    <s v="19BA13.00"/>
    <x v="4"/>
    <x v="1"/>
    <m/>
    <m/>
    <m/>
  </r>
  <r>
    <s v="YK263101176"/>
    <x v="7"/>
    <x v="7"/>
    <n v="1"/>
    <x v="3"/>
    <d v="2026-08-31T15:07:53"/>
    <x v="35"/>
    <x v="19"/>
    <x v="35"/>
    <s v="19BA13.00"/>
    <x v="4"/>
    <x v="1"/>
    <m/>
    <m/>
    <m/>
  </r>
  <r>
    <s v="YK263101177"/>
    <x v="7"/>
    <x v="7"/>
    <n v="1"/>
    <x v="3"/>
    <d v="2026-09-03T09:28:20"/>
    <x v="35"/>
    <x v="19"/>
    <x v="35"/>
    <s v="19BA13.00"/>
    <x v="4"/>
    <x v="1"/>
    <m/>
    <m/>
    <m/>
  </r>
  <r>
    <s v="YK263101178"/>
    <x v="7"/>
    <x v="7"/>
    <n v="1"/>
    <x v="3"/>
    <d v="2026-09-03T08:48:36"/>
    <x v="35"/>
    <x v="19"/>
    <x v="35"/>
    <s v="19BA13.00"/>
    <x v="4"/>
    <x v="1"/>
    <m/>
    <m/>
    <m/>
  </r>
  <r>
    <s v="YK263101179"/>
    <x v="7"/>
    <x v="7"/>
    <n v="1"/>
    <x v="3"/>
    <d v="2026-08-31T15:05:26"/>
    <x v="35"/>
    <x v="19"/>
    <x v="35"/>
    <s v="19BA13.00"/>
    <x v="4"/>
    <x v="1"/>
    <m/>
    <m/>
    <m/>
  </r>
  <r>
    <s v="YK263101180"/>
    <x v="7"/>
    <x v="7"/>
    <n v="1"/>
    <x v="3"/>
    <d v="2026-09-03T09:36:32"/>
    <x v="35"/>
    <x v="19"/>
    <x v="35"/>
    <s v="19BA13.00"/>
    <x v="4"/>
    <x v="1"/>
    <m/>
    <m/>
    <m/>
  </r>
  <r>
    <s v="YK263101181"/>
    <x v="7"/>
    <x v="7"/>
    <n v="1"/>
    <x v="3"/>
    <d v="2026-09-03T09:34:08"/>
    <x v="35"/>
    <x v="19"/>
    <x v="35"/>
    <s v="19BA13.00"/>
    <x v="4"/>
    <x v="1"/>
    <m/>
    <m/>
    <m/>
  </r>
  <r>
    <s v="YK263101182"/>
    <x v="7"/>
    <x v="7"/>
    <n v="1"/>
    <x v="3"/>
    <d v="2026-09-03T09:30:29"/>
    <x v="35"/>
    <x v="19"/>
    <x v="35"/>
    <s v="19BA13.00"/>
    <x v="4"/>
    <x v="1"/>
    <m/>
    <m/>
    <m/>
  </r>
  <r>
    <s v="YK263101183"/>
    <x v="7"/>
    <x v="7"/>
    <n v="1"/>
    <x v="3"/>
    <d v="2026-09-03T09:47:49"/>
    <x v="35"/>
    <x v="19"/>
    <x v="35"/>
    <s v="19BA13.00"/>
    <x v="4"/>
    <x v="1"/>
    <m/>
    <m/>
    <m/>
  </r>
  <r>
    <s v="YK263101184"/>
    <x v="7"/>
    <x v="7"/>
    <n v="1"/>
    <x v="3"/>
    <d v="2026-09-03T08:33:09"/>
    <x v="35"/>
    <x v="19"/>
    <x v="35"/>
    <s v="19BA13.00"/>
    <x v="4"/>
    <x v="1"/>
    <m/>
    <m/>
    <m/>
  </r>
  <r>
    <s v="YK263101185"/>
    <x v="7"/>
    <x v="7"/>
    <n v="1"/>
    <x v="3"/>
    <d v="2026-09-03T09:40:56"/>
    <x v="35"/>
    <x v="19"/>
    <x v="35"/>
    <s v="19BA13.00"/>
    <x v="4"/>
    <x v="1"/>
    <m/>
    <m/>
    <m/>
  </r>
  <r>
    <s v="YK263101186"/>
    <x v="9"/>
    <x v="9"/>
    <n v="1"/>
    <x v="3"/>
    <d v="2026-08-21T06:09:25"/>
    <x v="35"/>
    <x v="19"/>
    <x v="35"/>
    <s v="19BA13.00"/>
    <x v="4"/>
    <x v="1"/>
    <m/>
    <m/>
    <m/>
  </r>
  <r>
    <s v="YK263101187"/>
    <x v="7"/>
    <x v="7"/>
    <n v="1"/>
    <x v="3"/>
    <d v="2026-09-03T09:45:30"/>
    <x v="35"/>
    <x v="19"/>
    <x v="35"/>
    <s v="19BA13.00"/>
    <x v="4"/>
    <x v="1"/>
    <m/>
    <m/>
    <m/>
  </r>
  <r>
    <s v="YK263101188"/>
    <x v="7"/>
    <x v="7"/>
    <n v="1"/>
    <x v="3"/>
    <d v="2026-09-03T09:56:43"/>
    <x v="35"/>
    <x v="19"/>
    <x v="35"/>
    <s v="19BA13.00"/>
    <x v="4"/>
    <x v="1"/>
    <m/>
    <m/>
    <m/>
  </r>
  <r>
    <s v="YK263101189"/>
    <x v="7"/>
    <x v="7"/>
    <n v="1"/>
    <x v="3"/>
    <d v="2026-09-03T09:50:47"/>
    <x v="35"/>
    <x v="19"/>
    <x v="35"/>
    <s v="19BA13.00"/>
    <x v="4"/>
    <x v="1"/>
    <m/>
    <m/>
    <m/>
  </r>
  <r>
    <s v="YK263101190"/>
    <x v="7"/>
    <x v="7"/>
    <n v="1"/>
    <x v="3"/>
    <d v="2026-09-03T08:07:03"/>
    <x v="35"/>
    <x v="19"/>
    <x v="35"/>
    <s v="19BA13.00"/>
    <x v="4"/>
    <x v="1"/>
    <m/>
    <m/>
    <m/>
  </r>
  <r>
    <s v="YK263101191"/>
    <x v="7"/>
    <x v="7"/>
    <n v="1"/>
    <x v="3"/>
    <d v="2026-09-03T08:45:50"/>
    <x v="35"/>
    <x v="19"/>
    <x v="35"/>
    <s v="19BA13.00"/>
    <x v="4"/>
    <x v="1"/>
    <m/>
    <m/>
    <m/>
  </r>
  <r>
    <s v="YK263101192"/>
    <x v="9"/>
    <x v="9"/>
    <n v="1"/>
    <x v="3"/>
    <d v="2026-08-21T06:05:44"/>
    <x v="35"/>
    <x v="19"/>
    <x v="35"/>
    <s v="19BA13.00"/>
    <x v="4"/>
    <x v="1"/>
    <m/>
    <m/>
    <m/>
  </r>
  <r>
    <s v="YK263101193"/>
    <x v="7"/>
    <x v="7"/>
    <n v="1"/>
    <x v="3"/>
    <d v="2026-09-03T08:55:32"/>
    <x v="35"/>
    <x v="19"/>
    <x v="35"/>
    <s v="19BA13.00"/>
    <x v="4"/>
    <x v="1"/>
    <m/>
    <m/>
    <m/>
  </r>
  <r>
    <s v="YK263101194"/>
    <x v="7"/>
    <x v="7"/>
    <n v="1"/>
    <x v="3"/>
    <d v="2026-09-03T08:58:13"/>
    <x v="35"/>
    <x v="19"/>
    <x v="35"/>
    <s v="19BA13.00"/>
    <x v="4"/>
    <x v="1"/>
    <m/>
    <m/>
    <m/>
  </r>
  <r>
    <s v="YK263101195"/>
    <x v="9"/>
    <x v="9"/>
    <n v="1"/>
    <x v="3"/>
    <d v="2026-08-21T06:23:21"/>
    <x v="35"/>
    <x v="19"/>
    <x v="35"/>
    <s v="19BA13.00"/>
    <x v="4"/>
    <x v="1"/>
    <m/>
    <m/>
    <m/>
  </r>
  <r>
    <s v="YK263101196"/>
    <x v="9"/>
    <x v="9"/>
    <n v="1"/>
    <x v="3"/>
    <d v="2026-08-21T06:25:31"/>
    <x v="35"/>
    <x v="19"/>
    <x v="35"/>
    <s v="19BA13.00"/>
    <x v="4"/>
    <x v="1"/>
    <m/>
    <m/>
    <m/>
  </r>
  <r>
    <s v="YK263101197"/>
    <x v="9"/>
    <x v="9"/>
    <n v="1"/>
    <x v="3"/>
    <d v="2026-08-21T06:27:29"/>
    <x v="35"/>
    <x v="19"/>
    <x v="35"/>
    <s v="19BA13.00"/>
    <x v="4"/>
    <x v="1"/>
    <m/>
    <m/>
    <m/>
  </r>
  <r>
    <s v="YK263101198"/>
    <x v="9"/>
    <x v="9"/>
    <n v="1"/>
    <x v="3"/>
    <d v="2026-08-21T06:31:49"/>
    <x v="35"/>
    <x v="19"/>
    <x v="35"/>
    <s v="19BA13.00"/>
    <x v="4"/>
    <x v="1"/>
    <m/>
    <m/>
    <m/>
  </r>
  <r>
    <s v="YK263101199"/>
    <x v="9"/>
    <x v="9"/>
    <n v="1"/>
    <x v="3"/>
    <d v="2026-08-21T06:35:32"/>
    <x v="35"/>
    <x v="19"/>
    <x v="35"/>
    <s v="19BA13.00"/>
    <x v="4"/>
    <x v="1"/>
    <m/>
    <m/>
    <m/>
  </r>
  <r>
    <s v="YK263101200"/>
    <x v="10"/>
    <x v="10"/>
    <n v="1"/>
    <x v="7"/>
    <d v="2026-09-04T11:42:33"/>
    <x v="35"/>
    <x v="19"/>
    <x v="35"/>
    <s v="19BA13.00"/>
    <x v="4"/>
    <x v="1"/>
    <m/>
    <m/>
    <m/>
  </r>
  <r>
    <s v="YK263101201"/>
    <x v="7"/>
    <x v="7"/>
    <n v="1"/>
    <x v="3"/>
    <d v="2026-09-03T08:50:37"/>
    <x v="35"/>
    <x v="19"/>
    <x v="35"/>
    <s v="19BA13.00"/>
    <x v="4"/>
    <x v="1"/>
    <m/>
    <m/>
    <m/>
  </r>
  <r>
    <s v="YK263101202"/>
    <x v="7"/>
    <x v="7"/>
    <n v="1"/>
    <x v="3"/>
    <d v="2026-09-03T08:36:12"/>
    <x v="35"/>
    <x v="19"/>
    <x v="35"/>
    <s v="19BA13.00"/>
    <x v="4"/>
    <x v="1"/>
    <m/>
    <m/>
    <m/>
  </r>
  <r>
    <s v="YK263101203"/>
    <x v="9"/>
    <x v="9"/>
    <n v="1"/>
    <x v="3"/>
    <d v="2026-08-21T06:43:38"/>
    <x v="35"/>
    <x v="19"/>
    <x v="35"/>
    <s v="19BA13.00"/>
    <x v="4"/>
    <x v="1"/>
    <m/>
    <m/>
    <m/>
  </r>
  <r>
    <s v="YK263101204"/>
    <x v="7"/>
    <x v="7"/>
    <n v="1"/>
    <x v="3"/>
    <d v="2026-09-04T11:18:32"/>
    <x v="35"/>
    <x v="19"/>
    <x v="35"/>
    <s v="19BA13.00"/>
    <x v="4"/>
    <x v="1"/>
    <m/>
    <m/>
    <m/>
  </r>
  <r>
    <s v="YK263101205"/>
    <x v="7"/>
    <x v="7"/>
    <n v="1"/>
    <x v="3"/>
    <d v="2026-09-04T11:24:58"/>
    <x v="35"/>
    <x v="19"/>
    <x v="35"/>
    <s v="19BA13.00"/>
    <x v="4"/>
    <x v="1"/>
    <m/>
    <m/>
    <m/>
  </r>
  <r>
    <s v="YK263101206"/>
    <x v="10"/>
    <x v="10"/>
    <n v="1"/>
    <x v="7"/>
    <d v="2026-09-04T11:45:18"/>
    <x v="35"/>
    <x v="19"/>
    <x v="35"/>
    <s v="19BA13.00"/>
    <x v="4"/>
    <x v="1"/>
    <m/>
    <m/>
    <m/>
  </r>
  <r>
    <s v="YK263101207"/>
    <x v="7"/>
    <x v="7"/>
    <n v="1"/>
    <x v="3"/>
    <d v="2026-09-04T11:39:27"/>
    <x v="35"/>
    <x v="19"/>
    <x v="35"/>
    <s v="19BA13.00"/>
    <x v="4"/>
    <x v="1"/>
    <m/>
    <m/>
    <m/>
  </r>
  <r>
    <s v="YK263101208"/>
    <x v="10"/>
    <x v="10"/>
    <n v="1"/>
    <x v="7"/>
    <d v="2026-09-04T11:53:47"/>
    <x v="35"/>
    <x v="19"/>
    <x v="35"/>
    <s v="19BA13.00"/>
    <x v="4"/>
    <x v="1"/>
    <m/>
    <m/>
    <m/>
  </r>
  <r>
    <s v="YK263101209"/>
    <x v="7"/>
    <x v="7"/>
    <n v="1"/>
    <x v="3"/>
    <d v="2026-09-04T11:29:41"/>
    <x v="35"/>
    <x v="19"/>
    <x v="35"/>
    <s v="19BA13.00"/>
    <x v="4"/>
    <x v="1"/>
    <m/>
    <m/>
    <m/>
  </r>
  <r>
    <s v="YK263101210"/>
    <x v="7"/>
    <x v="7"/>
    <n v="1"/>
    <x v="3"/>
    <d v="2026-09-03T09:59:04"/>
    <x v="35"/>
    <x v="19"/>
    <x v="35"/>
    <s v="19BA13.00"/>
    <x v="4"/>
    <x v="1"/>
    <m/>
    <m/>
    <m/>
  </r>
  <r>
    <s v="YK263101211"/>
    <x v="9"/>
    <x v="9"/>
    <n v="1"/>
    <x v="3"/>
    <d v="2026-08-21T06:54:14"/>
    <x v="35"/>
    <x v="19"/>
    <x v="35"/>
    <s v="19BA13.00"/>
    <x v="4"/>
    <x v="1"/>
    <m/>
    <m/>
    <m/>
  </r>
  <r>
    <s v="YK263101212"/>
    <x v="7"/>
    <x v="7"/>
    <n v="1"/>
    <x v="3"/>
    <d v="2026-09-04T11:36:43"/>
    <x v="35"/>
    <x v="19"/>
    <x v="35"/>
    <s v="19BA13.00"/>
    <x v="4"/>
    <x v="1"/>
    <m/>
    <m/>
    <m/>
  </r>
  <r>
    <s v="YK263101213"/>
    <x v="7"/>
    <x v="7"/>
    <n v="1"/>
    <x v="3"/>
    <d v="2026-09-04T11:34:09"/>
    <x v="35"/>
    <x v="19"/>
    <x v="35"/>
    <s v="19BA13.00"/>
    <x v="4"/>
    <x v="1"/>
    <m/>
    <m/>
    <m/>
  </r>
  <r>
    <s v="YK263101214"/>
    <x v="7"/>
    <x v="7"/>
    <n v="1"/>
    <x v="3"/>
    <d v="2026-09-04T11:09:00"/>
    <x v="35"/>
    <x v="19"/>
    <x v="35"/>
    <s v="19BA13.00"/>
    <x v="4"/>
    <x v="1"/>
    <m/>
    <m/>
    <m/>
  </r>
  <r>
    <s v="YK263101215"/>
    <x v="7"/>
    <x v="7"/>
    <n v="1"/>
    <x v="3"/>
    <d v="2026-09-04T11:06:25"/>
    <x v="35"/>
    <x v="19"/>
    <x v="35"/>
    <s v="19BA13.00"/>
    <x v="4"/>
    <x v="1"/>
    <m/>
    <m/>
    <m/>
  </r>
  <r>
    <s v="YK263101216"/>
    <x v="7"/>
    <x v="7"/>
    <n v="1"/>
    <x v="3"/>
    <d v="2026-09-04T11:16:22"/>
    <x v="35"/>
    <x v="19"/>
    <x v="35"/>
    <s v="19BA13.00"/>
    <x v="4"/>
    <x v="1"/>
    <m/>
    <m/>
    <m/>
  </r>
  <r>
    <s v="YK263101217"/>
    <x v="7"/>
    <x v="7"/>
    <n v="1"/>
    <x v="3"/>
    <d v="2026-09-04T10:58:12"/>
    <x v="35"/>
    <x v="19"/>
    <x v="35"/>
    <s v="19BA13.00"/>
    <x v="4"/>
    <x v="1"/>
    <m/>
    <m/>
    <m/>
  </r>
  <r>
    <s v="YK263101218"/>
    <x v="7"/>
    <x v="7"/>
    <n v="1"/>
    <x v="3"/>
    <d v="2026-09-04T11:01:11"/>
    <x v="35"/>
    <x v="19"/>
    <x v="35"/>
    <s v="19BA13.00"/>
    <x v="4"/>
    <x v="1"/>
    <m/>
    <m/>
    <m/>
  </r>
  <r>
    <s v="YK263101219"/>
    <x v="7"/>
    <x v="7"/>
    <n v="1"/>
    <x v="3"/>
    <d v="2026-09-04T11:03:35"/>
    <x v="35"/>
    <x v="19"/>
    <x v="35"/>
    <s v="19BA13.00"/>
    <x v="4"/>
    <x v="1"/>
    <m/>
    <m/>
    <m/>
  </r>
  <r>
    <s v="YK263101220"/>
    <x v="9"/>
    <x v="9"/>
    <n v="1"/>
    <x v="3"/>
    <d v="2026-08-21T07:36:18"/>
    <x v="35"/>
    <x v="19"/>
    <x v="35"/>
    <s v="19BA13.00"/>
    <x v="4"/>
    <x v="1"/>
    <m/>
    <m/>
    <m/>
  </r>
  <r>
    <s v="YK263101221"/>
    <x v="7"/>
    <x v="7"/>
    <n v="1"/>
    <x v="3"/>
    <d v="2026-09-04T11:12:47"/>
    <x v="35"/>
    <x v="19"/>
    <x v="35"/>
    <s v="19BA13.00"/>
    <x v="4"/>
    <x v="1"/>
    <m/>
    <m/>
    <m/>
  </r>
  <r>
    <s v="YK263101222"/>
    <x v="3"/>
    <x v="3"/>
    <n v="1"/>
    <x v="4"/>
    <d v="2026-09-15T22:18:42"/>
    <x v="35"/>
    <x v="19"/>
    <x v="35"/>
    <s v="19BA13.00"/>
    <x v="4"/>
    <x v="1"/>
    <m/>
    <m/>
    <m/>
  </r>
  <r>
    <s v="YK263101223"/>
    <x v="9"/>
    <x v="9"/>
    <n v="1"/>
    <x v="3"/>
    <d v="2026-08-21T07:41:18"/>
    <x v="35"/>
    <x v="19"/>
    <x v="35"/>
    <s v="19BA13.00"/>
    <x v="4"/>
    <x v="1"/>
    <m/>
    <m/>
    <m/>
  </r>
  <r>
    <s v="YK263101224"/>
    <x v="7"/>
    <x v="7"/>
    <n v="1"/>
    <x v="3"/>
    <d v="2026-08-31T15:11:19"/>
    <x v="35"/>
    <x v="19"/>
    <x v="35"/>
    <s v="19BA13.00"/>
    <x v="4"/>
    <x v="1"/>
    <m/>
    <m/>
    <m/>
  </r>
  <r>
    <s v="YK263101225"/>
    <x v="0"/>
    <x v="0"/>
    <n v="1"/>
    <x v="0"/>
    <d v="2026-07-31T11:43:30"/>
    <x v="35"/>
    <x v="19"/>
    <x v="35"/>
    <s v="19BA13.00"/>
    <x v="4"/>
    <x v="1"/>
    <m/>
    <m/>
    <m/>
  </r>
  <r>
    <s v="YK263101226"/>
    <x v="3"/>
    <x v="3"/>
    <n v="1"/>
    <x v="4"/>
    <d v="2026-09-16T09:18:29"/>
    <x v="35"/>
    <x v="19"/>
    <x v="35"/>
    <s v="19BA13.00"/>
    <x v="4"/>
    <x v="1"/>
    <m/>
    <m/>
    <m/>
  </r>
  <r>
    <s v="YK263101227"/>
    <x v="7"/>
    <x v="7"/>
    <n v="1"/>
    <x v="3"/>
    <d v="2026-09-04T14:28:02"/>
    <x v="35"/>
    <x v="19"/>
    <x v="35"/>
    <s v="19BA13.00"/>
    <x v="4"/>
    <x v="1"/>
    <m/>
    <m/>
    <m/>
  </r>
  <r>
    <s v="YK263101228"/>
    <x v="7"/>
    <x v="7"/>
    <n v="1"/>
    <x v="3"/>
    <d v="2026-09-09T08:31:27"/>
    <x v="35"/>
    <x v="19"/>
    <x v="35"/>
    <s v="19BA13.00"/>
    <x v="4"/>
    <x v="1"/>
    <m/>
    <m/>
    <m/>
  </r>
  <r>
    <s v="YK263101229"/>
    <x v="10"/>
    <x v="10"/>
    <n v="1"/>
    <x v="7"/>
    <d v="2026-09-09T08:51:28"/>
    <x v="35"/>
    <x v="19"/>
    <x v="35"/>
    <s v="19BA13.00"/>
    <x v="4"/>
    <x v="1"/>
    <m/>
    <m/>
    <m/>
  </r>
  <r>
    <s v="YK263101230"/>
    <x v="10"/>
    <x v="10"/>
    <n v="1"/>
    <x v="7"/>
    <d v="2026-09-09T08:48:37"/>
    <x v="35"/>
    <x v="19"/>
    <x v="35"/>
    <s v="19BA13.00"/>
    <x v="4"/>
    <x v="1"/>
    <m/>
    <m/>
    <m/>
  </r>
  <r>
    <s v="YK263101231"/>
    <x v="7"/>
    <x v="7"/>
    <n v="1"/>
    <x v="3"/>
    <d v="2026-09-09T08:40:05"/>
    <x v="35"/>
    <x v="19"/>
    <x v="35"/>
    <s v="19BA13.00"/>
    <x v="4"/>
    <x v="1"/>
    <m/>
    <m/>
    <m/>
  </r>
  <r>
    <s v="YK263101232"/>
    <x v="10"/>
    <x v="10"/>
    <n v="1"/>
    <x v="7"/>
    <d v="2026-09-09T08:46:34"/>
    <x v="35"/>
    <x v="19"/>
    <x v="35"/>
    <s v="19BA13.00"/>
    <x v="4"/>
    <x v="1"/>
    <m/>
    <m/>
    <m/>
  </r>
  <r>
    <s v="YK263101233"/>
    <x v="7"/>
    <x v="7"/>
    <n v="1"/>
    <x v="3"/>
    <d v="2026-09-04T14:24:44"/>
    <x v="35"/>
    <x v="19"/>
    <x v="35"/>
    <s v="19BA13.00"/>
    <x v="4"/>
    <x v="1"/>
    <m/>
    <m/>
    <m/>
  </r>
  <r>
    <s v="YK263101234"/>
    <x v="10"/>
    <x v="10"/>
    <n v="1"/>
    <x v="7"/>
    <d v="2026-09-09T08:54:14"/>
    <x v="35"/>
    <x v="19"/>
    <x v="35"/>
    <s v="19BA13.00"/>
    <x v="4"/>
    <x v="1"/>
    <m/>
    <m/>
    <m/>
  </r>
  <r>
    <s v="YK263101235"/>
    <x v="7"/>
    <x v="7"/>
    <n v="1"/>
    <x v="3"/>
    <d v="2026-09-09T08:12:23"/>
    <x v="35"/>
    <x v="19"/>
    <x v="35"/>
    <s v="19BA13.00"/>
    <x v="4"/>
    <x v="1"/>
    <m/>
    <m/>
    <m/>
  </r>
  <r>
    <s v="YK263101236"/>
    <x v="7"/>
    <x v="7"/>
    <n v="1"/>
    <x v="3"/>
    <d v="2026-09-09T08:14:19"/>
    <x v="35"/>
    <x v="19"/>
    <x v="35"/>
    <s v="19BA13.00"/>
    <x v="4"/>
    <x v="1"/>
    <m/>
    <m/>
    <m/>
  </r>
  <r>
    <s v="YK263101237"/>
    <x v="7"/>
    <x v="7"/>
    <n v="1"/>
    <x v="3"/>
    <d v="2026-09-04T14:30:26"/>
    <x v="35"/>
    <x v="19"/>
    <x v="35"/>
    <s v="19BA13.00"/>
    <x v="4"/>
    <x v="1"/>
    <m/>
    <m/>
    <m/>
  </r>
  <r>
    <s v="YK263101238"/>
    <x v="7"/>
    <x v="7"/>
    <n v="1"/>
    <x v="3"/>
    <d v="2026-09-04T14:32:48"/>
    <x v="35"/>
    <x v="19"/>
    <x v="35"/>
    <s v="19BA13.00"/>
    <x v="4"/>
    <x v="1"/>
    <m/>
    <m/>
    <m/>
  </r>
  <r>
    <s v="YK263101239"/>
    <x v="7"/>
    <x v="7"/>
    <n v="1"/>
    <x v="3"/>
    <d v="2026-09-03T07:38:07"/>
    <x v="35"/>
    <x v="19"/>
    <x v="35"/>
    <s v="19BA13.00"/>
    <x v="4"/>
    <x v="1"/>
    <m/>
    <m/>
    <m/>
  </r>
  <r>
    <s v="YK263101240"/>
    <x v="7"/>
    <x v="7"/>
    <n v="1"/>
    <x v="3"/>
    <d v="2026-09-09T08:33:28"/>
    <x v="35"/>
    <x v="19"/>
    <x v="35"/>
    <s v="19BA13.00"/>
    <x v="4"/>
    <x v="1"/>
    <m/>
    <m/>
    <m/>
  </r>
  <r>
    <s v="YK263101241"/>
    <x v="7"/>
    <x v="7"/>
    <n v="1"/>
    <x v="3"/>
    <d v="2026-09-03T07:41:23"/>
    <x v="35"/>
    <x v="19"/>
    <x v="35"/>
    <s v="19BA13.00"/>
    <x v="4"/>
    <x v="1"/>
    <m/>
    <m/>
    <m/>
  </r>
  <r>
    <s v="YK263101242"/>
    <x v="9"/>
    <x v="9"/>
    <n v="1"/>
    <x v="3"/>
    <d v="2026-08-21T08:24:27"/>
    <x v="35"/>
    <x v="19"/>
    <x v="35"/>
    <s v="19BA13.00"/>
    <x v="4"/>
    <x v="1"/>
    <m/>
    <m/>
    <m/>
  </r>
  <r>
    <s v="YK263101243"/>
    <x v="7"/>
    <x v="7"/>
    <n v="1"/>
    <x v="3"/>
    <d v="2026-09-09T08:34:58"/>
    <x v="35"/>
    <x v="19"/>
    <x v="35"/>
    <s v="19BA13.00"/>
    <x v="4"/>
    <x v="1"/>
    <m/>
    <m/>
    <m/>
  </r>
  <r>
    <s v="YK263101244"/>
    <x v="7"/>
    <x v="7"/>
    <n v="1"/>
    <x v="3"/>
    <d v="2026-09-03T07:35:40"/>
    <x v="35"/>
    <x v="19"/>
    <x v="35"/>
    <s v="19BA13.00"/>
    <x v="4"/>
    <x v="1"/>
    <m/>
    <m/>
    <m/>
  </r>
  <r>
    <s v="YK263101245"/>
    <x v="10"/>
    <x v="10"/>
    <n v="1"/>
    <x v="7"/>
    <d v="2026-09-03T08:17:53"/>
    <x v="35"/>
    <x v="19"/>
    <x v="35"/>
    <s v="19BA13.00"/>
    <x v="4"/>
    <x v="1"/>
    <m/>
    <m/>
    <m/>
  </r>
  <r>
    <s v="YK263101246"/>
    <x v="7"/>
    <x v="7"/>
    <n v="1"/>
    <x v="3"/>
    <d v="2026-09-01T05:17:50"/>
    <x v="35"/>
    <x v="19"/>
    <x v="35"/>
    <s v="19BA13.00"/>
    <x v="4"/>
    <x v="1"/>
    <m/>
    <m/>
    <m/>
  </r>
  <r>
    <s v="YK263101247"/>
    <x v="7"/>
    <x v="7"/>
    <n v="1"/>
    <x v="3"/>
    <d v="2026-09-04T14:38:24"/>
    <x v="35"/>
    <x v="19"/>
    <x v="35"/>
    <s v="19BA13.00"/>
    <x v="4"/>
    <x v="1"/>
    <m/>
    <m/>
    <m/>
  </r>
  <r>
    <s v="YK263101248"/>
    <x v="7"/>
    <x v="7"/>
    <n v="1"/>
    <x v="3"/>
    <d v="2026-09-04T14:58:52"/>
    <x v="35"/>
    <x v="19"/>
    <x v="35"/>
    <s v="19BA13.00"/>
    <x v="4"/>
    <x v="1"/>
    <m/>
    <m/>
    <m/>
  </r>
  <r>
    <s v="YK263101249"/>
    <x v="7"/>
    <x v="7"/>
    <n v="1"/>
    <x v="3"/>
    <d v="2026-09-09T08:10:01"/>
    <x v="35"/>
    <x v="19"/>
    <x v="35"/>
    <s v="19BA13.00"/>
    <x v="4"/>
    <x v="1"/>
    <m/>
    <m/>
    <m/>
  </r>
  <r>
    <s v="YK263101250"/>
    <x v="9"/>
    <x v="9"/>
    <n v="1"/>
    <x v="3"/>
    <d v="2026-08-21T08:59:00"/>
    <x v="35"/>
    <x v="19"/>
    <x v="35"/>
    <s v="19BA13.00"/>
    <x v="4"/>
    <x v="1"/>
    <m/>
    <m/>
    <m/>
  </r>
  <r>
    <s v="YK263101251"/>
    <x v="9"/>
    <x v="9"/>
    <n v="1"/>
    <x v="3"/>
    <d v="2026-08-21T09:00:56"/>
    <x v="35"/>
    <x v="19"/>
    <x v="35"/>
    <s v="19BA13.00"/>
    <x v="4"/>
    <x v="1"/>
    <m/>
    <m/>
    <m/>
  </r>
  <r>
    <s v="YK263101252"/>
    <x v="9"/>
    <x v="9"/>
    <n v="1"/>
    <x v="3"/>
    <d v="2026-08-21T09:04:00"/>
    <x v="35"/>
    <x v="19"/>
    <x v="35"/>
    <s v="19BA13.00"/>
    <x v="4"/>
    <x v="1"/>
    <m/>
    <m/>
    <m/>
  </r>
  <r>
    <s v="YK263101253"/>
    <x v="10"/>
    <x v="10"/>
    <n v="1"/>
    <x v="7"/>
    <d v="2026-09-09T08:56:50"/>
    <x v="35"/>
    <x v="19"/>
    <x v="35"/>
    <s v="19BA13.00"/>
    <x v="4"/>
    <x v="1"/>
    <m/>
    <m/>
    <m/>
  </r>
  <r>
    <s v="YK263101254"/>
    <x v="7"/>
    <x v="7"/>
    <n v="1"/>
    <x v="3"/>
    <d v="2026-09-09T08:29:30"/>
    <x v="35"/>
    <x v="19"/>
    <x v="35"/>
    <s v="19BA13.00"/>
    <x v="4"/>
    <x v="1"/>
    <m/>
    <m/>
    <m/>
  </r>
  <r>
    <s v="YK263101255"/>
    <x v="7"/>
    <x v="7"/>
    <n v="1"/>
    <x v="3"/>
    <d v="2026-09-09T08:07:43"/>
    <x v="35"/>
    <x v="19"/>
    <x v="35"/>
    <s v="19BA13.00"/>
    <x v="4"/>
    <x v="1"/>
    <m/>
    <m/>
    <m/>
  </r>
  <r>
    <s v="YK263101256"/>
    <x v="9"/>
    <x v="9"/>
    <n v="1"/>
    <x v="3"/>
    <d v="2026-08-21T09:10:08"/>
    <x v="35"/>
    <x v="19"/>
    <x v="35"/>
    <s v="19BA13.00"/>
    <x v="4"/>
    <x v="1"/>
    <m/>
    <m/>
    <m/>
  </r>
  <r>
    <s v="YK263101257"/>
    <x v="9"/>
    <x v="9"/>
    <n v="1"/>
    <x v="3"/>
    <d v="2026-08-21T09:10:53"/>
    <x v="35"/>
    <x v="19"/>
    <x v="35"/>
    <s v="19BA13.00"/>
    <x v="4"/>
    <x v="1"/>
    <m/>
    <m/>
    <m/>
  </r>
  <r>
    <s v="YK263101258"/>
    <x v="7"/>
    <x v="7"/>
    <n v="1"/>
    <x v="3"/>
    <d v="2026-09-01T05:26:53"/>
    <x v="35"/>
    <x v="19"/>
    <x v="35"/>
    <s v="19BA13.00"/>
    <x v="4"/>
    <x v="1"/>
    <m/>
    <m/>
    <m/>
  </r>
  <r>
    <s v="YK263101259"/>
    <x v="9"/>
    <x v="9"/>
    <n v="1"/>
    <x v="3"/>
    <d v="2026-08-21T09:21:31"/>
    <x v="35"/>
    <x v="19"/>
    <x v="35"/>
    <s v="19BA13.00"/>
    <x v="4"/>
    <x v="1"/>
    <m/>
    <m/>
    <m/>
  </r>
  <r>
    <s v="YK263101260"/>
    <x v="7"/>
    <x v="7"/>
    <n v="1"/>
    <x v="3"/>
    <d v="2026-09-01T05:22:31"/>
    <x v="35"/>
    <x v="19"/>
    <x v="35"/>
    <s v="19BA13.00"/>
    <x v="4"/>
    <x v="1"/>
    <m/>
    <m/>
    <m/>
  </r>
  <r>
    <s v="YK263101261"/>
    <x v="7"/>
    <x v="7"/>
    <n v="1"/>
    <x v="3"/>
    <d v="2026-09-04T14:51:19"/>
    <x v="35"/>
    <x v="19"/>
    <x v="35"/>
    <s v="19BA13.00"/>
    <x v="4"/>
    <x v="1"/>
    <m/>
    <m/>
    <m/>
  </r>
  <r>
    <s v="YK263101262"/>
    <x v="7"/>
    <x v="7"/>
    <n v="1"/>
    <x v="3"/>
    <d v="2026-09-04T14:47:27"/>
    <x v="35"/>
    <x v="19"/>
    <x v="35"/>
    <s v="19BA13.00"/>
    <x v="4"/>
    <x v="1"/>
    <m/>
    <m/>
    <m/>
  </r>
  <r>
    <s v="YK263101263"/>
    <x v="7"/>
    <x v="7"/>
    <n v="1"/>
    <x v="3"/>
    <d v="2026-09-01T05:30:14"/>
    <x v="35"/>
    <x v="19"/>
    <x v="35"/>
    <s v="19BA13.00"/>
    <x v="4"/>
    <x v="1"/>
    <m/>
    <m/>
    <m/>
  </r>
  <r>
    <s v="YK263101264"/>
    <x v="7"/>
    <x v="7"/>
    <n v="1"/>
    <x v="3"/>
    <d v="2026-09-04T14:40:55"/>
    <x v="35"/>
    <x v="19"/>
    <x v="35"/>
    <s v="19BA13.00"/>
    <x v="4"/>
    <x v="1"/>
    <m/>
    <m/>
    <m/>
  </r>
  <r>
    <s v="YK263101265"/>
    <x v="7"/>
    <x v="7"/>
    <n v="1"/>
    <x v="3"/>
    <d v="2026-09-04T14:36:18"/>
    <x v="35"/>
    <x v="19"/>
    <x v="35"/>
    <s v="19BA13.00"/>
    <x v="4"/>
    <x v="1"/>
    <m/>
    <m/>
    <m/>
  </r>
  <r>
    <s v="YK263101266"/>
    <x v="9"/>
    <x v="9"/>
    <n v="1"/>
    <x v="3"/>
    <d v="2026-08-21T09:58:37"/>
    <x v="35"/>
    <x v="19"/>
    <x v="35"/>
    <s v="19BA13.00"/>
    <x v="4"/>
    <x v="1"/>
    <m/>
    <m/>
    <m/>
  </r>
  <r>
    <s v="YK263101267"/>
    <x v="9"/>
    <x v="9"/>
    <n v="1"/>
    <x v="3"/>
    <d v="2026-08-21T10:03:45"/>
    <x v="35"/>
    <x v="19"/>
    <x v="35"/>
    <s v="19BA13.00"/>
    <x v="4"/>
    <x v="1"/>
    <m/>
    <m/>
    <m/>
  </r>
  <r>
    <s v="YK263101268"/>
    <x v="7"/>
    <x v="7"/>
    <n v="1"/>
    <x v="3"/>
    <d v="2026-09-01T05:13:17"/>
    <x v="35"/>
    <x v="19"/>
    <x v="35"/>
    <s v="19BA13.00"/>
    <x v="4"/>
    <x v="1"/>
    <m/>
    <m/>
    <m/>
  </r>
  <r>
    <s v="YK263200001"/>
    <x v="6"/>
    <x v="6"/>
    <n v="1"/>
    <x v="7"/>
    <d v="2026-09-08T22:54:49"/>
    <x v="36"/>
    <x v="20"/>
    <x v="36"/>
    <s v="19BA14.10"/>
    <x v="4"/>
    <x v="1"/>
    <m/>
    <m/>
    <m/>
  </r>
  <r>
    <s v="YK263200002"/>
    <x v="3"/>
    <x v="3"/>
    <n v="1"/>
    <x v="4"/>
    <d v="2026-08-14T08:44:01"/>
    <x v="36"/>
    <x v="20"/>
    <x v="36"/>
    <s v="19BA14.10"/>
    <x v="4"/>
    <x v="1"/>
    <m/>
    <m/>
    <m/>
  </r>
  <r>
    <s v="YK263200003"/>
    <x v="0"/>
    <x v="0"/>
    <n v="1"/>
    <x v="1"/>
    <d v="2026-08-14T10:47:16"/>
    <x v="36"/>
    <x v="20"/>
    <x v="36"/>
    <s v="19BA14.10"/>
    <x v="4"/>
    <x v="1"/>
    <m/>
    <m/>
    <m/>
  </r>
  <r>
    <s v="YK263200004"/>
    <x v="6"/>
    <x v="6"/>
    <n v="1"/>
    <x v="7"/>
    <d v="2026-09-05T12:43:59"/>
    <x v="36"/>
    <x v="20"/>
    <x v="36"/>
    <s v="19BA14.10"/>
    <x v="4"/>
    <x v="1"/>
    <m/>
    <m/>
    <m/>
  </r>
  <r>
    <s v="YK263200005"/>
    <x v="9"/>
    <x v="9"/>
    <n v="1"/>
    <x v="3"/>
    <d v="2026-09-01T11:09:50"/>
    <x v="36"/>
    <x v="20"/>
    <x v="36"/>
    <s v="19BA14.10"/>
    <x v="4"/>
    <x v="1"/>
    <m/>
    <m/>
    <m/>
  </r>
  <r>
    <s v="YK263200006"/>
    <x v="0"/>
    <x v="0"/>
    <n v="1"/>
    <x v="1"/>
    <d v="2026-09-02T13:43:14"/>
    <x v="36"/>
    <x v="20"/>
    <x v="36"/>
    <s v="19BA14.10"/>
    <x v="4"/>
    <x v="1"/>
    <m/>
    <m/>
    <m/>
  </r>
  <r>
    <s v="YK263200007"/>
    <x v="0"/>
    <x v="0"/>
    <n v="1"/>
    <x v="1"/>
    <d v="2026-08-31T15:34:20"/>
    <x v="36"/>
    <x v="20"/>
    <x v="36"/>
    <s v="19BA14.10"/>
    <x v="4"/>
    <x v="1"/>
    <m/>
    <m/>
    <m/>
  </r>
  <r>
    <s v="YK263200008"/>
    <x v="7"/>
    <x v="7"/>
    <n v="1"/>
    <x v="3"/>
    <d v="2026-08-27T23:06:26"/>
    <x v="36"/>
    <x v="20"/>
    <x v="36"/>
    <s v="19BA14.10"/>
    <x v="4"/>
    <x v="1"/>
    <m/>
    <m/>
    <m/>
  </r>
  <r>
    <s v="YK263200009"/>
    <x v="3"/>
    <x v="3"/>
    <n v="1"/>
    <x v="4"/>
    <d v="2026-09-01T12:02:51"/>
    <x v="36"/>
    <x v="20"/>
    <x v="36"/>
    <s v="19BA14.10"/>
    <x v="4"/>
    <x v="1"/>
    <m/>
    <m/>
    <m/>
  </r>
  <r>
    <s v="YK263200010"/>
    <x v="3"/>
    <x v="3"/>
    <n v="1"/>
    <x v="4"/>
    <d v="2026-08-25T11:10:08"/>
    <x v="36"/>
    <x v="20"/>
    <x v="36"/>
    <s v="19BA14.10"/>
    <x v="4"/>
    <x v="1"/>
    <m/>
    <m/>
    <m/>
  </r>
  <r>
    <s v="YK263200011"/>
    <x v="0"/>
    <x v="0"/>
    <n v="1"/>
    <x v="1"/>
    <d v="2026-09-14T19:13:21"/>
    <x v="36"/>
    <x v="20"/>
    <x v="36"/>
    <s v="19BA14.10"/>
    <x v="4"/>
    <x v="1"/>
    <m/>
    <m/>
    <m/>
  </r>
  <r>
    <s v="YK263200012"/>
    <x v="0"/>
    <x v="0"/>
    <n v="1"/>
    <x v="1"/>
    <d v="2026-08-14T11:49:29"/>
    <x v="36"/>
    <x v="20"/>
    <x v="36"/>
    <s v="19BA14.10"/>
    <x v="4"/>
    <x v="1"/>
    <m/>
    <m/>
    <m/>
  </r>
  <r>
    <s v="YK263200013"/>
    <x v="2"/>
    <x v="2"/>
    <n v="1"/>
    <x v="3"/>
    <d v="2026-08-19T14:40:02"/>
    <x v="36"/>
    <x v="20"/>
    <x v="36"/>
    <s v="19BA14.10"/>
    <x v="4"/>
    <x v="1"/>
    <m/>
    <m/>
    <m/>
  </r>
  <r>
    <s v="YK263200014"/>
    <x v="3"/>
    <x v="3"/>
    <n v="1"/>
    <x v="4"/>
    <d v="2026-08-14T07:20:58"/>
    <x v="36"/>
    <x v="20"/>
    <x v="36"/>
    <s v="19BA14.10"/>
    <x v="4"/>
    <x v="1"/>
    <m/>
    <m/>
    <m/>
  </r>
  <r>
    <s v="YK263200015"/>
    <x v="3"/>
    <x v="3"/>
    <n v="1"/>
    <x v="4"/>
    <d v="2026-08-26T09:48:12"/>
    <x v="36"/>
    <x v="20"/>
    <x v="36"/>
    <s v="19BA14.10"/>
    <x v="4"/>
    <x v="1"/>
    <m/>
    <m/>
    <m/>
  </r>
  <r>
    <s v="YK263200016"/>
    <x v="7"/>
    <x v="7"/>
    <n v="1"/>
    <x v="3"/>
    <d v="2026-08-27T22:11:47"/>
    <x v="36"/>
    <x v="20"/>
    <x v="36"/>
    <s v="19BA14.10"/>
    <x v="4"/>
    <x v="1"/>
    <m/>
    <m/>
    <m/>
  </r>
  <r>
    <s v="YK263200017"/>
    <x v="7"/>
    <x v="7"/>
    <n v="1"/>
    <x v="3"/>
    <d v="2026-08-27T22:06:47"/>
    <x v="36"/>
    <x v="20"/>
    <x v="36"/>
    <s v="19BA14.10"/>
    <x v="4"/>
    <x v="1"/>
    <m/>
    <m/>
    <m/>
  </r>
  <r>
    <s v="YK263200018"/>
    <x v="0"/>
    <x v="0"/>
    <n v="1"/>
    <x v="1"/>
    <d v="2026-08-14T10:46:02"/>
    <x v="36"/>
    <x v="20"/>
    <x v="36"/>
    <s v="19BA14.10"/>
    <x v="4"/>
    <x v="1"/>
    <m/>
    <m/>
    <m/>
  </r>
  <r>
    <s v="YK263200019"/>
    <x v="0"/>
    <x v="0"/>
    <n v="1"/>
    <x v="1"/>
    <d v="2026-09-15T11:57:10"/>
    <x v="36"/>
    <x v="20"/>
    <x v="36"/>
    <s v="19BA14.10"/>
    <x v="4"/>
    <x v="1"/>
    <m/>
    <m/>
    <m/>
  </r>
  <r>
    <s v="YK263200020"/>
    <x v="3"/>
    <x v="3"/>
    <n v="1"/>
    <x v="4"/>
    <d v="2026-08-14T07:40:48"/>
    <x v="36"/>
    <x v="20"/>
    <x v="36"/>
    <s v="19BA14.10"/>
    <x v="4"/>
    <x v="1"/>
    <m/>
    <m/>
    <m/>
  </r>
  <r>
    <s v="YK263200021"/>
    <x v="7"/>
    <x v="7"/>
    <n v="1"/>
    <x v="3"/>
    <d v="2026-08-27T22:21:21"/>
    <x v="36"/>
    <x v="20"/>
    <x v="36"/>
    <s v="19BA14.10"/>
    <x v="4"/>
    <x v="1"/>
    <m/>
    <m/>
    <m/>
  </r>
  <r>
    <s v="YK263200022"/>
    <x v="7"/>
    <x v="7"/>
    <n v="1"/>
    <x v="3"/>
    <d v="2026-08-27T21:47:26"/>
    <x v="36"/>
    <x v="20"/>
    <x v="36"/>
    <s v="19BA14.10"/>
    <x v="4"/>
    <x v="1"/>
    <m/>
    <m/>
    <m/>
  </r>
  <r>
    <s v="YK263200023"/>
    <x v="7"/>
    <x v="7"/>
    <n v="1"/>
    <x v="3"/>
    <d v="2026-08-27T21:41:36"/>
    <x v="36"/>
    <x v="20"/>
    <x v="36"/>
    <s v="19BA14.10"/>
    <x v="4"/>
    <x v="1"/>
    <m/>
    <m/>
    <m/>
  </r>
  <r>
    <s v="YK263200024"/>
    <x v="0"/>
    <x v="0"/>
    <n v="1"/>
    <x v="1"/>
    <d v="2026-09-14T11:14:10"/>
    <x v="36"/>
    <x v="20"/>
    <x v="36"/>
    <s v="19BA14.10"/>
    <x v="4"/>
    <x v="1"/>
    <m/>
    <m/>
    <m/>
  </r>
  <r>
    <s v="YK263200025"/>
    <x v="0"/>
    <x v="0"/>
    <n v="1"/>
    <x v="1"/>
    <d v="2026-09-01T08:29:44"/>
    <x v="36"/>
    <x v="20"/>
    <x v="36"/>
    <s v="19BA14.10"/>
    <x v="4"/>
    <x v="1"/>
    <m/>
    <m/>
    <m/>
  </r>
  <r>
    <s v="YK263200026"/>
    <x v="3"/>
    <x v="3"/>
    <n v="1"/>
    <x v="4"/>
    <d v="2026-08-14T07:12:20"/>
    <x v="36"/>
    <x v="20"/>
    <x v="36"/>
    <s v="19BA14.10"/>
    <x v="4"/>
    <x v="1"/>
    <m/>
    <m/>
    <m/>
  </r>
  <r>
    <s v="YK263200027"/>
    <x v="3"/>
    <x v="3"/>
    <n v="1"/>
    <x v="4"/>
    <d v="2026-08-26T09:21:48"/>
    <x v="36"/>
    <x v="20"/>
    <x v="36"/>
    <s v="19BA14.10"/>
    <x v="4"/>
    <x v="1"/>
    <m/>
    <m/>
    <m/>
  </r>
  <r>
    <s v="YK263200028"/>
    <x v="0"/>
    <x v="0"/>
    <n v="1"/>
    <x v="1"/>
    <d v="2026-09-01T08:30:50"/>
    <x v="36"/>
    <x v="20"/>
    <x v="36"/>
    <s v="19BA14.10"/>
    <x v="4"/>
    <x v="1"/>
    <m/>
    <m/>
    <m/>
  </r>
  <r>
    <s v="YK263200029"/>
    <x v="0"/>
    <x v="0"/>
    <n v="1"/>
    <x v="1"/>
    <d v="2026-09-14T11:16:11"/>
    <x v="36"/>
    <x v="20"/>
    <x v="36"/>
    <s v="19BA14.10"/>
    <x v="4"/>
    <x v="1"/>
    <m/>
    <m/>
    <m/>
  </r>
  <r>
    <s v="YK263200030"/>
    <x v="0"/>
    <x v="0"/>
    <n v="1"/>
    <x v="1"/>
    <d v="2026-09-01T10:35:43"/>
    <x v="36"/>
    <x v="20"/>
    <x v="36"/>
    <s v="19BA14.10"/>
    <x v="4"/>
    <x v="1"/>
    <m/>
    <m/>
    <m/>
  </r>
  <r>
    <s v="YK263200031"/>
    <x v="0"/>
    <x v="0"/>
    <n v="1"/>
    <x v="1"/>
    <d v="2026-09-01T13:45:56"/>
    <x v="36"/>
    <x v="20"/>
    <x v="36"/>
    <s v="19BA14.10"/>
    <x v="4"/>
    <x v="1"/>
    <m/>
    <m/>
    <m/>
  </r>
  <r>
    <s v="YK263200032"/>
    <x v="0"/>
    <x v="0"/>
    <n v="1"/>
    <x v="1"/>
    <d v="2026-09-01T17:45:13"/>
    <x v="36"/>
    <x v="20"/>
    <x v="36"/>
    <s v="19BA14.10"/>
    <x v="4"/>
    <x v="1"/>
    <m/>
    <m/>
    <m/>
  </r>
  <r>
    <s v="YK263200033"/>
    <x v="3"/>
    <x v="3"/>
    <n v="1"/>
    <x v="4"/>
    <d v="2026-08-17T14:22:12"/>
    <x v="36"/>
    <x v="20"/>
    <x v="36"/>
    <s v="19BA14.10"/>
    <x v="4"/>
    <x v="1"/>
    <m/>
    <m/>
    <m/>
  </r>
  <r>
    <s v="YK263200034"/>
    <x v="0"/>
    <x v="0"/>
    <n v="1"/>
    <x v="1"/>
    <d v="2026-09-02T09:45:39"/>
    <x v="36"/>
    <x v="20"/>
    <x v="36"/>
    <s v="19BA14.10"/>
    <x v="4"/>
    <x v="1"/>
    <m/>
    <m/>
    <m/>
  </r>
  <r>
    <s v="YK263200035"/>
    <x v="3"/>
    <x v="3"/>
    <n v="1"/>
    <x v="4"/>
    <d v="2026-08-17T20:06:42"/>
    <x v="36"/>
    <x v="20"/>
    <x v="36"/>
    <s v="19BA14.10"/>
    <x v="4"/>
    <x v="1"/>
    <m/>
    <m/>
    <m/>
  </r>
  <r>
    <s v="YK263200036"/>
    <x v="0"/>
    <x v="0"/>
    <n v="1"/>
    <x v="1"/>
    <d v="2026-09-11T12:23:21"/>
    <x v="36"/>
    <x v="20"/>
    <x v="36"/>
    <s v="19BA14.10"/>
    <x v="4"/>
    <x v="1"/>
    <m/>
    <m/>
    <m/>
  </r>
  <r>
    <s v="YK263200037"/>
    <x v="3"/>
    <x v="3"/>
    <n v="1"/>
    <x v="4"/>
    <d v="2026-08-17T20:29:54"/>
    <x v="36"/>
    <x v="20"/>
    <x v="36"/>
    <s v="19BA14.10"/>
    <x v="4"/>
    <x v="1"/>
    <m/>
    <m/>
    <m/>
  </r>
  <r>
    <s v="YK263200038"/>
    <x v="3"/>
    <x v="3"/>
    <n v="1"/>
    <x v="4"/>
    <d v="2026-08-17T20:39:30"/>
    <x v="36"/>
    <x v="20"/>
    <x v="36"/>
    <s v="19BA14.10"/>
    <x v="4"/>
    <x v="1"/>
    <m/>
    <m/>
    <m/>
  </r>
  <r>
    <s v="YK263200039"/>
    <x v="0"/>
    <x v="0"/>
    <n v="1"/>
    <x v="1"/>
    <d v="2026-09-01T10:37:15"/>
    <x v="36"/>
    <x v="20"/>
    <x v="36"/>
    <s v="19BA14.10"/>
    <x v="4"/>
    <x v="1"/>
    <m/>
    <m/>
    <m/>
  </r>
  <r>
    <s v="YK263200040"/>
    <x v="3"/>
    <x v="3"/>
    <n v="1"/>
    <x v="4"/>
    <d v="2026-08-17T07:57:34"/>
    <x v="36"/>
    <x v="20"/>
    <x v="36"/>
    <s v="19BA14.10"/>
    <x v="4"/>
    <x v="1"/>
    <m/>
    <m/>
    <m/>
  </r>
  <r>
    <s v="YK263200041"/>
    <x v="3"/>
    <x v="3"/>
    <n v="1"/>
    <x v="4"/>
    <d v="2026-08-17T20:57:57"/>
    <x v="36"/>
    <x v="20"/>
    <x v="36"/>
    <s v="19BA14.10"/>
    <x v="4"/>
    <x v="1"/>
    <m/>
    <m/>
    <m/>
  </r>
  <r>
    <s v="YK263200042"/>
    <x v="3"/>
    <x v="3"/>
    <n v="1"/>
    <x v="4"/>
    <d v="2026-08-17T21:07:12"/>
    <x v="36"/>
    <x v="20"/>
    <x v="36"/>
    <s v="19BA14.10"/>
    <x v="4"/>
    <x v="1"/>
    <m/>
    <m/>
    <m/>
  </r>
  <r>
    <s v="YK263200043"/>
    <x v="3"/>
    <x v="3"/>
    <n v="1"/>
    <x v="4"/>
    <d v="2026-08-17T20:34:44"/>
    <x v="36"/>
    <x v="20"/>
    <x v="36"/>
    <s v="19BA14.10"/>
    <x v="4"/>
    <x v="1"/>
    <m/>
    <m/>
    <m/>
  </r>
  <r>
    <s v="YK263200044"/>
    <x v="3"/>
    <x v="3"/>
    <n v="1"/>
    <x v="4"/>
    <d v="2026-08-17T19:33:45"/>
    <x v="36"/>
    <x v="20"/>
    <x v="36"/>
    <s v="19BA14.10"/>
    <x v="4"/>
    <x v="1"/>
    <m/>
    <m/>
    <m/>
  </r>
  <r>
    <s v="YK263200045"/>
    <x v="0"/>
    <x v="0"/>
    <n v="1"/>
    <x v="1"/>
    <d v="2026-09-01T17:45:09"/>
    <x v="36"/>
    <x v="20"/>
    <x v="36"/>
    <s v="19BA14.10"/>
    <x v="4"/>
    <x v="1"/>
    <m/>
    <m/>
    <m/>
  </r>
  <r>
    <s v="YK263200046"/>
    <x v="8"/>
    <x v="8"/>
    <n v="1"/>
    <x v="7"/>
    <d v="2026-08-31T07:46:25"/>
    <x v="36"/>
    <x v="20"/>
    <x v="36"/>
    <s v="19BA14.10"/>
    <x v="4"/>
    <x v="1"/>
    <m/>
    <m/>
    <m/>
  </r>
  <r>
    <s v="YK263200047"/>
    <x v="3"/>
    <x v="3"/>
    <n v="1"/>
    <x v="4"/>
    <d v="2026-08-17T21:02:37"/>
    <x v="36"/>
    <x v="20"/>
    <x v="36"/>
    <s v="19BA14.10"/>
    <x v="4"/>
    <x v="1"/>
    <m/>
    <m/>
    <m/>
  </r>
  <r>
    <s v="YK263200048"/>
    <x v="3"/>
    <x v="3"/>
    <n v="1"/>
    <x v="4"/>
    <d v="2026-08-17T20:43:47"/>
    <x v="36"/>
    <x v="20"/>
    <x v="36"/>
    <s v="19BA14.10"/>
    <x v="4"/>
    <x v="1"/>
    <m/>
    <m/>
    <m/>
  </r>
  <r>
    <s v="YK263200049"/>
    <x v="7"/>
    <x v="7"/>
    <n v="1"/>
    <x v="3"/>
    <d v="2026-08-27T23:23:26"/>
    <x v="36"/>
    <x v="20"/>
    <x v="36"/>
    <s v="19BA14.10"/>
    <x v="4"/>
    <x v="1"/>
    <m/>
    <m/>
    <m/>
  </r>
  <r>
    <s v="YK263200050"/>
    <x v="3"/>
    <x v="3"/>
    <n v="1"/>
    <x v="4"/>
    <d v="2026-08-17T20:48:38"/>
    <x v="36"/>
    <x v="20"/>
    <x v="36"/>
    <s v="19BA14.10"/>
    <x v="4"/>
    <x v="1"/>
    <m/>
    <m/>
    <m/>
  </r>
  <r>
    <s v="YK263200051"/>
    <x v="0"/>
    <x v="0"/>
    <n v="1"/>
    <x v="1"/>
    <d v="2026-08-31T10:32:07"/>
    <x v="36"/>
    <x v="20"/>
    <x v="36"/>
    <s v="19BA14.10"/>
    <x v="4"/>
    <x v="1"/>
    <m/>
    <m/>
    <m/>
  </r>
  <r>
    <s v="YK263200052"/>
    <x v="3"/>
    <x v="3"/>
    <n v="1"/>
    <x v="4"/>
    <d v="2026-08-17T21:14:07"/>
    <x v="36"/>
    <x v="20"/>
    <x v="36"/>
    <s v="19BA14.10"/>
    <x v="4"/>
    <x v="1"/>
    <m/>
    <m/>
    <m/>
  </r>
  <r>
    <s v="YK263200053"/>
    <x v="3"/>
    <x v="3"/>
    <n v="1"/>
    <x v="4"/>
    <d v="2026-08-31T07:18:21"/>
    <x v="36"/>
    <x v="20"/>
    <x v="36"/>
    <s v="19BA14.10"/>
    <x v="4"/>
    <x v="1"/>
    <m/>
    <m/>
    <m/>
  </r>
  <r>
    <s v="YK263200054"/>
    <x v="7"/>
    <x v="7"/>
    <n v="1"/>
    <x v="3"/>
    <d v="2026-08-27T22:45:43"/>
    <x v="36"/>
    <x v="20"/>
    <x v="36"/>
    <s v="19BA14.10"/>
    <x v="4"/>
    <x v="1"/>
    <m/>
    <m/>
    <m/>
  </r>
  <r>
    <s v="YK263200055"/>
    <x v="7"/>
    <x v="7"/>
    <n v="1"/>
    <x v="3"/>
    <d v="2026-08-27T22:16:49"/>
    <x v="36"/>
    <x v="20"/>
    <x v="36"/>
    <s v="19BA14.10"/>
    <x v="4"/>
    <x v="1"/>
    <m/>
    <m/>
    <m/>
  </r>
  <r>
    <s v="YK263200056"/>
    <x v="3"/>
    <x v="3"/>
    <n v="1"/>
    <x v="4"/>
    <d v="2026-08-31T07:10:11"/>
    <x v="36"/>
    <x v="20"/>
    <x v="36"/>
    <s v="19BA14.10"/>
    <x v="4"/>
    <x v="1"/>
    <m/>
    <m/>
    <m/>
  </r>
  <r>
    <s v="YK263200057"/>
    <x v="0"/>
    <x v="0"/>
    <n v="1"/>
    <x v="1"/>
    <d v="2026-08-31T10:36:36"/>
    <x v="36"/>
    <x v="20"/>
    <x v="36"/>
    <s v="19BA14.10"/>
    <x v="4"/>
    <x v="1"/>
    <m/>
    <m/>
    <m/>
  </r>
  <r>
    <s v="YK263200058"/>
    <x v="3"/>
    <x v="3"/>
    <n v="1"/>
    <x v="4"/>
    <d v="2026-08-28T13:36:21"/>
    <x v="36"/>
    <x v="20"/>
    <x v="36"/>
    <s v="19BA14.10"/>
    <x v="4"/>
    <x v="1"/>
    <m/>
    <m/>
    <m/>
  </r>
  <r>
    <s v="YK263200059"/>
    <x v="0"/>
    <x v="0"/>
    <n v="1"/>
    <x v="1"/>
    <d v="2026-08-31T10:27:10"/>
    <x v="36"/>
    <x v="20"/>
    <x v="36"/>
    <s v="19BA14.10"/>
    <x v="4"/>
    <x v="1"/>
    <m/>
    <m/>
    <m/>
  </r>
  <r>
    <s v="YK263200060"/>
    <x v="7"/>
    <x v="7"/>
    <n v="1"/>
    <x v="3"/>
    <d v="2026-08-27T23:03:27"/>
    <x v="36"/>
    <x v="20"/>
    <x v="36"/>
    <s v="19BA14.10"/>
    <x v="4"/>
    <x v="1"/>
    <m/>
    <m/>
    <m/>
  </r>
  <r>
    <s v="YK263200061"/>
    <x v="0"/>
    <x v="0"/>
    <n v="1"/>
    <x v="1"/>
    <d v="2026-08-31T10:26:16"/>
    <x v="36"/>
    <x v="20"/>
    <x v="36"/>
    <s v="19BA14.10"/>
    <x v="4"/>
    <x v="1"/>
    <m/>
    <m/>
    <m/>
  </r>
  <r>
    <s v="YK263200062"/>
    <x v="0"/>
    <x v="0"/>
    <n v="1"/>
    <x v="1"/>
    <d v="2026-09-01T13:44:08"/>
    <x v="36"/>
    <x v="20"/>
    <x v="36"/>
    <s v="19BA14.10"/>
    <x v="4"/>
    <x v="1"/>
    <m/>
    <m/>
    <m/>
  </r>
  <r>
    <s v="YK263200063"/>
    <x v="0"/>
    <x v="0"/>
    <n v="1"/>
    <x v="1"/>
    <d v="2026-09-01T13:44:54"/>
    <x v="36"/>
    <x v="20"/>
    <x v="36"/>
    <s v="19BA14.10"/>
    <x v="4"/>
    <x v="1"/>
    <m/>
    <m/>
    <m/>
  </r>
  <r>
    <s v="YK263200064"/>
    <x v="3"/>
    <x v="3"/>
    <n v="1"/>
    <x v="4"/>
    <d v="2026-08-24T08:37:34"/>
    <x v="36"/>
    <x v="20"/>
    <x v="36"/>
    <s v="19BA14.10"/>
    <x v="4"/>
    <x v="1"/>
    <m/>
    <m/>
    <m/>
  </r>
  <r>
    <s v="YK263200065"/>
    <x v="0"/>
    <x v="0"/>
    <n v="1"/>
    <x v="1"/>
    <d v="2026-08-31T10:27:23"/>
    <x v="36"/>
    <x v="20"/>
    <x v="36"/>
    <s v="19BA14.10"/>
    <x v="4"/>
    <x v="1"/>
    <m/>
    <m/>
    <m/>
  </r>
  <r>
    <s v="YK263200066"/>
    <x v="0"/>
    <x v="0"/>
    <n v="1"/>
    <x v="1"/>
    <d v="2026-09-01T17:45:00"/>
    <x v="36"/>
    <x v="20"/>
    <x v="36"/>
    <s v="19BA14.10"/>
    <x v="4"/>
    <x v="1"/>
    <m/>
    <m/>
    <m/>
  </r>
  <r>
    <s v="YK263200067"/>
    <x v="0"/>
    <x v="0"/>
    <n v="1"/>
    <x v="1"/>
    <d v="2026-09-01T10:38:28"/>
    <x v="36"/>
    <x v="20"/>
    <x v="36"/>
    <s v="19BA14.10"/>
    <x v="4"/>
    <x v="1"/>
    <m/>
    <m/>
    <m/>
  </r>
  <r>
    <s v="YK263200068"/>
    <x v="0"/>
    <x v="0"/>
    <n v="1"/>
    <x v="1"/>
    <d v="2026-09-01T17:45:26"/>
    <x v="36"/>
    <x v="20"/>
    <x v="36"/>
    <s v="19BA14.10"/>
    <x v="4"/>
    <x v="1"/>
    <m/>
    <m/>
    <m/>
  </r>
  <r>
    <s v="YK263200069"/>
    <x v="0"/>
    <x v="0"/>
    <n v="1"/>
    <x v="1"/>
    <d v="2026-08-31T10:35:09"/>
    <x v="36"/>
    <x v="20"/>
    <x v="36"/>
    <s v="19BA14.10"/>
    <x v="4"/>
    <x v="1"/>
    <m/>
    <m/>
    <m/>
  </r>
  <r>
    <s v="YK263200070"/>
    <x v="0"/>
    <x v="0"/>
    <n v="1"/>
    <x v="1"/>
    <d v="2026-09-01T13:45:11"/>
    <x v="36"/>
    <x v="20"/>
    <x v="36"/>
    <s v="19BA14.10"/>
    <x v="4"/>
    <x v="1"/>
    <m/>
    <m/>
    <m/>
  </r>
  <r>
    <s v="YK263200071"/>
    <x v="0"/>
    <x v="0"/>
    <n v="1"/>
    <x v="1"/>
    <d v="2026-09-02T09:47:51"/>
    <x v="36"/>
    <x v="20"/>
    <x v="36"/>
    <s v="19BA14.10"/>
    <x v="4"/>
    <x v="1"/>
    <m/>
    <m/>
    <m/>
  </r>
  <r>
    <s v="YK263200072"/>
    <x v="3"/>
    <x v="3"/>
    <n v="1"/>
    <x v="4"/>
    <d v="2026-08-14T07:02:28"/>
    <x v="36"/>
    <x v="20"/>
    <x v="36"/>
    <s v="19BA14.10"/>
    <x v="4"/>
    <x v="1"/>
    <m/>
    <m/>
    <m/>
  </r>
  <r>
    <s v="YK263200073"/>
    <x v="3"/>
    <x v="3"/>
    <n v="1"/>
    <x v="4"/>
    <d v="2026-08-14T07:16:32"/>
    <x v="36"/>
    <x v="20"/>
    <x v="36"/>
    <s v="19BA14.10"/>
    <x v="4"/>
    <x v="1"/>
    <m/>
    <m/>
    <m/>
  </r>
  <r>
    <s v="YK263200074"/>
    <x v="3"/>
    <x v="3"/>
    <n v="1"/>
    <x v="4"/>
    <d v="2026-08-14T07:29:42"/>
    <x v="36"/>
    <x v="20"/>
    <x v="36"/>
    <s v="19BA14.10"/>
    <x v="4"/>
    <x v="1"/>
    <m/>
    <m/>
    <m/>
  </r>
  <r>
    <s v="YK263200075"/>
    <x v="3"/>
    <x v="3"/>
    <n v="1"/>
    <x v="4"/>
    <d v="2026-08-14T07:49:41"/>
    <x v="36"/>
    <x v="20"/>
    <x v="36"/>
    <s v="19BA14.10"/>
    <x v="4"/>
    <x v="1"/>
    <m/>
    <m/>
    <m/>
  </r>
  <r>
    <s v="YK263200076"/>
    <x v="3"/>
    <x v="3"/>
    <n v="1"/>
    <x v="4"/>
    <d v="2026-08-14T07:45:14"/>
    <x v="36"/>
    <x v="20"/>
    <x v="36"/>
    <s v="19BA14.10"/>
    <x v="4"/>
    <x v="1"/>
    <m/>
    <m/>
    <m/>
  </r>
  <r>
    <s v="YK263200077"/>
    <x v="3"/>
    <x v="3"/>
    <n v="1"/>
    <x v="4"/>
    <d v="2026-08-14T07:36:09"/>
    <x v="36"/>
    <x v="20"/>
    <x v="36"/>
    <s v="19BA14.10"/>
    <x v="4"/>
    <x v="1"/>
    <m/>
    <m/>
    <m/>
  </r>
  <r>
    <s v="YK263200078"/>
    <x v="0"/>
    <x v="0"/>
    <n v="1"/>
    <x v="1"/>
    <d v="2026-09-01T08:29:00"/>
    <x v="36"/>
    <x v="20"/>
    <x v="36"/>
    <s v="19BA14.10"/>
    <x v="4"/>
    <x v="1"/>
    <m/>
    <m/>
    <m/>
  </r>
  <r>
    <s v="YK263200079"/>
    <x v="3"/>
    <x v="3"/>
    <n v="1"/>
    <x v="4"/>
    <d v="2026-08-17T20:53:22"/>
    <x v="36"/>
    <x v="20"/>
    <x v="36"/>
    <s v="19BA14.10"/>
    <x v="4"/>
    <x v="1"/>
    <m/>
    <m/>
    <m/>
  </r>
  <r>
    <s v="YK263200080"/>
    <x v="0"/>
    <x v="0"/>
    <n v="1"/>
    <x v="1"/>
    <d v="2026-09-15T11:55:10"/>
    <x v="36"/>
    <x v="20"/>
    <x v="36"/>
    <s v="19BA14.10"/>
    <x v="4"/>
    <x v="1"/>
    <m/>
    <m/>
    <m/>
  </r>
  <r>
    <s v="YK263200081"/>
    <x v="3"/>
    <x v="3"/>
    <n v="1"/>
    <x v="4"/>
    <d v="2026-08-14T07:58:36"/>
    <x v="36"/>
    <x v="20"/>
    <x v="36"/>
    <s v="19BA14.10"/>
    <x v="4"/>
    <x v="1"/>
    <m/>
    <m/>
    <m/>
  </r>
  <r>
    <s v="YK263200082"/>
    <x v="3"/>
    <x v="3"/>
    <n v="1"/>
    <x v="4"/>
    <d v="2026-08-14T08:03:15"/>
    <x v="36"/>
    <x v="20"/>
    <x v="36"/>
    <s v="19BA14.10"/>
    <x v="4"/>
    <x v="1"/>
    <m/>
    <m/>
    <m/>
  </r>
  <r>
    <s v="YK263200083"/>
    <x v="0"/>
    <x v="0"/>
    <n v="1"/>
    <x v="1"/>
    <d v="2026-08-14T15:55:19"/>
    <x v="36"/>
    <x v="20"/>
    <x v="36"/>
    <s v="19BA14.10"/>
    <x v="4"/>
    <x v="1"/>
    <m/>
    <m/>
    <m/>
  </r>
  <r>
    <s v="YK263200084"/>
    <x v="3"/>
    <x v="3"/>
    <n v="1"/>
    <x v="4"/>
    <d v="2026-08-14T07:25:30"/>
    <x v="36"/>
    <x v="20"/>
    <x v="36"/>
    <s v="19BA14.10"/>
    <x v="4"/>
    <x v="1"/>
    <m/>
    <m/>
    <m/>
  </r>
  <r>
    <s v="YK263200085"/>
    <x v="3"/>
    <x v="3"/>
    <n v="1"/>
    <x v="4"/>
    <d v="2026-08-14T08:39:13"/>
    <x v="36"/>
    <x v="20"/>
    <x v="36"/>
    <s v="19BA14.10"/>
    <x v="4"/>
    <x v="1"/>
    <m/>
    <m/>
    <m/>
  </r>
  <r>
    <s v="YK263200086"/>
    <x v="0"/>
    <x v="0"/>
    <n v="1"/>
    <x v="1"/>
    <d v="2026-08-14T15:56:15"/>
    <x v="36"/>
    <x v="20"/>
    <x v="36"/>
    <s v="19BA14.10"/>
    <x v="4"/>
    <x v="1"/>
    <m/>
    <m/>
    <m/>
  </r>
  <r>
    <s v="YK263200087"/>
    <x v="0"/>
    <x v="0"/>
    <n v="1"/>
    <x v="1"/>
    <d v="2026-08-14T15:54:00"/>
    <x v="36"/>
    <x v="20"/>
    <x v="36"/>
    <s v="19BA14.10"/>
    <x v="4"/>
    <x v="1"/>
    <m/>
    <m/>
    <m/>
  </r>
  <r>
    <s v="YK263200088"/>
    <x v="0"/>
    <x v="0"/>
    <n v="1"/>
    <x v="1"/>
    <d v="2026-09-01T08:30:00"/>
    <x v="36"/>
    <x v="20"/>
    <x v="36"/>
    <s v="19BA14.10"/>
    <x v="4"/>
    <x v="1"/>
    <m/>
    <m/>
    <m/>
  </r>
  <r>
    <s v="YK263200089"/>
    <x v="0"/>
    <x v="0"/>
    <n v="1"/>
    <x v="1"/>
    <d v="2026-08-14T10:46:51"/>
    <x v="36"/>
    <x v="20"/>
    <x v="36"/>
    <s v="19BA14.10"/>
    <x v="4"/>
    <x v="1"/>
    <m/>
    <m/>
    <m/>
  </r>
  <r>
    <s v="YK263200090"/>
    <x v="3"/>
    <x v="3"/>
    <n v="1"/>
    <x v="4"/>
    <d v="2026-08-14T09:59:47"/>
    <x v="36"/>
    <x v="20"/>
    <x v="36"/>
    <s v="19BA14.10"/>
    <x v="4"/>
    <x v="1"/>
    <m/>
    <m/>
    <m/>
  </r>
  <r>
    <s v="YK263200091"/>
    <x v="0"/>
    <x v="0"/>
    <n v="1"/>
    <x v="1"/>
    <d v="2026-09-14T19:13:11"/>
    <x v="36"/>
    <x v="20"/>
    <x v="36"/>
    <s v="19BA14.10"/>
    <x v="4"/>
    <x v="1"/>
    <m/>
    <m/>
    <m/>
  </r>
  <r>
    <s v="YK263200092"/>
    <x v="3"/>
    <x v="3"/>
    <n v="1"/>
    <x v="4"/>
    <d v="2026-08-14T10:05:04"/>
    <x v="36"/>
    <x v="20"/>
    <x v="36"/>
    <s v="19BA14.10"/>
    <x v="4"/>
    <x v="1"/>
    <m/>
    <m/>
    <m/>
  </r>
  <r>
    <s v="YK263200093"/>
    <x v="3"/>
    <x v="3"/>
    <n v="1"/>
    <x v="4"/>
    <d v="2026-08-14T09:33:43"/>
    <x v="36"/>
    <x v="20"/>
    <x v="36"/>
    <s v="19BA14.10"/>
    <x v="4"/>
    <x v="1"/>
    <m/>
    <m/>
    <m/>
  </r>
  <r>
    <s v="YK263200094"/>
    <x v="0"/>
    <x v="0"/>
    <n v="1"/>
    <x v="1"/>
    <d v="2026-09-15T11:54:41"/>
    <x v="36"/>
    <x v="20"/>
    <x v="36"/>
    <s v="19BA14.10"/>
    <x v="4"/>
    <x v="1"/>
    <m/>
    <m/>
    <m/>
  </r>
  <r>
    <s v="YK263200095"/>
    <x v="0"/>
    <x v="0"/>
    <n v="1"/>
    <x v="1"/>
    <d v="2026-08-14T15:55:03"/>
    <x v="36"/>
    <x v="20"/>
    <x v="36"/>
    <s v="19BA14.10"/>
    <x v="4"/>
    <x v="1"/>
    <m/>
    <m/>
    <m/>
  </r>
  <r>
    <s v="YK263200096"/>
    <x v="3"/>
    <x v="3"/>
    <n v="1"/>
    <x v="4"/>
    <d v="2026-08-14T07:53:59"/>
    <x v="36"/>
    <x v="20"/>
    <x v="36"/>
    <s v="19BA14.10"/>
    <x v="4"/>
    <x v="1"/>
    <m/>
    <m/>
    <m/>
  </r>
  <r>
    <s v="YK263200097"/>
    <x v="3"/>
    <x v="3"/>
    <n v="1"/>
    <x v="4"/>
    <d v="2026-08-14T09:55:18"/>
    <x v="36"/>
    <x v="20"/>
    <x v="36"/>
    <s v="19BA14.10"/>
    <x v="4"/>
    <x v="1"/>
    <m/>
    <m/>
    <m/>
  </r>
  <r>
    <s v="YK263200098"/>
    <x v="3"/>
    <x v="3"/>
    <n v="1"/>
    <x v="4"/>
    <d v="2026-08-14T10:09:58"/>
    <x v="36"/>
    <x v="20"/>
    <x v="36"/>
    <s v="19BA14.10"/>
    <x v="4"/>
    <x v="1"/>
    <m/>
    <m/>
    <m/>
  </r>
  <r>
    <s v="YK263200099"/>
    <x v="3"/>
    <x v="3"/>
    <n v="1"/>
    <x v="4"/>
    <d v="2026-08-14T09:43:18"/>
    <x v="36"/>
    <x v="20"/>
    <x v="36"/>
    <s v="19BA14.10"/>
    <x v="4"/>
    <x v="1"/>
    <m/>
    <m/>
    <m/>
  </r>
  <r>
    <s v="YK263200100"/>
    <x v="0"/>
    <x v="0"/>
    <n v="1"/>
    <x v="1"/>
    <d v="2026-08-14T10:48:14"/>
    <x v="36"/>
    <x v="20"/>
    <x v="36"/>
    <s v="19BA14.10"/>
    <x v="4"/>
    <x v="1"/>
    <m/>
    <m/>
    <m/>
  </r>
  <r>
    <s v="YK263200101"/>
    <x v="0"/>
    <x v="0"/>
    <n v="1"/>
    <x v="1"/>
    <d v="2026-09-15T11:52:11"/>
    <x v="36"/>
    <x v="20"/>
    <x v="36"/>
    <s v="19BA14.10"/>
    <x v="4"/>
    <x v="1"/>
    <m/>
    <m/>
    <m/>
  </r>
  <r>
    <s v="YK263200102"/>
    <x v="3"/>
    <x v="3"/>
    <n v="1"/>
    <x v="4"/>
    <d v="2026-08-14T09:38:00"/>
    <x v="36"/>
    <x v="20"/>
    <x v="36"/>
    <s v="19BA14.10"/>
    <x v="4"/>
    <x v="1"/>
    <m/>
    <m/>
    <m/>
  </r>
  <r>
    <s v="YK263200103"/>
    <x v="3"/>
    <x v="3"/>
    <n v="1"/>
    <x v="4"/>
    <d v="2026-08-14T07:07:03"/>
    <x v="36"/>
    <x v="20"/>
    <x v="36"/>
    <s v="19BA14.10"/>
    <x v="4"/>
    <x v="1"/>
    <m/>
    <m/>
    <m/>
  </r>
  <r>
    <s v="YK263200104"/>
    <x v="3"/>
    <x v="3"/>
    <n v="1"/>
    <x v="4"/>
    <d v="2026-08-17T17:54:41"/>
    <x v="36"/>
    <x v="20"/>
    <x v="36"/>
    <s v="19BA14.10"/>
    <x v="4"/>
    <x v="1"/>
    <m/>
    <m/>
    <m/>
  </r>
  <r>
    <s v="YK263200105"/>
    <x v="10"/>
    <x v="10"/>
    <n v="1"/>
    <x v="7"/>
    <d v="2026-08-22T09:05:04"/>
    <x v="36"/>
    <x v="20"/>
    <x v="36"/>
    <s v="19BA14.10"/>
    <x v="4"/>
    <x v="1"/>
    <m/>
    <m/>
    <m/>
  </r>
  <r>
    <s v="YK263200106"/>
    <x v="0"/>
    <x v="0"/>
    <n v="1"/>
    <x v="1"/>
    <d v="2026-09-11T19:03:27"/>
    <x v="36"/>
    <x v="20"/>
    <x v="36"/>
    <s v="19BA14.10"/>
    <x v="4"/>
    <x v="1"/>
    <m/>
    <m/>
    <m/>
  </r>
  <r>
    <s v="YK263200107"/>
    <x v="3"/>
    <x v="3"/>
    <n v="1"/>
    <x v="4"/>
    <d v="2026-08-31T06:57:34"/>
    <x v="36"/>
    <x v="20"/>
    <x v="36"/>
    <s v="19BA14.10"/>
    <x v="4"/>
    <x v="1"/>
    <m/>
    <m/>
    <m/>
  </r>
  <r>
    <s v="YK263200108"/>
    <x v="11"/>
    <x v="11"/>
    <n v="1"/>
    <x v="5"/>
    <d v="2026-08-31T06:19:24"/>
    <x v="36"/>
    <x v="20"/>
    <x v="36"/>
    <s v="19BA14.10"/>
    <x v="4"/>
    <x v="1"/>
    <m/>
    <m/>
    <m/>
  </r>
  <r>
    <s v="YK263200109"/>
    <x v="0"/>
    <x v="0"/>
    <n v="1"/>
    <x v="1"/>
    <d v="2026-08-31T21:24:15"/>
    <x v="36"/>
    <x v="20"/>
    <x v="36"/>
    <s v="19BA14.10"/>
    <x v="4"/>
    <x v="1"/>
    <m/>
    <m/>
    <m/>
  </r>
  <r>
    <s v="YK263200110"/>
    <x v="3"/>
    <x v="3"/>
    <n v="1"/>
    <x v="4"/>
    <d v="2026-08-28T13:54:28"/>
    <x v="36"/>
    <x v="20"/>
    <x v="36"/>
    <s v="19BA14.10"/>
    <x v="4"/>
    <x v="1"/>
    <m/>
    <m/>
    <m/>
  </r>
  <r>
    <s v="YK263200111"/>
    <x v="3"/>
    <x v="3"/>
    <n v="1"/>
    <x v="4"/>
    <d v="2026-08-31T08:13:31"/>
    <x v="36"/>
    <x v="20"/>
    <x v="36"/>
    <s v="19BA14.10"/>
    <x v="4"/>
    <x v="1"/>
    <m/>
    <m/>
    <m/>
  </r>
  <r>
    <s v="YK263200112"/>
    <x v="3"/>
    <x v="3"/>
    <n v="1"/>
    <x v="4"/>
    <d v="2026-08-28T14:00:06"/>
    <x v="36"/>
    <x v="20"/>
    <x v="36"/>
    <s v="19BA14.10"/>
    <x v="4"/>
    <x v="1"/>
    <m/>
    <m/>
    <m/>
  </r>
  <r>
    <s v="YK263200113"/>
    <x v="6"/>
    <x v="6"/>
    <n v="1"/>
    <x v="7"/>
    <d v="2026-09-08T18:26:18"/>
    <x v="36"/>
    <x v="20"/>
    <x v="36"/>
    <s v="19BA14.10"/>
    <x v="4"/>
    <x v="1"/>
    <m/>
    <m/>
    <m/>
  </r>
  <r>
    <s v="YK263200114"/>
    <x v="6"/>
    <x v="6"/>
    <n v="1"/>
    <x v="7"/>
    <d v="2026-09-08T18:28:04"/>
    <x v="36"/>
    <x v="20"/>
    <x v="36"/>
    <s v="19BA14.10"/>
    <x v="4"/>
    <x v="1"/>
    <m/>
    <m/>
    <m/>
  </r>
  <r>
    <s v="YK263200115"/>
    <x v="6"/>
    <x v="6"/>
    <n v="1"/>
    <x v="7"/>
    <d v="2026-09-08T18:22:03"/>
    <x v="36"/>
    <x v="20"/>
    <x v="36"/>
    <s v="19BA14.10"/>
    <x v="4"/>
    <x v="1"/>
    <m/>
    <m/>
    <m/>
  </r>
  <r>
    <s v="YK263200116"/>
    <x v="0"/>
    <x v="0"/>
    <n v="1"/>
    <x v="1"/>
    <d v="2026-08-31T15:35:25"/>
    <x v="36"/>
    <x v="20"/>
    <x v="36"/>
    <s v="19BA14.10"/>
    <x v="4"/>
    <x v="1"/>
    <m/>
    <m/>
    <m/>
  </r>
  <r>
    <s v="YK263200117"/>
    <x v="0"/>
    <x v="0"/>
    <n v="1"/>
    <x v="1"/>
    <d v="2026-09-14T10:57:26"/>
    <x v="36"/>
    <x v="20"/>
    <x v="36"/>
    <s v="19BA14.10"/>
    <x v="4"/>
    <x v="1"/>
    <m/>
    <m/>
    <m/>
  </r>
  <r>
    <s v="YK263200118"/>
    <x v="3"/>
    <x v="3"/>
    <n v="1"/>
    <x v="4"/>
    <d v="2026-08-31T07:45:30"/>
    <x v="36"/>
    <x v="20"/>
    <x v="36"/>
    <s v="19BA14.10"/>
    <x v="4"/>
    <x v="1"/>
    <m/>
    <m/>
    <m/>
  </r>
  <r>
    <s v="YK263200119"/>
    <x v="0"/>
    <x v="0"/>
    <n v="1"/>
    <x v="1"/>
    <d v="2026-09-02T13:41:36"/>
    <x v="36"/>
    <x v="20"/>
    <x v="36"/>
    <s v="19BA14.10"/>
    <x v="4"/>
    <x v="1"/>
    <m/>
    <m/>
    <m/>
  </r>
  <r>
    <s v="YK263200120"/>
    <x v="0"/>
    <x v="0"/>
    <n v="1"/>
    <x v="1"/>
    <d v="2026-08-31T15:34:42"/>
    <x v="36"/>
    <x v="20"/>
    <x v="36"/>
    <s v="19BA14.10"/>
    <x v="4"/>
    <x v="1"/>
    <m/>
    <m/>
    <m/>
  </r>
  <r>
    <s v="YK263200121"/>
    <x v="0"/>
    <x v="0"/>
    <n v="1"/>
    <x v="1"/>
    <d v="2026-09-02T13:42:02"/>
    <x v="36"/>
    <x v="20"/>
    <x v="36"/>
    <s v="19BA14.10"/>
    <x v="4"/>
    <x v="1"/>
    <m/>
    <m/>
    <m/>
  </r>
  <r>
    <s v="YK263200122"/>
    <x v="3"/>
    <x v="3"/>
    <n v="1"/>
    <x v="4"/>
    <d v="2026-08-26T12:30:21"/>
    <x v="36"/>
    <x v="20"/>
    <x v="36"/>
    <s v="19BA14.10"/>
    <x v="4"/>
    <x v="1"/>
    <m/>
    <m/>
    <m/>
  </r>
  <r>
    <s v="YK263200123"/>
    <x v="0"/>
    <x v="0"/>
    <n v="1"/>
    <x v="1"/>
    <d v="2026-09-14T06:23:10"/>
    <x v="36"/>
    <x v="20"/>
    <x v="36"/>
    <s v="19BA14.10"/>
    <x v="4"/>
    <x v="1"/>
    <m/>
    <m/>
    <m/>
  </r>
  <r>
    <s v="YK263200124"/>
    <x v="3"/>
    <x v="3"/>
    <n v="1"/>
    <x v="4"/>
    <d v="2026-08-26T09:10:15"/>
    <x v="36"/>
    <x v="20"/>
    <x v="36"/>
    <s v="19BA14.10"/>
    <x v="4"/>
    <x v="1"/>
    <m/>
    <m/>
    <m/>
  </r>
  <r>
    <s v="YK263200125"/>
    <x v="3"/>
    <x v="3"/>
    <n v="1"/>
    <x v="4"/>
    <d v="2026-08-26T09:15:14"/>
    <x v="36"/>
    <x v="20"/>
    <x v="36"/>
    <s v="19BA14.10"/>
    <x v="4"/>
    <x v="1"/>
    <m/>
    <m/>
    <m/>
  </r>
  <r>
    <s v="YK263200126"/>
    <x v="3"/>
    <x v="3"/>
    <n v="1"/>
    <x v="4"/>
    <d v="2026-08-26T13:38:57"/>
    <x v="36"/>
    <x v="20"/>
    <x v="36"/>
    <s v="19BA14.10"/>
    <x v="4"/>
    <x v="1"/>
    <m/>
    <m/>
    <m/>
  </r>
  <r>
    <s v="YK263200127"/>
    <x v="3"/>
    <x v="3"/>
    <n v="1"/>
    <x v="4"/>
    <d v="2026-08-26T12:22:27"/>
    <x v="36"/>
    <x v="20"/>
    <x v="36"/>
    <s v="19BA14.10"/>
    <x v="4"/>
    <x v="1"/>
    <m/>
    <m/>
    <m/>
  </r>
  <r>
    <s v="YK263200128"/>
    <x v="3"/>
    <x v="3"/>
    <n v="1"/>
    <x v="4"/>
    <d v="2026-08-26T13:28:26"/>
    <x v="36"/>
    <x v="20"/>
    <x v="36"/>
    <s v="19BA14.10"/>
    <x v="4"/>
    <x v="1"/>
    <m/>
    <m/>
    <m/>
  </r>
  <r>
    <s v="YK263200129"/>
    <x v="3"/>
    <x v="3"/>
    <n v="1"/>
    <x v="4"/>
    <d v="2026-08-26T13:33:16"/>
    <x v="36"/>
    <x v="20"/>
    <x v="36"/>
    <s v="19BA14.10"/>
    <x v="4"/>
    <x v="1"/>
    <m/>
    <m/>
    <m/>
  </r>
  <r>
    <s v="YK263200130"/>
    <x v="3"/>
    <x v="3"/>
    <n v="1"/>
    <x v="4"/>
    <d v="2026-08-26T10:58:39"/>
    <x v="36"/>
    <x v="20"/>
    <x v="36"/>
    <s v="19BA14.10"/>
    <x v="4"/>
    <x v="1"/>
    <m/>
    <m/>
    <m/>
  </r>
  <r>
    <s v="YK263200131"/>
    <x v="3"/>
    <x v="3"/>
    <n v="1"/>
    <x v="4"/>
    <d v="2026-08-26T12:15:57"/>
    <x v="36"/>
    <x v="20"/>
    <x v="36"/>
    <s v="19BA14.10"/>
    <x v="4"/>
    <x v="1"/>
    <m/>
    <m/>
    <m/>
  </r>
  <r>
    <s v="YK263200132"/>
    <x v="3"/>
    <x v="3"/>
    <n v="1"/>
    <x v="4"/>
    <d v="2026-08-26T09:41:04"/>
    <x v="36"/>
    <x v="20"/>
    <x v="36"/>
    <s v="19BA14.10"/>
    <x v="4"/>
    <x v="1"/>
    <m/>
    <m/>
    <m/>
  </r>
  <r>
    <s v="YK263200133"/>
    <x v="0"/>
    <x v="0"/>
    <n v="1"/>
    <x v="1"/>
    <d v="2026-09-02T13:42:36"/>
    <x v="36"/>
    <x v="20"/>
    <x v="36"/>
    <s v="19BA14.10"/>
    <x v="4"/>
    <x v="1"/>
    <m/>
    <m/>
    <m/>
  </r>
  <r>
    <s v="YK263200134"/>
    <x v="3"/>
    <x v="3"/>
    <n v="1"/>
    <x v="4"/>
    <d v="2026-08-26T10:51:52"/>
    <x v="36"/>
    <x v="20"/>
    <x v="36"/>
    <s v="19BA14.10"/>
    <x v="4"/>
    <x v="1"/>
    <m/>
    <m/>
    <m/>
  </r>
  <r>
    <s v="YK263200135"/>
    <x v="0"/>
    <x v="0"/>
    <n v="1"/>
    <x v="1"/>
    <d v="2026-09-11T18:57:22"/>
    <x v="36"/>
    <x v="20"/>
    <x v="36"/>
    <s v="19BA14.10"/>
    <x v="4"/>
    <x v="1"/>
    <m/>
    <m/>
    <m/>
  </r>
  <r>
    <s v="YK263200136"/>
    <x v="0"/>
    <x v="0"/>
    <n v="1"/>
    <x v="1"/>
    <d v="2026-08-31T21:24:01"/>
    <x v="36"/>
    <x v="20"/>
    <x v="36"/>
    <s v="19BA14.10"/>
    <x v="4"/>
    <x v="1"/>
    <m/>
    <m/>
    <m/>
  </r>
  <r>
    <s v="YK263200137"/>
    <x v="0"/>
    <x v="0"/>
    <n v="1"/>
    <x v="1"/>
    <d v="2026-09-02T09:47:24"/>
    <x v="36"/>
    <x v="20"/>
    <x v="36"/>
    <s v="19BA14.10"/>
    <x v="4"/>
    <x v="1"/>
    <m/>
    <m/>
    <m/>
  </r>
  <r>
    <s v="YK263200138"/>
    <x v="3"/>
    <x v="3"/>
    <n v="1"/>
    <x v="4"/>
    <d v="2026-08-31T16:40:07"/>
    <x v="36"/>
    <x v="20"/>
    <x v="36"/>
    <s v="19BA14.10"/>
    <x v="4"/>
    <x v="1"/>
    <m/>
    <m/>
    <m/>
  </r>
  <r>
    <s v="YK263200139"/>
    <x v="0"/>
    <x v="0"/>
    <n v="1"/>
    <x v="1"/>
    <d v="2026-08-31T21:21:38"/>
    <x v="36"/>
    <x v="20"/>
    <x v="36"/>
    <s v="19BA14.10"/>
    <x v="4"/>
    <x v="1"/>
    <m/>
    <m/>
    <m/>
  </r>
  <r>
    <s v="YK263200140"/>
    <x v="0"/>
    <x v="0"/>
    <n v="1"/>
    <x v="1"/>
    <d v="2026-08-31T21:21:50"/>
    <x v="36"/>
    <x v="20"/>
    <x v="36"/>
    <s v="19BA14.10"/>
    <x v="4"/>
    <x v="1"/>
    <m/>
    <m/>
    <m/>
  </r>
  <r>
    <s v="YK263200141"/>
    <x v="3"/>
    <x v="3"/>
    <n v="1"/>
    <x v="4"/>
    <d v="2026-08-31T16:45:55"/>
    <x v="36"/>
    <x v="20"/>
    <x v="36"/>
    <s v="19BA14.10"/>
    <x v="4"/>
    <x v="1"/>
    <m/>
    <m/>
    <m/>
  </r>
  <r>
    <s v="YK263200142"/>
    <x v="0"/>
    <x v="0"/>
    <n v="1"/>
    <x v="1"/>
    <d v="2026-08-31T10:28:12"/>
    <x v="36"/>
    <x v="20"/>
    <x v="36"/>
    <s v="19BA14.10"/>
    <x v="4"/>
    <x v="1"/>
    <m/>
    <m/>
    <m/>
  </r>
  <r>
    <s v="YK263200143"/>
    <x v="0"/>
    <x v="0"/>
    <n v="1"/>
    <x v="1"/>
    <d v="2026-08-31T21:21:35"/>
    <x v="36"/>
    <x v="20"/>
    <x v="36"/>
    <s v="19BA14.10"/>
    <x v="4"/>
    <x v="1"/>
    <m/>
    <m/>
    <m/>
  </r>
  <r>
    <s v="YK263200144"/>
    <x v="0"/>
    <x v="0"/>
    <n v="1"/>
    <x v="1"/>
    <d v="2026-08-31T21:23:51"/>
    <x v="36"/>
    <x v="20"/>
    <x v="36"/>
    <s v="19BA14.10"/>
    <x v="4"/>
    <x v="1"/>
    <m/>
    <m/>
    <m/>
  </r>
  <r>
    <s v="YK263200145"/>
    <x v="0"/>
    <x v="0"/>
    <n v="1"/>
    <x v="1"/>
    <d v="2026-08-31T21:21:20"/>
    <x v="36"/>
    <x v="20"/>
    <x v="36"/>
    <s v="19BA14.10"/>
    <x v="4"/>
    <x v="1"/>
    <m/>
    <m/>
    <m/>
  </r>
  <r>
    <s v="YK263200146"/>
    <x v="0"/>
    <x v="0"/>
    <n v="1"/>
    <x v="1"/>
    <d v="2026-09-02T09:49:15"/>
    <x v="36"/>
    <x v="20"/>
    <x v="36"/>
    <s v="19BA14.10"/>
    <x v="4"/>
    <x v="1"/>
    <m/>
    <m/>
    <m/>
  </r>
  <r>
    <s v="YK263200147"/>
    <x v="0"/>
    <x v="0"/>
    <n v="1"/>
    <x v="1"/>
    <d v="2026-09-02T13:39:59"/>
    <x v="36"/>
    <x v="20"/>
    <x v="36"/>
    <s v="19BA14.10"/>
    <x v="4"/>
    <x v="1"/>
    <m/>
    <m/>
    <m/>
  </r>
  <r>
    <s v="YK263200148"/>
    <x v="3"/>
    <x v="3"/>
    <n v="1"/>
    <x v="4"/>
    <d v="2026-08-31T08:07:32"/>
    <x v="36"/>
    <x v="20"/>
    <x v="36"/>
    <s v="19BA14.10"/>
    <x v="4"/>
    <x v="1"/>
    <m/>
    <m/>
    <m/>
  </r>
  <r>
    <s v="YK263200149"/>
    <x v="6"/>
    <x v="6"/>
    <n v="1"/>
    <x v="7"/>
    <d v="2026-08-26T06:45:02"/>
    <x v="36"/>
    <x v="20"/>
    <x v="36"/>
    <s v="19BA14.10"/>
    <x v="4"/>
    <x v="1"/>
    <m/>
    <m/>
    <m/>
  </r>
  <r>
    <s v="YK263200150"/>
    <x v="9"/>
    <x v="9"/>
    <n v="1"/>
    <x v="3"/>
    <d v="2026-09-01T11:07:51"/>
    <x v="36"/>
    <x v="20"/>
    <x v="36"/>
    <s v="19BA14.10"/>
    <x v="4"/>
    <x v="1"/>
    <m/>
    <m/>
    <m/>
  </r>
  <r>
    <s v="YK263200151"/>
    <x v="0"/>
    <x v="0"/>
    <n v="1"/>
    <x v="1"/>
    <d v="2026-09-16T10:46:26"/>
    <x v="36"/>
    <x v="20"/>
    <x v="36"/>
    <s v="19BA14.10"/>
    <x v="4"/>
    <x v="1"/>
    <m/>
    <m/>
    <m/>
  </r>
  <r>
    <s v="YK263200152"/>
    <x v="3"/>
    <x v="3"/>
    <n v="1"/>
    <x v="4"/>
    <d v="2026-09-03T09:22:12"/>
    <x v="36"/>
    <x v="20"/>
    <x v="36"/>
    <s v="19BA14.10"/>
    <x v="4"/>
    <x v="1"/>
    <m/>
    <m/>
    <m/>
  </r>
  <r>
    <s v="YK263200153"/>
    <x v="0"/>
    <x v="0"/>
    <n v="1"/>
    <x v="1"/>
    <d v="2026-09-16T10:49:08"/>
    <x v="36"/>
    <x v="20"/>
    <x v="36"/>
    <s v="19BA14.10"/>
    <x v="4"/>
    <x v="1"/>
    <m/>
    <m/>
    <m/>
  </r>
  <r>
    <s v="YK263200154"/>
    <x v="3"/>
    <x v="3"/>
    <n v="1"/>
    <x v="4"/>
    <d v="2026-09-01T12:13:57"/>
    <x v="36"/>
    <x v="20"/>
    <x v="36"/>
    <s v="19BA14.10"/>
    <x v="4"/>
    <x v="1"/>
    <m/>
    <m/>
    <m/>
  </r>
  <r>
    <s v="YK263200155"/>
    <x v="0"/>
    <x v="0"/>
    <n v="1"/>
    <x v="1"/>
    <d v="2026-09-02T13:41:09"/>
    <x v="36"/>
    <x v="20"/>
    <x v="36"/>
    <s v="19BA14.10"/>
    <x v="4"/>
    <x v="1"/>
    <m/>
    <m/>
    <m/>
  </r>
  <r>
    <s v="YK263200156"/>
    <x v="3"/>
    <x v="3"/>
    <n v="1"/>
    <x v="4"/>
    <d v="2026-08-25T11:39:07"/>
    <x v="36"/>
    <x v="20"/>
    <x v="36"/>
    <s v="19BA14.10"/>
    <x v="4"/>
    <x v="1"/>
    <m/>
    <m/>
    <m/>
  </r>
  <r>
    <s v="YK263200157"/>
    <x v="3"/>
    <x v="3"/>
    <n v="1"/>
    <x v="4"/>
    <d v="2026-08-17T06:35:20"/>
    <x v="36"/>
    <x v="20"/>
    <x v="36"/>
    <s v="19BA14.10"/>
    <x v="4"/>
    <x v="1"/>
    <m/>
    <m/>
    <m/>
  </r>
  <r>
    <s v="YK263200158"/>
    <x v="3"/>
    <x v="3"/>
    <n v="1"/>
    <x v="4"/>
    <d v="2026-08-17T06:48:13"/>
    <x v="36"/>
    <x v="20"/>
    <x v="36"/>
    <s v="19BA14.10"/>
    <x v="4"/>
    <x v="1"/>
    <m/>
    <m/>
    <m/>
  </r>
  <r>
    <s v="YK263200159"/>
    <x v="3"/>
    <x v="3"/>
    <n v="1"/>
    <x v="4"/>
    <d v="2026-08-17T07:23:28"/>
    <x v="36"/>
    <x v="20"/>
    <x v="36"/>
    <s v="19BA14.10"/>
    <x v="4"/>
    <x v="1"/>
    <m/>
    <m/>
    <m/>
  </r>
  <r>
    <s v="YK263200160"/>
    <x v="3"/>
    <x v="3"/>
    <n v="1"/>
    <x v="4"/>
    <d v="2026-08-17T07:38:24"/>
    <x v="36"/>
    <x v="20"/>
    <x v="36"/>
    <s v="19BA14.10"/>
    <x v="4"/>
    <x v="1"/>
    <m/>
    <m/>
    <m/>
  </r>
  <r>
    <s v="YK263200161"/>
    <x v="3"/>
    <x v="3"/>
    <n v="1"/>
    <x v="4"/>
    <d v="2026-08-17T07:17:47"/>
    <x v="36"/>
    <x v="20"/>
    <x v="36"/>
    <s v="19BA14.10"/>
    <x v="4"/>
    <x v="1"/>
    <m/>
    <m/>
    <m/>
  </r>
  <r>
    <s v="YK263200162"/>
    <x v="7"/>
    <x v="7"/>
    <n v="1"/>
    <x v="3"/>
    <d v="2026-09-01T11:12:55"/>
    <x v="36"/>
    <x v="20"/>
    <x v="36"/>
    <s v="19BA14.10"/>
    <x v="4"/>
    <x v="1"/>
    <m/>
    <m/>
    <m/>
  </r>
  <r>
    <s v="YK263200163"/>
    <x v="3"/>
    <x v="3"/>
    <n v="1"/>
    <x v="4"/>
    <d v="2026-08-26T08:00:19"/>
    <x v="36"/>
    <x v="20"/>
    <x v="36"/>
    <s v="19BA14.10"/>
    <x v="4"/>
    <x v="1"/>
    <m/>
    <m/>
    <m/>
  </r>
  <r>
    <s v="YK263200164"/>
    <x v="3"/>
    <x v="3"/>
    <n v="1"/>
    <x v="4"/>
    <d v="2026-08-17T07:33:20"/>
    <x v="36"/>
    <x v="20"/>
    <x v="36"/>
    <s v="19BA14.10"/>
    <x v="4"/>
    <x v="1"/>
    <m/>
    <m/>
    <m/>
  </r>
  <r>
    <s v="YK263200165"/>
    <x v="0"/>
    <x v="0"/>
    <n v="1"/>
    <x v="1"/>
    <d v="2026-09-11T18:58:26"/>
    <x v="36"/>
    <x v="20"/>
    <x v="36"/>
    <s v="19BA14.10"/>
    <x v="4"/>
    <x v="1"/>
    <m/>
    <m/>
    <m/>
  </r>
  <r>
    <s v="YK263200166"/>
    <x v="3"/>
    <x v="3"/>
    <n v="1"/>
    <x v="4"/>
    <d v="2026-08-17T06:43:16"/>
    <x v="36"/>
    <x v="20"/>
    <x v="36"/>
    <s v="19BA14.10"/>
    <x v="4"/>
    <x v="1"/>
    <m/>
    <m/>
    <m/>
  </r>
  <r>
    <s v="YK263200167"/>
    <x v="3"/>
    <x v="3"/>
    <n v="1"/>
    <x v="4"/>
    <d v="2026-08-31T16:59:44"/>
    <x v="36"/>
    <x v="20"/>
    <x v="36"/>
    <s v="19BA14.10"/>
    <x v="4"/>
    <x v="1"/>
    <m/>
    <m/>
    <m/>
  </r>
  <r>
    <s v="YK263200168"/>
    <x v="0"/>
    <x v="0"/>
    <n v="1"/>
    <x v="1"/>
    <d v="2026-09-11T18:58:06"/>
    <x v="36"/>
    <x v="20"/>
    <x v="36"/>
    <s v="19BA14.10"/>
    <x v="4"/>
    <x v="1"/>
    <m/>
    <m/>
    <m/>
  </r>
  <r>
    <s v="YK263200169"/>
    <x v="3"/>
    <x v="3"/>
    <n v="1"/>
    <x v="4"/>
    <d v="2026-08-21T13:19:17"/>
    <x v="36"/>
    <x v="20"/>
    <x v="36"/>
    <s v="19BA14.10"/>
    <x v="4"/>
    <x v="1"/>
    <m/>
    <m/>
    <m/>
  </r>
  <r>
    <s v="YK263200170"/>
    <x v="3"/>
    <x v="3"/>
    <n v="1"/>
    <x v="4"/>
    <d v="2026-08-21T13:12:59"/>
    <x v="36"/>
    <x v="20"/>
    <x v="36"/>
    <s v="19BA14.10"/>
    <x v="4"/>
    <x v="1"/>
    <m/>
    <m/>
    <m/>
  </r>
  <r>
    <s v="YK263200171"/>
    <x v="0"/>
    <x v="0"/>
    <n v="1"/>
    <x v="1"/>
    <d v="2026-09-11T12:22:31"/>
    <x v="36"/>
    <x v="20"/>
    <x v="36"/>
    <s v="19BA14.10"/>
    <x v="4"/>
    <x v="1"/>
    <m/>
    <m/>
    <m/>
  </r>
  <r>
    <s v="YK263200172"/>
    <x v="3"/>
    <x v="3"/>
    <n v="1"/>
    <x v="4"/>
    <d v="2026-08-17T07:12:19"/>
    <x v="36"/>
    <x v="20"/>
    <x v="36"/>
    <s v="19BA14.10"/>
    <x v="4"/>
    <x v="1"/>
    <m/>
    <m/>
    <m/>
  </r>
  <r>
    <s v="YK263200173"/>
    <x v="3"/>
    <x v="3"/>
    <n v="1"/>
    <x v="4"/>
    <d v="2026-08-21T13:39:57"/>
    <x v="36"/>
    <x v="20"/>
    <x v="36"/>
    <s v="19BA14.10"/>
    <x v="4"/>
    <x v="1"/>
    <m/>
    <m/>
    <m/>
  </r>
  <r>
    <s v="YK263200174"/>
    <x v="7"/>
    <x v="7"/>
    <n v="1"/>
    <x v="3"/>
    <d v="2026-09-01T11:12:42"/>
    <x v="36"/>
    <x v="20"/>
    <x v="36"/>
    <s v="19BA14.10"/>
    <x v="4"/>
    <x v="1"/>
    <m/>
    <m/>
    <m/>
  </r>
  <r>
    <s v="YK263200175"/>
    <x v="3"/>
    <x v="3"/>
    <n v="1"/>
    <x v="4"/>
    <d v="2026-08-17T06:55:59"/>
    <x v="36"/>
    <x v="20"/>
    <x v="36"/>
    <s v="19BA14.10"/>
    <x v="4"/>
    <x v="1"/>
    <m/>
    <m/>
    <m/>
  </r>
  <r>
    <s v="YK263200176"/>
    <x v="7"/>
    <x v="7"/>
    <n v="1"/>
    <x v="3"/>
    <d v="2026-09-01T11:12:07"/>
    <x v="36"/>
    <x v="20"/>
    <x v="36"/>
    <s v="19BA14.10"/>
    <x v="4"/>
    <x v="1"/>
    <m/>
    <m/>
    <m/>
  </r>
  <r>
    <s v="YK263200177"/>
    <x v="9"/>
    <x v="9"/>
    <n v="1"/>
    <x v="3"/>
    <d v="2026-08-07T15:25:01"/>
    <x v="36"/>
    <x v="20"/>
    <x v="36"/>
    <s v="19BA14.10"/>
    <x v="4"/>
    <x v="1"/>
    <m/>
    <m/>
    <m/>
  </r>
  <r>
    <s v="YK263200178"/>
    <x v="9"/>
    <x v="9"/>
    <n v="1"/>
    <x v="3"/>
    <d v="2026-08-07T16:51:20"/>
    <x v="36"/>
    <x v="20"/>
    <x v="36"/>
    <s v="19BA14.10"/>
    <x v="4"/>
    <x v="1"/>
    <m/>
    <m/>
    <m/>
  </r>
  <r>
    <s v="YK263200179"/>
    <x v="3"/>
    <x v="3"/>
    <n v="1"/>
    <x v="4"/>
    <d v="2026-08-21T13:31:00"/>
    <x v="36"/>
    <x v="20"/>
    <x v="36"/>
    <s v="19BA14.10"/>
    <x v="4"/>
    <x v="1"/>
    <m/>
    <m/>
    <m/>
  </r>
  <r>
    <s v="YK263200180"/>
    <x v="0"/>
    <x v="0"/>
    <n v="1"/>
    <x v="1"/>
    <d v="2026-09-11T18:59:06"/>
    <x v="36"/>
    <x v="20"/>
    <x v="36"/>
    <s v="19BA14.10"/>
    <x v="4"/>
    <x v="1"/>
    <m/>
    <m/>
    <m/>
  </r>
  <r>
    <s v="YK263200181"/>
    <x v="0"/>
    <x v="0"/>
    <n v="1"/>
    <x v="1"/>
    <d v="2026-09-11T12:24:44"/>
    <x v="36"/>
    <x v="20"/>
    <x v="36"/>
    <s v="19BA14.10"/>
    <x v="4"/>
    <x v="1"/>
    <m/>
    <m/>
    <m/>
  </r>
  <r>
    <s v="YK263200182"/>
    <x v="3"/>
    <x v="3"/>
    <n v="1"/>
    <x v="4"/>
    <d v="2026-08-21T13:07:42"/>
    <x v="36"/>
    <x v="20"/>
    <x v="36"/>
    <s v="19BA14.10"/>
    <x v="4"/>
    <x v="1"/>
    <m/>
    <m/>
    <m/>
  </r>
  <r>
    <s v="YK263200183"/>
    <x v="3"/>
    <x v="3"/>
    <n v="1"/>
    <x v="4"/>
    <d v="2026-08-21T13:26:29"/>
    <x v="36"/>
    <x v="20"/>
    <x v="36"/>
    <s v="19BA14.10"/>
    <x v="4"/>
    <x v="1"/>
    <m/>
    <m/>
    <m/>
  </r>
  <r>
    <s v="YK263200184"/>
    <x v="7"/>
    <x v="7"/>
    <n v="1"/>
    <x v="3"/>
    <d v="2026-09-01T11:11:54"/>
    <x v="36"/>
    <x v="20"/>
    <x v="36"/>
    <s v="19BA14.10"/>
    <x v="4"/>
    <x v="1"/>
    <m/>
    <m/>
    <m/>
  </r>
  <r>
    <s v="YK263200185"/>
    <x v="7"/>
    <x v="7"/>
    <n v="1"/>
    <x v="3"/>
    <d v="2026-09-01T11:11:20"/>
    <x v="36"/>
    <x v="20"/>
    <x v="36"/>
    <s v="19BA14.10"/>
    <x v="4"/>
    <x v="1"/>
    <m/>
    <m/>
    <m/>
  </r>
  <r>
    <s v="YK263200186"/>
    <x v="3"/>
    <x v="3"/>
    <n v="1"/>
    <x v="4"/>
    <d v="2026-08-26T13:22:42"/>
    <x v="36"/>
    <x v="20"/>
    <x v="36"/>
    <s v="19BA14.10"/>
    <x v="4"/>
    <x v="1"/>
    <m/>
    <m/>
    <m/>
  </r>
  <r>
    <s v="YK263200187"/>
    <x v="3"/>
    <x v="3"/>
    <n v="1"/>
    <x v="4"/>
    <d v="2026-08-31T17:12:17"/>
    <x v="36"/>
    <x v="20"/>
    <x v="36"/>
    <s v="19BA14.10"/>
    <x v="4"/>
    <x v="1"/>
    <m/>
    <m/>
    <m/>
  </r>
  <r>
    <s v="YK263200188"/>
    <x v="9"/>
    <x v="9"/>
    <n v="1"/>
    <x v="3"/>
    <d v="2026-08-07T17:58:09"/>
    <x v="36"/>
    <x v="20"/>
    <x v="36"/>
    <s v="19BA14.10"/>
    <x v="4"/>
    <x v="1"/>
    <m/>
    <m/>
    <m/>
  </r>
  <r>
    <s v="YK263200189"/>
    <x v="9"/>
    <x v="9"/>
    <n v="1"/>
    <x v="3"/>
    <d v="2026-08-07T17:59:24"/>
    <x v="36"/>
    <x v="20"/>
    <x v="36"/>
    <s v="19BA14.10"/>
    <x v="4"/>
    <x v="1"/>
    <m/>
    <m/>
    <m/>
  </r>
  <r>
    <s v="YK263200190"/>
    <x v="6"/>
    <x v="6"/>
    <n v="1"/>
    <x v="7"/>
    <d v="2026-09-05T12:58:07"/>
    <x v="36"/>
    <x v="20"/>
    <x v="36"/>
    <s v="19BA14.10"/>
    <x v="4"/>
    <x v="1"/>
    <m/>
    <m/>
    <m/>
  </r>
  <r>
    <s v="YK263200191"/>
    <x v="0"/>
    <x v="0"/>
    <n v="1"/>
    <x v="1"/>
    <d v="2026-09-14T19:12:19"/>
    <x v="36"/>
    <x v="20"/>
    <x v="36"/>
    <s v="19BA14.10"/>
    <x v="4"/>
    <x v="1"/>
    <m/>
    <m/>
    <m/>
  </r>
  <r>
    <s v="YK263200192"/>
    <x v="9"/>
    <x v="9"/>
    <n v="1"/>
    <x v="3"/>
    <d v="2026-08-07T19:07:59"/>
    <x v="36"/>
    <x v="20"/>
    <x v="36"/>
    <s v="19BA14.10"/>
    <x v="4"/>
    <x v="1"/>
    <m/>
    <m/>
    <m/>
  </r>
  <r>
    <s v="YK263200193"/>
    <x v="7"/>
    <x v="7"/>
    <n v="1"/>
    <x v="3"/>
    <d v="2026-08-27T22:40:44"/>
    <x v="36"/>
    <x v="20"/>
    <x v="36"/>
    <s v="19BA14.10"/>
    <x v="4"/>
    <x v="1"/>
    <m/>
    <m/>
    <m/>
  </r>
  <r>
    <s v="YK263200194"/>
    <x v="3"/>
    <x v="3"/>
    <n v="1"/>
    <x v="4"/>
    <d v="2026-08-28T14:05:46"/>
    <x v="36"/>
    <x v="20"/>
    <x v="36"/>
    <s v="19BA14.10"/>
    <x v="4"/>
    <x v="1"/>
    <m/>
    <m/>
    <m/>
  </r>
  <r>
    <s v="YK263200195"/>
    <x v="3"/>
    <x v="3"/>
    <n v="1"/>
    <x v="4"/>
    <d v="2026-08-28T13:24:00"/>
    <x v="36"/>
    <x v="20"/>
    <x v="36"/>
    <s v="19BA14.10"/>
    <x v="4"/>
    <x v="1"/>
    <m/>
    <m/>
    <m/>
  </r>
  <r>
    <s v="YK263200196"/>
    <x v="3"/>
    <x v="3"/>
    <n v="1"/>
    <x v="4"/>
    <d v="2026-08-28T13:41:31"/>
    <x v="36"/>
    <x v="20"/>
    <x v="36"/>
    <s v="19BA14.10"/>
    <x v="4"/>
    <x v="1"/>
    <m/>
    <m/>
    <m/>
  </r>
  <r>
    <s v="YK263200197"/>
    <x v="0"/>
    <x v="0"/>
    <n v="1"/>
    <x v="1"/>
    <d v="2026-08-31T15:32:55"/>
    <x v="36"/>
    <x v="20"/>
    <x v="36"/>
    <s v="19BA14.10"/>
    <x v="4"/>
    <x v="1"/>
    <m/>
    <m/>
    <m/>
  </r>
  <r>
    <s v="YK263200198"/>
    <x v="3"/>
    <x v="3"/>
    <n v="1"/>
    <x v="4"/>
    <d v="2026-08-31T07:04:15"/>
    <x v="36"/>
    <x v="20"/>
    <x v="36"/>
    <s v="19BA14.10"/>
    <x v="4"/>
    <x v="1"/>
    <m/>
    <m/>
    <m/>
  </r>
  <r>
    <s v="YK263200199"/>
    <x v="3"/>
    <x v="3"/>
    <n v="1"/>
    <x v="4"/>
    <d v="2026-08-28T13:28:44"/>
    <x v="36"/>
    <x v="20"/>
    <x v="36"/>
    <s v="19BA14.10"/>
    <x v="4"/>
    <x v="1"/>
    <m/>
    <m/>
    <m/>
  </r>
  <r>
    <s v="YK263200200"/>
    <x v="0"/>
    <x v="0"/>
    <n v="1"/>
    <x v="1"/>
    <d v="2026-08-31T21:24:04"/>
    <x v="36"/>
    <x v="20"/>
    <x v="36"/>
    <s v="19BA14.10"/>
    <x v="4"/>
    <x v="1"/>
    <m/>
    <m/>
    <m/>
  </r>
  <r>
    <s v="YK263200201"/>
    <x v="3"/>
    <x v="3"/>
    <n v="1"/>
    <x v="4"/>
    <d v="2026-08-26T09:27:10"/>
    <x v="36"/>
    <x v="20"/>
    <x v="36"/>
    <s v="19BA14.10"/>
    <x v="4"/>
    <x v="1"/>
    <m/>
    <m/>
    <m/>
  </r>
  <r>
    <s v="YK263200202"/>
    <x v="3"/>
    <x v="3"/>
    <n v="1"/>
    <x v="4"/>
    <d v="2026-08-26T13:44:29"/>
    <x v="36"/>
    <x v="20"/>
    <x v="36"/>
    <s v="19BA14.10"/>
    <x v="4"/>
    <x v="1"/>
    <m/>
    <m/>
    <m/>
  </r>
  <r>
    <s v="YK263200203"/>
    <x v="0"/>
    <x v="0"/>
    <n v="1"/>
    <x v="1"/>
    <d v="2026-08-31T10:34:29"/>
    <x v="36"/>
    <x v="20"/>
    <x v="36"/>
    <s v="19BA14.10"/>
    <x v="4"/>
    <x v="1"/>
    <m/>
    <m/>
    <m/>
  </r>
  <r>
    <s v="YK263200204"/>
    <x v="0"/>
    <x v="0"/>
    <n v="1"/>
    <x v="1"/>
    <d v="2026-09-14T11:12:40"/>
    <x v="36"/>
    <x v="20"/>
    <x v="36"/>
    <s v="19BA14.10"/>
    <x v="4"/>
    <x v="1"/>
    <m/>
    <m/>
    <m/>
  </r>
  <r>
    <s v="YK263200205"/>
    <x v="3"/>
    <x v="3"/>
    <n v="1"/>
    <x v="4"/>
    <d v="2026-09-08T06:59:51"/>
    <x v="36"/>
    <x v="20"/>
    <x v="36"/>
    <s v="19BA14.10"/>
    <x v="4"/>
    <x v="1"/>
    <m/>
    <m/>
    <m/>
  </r>
  <r>
    <s v="YK263200206"/>
    <x v="3"/>
    <x v="3"/>
    <n v="1"/>
    <x v="4"/>
    <d v="2026-08-31T17:06:13"/>
    <x v="36"/>
    <x v="20"/>
    <x v="36"/>
    <s v="19BA14.10"/>
    <x v="4"/>
    <x v="1"/>
    <m/>
    <m/>
    <m/>
  </r>
  <r>
    <s v="YK263200207"/>
    <x v="3"/>
    <x v="3"/>
    <n v="1"/>
    <x v="4"/>
    <d v="2026-08-17T07:06:36"/>
    <x v="36"/>
    <x v="20"/>
    <x v="36"/>
    <s v="19BA14.10"/>
    <x v="4"/>
    <x v="1"/>
    <m/>
    <m/>
    <m/>
  </r>
  <r>
    <s v="YK263200208"/>
    <x v="3"/>
    <x v="3"/>
    <n v="1"/>
    <x v="4"/>
    <d v="2026-08-17T07:51:29"/>
    <x v="36"/>
    <x v="20"/>
    <x v="36"/>
    <s v="19BA14.10"/>
    <x v="4"/>
    <x v="1"/>
    <m/>
    <m/>
    <m/>
  </r>
  <r>
    <s v="YK263200209"/>
    <x v="0"/>
    <x v="0"/>
    <n v="1"/>
    <x v="1"/>
    <d v="2026-09-02T13:41:31"/>
    <x v="36"/>
    <x v="20"/>
    <x v="36"/>
    <s v="19BA14.10"/>
    <x v="4"/>
    <x v="1"/>
    <m/>
    <m/>
    <m/>
  </r>
  <r>
    <s v="YK263200210"/>
    <x v="3"/>
    <x v="3"/>
    <n v="1"/>
    <x v="4"/>
    <d v="2026-08-28T14:15:05"/>
    <x v="36"/>
    <x v="20"/>
    <x v="36"/>
    <s v="19BA14.10"/>
    <x v="4"/>
    <x v="1"/>
    <m/>
    <m/>
    <m/>
  </r>
  <r>
    <s v="YK263200211"/>
    <x v="3"/>
    <x v="3"/>
    <n v="1"/>
    <x v="4"/>
    <d v="2026-08-14T09:28:46"/>
    <x v="36"/>
    <x v="20"/>
    <x v="36"/>
    <s v="19BA14.10"/>
    <x v="4"/>
    <x v="1"/>
    <m/>
    <m/>
    <m/>
  </r>
  <r>
    <s v="YK263200212"/>
    <x v="0"/>
    <x v="0"/>
    <n v="1"/>
    <x v="1"/>
    <d v="2026-09-01T10:34:19"/>
    <x v="36"/>
    <x v="20"/>
    <x v="36"/>
    <s v="19BA14.10"/>
    <x v="4"/>
    <x v="1"/>
    <m/>
    <m/>
    <m/>
  </r>
  <r>
    <s v="YK263200213"/>
    <x v="3"/>
    <x v="3"/>
    <n v="1"/>
    <x v="4"/>
    <d v="2026-08-18T09:06:53"/>
    <x v="36"/>
    <x v="20"/>
    <x v="36"/>
    <s v="19BA14.10"/>
    <x v="4"/>
    <x v="1"/>
    <m/>
    <m/>
    <m/>
  </r>
  <r>
    <s v="YK263200214"/>
    <x v="0"/>
    <x v="0"/>
    <n v="1"/>
    <x v="1"/>
    <d v="2026-09-11T12:23:42"/>
    <x v="36"/>
    <x v="20"/>
    <x v="36"/>
    <s v="19BA14.10"/>
    <x v="4"/>
    <x v="1"/>
    <m/>
    <m/>
    <m/>
  </r>
  <r>
    <s v="YK263200215"/>
    <x v="3"/>
    <x v="3"/>
    <n v="1"/>
    <x v="4"/>
    <d v="2026-08-26T13:17:13"/>
    <x v="36"/>
    <x v="20"/>
    <x v="36"/>
    <s v="19BA14.10"/>
    <x v="4"/>
    <x v="1"/>
    <m/>
    <m/>
    <m/>
  </r>
  <r>
    <s v="YK263200216"/>
    <x v="0"/>
    <x v="0"/>
    <n v="1"/>
    <x v="1"/>
    <d v="2026-09-14T11:17:46"/>
    <x v="36"/>
    <x v="20"/>
    <x v="36"/>
    <s v="19BA14.10"/>
    <x v="4"/>
    <x v="1"/>
    <m/>
    <m/>
    <m/>
  </r>
  <r>
    <s v="YK263200217"/>
    <x v="0"/>
    <x v="0"/>
    <n v="1"/>
    <x v="1"/>
    <d v="2026-09-02T13:39:51"/>
    <x v="36"/>
    <x v="20"/>
    <x v="36"/>
    <s v="19BA14.10"/>
    <x v="4"/>
    <x v="1"/>
    <m/>
    <m/>
    <m/>
  </r>
  <r>
    <s v="YK263200218"/>
    <x v="7"/>
    <x v="7"/>
    <n v="1"/>
    <x v="3"/>
    <d v="2026-09-01T11:11:36"/>
    <x v="36"/>
    <x v="20"/>
    <x v="36"/>
    <s v="19BA14.10"/>
    <x v="4"/>
    <x v="1"/>
    <m/>
    <m/>
    <m/>
  </r>
  <r>
    <s v="YK263200219"/>
    <x v="9"/>
    <x v="9"/>
    <n v="1"/>
    <x v="3"/>
    <d v="2026-08-07T21:43:11"/>
    <x v="36"/>
    <x v="20"/>
    <x v="36"/>
    <s v="19BA14.10"/>
    <x v="4"/>
    <x v="1"/>
    <m/>
    <m/>
    <m/>
  </r>
  <r>
    <s v="YK263200220"/>
    <x v="9"/>
    <x v="9"/>
    <n v="1"/>
    <x v="3"/>
    <d v="2026-08-07T21:45:01"/>
    <x v="36"/>
    <x v="20"/>
    <x v="36"/>
    <s v="19BA14.10"/>
    <x v="4"/>
    <x v="1"/>
    <m/>
    <m/>
    <m/>
  </r>
  <r>
    <s v="YK263200221"/>
    <x v="7"/>
    <x v="7"/>
    <n v="1"/>
    <x v="3"/>
    <d v="2026-08-31T14:09:42"/>
    <x v="36"/>
    <x v="20"/>
    <x v="36"/>
    <s v="19BA14.10"/>
    <x v="4"/>
    <x v="1"/>
    <m/>
    <m/>
    <m/>
  </r>
  <r>
    <s v="YK263200222"/>
    <x v="9"/>
    <x v="9"/>
    <n v="1"/>
    <x v="3"/>
    <d v="2026-08-17T14:47:31"/>
    <x v="36"/>
    <x v="20"/>
    <x v="36"/>
    <s v="19BA14.10"/>
    <x v="4"/>
    <x v="1"/>
    <m/>
    <m/>
    <m/>
  </r>
  <r>
    <s v="YK263200223"/>
    <x v="3"/>
    <x v="3"/>
    <n v="1"/>
    <x v="4"/>
    <d v="2026-08-14T09:49:19"/>
    <x v="36"/>
    <x v="20"/>
    <x v="36"/>
    <s v="19BA14.10"/>
    <x v="4"/>
    <x v="1"/>
    <m/>
    <m/>
    <m/>
  </r>
  <r>
    <s v="YK263200224"/>
    <x v="0"/>
    <x v="0"/>
    <n v="1"/>
    <x v="1"/>
    <d v="2026-09-16T10:52:02"/>
    <x v="36"/>
    <x v="20"/>
    <x v="36"/>
    <s v="19BA14.10"/>
    <x v="4"/>
    <x v="1"/>
    <m/>
    <m/>
    <m/>
  </r>
  <r>
    <s v="YK263200225"/>
    <x v="0"/>
    <x v="0"/>
    <n v="1"/>
    <x v="1"/>
    <d v="2026-09-16T10:49:50"/>
    <x v="36"/>
    <x v="20"/>
    <x v="36"/>
    <s v="19BA14.10"/>
    <x v="4"/>
    <x v="1"/>
    <m/>
    <m/>
    <m/>
  </r>
  <r>
    <s v="YK263200226"/>
    <x v="3"/>
    <x v="3"/>
    <n v="1"/>
    <x v="4"/>
    <d v="2026-08-31T16:51:48"/>
    <x v="36"/>
    <x v="20"/>
    <x v="36"/>
    <s v="19BA14.10"/>
    <x v="4"/>
    <x v="1"/>
    <m/>
    <m/>
    <m/>
  </r>
  <r>
    <s v="YK263200227"/>
    <x v="3"/>
    <x v="3"/>
    <n v="1"/>
    <x v="4"/>
    <d v="2026-09-08T07:21:59"/>
    <x v="36"/>
    <x v="20"/>
    <x v="36"/>
    <s v="19BA14.10"/>
    <x v="4"/>
    <x v="1"/>
    <m/>
    <m/>
    <m/>
  </r>
  <r>
    <s v="YK263200228"/>
    <x v="3"/>
    <x v="3"/>
    <n v="1"/>
    <x v="4"/>
    <d v="2026-08-25T10:53:35"/>
    <x v="36"/>
    <x v="20"/>
    <x v="36"/>
    <s v="19BA14.10"/>
    <x v="4"/>
    <x v="1"/>
    <m/>
    <m/>
    <m/>
  </r>
  <r>
    <s v="YK263200229"/>
    <x v="3"/>
    <x v="3"/>
    <n v="1"/>
    <x v="4"/>
    <d v="2026-08-25T11:22:02"/>
    <x v="36"/>
    <x v="20"/>
    <x v="36"/>
    <s v="19BA14.10"/>
    <x v="4"/>
    <x v="1"/>
    <m/>
    <m/>
    <m/>
  </r>
  <r>
    <s v="YK263200230"/>
    <x v="3"/>
    <x v="3"/>
    <n v="1"/>
    <x v="4"/>
    <d v="2026-09-03T07:48:21"/>
    <x v="36"/>
    <x v="20"/>
    <x v="36"/>
    <s v="19BA14.10"/>
    <x v="4"/>
    <x v="1"/>
    <m/>
    <m/>
    <m/>
  </r>
  <r>
    <s v="YK263200231"/>
    <x v="3"/>
    <x v="3"/>
    <n v="1"/>
    <x v="4"/>
    <d v="2026-08-26T09:04:17"/>
    <x v="36"/>
    <x v="20"/>
    <x v="36"/>
    <s v="19BA14.10"/>
    <x v="4"/>
    <x v="1"/>
    <m/>
    <m/>
    <m/>
  </r>
  <r>
    <s v="YK263200232"/>
    <x v="3"/>
    <x v="3"/>
    <n v="1"/>
    <x v="4"/>
    <d v="2026-08-26T08:10:51"/>
    <x v="36"/>
    <x v="20"/>
    <x v="36"/>
    <s v="19BA14.10"/>
    <x v="4"/>
    <x v="1"/>
    <m/>
    <m/>
    <m/>
  </r>
  <r>
    <s v="YK263200233"/>
    <x v="9"/>
    <x v="9"/>
    <n v="1"/>
    <x v="3"/>
    <d v="2026-09-01T11:12:26"/>
    <x v="36"/>
    <x v="20"/>
    <x v="36"/>
    <s v="19BA14.10"/>
    <x v="4"/>
    <x v="1"/>
    <m/>
    <m/>
    <m/>
  </r>
  <r>
    <s v="YK263200234"/>
    <x v="3"/>
    <x v="3"/>
    <n v="1"/>
    <x v="4"/>
    <d v="2026-08-25T11:01:58"/>
    <x v="36"/>
    <x v="20"/>
    <x v="36"/>
    <s v="19BA14.10"/>
    <x v="4"/>
    <x v="1"/>
    <m/>
    <m/>
    <m/>
  </r>
  <r>
    <s v="YK263200235"/>
    <x v="3"/>
    <x v="3"/>
    <n v="1"/>
    <x v="4"/>
    <d v="2026-08-25T10:48:05"/>
    <x v="36"/>
    <x v="20"/>
    <x v="36"/>
    <s v="19BA14.10"/>
    <x v="4"/>
    <x v="1"/>
    <m/>
    <m/>
    <m/>
  </r>
  <r>
    <s v="YK263200236"/>
    <x v="9"/>
    <x v="9"/>
    <n v="1"/>
    <x v="3"/>
    <d v="2026-09-01T11:09:27"/>
    <x v="36"/>
    <x v="20"/>
    <x v="36"/>
    <s v="19BA14.10"/>
    <x v="4"/>
    <x v="1"/>
    <m/>
    <m/>
    <m/>
  </r>
  <r>
    <s v="YK263200237"/>
    <x v="9"/>
    <x v="9"/>
    <n v="1"/>
    <x v="3"/>
    <d v="2026-09-01T11:10:29"/>
    <x v="36"/>
    <x v="20"/>
    <x v="36"/>
    <s v="19BA14.10"/>
    <x v="4"/>
    <x v="1"/>
    <m/>
    <m/>
    <m/>
  </r>
  <r>
    <s v="YK263200238"/>
    <x v="10"/>
    <x v="10"/>
    <n v="1"/>
    <x v="7"/>
    <d v="2026-08-21T11:34:40"/>
    <x v="36"/>
    <x v="20"/>
    <x v="36"/>
    <s v="19BA14.10"/>
    <x v="4"/>
    <x v="1"/>
    <m/>
    <m/>
    <m/>
  </r>
  <r>
    <s v="YK263200239"/>
    <x v="9"/>
    <x v="9"/>
    <n v="1"/>
    <x v="3"/>
    <d v="2026-08-08T08:24:21"/>
    <x v="36"/>
    <x v="20"/>
    <x v="36"/>
    <s v="19BA14.10"/>
    <x v="4"/>
    <x v="1"/>
    <m/>
    <m/>
    <m/>
  </r>
  <r>
    <s v="YK263200240"/>
    <x v="3"/>
    <x v="3"/>
    <n v="1"/>
    <x v="4"/>
    <d v="2026-09-14T07:42:36"/>
    <x v="36"/>
    <x v="20"/>
    <x v="36"/>
    <s v="19BA14.10"/>
    <x v="4"/>
    <x v="1"/>
    <m/>
    <m/>
    <m/>
  </r>
  <r>
    <s v="YK263200241"/>
    <x v="0"/>
    <x v="0"/>
    <n v="1"/>
    <x v="1"/>
    <d v="2026-08-14T11:44:28"/>
    <x v="36"/>
    <x v="20"/>
    <x v="36"/>
    <s v="19BA14.10"/>
    <x v="4"/>
    <x v="1"/>
    <m/>
    <m/>
    <m/>
  </r>
  <r>
    <s v="YK263200242"/>
    <x v="3"/>
    <x v="3"/>
    <n v="1"/>
    <x v="4"/>
    <d v="2026-08-25T11:28:53"/>
    <x v="36"/>
    <x v="20"/>
    <x v="36"/>
    <s v="19BA14.10"/>
    <x v="4"/>
    <x v="1"/>
    <m/>
    <m/>
    <m/>
  </r>
  <r>
    <s v="YK263200243"/>
    <x v="9"/>
    <x v="9"/>
    <n v="1"/>
    <x v="3"/>
    <d v="2026-08-08T09:41:03"/>
    <x v="36"/>
    <x v="20"/>
    <x v="36"/>
    <s v="19BA14.10"/>
    <x v="4"/>
    <x v="1"/>
    <m/>
    <m/>
    <m/>
  </r>
  <r>
    <s v="YK263200244"/>
    <x v="3"/>
    <x v="3"/>
    <n v="1"/>
    <x v="4"/>
    <d v="2026-09-01T08:33:06"/>
    <x v="36"/>
    <x v="20"/>
    <x v="36"/>
    <s v="19BA14.10"/>
    <x v="4"/>
    <x v="1"/>
    <m/>
    <m/>
    <m/>
  </r>
  <r>
    <s v="YK263200245"/>
    <x v="0"/>
    <x v="0"/>
    <n v="1"/>
    <x v="1"/>
    <d v="2026-09-14T06:09:12"/>
    <x v="36"/>
    <x v="20"/>
    <x v="36"/>
    <s v="19BA14.10"/>
    <x v="4"/>
    <x v="1"/>
    <m/>
    <m/>
    <m/>
  </r>
  <r>
    <s v="YK263200246"/>
    <x v="7"/>
    <x v="7"/>
    <n v="1"/>
    <x v="3"/>
    <d v="2026-09-09T07:40:32"/>
    <x v="36"/>
    <x v="20"/>
    <x v="36"/>
    <s v="19BA14.10"/>
    <x v="4"/>
    <x v="1"/>
    <m/>
    <m/>
    <m/>
  </r>
  <r>
    <s v="YK263200247"/>
    <x v="17"/>
    <x v="17"/>
    <n v="1"/>
    <x v="3"/>
    <d v="2026-08-31T19:02:24"/>
    <x v="36"/>
    <x v="20"/>
    <x v="36"/>
    <s v="19BA14.10"/>
    <x v="4"/>
    <x v="1"/>
    <m/>
    <m/>
    <m/>
  </r>
  <r>
    <s v="YK263200248"/>
    <x v="9"/>
    <x v="9"/>
    <n v="1"/>
    <x v="3"/>
    <d v="2026-08-08T10:06:29"/>
    <x v="36"/>
    <x v="20"/>
    <x v="36"/>
    <s v="19BA14.10"/>
    <x v="4"/>
    <x v="1"/>
    <m/>
    <m/>
    <m/>
  </r>
  <r>
    <s v="YK263200249"/>
    <x v="0"/>
    <x v="0"/>
    <n v="1"/>
    <x v="1"/>
    <d v="2026-09-14T10:51:05"/>
    <x v="36"/>
    <x v="20"/>
    <x v="36"/>
    <s v="19BA14.10"/>
    <x v="4"/>
    <x v="1"/>
    <m/>
    <m/>
    <m/>
  </r>
  <r>
    <s v="YK263200250"/>
    <x v="3"/>
    <x v="3"/>
    <n v="1"/>
    <x v="4"/>
    <d v="2026-09-14T07:16:51"/>
    <x v="36"/>
    <x v="20"/>
    <x v="36"/>
    <s v="19BA14.10"/>
    <x v="4"/>
    <x v="1"/>
    <m/>
    <m/>
    <m/>
  </r>
  <r>
    <s v="YK263200251"/>
    <x v="0"/>
    <x v="0"/>
    <n v="1"/>
    <x v="1"/>
    <d v="2026-09-14T06:18:56"/>
    <x v="36"/>
    <x v="20"/>
    <x v="36"/>
    <s v="19BA14.10"/>
    <x v="4"/>
    <x v="1"/>
    <m/>
    <m/>
    <m/>
  </r>
  <r>
    <s v="YK263200252"/>
    <x v="10"/>
    <x v="10"/>
    <n v="1"/>
    <x v="7"/>
    <d v="2026-08-31T09:09:40"/>
    <x v="36"/>
    <x v="20"/>
    <x v="36"/>
    <s v="19BA14.10"/>
    <x v="4"/>
    <x v="1"/>
    <m/>
    <m/>
    <m/>
  </r>
  <r>
    <s v="YK263200253"/>
    <x v="3"/>
    <x v="3"/>
    <n v="1"/>
    <x v="4"/>
    <d v="2026-09-01T07:42:18"/>
    <x v="36"/>
    <x v="20"/>
    <x v="36"/>
    <s v="19BA14.10"/>
    <x v="4"/>
    <x v="1"/>
    <m/>
    <m/>
    <m/>
  </r>
  <r>
    <s v="YK263200254"/>
    <x v="3"/>
    <x v="3"/>
    <n v="1"/>
    <x v="4"/>
    <d v="2026-09-01T07:11:24"/>
    <x v="36"/>
    <x v="20"/>
    <x v="36"/>
    <s v="19BA14.10"/>
    <x v="4"/>
    <x v="1"/>
    <m/>
    <m/>
    <m/>
  </r>
  <r>
    <s v="YK263200255"/>
    <x v="17"/>
    <x v="17"/>
    <n v="1"/>
    <x v="3"/>
    <d v="2026-08-31T18:36:04"/>
    <x v="36"/>
    <x v="20"/>
    <x v="36"/>
    <s v="19BA14.10"/>
    <x v="4"/>
    <x v="1"/>
    <m/>
    <m/>
    <m/>
  </r>
  <r>
    <s v="YK263200256"/>
    <x v="17"/>
    <x v="17"/>
    <n v="1"/>
    <x v="3"/>
    <d v="2026-08-31T14:40:34"/>
    <x v="36"/>
    <x v="20"/>
    <x v="36"/>
    <s v="19BA14.10"/>
    <x v="4"/>
    <x v="1"/>
    <m/>
    <m/>
    <m/>
  </r>
  <r>
    <s v="YK263200257"/>
    <x v="9"/>
    <x v="9"/>
    <n v="1"/>
    <x v="3"/>
    <d v="2026-08-11T15:09:18"/>
    <x v="36"/>
    <x v="20"/>
    <x v="36"/>
    <s v="19BA14.10"/>
    <x v="4"/>
    <x v="1"/>
    <m/>
    <m/>
    <m/>
  </r>
  <r>
    <s v="YK263200258"/>
    <x v="9"/>
    <x v="9"/>
    <n v="1"/>
    <x v="3"/>
    <d v="2026-08-11T15:13:24"/>
    <x v="36"/>
    <x v="20"/>
    <x v="36"/>
    <s v="19BA14.10"/>
    <x v="4"/>
    <x v="1"/>
    <m/>
    <m/>
    <m/>
  </r>
  <r>
    <s v="YK263200259"/>
    <x v="9"/>
    <x v="9"/>
    <n v="1"/>
    <x v="3"/>
    <d v="2026-08-12T14:51:04"/>
    <x v="36"/>
    <x v="20"/>
    <x v="36"/>
    <s v="19BA14.10"/>
    <x v="4"/>
    <x v="1"/>
    <m/>
    <m/>
    <m/>
  </r>
  <r>
    <s v="YK263200260"/>
    <x v="10"/>
    <x v="10"/>
    <n v="1"/>
    <x v="7"/>
    <d v="2026-08-31T11:03:04"/>
    <x v="36"/>
    <x v="20"/>
    <x v="36"/>
    <s v="19BA14.10"/>
    <x v="4"/>
    <x v="1"/>
    <m/>
    <m/>
    <m/>
  </r>
  <r>
    <s v="YK263200261"/>
    <x v="17"/>
    <x v="17"/>
    <n v="1"/>
    <x v="3"/>
    <d v="2026-08-31T13:50:52"/>
    <x v="36"/>
    <x v="20"/>
    <x v="36"/>
    <s v="19BA14.10"/>
    <x v="4"/>
    <x v="1"/>
    <m/>
    <m/>
    <m/>
  </r>
  <r>
    <s v="YK263200262"/>
    <x v="3"/>
    <x v="3"/>
    <n v="1"/>
    <x v="4"/>
    <d v="2026-09-01T07:05:30"/>
    <x v="36"/>
    <x v="20"/>
    <x v="36"/>
    <s v="19BA14.10"/>
    <x v="4"/>
    <x v="1"/>
    <m/>
    <m/>
    <m/>
  </r>
  <r>
    <s v="YK263200263"/>
    <x v="9"/>
    <x v="9"/>
    <n v="1"/>
    <x v="3"/>
    <d v="2026-08-12T13:10:04"/>
    <x v="36"/>
    <x v="20"/>
    <x v="36"/>
    <s v="19BA14.10"/>
    <x v="4"/>
    <x v="1"/>
    <m/>
    <m/>
    <m/>
  </r>
  <r>
    <s v="YK263200264"/>
    <x v="17"/>
    <x v="17"/>
    <n v="1"/>
    <x v="3"/>
    <d v="2026-08-31T14:42:08"/>
    <x v="36"/>
    <x v="20"/>
    <x v="36"/>
    <s v="19BA14.10"/>
    <x v="4"/>
    <x v="1"/>
    <m/>
    <m/>
    <m/>
  </r>
  <r>
    <s v="YK263200265"/>
    <x v="3"/>
    <x v="3"/>
    <n v="1"/>
    <x v="4"/>
    <d v="2026-09-01T06:58:20"/>
    <x v="36"/>
    <x v="20"/>
    <x v="36"/>
    <s v="19BA14.10"/>
    <x v="4"/>
    <x v="1"/>
    <m/>
    <m/>
    <m/>
  </r>
  <r>
    <s v="YK263200266"/>
    <x v="9"/>
    <x v="9"/>
    <n v="1"/>
    <x v="3"/>
    <d v="2026-08-12T13:17:26"/>
    <x v="36"/>
    <x v="20"/>
    <x v="36"/>
    <s v="19BA14.10"/>
    <x v="4"/>
    <x v="1"/>
    <m/>
    <m/>
    <m/>
  </r>
  <r>
    <s v="YK263200267"/>
    <x v="3"/>
    <x v="3"/>
    <n v="1"/>
    <x v="4"/>
    <d v="2026-09-01T08:39:23"/>
    <x v="36"/>
    <x v="20"/>
    <x v="36"/>
    <s v="19BA14.10"/>
    <x v="4"/>
    <x v="1"/>
    <m/>
    <m/>
    <m/>
  </r>
  <r>
    <s v="YK263200268"/>
    <x v="3"/>
    <x v="3"/>
    <n v="1"/>
    <x v="4"/>
    <d v="2026-09-14T06:59:19"/>
    <x v="36"/>
    <x v="20"/>
    <x v="36"/>
    <s v="19BA14.10"/>
    <x v="4"/>
    <x v="1"/>
    <m/>
    <m/>
    <m/>
  </r>
  <r>
    <s v="YK263200269"/>
    <x v="9"/>
    <x v="9"/>
    <n v="1"/>
    <x v="3"/>
    <d v="2026-08-12T16:36:01"/>
    <x v="36"/>
    <x v="20"/>
    <x v="36"/>
    <s v="19BA14.10"/>
    <x v="4"/>
    <x v="1"/>
    <m/>
    <m/>
    <m/>
  </r>
  <r>
    <s v="YK263200270"/>
    <x v="0"/>
    <x v="0"/>
    <n v="1"/>
    <x v="0"/>
    <d v="2026-08-04T10:51:27"/>
    <x v="36"/>
    <x v="20"/>
    <x v="36"/>
    <s v="19BA14.10"/>
    <x v="4"/>
    <x v="1"/>
    <m/>
    <m/>
    <m/>
  </r>
  <r>
    <s v="YK263200271"/>
    <x v="9"/>
    <x v="9"/>
    <n v="1"/>
    <x v="3"/>
    <d v="2026-08-12T12:26:27"/>
    <x v="36"/>
    <x v="20"/>
    <x v="36"/>
    <s v="19BA14.10"/>
    <x v="4"/>
    <x v="1"/>
    <m/>
    <m/>
    <m/>
  </r>
  <r>
    <s v="YK263200272"/>
    <x v="0"/>
    <x v="0"/>
    <n v="1"/>
    <x v="0"/>
    <d v="2026-08-04T10:51:27"/>
    <x v="36"/>
    <x v="20"/>
    <x v="36"/>
    <s v="19BA14.10"/>
    <x v="4"/>
    <x v="1"/>
    <m/>
    <m/>
    <m/>
  </r>
  <r>
    <s v="YK263200273"/>
    <x v="0"/>
    <x v="0"/>
    <n v="1"/>
    <x v="1"/>
    <d v="2026-09-14T06:09:27"/>
    <x v="36"/>
    <x v="20"/>
    <x v="36"/>
    <s v="19BA14.10"/>
    <x v="4"/>
    <x v="1"/>
    <m/>
    <m/>
    <m/>
  </r>
  <r>
    <s v="YK263200274"/>
    <x v="9"/>
    <x v="9"/>
    <n v="1"/>
    <x v="3"/>
    <d v="2026-08-12T16:58:07"/>
    <x v="36"/>
    <x v="20"/>
    <x v="36"/>
    <s v="19BA14.10"/>
    <x v="4"/>
    <x v="1"/>
    <m/>
    <m/>
    <m/>
  </r>
  <r>
    <s v="YK263200275"/>
    <x v="9"/>
    <x v="9"/>
    <n v="1"/>
    <x v="3"/>
    <d v="2026-08-12T17:00:37"/>
    <x v="36"/>
    <x v="20"/>
    <x v="36"/>
    <s v="19BA14.10"/>
    <x v="4"/>
    <x v="1"/>
    <m/>
    <m/>
    <m/>
  </r>
  <r>
    <s v="YK263200276"/>
    <x v="9"/>
    <x v="9"/>
    <n v="1"/>
    <x v="3"/>
    <d v="2026-08-12T17:02:38"/>
    <x v="36"/>
    <x v="20"/>
    <x v="36"/>
    <s v="19BA14.10"/>
    <x v="4"/>
    <x v="1"/>
    <m/>
    <m/>
    <m/>
  </r>
  <r>
    <s v="YK263200277"/>
    <x v="9"/>
    <x v="9"/>
    <n v="1"/>
    <x v="3"/>
    <d v="2026-08-12T17:03:32"/>
    <x v="36"/>
    <x v="20"/>
    <x v="36"/>
    <s v="19BA14.10"/>
    <x v="4"/>
    <x v="1"/>
    <m/>
    <m/>
    <m/>
  </r>
  <r>
    <s v="YK263200278"/>
    <x v="9"/>
    <x v="9"/>
    <n v="1"/>
    <x v="3"/>
    <d v="2026-08-12T17:04:34"/>
    <x v="36"/>
    <x v="20"/>
    <x v="36"/>
    <s v="19BA14.10"/>
    <x v="4"/>
    <x v="1"/>
    <m/>
    <m/>
    <m/>
  </r>
  <r>
    <s v="YK263200279"/>
    <x v="9"/>
    <x v="9"/>
    <n v="1"/>
    <x v="3"/>
    <d v="2026-08-12T17:05:37"/>
    <x v="36"/>
    <x v="20"/>
    <x v="36"/>
    <s v="19BA14.10"/>
    <x v="4"/>
    <x v="1"/>
    <m/>
    <m/>
    <m/>
  </r>
  <r>
    <s v="YK263200280"/>
    <x v="9"/>
    <x v="9"/>
    <n v="1"/>
    <x v="3"/>
    <d v="2026-08-12T17:05:59"/>
    <x v="36"/>
    <x v="20"/>
    <x v="36"/>
    <s v="19BA14.10"/>
    <x v="4"/>
    <x v="1"/>
    <m/>
    <m/>
    <m/>
  </r>
  <r>
    <s v="YK263200281"/>
    <x v="0"/>
    <x v="0"/>
    <n v="1"/>
    <x v="0"/>
    <d v="2026-08-04T10:51:27"/>
    <x v="36"/>
    <x v="20"/>
    <x v="36"/>
    <s v="19BA14.10"/>
    <x v="4"/>
    <x v="1"/>
    <m/>
    <m/>
    <m/>
  </r>
  <r>
    <s v="YK263200282"/>
    <x v="0"/>
    <x v="0"/>
    <n v="1"/>
    <x v="0"/>
    <d v="2026-08-04T10:51:27"/>
    <x v="36"/>
    <x v="20"/>
    <x v="36"/>
    <s v="19BA14.10"/>
    <x v="4"/>
    <x v="1"/>
    <m/>
    <m/>
    <m/>
  </r>
  <r>
    <s v="YK263200283"/>
    <x v="0"/>
    <x v="0"/>
    <n v="1"/>
    <x v="1"/>
    <d v="2026-09-14T10:53:10"/>
    <x v="36"/>
    <x v="20"/>
    <x v="36"/>
    <s v="19BA14.10"/>
    <x v="4"/>
    <x v="1"/>
    <m/>
    <m/>
    <m/>
  </r>
  <r>
    <s v="YK263200284"/>
    <x v="9"/>
    <x v="9"/>
    <n v="1"/>
    <x v="3"/>
    <d v="2026-08-14T11:33:33"/>
    <x v="36"/>
    <x v="20"/>
    <x v="36"/>
    <s v="19BA14.10"/>
    <x v="4"/>
    <x v="1"/>
    <m/>
    <m/>
    <m/>
  </r>
  <r>
    <s v="YK263200285"/>
    <x v="9"/>
    <x v="9"/>
    <n v="1"/>
    <x v="3"/>
    <d v="2026-08-14T11:33:20"/>
    <x v="36"/>
    <x v="20"/>
    <x v="36"/>
    <s v="19BA14.10"/>
    <x v="4"/>
    <x v="1"/>
    <m/>
    <m/>
    <m/>
  </r>
  <r>
    <s v="YK263200286"/>
    <x v="0"/>
    <x v="0"/>
    <n v="1"/>
    <x v="1"/>
    <d v="2026-09-11T19:01:49"/>
    <x v="36"/>
    <x v="20"/>
    <x v="36"/>
    <s v="19BA14.10"/>
    <x v="4"/>
    <x v="1"/>
    <m/>
    <m/>
    <m/>
  </r>
  <r>
    <s v="YK263200287"/>
    <x v="3"/>
    <x v="3"/>
    <n v="1"/>
    <x v="4"/>
    <d v="2026-09-01T07:16:04"/>
    <x v="36"/>
    <x v="20"/>
    <x v="36"/>
    <s v="19BA14.10"/>
    <x v="4"/>
    <x v="1"/>
    <m/>
    <m/>
    <m/>
  </r>
  <r>
    <s v="YK263200288"/>
    <x v="3"/>
    <x v="3"/>
    <n v="1"/>
    <x v="4"/>
    <d v="2026-08-28T10:15:52"/>
    <x v="36"/>
    <x v="20"/>
    <x v="36"/>
    <s v="19BA14.10"/>
    <x v="4"/>
    <x v="1"/>
    <m/>
    <m/>
    <m/>
  </r>
  <r>
    <s v="YK263200289"/>
    <x v="3"/>
    <x v="3"/>
    <n v="1"/>
    <x v="4"/>
    <d v="2026-08-21T14:04:27"/>
    <x v="36"/>
    <x v="20"/>
    <x v="36"/>
    <s v="19BA14.10"/>
    <x v="4"/>
    <x v="1"/>
    <m/>
    <m/>
    <m/>
  </r>
  <r>
    <s v="YK263200290"/>
    <x v="9"/>
    <x v="9"/>
    <n v="1"/>
    <x v="3"/>
    <d v="2026-08-31T06:54:53"/>
    <x v="36"/>
    <x v="20"/>
    <x v="36"/>
    <s v="19BA14.10"/>
    <x v="4"/>
    <x v="1"/>
    <m/>
    <m/>
    <m/>
  </r>
  <r>
    <s v="YK263200291"/>
    <x v="0"/>
    <x v="0"/>
    <n v="1"/>
    <x v="1"/>
    <d v="2026-09-11T19:01:09"/>
    <x v="36"/>
    <x v="20"/>
    <x v="36"/>
    <s v="19BA14.10"/>
    <x v="4"/>
    <x v="1"/>
    <m/>
    <m/>
    <m/>
  </r>
  <r>
    <s v="YK263200292"/>
    <x v="17"/>
    <x v="17"/>
    <n v="1"/>
    <x v="3"/>
    <d v="2026-08-31T18:43:28"/>
    <x v="36"/>
    <x v="20"/>
    <x v="36"/>
    <s v="19BA14.10"/>
    <x v="4"/>
    <x v="1"/>
    <m/>
    <m/>
    <m/>
  </r>
  <r>
    <s v="YK263200293"/>
    <x v="17"/>
    <x v="17"/>
    <n v="1"/>
    <x v="3"/>
    <d v="2026-08-31T18:45:08"/>
    <x v="36"/>
    <x v="20"/>
    <x v="36"/>
    <s v="19BA14.10"/>
    <x v="4"/>
    <x v="1"/>
    <m/>
    <m/>
    <m/>
  </r>
  <r>
    <s v="YK263200294"/>
    <x v="9"/>
    <x v="9"/>
    <n v="1"/>
    <x v="3"/>
    <d v="2026-08-15T07:15:23"/>
    <x v="36"/>
    <x v="20"/>
    <x v="36"/>
    <s v="19BA14.10"/>
    <x v="4"/>
    <x v="1"/>
    <m/>
    <m/>
    <m/>
  </r>
  <r>
    <s v="YK263200295"/>
    <x v="9"/>
    <x v="9"/>
    <n v="1"/>
    <x v="3"/>
    <d v="2026-08-15T07:16:51"/>
    <x v="36"/>
    <x v="20"/>
    <x v="36"/>
    <s v="19BA14.10"/>
    <x v="4"/>
    <x v="1"/>
    <m/>
    <m/>
    <m/>
  </r>
  <r>
    <s v="YK263200296"/>
    <x v="7"/>
    <x v="7"/>
    <n v="1"/>
    <x v="3"/>
    <d v="2026-09-09T07:35:08"/>
    <x v="36"/>
    <x v="20"/>
    <x v="36"/>
    <s v="19BA14.10"/>
    <x v="4"/>
    <x v="1"/>
    <m/>
    <m/>
    <m/>
  </r>
  <r>
    <s v="YK263200297"/>
    <x v="0"/>
    <x v="0"/>
    <n v="1"/>
    <x v="0"/>
    <d v="2026-08-04T10:51:27"/>
    <x v="36"/>
    <x v="20"/>
    <x v="36"/>
    <s v="19BA14.10"/>
    <x v="4"/>
    <x v="1"/>
    <m/>
    <m/>
    <m/>
  </r>
  <r>
    <s v="YK263200298"/>
    <x v="0"/>
    <x v="0"/>
    <n v="1"/>
    <x v="1"/>
    <d v="2026-09-11T19:00:18"/>
    <x v="36"/>
    <x v="20"/>
    <x v="36"/>
    <s v="19BA14.10"/>
    <x v="4"/>
    <x v="1"/>
    <m/>
    <m/>
    <m/>
  </r>
  <r>
    <s v="YK263200299"/>
    <x v="0"/>
    <x v="0"/>
    <n v="1"/>
    <x v="1"/>
    <d v="2026-09-14T10:53:26"/>
    <x v="36"/>
    <x v="20"/>
    <x v="36"/>
    <s v="19BA14.10"/>
    <x v="4"/>
    <x v="1"/>
    <m/>
    <m/>
    <m/>
  </r>
  <r>
    <s v="YK263200300"/>
    <x v="0"/>
    <x v="0"/>
    <n v="1"/>
    <x v="1"/>
    <d v="2026-09-14T10:54:16"/>
    <x v="36"/>
    <x v="20"/>
    <x v="36"/>
    <s v="19BA14.10"/>
    <x v="4"/>
    <x v="1"/>
    <m/>
    <m/>
    <m/>
  </r>
  <r>
    <s v="YK263200301"/>
    <x v="9"/>
    <x v="9"/>
    <n v="1"/>
    <x v="3"/>
    <d v="2026-08-15T07:21:07"/>
    <x v="36"/>
    <x v="20"/>
    <x v="36"/>
    <s v="19BA14.10"/>
    <x v="4"/>
    <x v="1"/>
    <m/>
    <m/>
    <m/>
  </r>
  <r>
    <s v="YK263200302"/>
    <x v="9"/>
    <x v="9"/>
    <n v="1"/>
    <x v="3"/>
    <d v="2026-08-15T08:20:27"/>
    <x v="36"/>
    <x v="20"/>
    <x v="36"/>
    <s v="19BA14.10"/>
    <x v="4"/>
    <x v="1"/>
    <m/>
    <m/>
    <m/>
  </r>
  <r>
    <s v="YK263200303"/>
    <x v="0"/>
    <x v="0"/>
    <n v="1"/>
    <x v="1"/>
    <d v="2026-09-14T10:46:59"/>
    <x v="36"/>
    <x v="20"/>
    <x v="36"/>
    <s v="19BA14.10"/>
    <x v="4"/>
    <x v="1"/>
    <m/>
    <m/>
    <m/>
  </r>
  <r>
    <s v="YK263200304"/>
    <x v="0"/>
    <x v="0"/>
    <n v="1"/>
    <x v="1"/>
    <d v="2026-09-14T10:54:00"/>
    <x v="36"/>
    <x v="20"/>
    <x v="36"/>
    <s v="19BA14.10"/>
    <x v="4"/>
    <x v="1"/>
    <m/>
    <m/>
    <m/>
  </r>
  <r>
    <s v="YK263200305"/>
    <x v="0"/>
    <x v="0"/>
    <n v="1"/>
    <x v="1"/>
    <d v="2026-09-14T10:50:29"/>
    <x v="36"/>
    <x v="20"/>
    <x v="36"/>
    <s v="19BA14.10"/>
    <x v="4"/>
    <x v="1"/>
    <m/>
    <m/>
    <m/>
  </r>
  <r>
    <s v="YK263200306"/>
    <x v="10"/>
    <x v="10"/>
    <n v="1"/>
    <x v="7"/>
    <d v="2026-08-31T08:18:42"/>
    <x v="36"/>
    <x v="20"/>
    <x v="36"/>
    <s v="19BA14.10"/>
    <x v="4"/>
    <x v="1"/>
    <m/>
    <m/>
    <m/>
  </r>
  <r>
    <s v="YK263200307"/>
    <x v="7"/>
    <x v="7"/>
    <n v="1"/>
    <x v="3"/>
    <d v="2026-08-31T06:12:26"/>
    <x v="36"/>
    <x v="20"/>
    <x v="36"/>
    <s v="19BA14.10"/>
    <x v="4"/>
    <x v="1"/>
    <m/>
    <m/>
    <m/>
  </r>
  <r>
    <s v="YK263200308"/>
    <x v="7"/>
    <x v="7"/>
    <n v="1"/>
    <x v="3"/>
    <d v="2026-08-28T15:18:52"/>
    <x v="36"/>
    <x v="20"/>
    <x v="36"/>
    <s v="19BA14.10"/>
    <x v="4"/>
    <x v="1"/>
    <m/>
    <m/>
    <m/>
  </r>
  <r>
    <s v="YK263200309"/>
    <x v="7"/>
    <x v="7"/>
    <n v="1"/>
    <x v="3"/>
    <d v="2026-09-09T07:30:43"/>
    <x v="36"/>
    <x v="20"/>
    <x v="36"/>
    <s v="19BA14.10"/>
    <x v="4"/>
    <x v="1"/>
    <m/>
    <m/>
    <m/>
  </r>
  <r>
    <s v="YK263200310"/>
    <x v="7"/>
    <x v="7"/>
    <n v="1"/>
    <x v="3"/>
    <d v="2026-08-28T15:10:11"/>
    <x v="36"/>
    <x v="20"/>
    <x v="36"/>
    <s v="19BA14.10"/>
    <x v="4"/>
    <x v="1"/>
    <m/>
    <m/>
    <m/>
  </r>
  <r>
    <s v="YK263200311"/>
    <x v="7"/>
    <x v="7"/>
    <n v="1"/>
    <x v="3"/>
    <d v="2026-08-28T15:15:37"/>
    <x v="36"/>
    <x v="20"/>
    <x v="36"/>
    <s v="19BA14.10"/>
    <x v="4"/>
    <x v="1"/>
    <m/>
    <m/>
    <m/>
  </r>
  <r>
    <s v="YK263200312"/>
    <x v="7"/>
    <x v="7"/>
    <n v="1"/>
    <x v="3"/>
    <d v="2026-08-29T05:34:16"/>
    <x v="36"/>
    <x v="20"/>
    <x v="36"/>
    <s v="19BA14.10"/>
    <x v="4"/>
    <x v="1"/>
    <m/>
    <m/>
    <m/>
  </r>
  <r>
    <s v="YK263200313"/>
    <x v="7"/>
    <x v="7"/>
    <n v="1"/>
    <x v="3"/>
    <d v="2026-08-29T05:30:26"/>
    <x v="36"/>
    <x v="20"/>
    <x v="36"/>
    <s v="19BA14.10"/>
    <x v="4"/>
    <x v="1"/>
    <m/>
    <m/>
    <m/>
  </r>
  <r>
    <s v="YK263200314"/>
    <x v="7"/>
    <x v="7"/>
    <n v="1"/>
    <x v="3"/>
    <d v="2026-08-28T15:28:30"/>
    <x v="36"/>
    <x v="20"/>
    <x v="36"/>
    <s v="19BA14.10"/>
    <x v="4"/>
    <x v="1"/>
    <m/>
    <m/>
    <m/>
  </r>
  <r>
    <s v="YK263200315"/>
    <x v="7"/>
    <x v="7"/>
    <n v="1"/>
    <x v="3"/>
    <d v="2026-08-29T05:26:33"/>
    <x v="36"/>
    <x v="20"/>
    <x v="36"/>
    <s v="19BA14.10"/>
    <x v="4"/>
    <x v="1"/>
    <m/>
    <m/>
    <m/>
  </r>
  <r>
    <s v="YK263200316"/>
    <x v="7"/>
    <x v="7"/>
    <n v="1"/>
    <x v="3"/>
    <d v="2026-08-28T14:53:29"/>
    <x v="36"/>
    <x v="20"/>
    <x v="36"/>
    <s v="19BA14.10"/>
    <x v="4"/>
    <x v="1"/>
    <m/>
    <m/>
    <m/>
  </r>
  <r>
    <s v="YK263200317"/>
    <x v="7"/>
    <x v="7"/>
    <n v="1"/>
    <x v="3"/>
    <d v="2026-08-28T15:21:21"/>
    <x v="36"/>
    <x v="20"/>
    <x v="36"/>
    <s v="19BA14.10"/>
    <x v="4"/>
    <x v="1"/>
    <m/>
    <m/>
    <m/>
  </r>
  <r>
    <s v="YK263200318"/>
    <x v="7"/>
    <x v="7"/>
    <n v="1"/>
    <x v="3"/>
    <d v="2026-08-28T14:48:50"/>
    <x v="36"/>
    <x v="20"/>
    <x v="36"/>
    <s v="19BA14.10"/>
    <x v="4"/>
    <x v="1"/>
    <m/>
    <m/>
    <m/>
  </r>
  <r>
    <s v="YK263200319"/>
    <x v="7"/>
    <x v="7"/>
    <n v="1"/>
    <x v="3"/>
    <d v="2026-08-28T14:39:23"/>
    <x v="36"/>
    <x v="20"/>
    <x v="36"/>
    <s v="19BA14.10"/>
    <x v="4"/>
    <x v="1"/>
    <m/>
    <m/>
    <m/>
  </r>
  <r>
    <s v="YK263200320"/>
    <x v="7"/>
    <x v="7"/>
    <n v="1"/>
    <x v="3"/>
    <d v="2026-08-28T14:33:22"/>
    <x v="36"/>
    <x v="20"/>
    <x v="36"/>
    <s v="19BA14.10"/>
    <x v="4"/>
    <x v="1"/>
    <m/>
    <m/>
    <m/>
  </r>
  <r>
    <s v="YK263200321"/>
    <x v="7"/>
    <x v="7"/>
    <n v="1"/>
    <x v="3"/>
    <d v="2026-08-28T14:23:23"/>
    <x v="36"/>
    <x v="20"/>
    <x v="36"/>
    <s v="19BA14.10"/>
    <x v="4"/>
    <x v="1"/>
    <m/>
    <m/>
    <m/>
  </r>
  <r>
    <s v="YK263200322"/>
    <x v="0"/>
    <x v="0"/>
    <n v="1"/>
    <x v="1"/>
    <d v="2026-09-14T06:25:41"/>
    <x v="36"/>
    <x v="20"/>
    <x v="36"/>
    <s v="19BA14.10"/>
    <x v="4"/>
    <x v="1"/>
    <m/>
    <m/>
    <m/>
  </r>
  <r>
    <s v="YK263200323"/>
    <x v="9"/>
    <x v="9"/>
    <n v="1"/>
    <x v="3"/>
    <d v="2026-08-17T05:17:23"/>
    <x v="36"/>
    <x v="20"/>
    <x v="36"/>
    <s v="19BA14.10"/>
    <x v="4"/>
    <x v="1"/>
    <m/>
    <m/>
    <m/>
  </r>
  <r>
    <s v="YK263200324"/>
    <x v="7"/>
    <x v="7"/>
    <n v="1"/>
    <x v="3"/>
    <d v="2026-08-31T13:58:18"/>
    <x v="36"/>
    <x v="20"/>
    <x v="36"/>
    <s v="19BA14.10"/>
    <x v="4"/>
    <x v="1"/>
    <m/>
    <m/>
    <m/>
  </r>
  <r>
    <s v="YK263200325"/>
    <x v="9"/>
    <x v="9"/>
    <n v="1"/>
    <x v="3"/>
    <d v="2026-08-17T14:49:18"/>
    <x v="36"/>
    <x v="20"/>
    <x v="36"/>
    <s v="19BA14.10"/>
    <x v="4"/>
    <x v="1"/>
    <m/>
    <m/>
    <m/>
  </r>
  <r>
    <s v="YK263200326"/>
    <x v="7"/>
    <x v="7"/>
    <n v="1"/>
    <x v="3"/>
    <d v="2026-08-31T14:18:24"/>
    <x v="36"/>
    <x v="20"/>
    <x v="36"/>
    <s v="19BA14.10"/>
    <x v="4"/>
    <x v="1"/>
    <m/>
    <m/>
    <m/>
  </r>
  <r>
    <s v="YK263200327"/>
    <x v="9"/>
    <x v="9"/>
    <n v="1"/>
    <x v="3"/>
    <d v="2026-08-17T15:12:12"/>
    <x v="36"/>
    <x v="20"/>
    <x v="36"/>
    <s v="19BA14.10"/>
    <x v="4"/>
    <x v="1"/>
    <m/>
    <m/>
    <m/>
  </r>
  <r>
    <s v="YK263200328"/>
    <x v="7"/>
    <x v="7"/>
    <n v="1"/>
    <x v="3"/>
    <d v="2026-08-31T14:16:53"/>
    <x v="36"/>
    <x v="20"/>
    <x v="36"/>
    <s v="19BA14.10"/>
    <x v="4"/>
    <x v="1"/>
    <m/>
    <m/>
    <m/>
  </r>
  <r>
    <s v="YK263200329"/>
    <x v="9"/>
    <x v="9"/>
    <n v="1"/>
    <x v="3"/>
    <d v="2026-08-17T15:13:45"/>
    <x v="36"/>
    <x v="20"/>
    <x v="36"/>
    <s v="19BA14.10"/>
    <x v="4"/>
    <x v="1"/>
    <m/>
    <m/>
    <m/>
  </r>
  <r>
    <s v="YK263200330"/>
    <x v="7"/>
    <x v="7"/>
    <n v="1"/>
    <x v="3"/>
    <d v="2026-08-31T14:15:15"/>
    <x v="36"/>
    <x v="20"/>
    <x v="36"/>
    <s v="19BA14.10"/>
    <x v="4"/>
    <x v="1"/>
    <m/>
    <m/>
    <m/>
  </r>
  <r>
    <s v="YK263200331"/>
    <x v="0"/>
    <x v="0"/>
    <n v="1"/>
    <x v="1"/>
    <d v="2026-09-14T06:09:06"/>
    <x v="36"/>
    <x v="20"/>
    <x v="36"/>
    <s v="19BA14.10"/>
    <x v="4"/>
    <x v="1"/>
    <m/>
    <m/>
    <m/>
  </r>
  <r>
    <s v="YK263200332"/>
    <x v="7"/>
    <x v="7"/>
    <n v="1"/>
    <x v="3"/>
    <d v="2026-09-09T07:38:33"/>
    <x v="36"/>
    <x v="20"/>
    <x v="36"/>
    <s v="19BA14.10"/>
    <x v="4"/>
    <x v="1"/>
    <m/>
    <m/>
    <m/>
  </r>
  <r>
    <s v="YK263200333"/>
    <x v="9"/>
    <x v="9"/>
    <n v="1"/>
    <x v="3"/>
    <d v="2026-08-17T15:16:58"/>
    <x v="36"/>
    <x v="20"/>
    <x v="36"/>
    <s v="19BA14.10"/>
    <x v="4"/>
    <x v="1"/>
    <m/>
    <m/>
    <m/>
  </r>
  <r>
    <s v="YK263200334"/>
    <x v="10"/>
    <x v="10"/>
    <n v="1"/>
    <x v="7"/>
    <d v="2026-08-31T13:40:17"/>
    <x v="36"/>
    <x v="20"/>
    <x v="36"/>
    <s v="19BA14.10"/>
    <x v="4"/>
    <x v="1"/>
    <m/>
    <m/>
    <m/>
  </r>
  <r>
    <s v="YK263200335"/>
    <x v="7"/>
    <x v="7"/>
    <n v="1"/>
    <x v="3"/>
    <d v="2026-08-31T13:54:23"/>
    <x v="36"/>
    <x v="20"/>
    <x v="36"/>
    <s v="19BA14.10"/>
    <x v="4"/>
    <x v="1"/>
    <m/>
    <m/>
    <m/>
  </r>
  <r>
    <s v="YK263200336"/>
    <x v="7"/>
    <x v="7"/>
    <n v="1"/>
    <x v="3"/>
    <d v="2026-08-31T14:00:16"/>
    <x v="36"/>
    <x v="20"/>
    <x v="36"/>
    <s v="19BA14.10"/>
    <x v="4"/>
    <x v="1"/>
    <m/>
    <m/>
    <m/>
  </r>
  <r>
    <s v="YK263200337"/>
    <x v="9"/>
    <x v="9"/>
    <n v="1"/>
    <x v="3"/>
    <d v="2026-08-17T15:23:08"/>
    <x v="36"/>
    <x v="20"/>
    <x v="36"/>
    <s v="19BA14.10"/>
    <x v="4"/>
    <x v="1"/>
    <m/>
    <m/>
    <m/>
  </r>
  <r>
    <s v="YK263200338"/>
    <x v="9"/>
    <x v="9"/>
    <n v="1"/>
    <x v="3"/>
    <d v="2026-08-31T14:20:23"/>
    <x v="36"/>
    <x v="20"/>
    <x v="36"/>
    <s v="19BA14.10"/>
    <x v="4"/>
    <x v="1"/>
    <m/>
    <m/>
    <m/>
  </r>
  <r>
    <s v="YK263200339"/>
    <x v="7"/>
    <x v="7"/>
    <n v="1"/>
    <x v="3"/>
    <d v="2026-08-31T14:22:03"/>
    <x v="36"/>
    <x v="20"/>
    <x v="36"/>
    <s v="19BA14.10"/>
    <x v="4"/>
    <x v="1"/>
    <m/>
    <m/>
    <m/>
  </r>
  <r>
    <s v="YK263200340"/>
    <x v="9"/>
    <x v="9"/>
    <n v="1"/>
    <x v="3"/>
    <d v="2026-08-17T15:25:03"/>
    <x v="36"/>
    <x v="20"/>
    <x v="36"/>
    <s v="19BA14.10"/>
    <x v="4"/>
    <x v="1"/>
    <m/>
    <m/>
    <m/>
  </r>
  <r>
    <s v="YK263200341"/>
    <x v="9"/>
    <x v="9"/>
    <n v="1"/>
    <x v="3"/>
    <d v="2026-08-17T15:25:16"/>
    <x v="36"/>
    <x v="20"/>
    <x v="36"/>
    <s v="19BA14.10"/>
    <x v="4"/>
    <x v="1"/>
    <m/>
    <m/>
    <m/>
  </r>
  <r>
    <s v="YK263200342"/>
    <x v="7"/>
    <x v="7"/>
    <n v="1"/>
    <x v="3"/>
    <d v="2026-08-31T14:26:20"/>
    <x v="36"/>
    <x v="20"/>
    <x v="36"/>
    <s v="19BA14.10"/>
    <x v="4"/>
    <x v="1"/>
    <m/>
    <m/>
    <m/>
  </r>
  <r>
    <s v="YK263200343"/>
    <x v="9"/>
    <x v="9"/>
    <n v="1"/>
    <x v="3"/>
    <d v="2026-08-17T15:25:45"/>
    <x v="36"/>
    <x v="20"/>
    <x v="36"/>
    <s v="19BA14.10"/>
    <x v="4"/>
    <x v="1"/>
    <m/>
    <m/>
    <m/>
  </r>
  <r>
    <s v="YK263200344"/>
    <x v="8"/>
    <x v="8"/>
    <n v="1"/>
    <x v="7"/>
    <d v="2026-09-16T09:44:07"/>
    <x v="36"/>
    <x v="20"/>
    <x v="36"/>
    <s v="19BA14.10"/>
    <x v="4"/>
    <x v="1"/>
    <m/>
    <m/>
    <m/>
  </r>
  <r>
    <s v="YK263200345"/>
    <x v="9"/>
    <x v="9"/>
    <n v="1"/>
    <x v="3"/>
    <d v="2026-08-17T15:26:08"/>
    <x v="36"/>
    <x v="20"/>
    <x v="36"/>
    <s v="19BA14.10"/>
    <x v="4"/>
    <x v="1"/>
    <m/>
    <m/>
    <m/>
  </r>
  <r>
    <s v="YK263200346"/>
    <x v="9"/>
    <x v="9"/>
    <n v="1"/>
    <x v="3"/>
    <d v="2026-08-17T17:55:47"/>
    <x v="36"/>
    <x v="20"/>
    <x v="36"/>
    <s v="19BA14.10"/>
    <x v="4"/>
    <x v="1"/>
    <m/>
    <m/>
    <m/>
  </r>
  <r>
    <s v="YK263200347"/>
    <x v="0"/>
    <x v="0"/>
    <n v="1"/>
    <x v="1"/>
    <d v="2026-09-14T06:22:20"/>
    <x v="36"/>
    <x v="20"/>
    <x v="36"/>
    <s v="19BA14.10"/>
    <x v="4"/>
    <x v="1"/>
    <m/>
    <m/>
    <m/>
  </r>
  <r>
    <s v="YK263200348"/>
    <x v="9"/>
    <x v="9"/>
    <n v="1"/>
    <x v="3"/>
    <d v="2026-08-17T17:56:16"/>
    <x v="36"/>
    <x v="20"/>
    <x v="36"/>
    <s v="19BA14.10"/>
    <x v="4"/>
    <x v="1"/>
    <m/>
    <m/>
    <m/>
  </r>
  <r>
    <s v="YK263200349"/>
    <x v="7"/>
    <x v="7"/>
    <n v="1"/>
    <x v="3"/>
    <d v="2026-08-31T12:26:45"/>
    <x v="36"/>
    <x v="20"/>
    <x v="36"/>
    <s v="19BA14.10"/>
    <x v="4"/>
    <x v="1"/>
    <m/>
    <m/>
    <m/>
  </r>
  <r>
    <s v="YK263200350"/>
    <x v="9"/>
    <x v="9"/>
    <n v="1"/>
    <x v="3"/>
    <d v="2026-08-17T18:18:42"/>
    <x v="36"/>
    <x v="20"/>
    <x v="36"/>
    <s v="19BA14.10"/>
    <x v="4"/>
    <x v="1"/>
    <m/>
    <m/>
    <m/>
  </r>
  <r>
    <s v="YK263200351"/>
    <x v="9"/>
    <x v="9"/>
    <n v="1"/>
    <x v="3"/>
    <d v="2026-08-17T18:19:27"/>
    <x v="36"/>
    <x v="20"/>
    <x v="36"/>
    <s v="19BA14.10"/>
    <x v="4"/>
    <x v="1"/>
    <m/>
    <m/>
    <m/>
  </r>
  <r>
    <s v="YK263200352"/>
    <x v="9"/>
    <x v="9"/>
    <n v="1"/>
    <x v="3"/>
    <d v="2026-08-17T18:19:55"/>
    <x v="36"/>
    <x v="20"/>
    <x v="36"/>
    <s v="19BA14.10"/>
    <x v="4"/>
    <x v="1"/>
    <m/>
    <m/>
    <m/>
  </r>
  <r>
    <s v="YK263200353"/>
    <x v="9"/>
    <x v="9"/>
    <n v="1"/>
    <x v="3"/>
    <d v="2026-08-17T18:20:55"/>
    <x v="36"/>
    <x v="20"/>
    <x v="36"/>
    <s v="19BA14.10"/>
    <x v="4"/>
    <x v="1"/>
    <m/>
    <m/>
    <m/>
  </r>
  <r>
    <s v="YK263200354"/>
    <x v="9"/>
    <x v="9"/>
    <n v="1"/>
    <x v="3"/>
    <d v="2026-08-17T18:21:11"/>
    <x v="36"/>
    <x v="20"/>
    <x v="36"/>
    <s v="19BA14.10"/>
    <x v="4"/>
    <x v="1"/>
    <m/>
    <m/>
    <m/>
  </r>
  <r>
    <s v="YK263200355"/>
    <x v="9"/>
    <x v="9"/>
    <n v="1"/>
    <x v="3"/>
    <d v="2026-08-17T18:21:29"/>
    <x v="36"/>
    <x v="20"/>
    <x v="36"/>
    <s v="19BA14.10"/>
    <x v="4"/>
    <x v="1"/>
    <m/>
    <m/>
    <m/>
  </r>
  <r>
    <s v="YK263200356"/>
    <x v="6"/>
    <x v="6"/>
    <n v="1"/>
    <x v="7"/>
    <d v="2026-09-08T23:37:28"/>
    <x v="36"/>
    <x v="20"/>
    <x v="36"/>
    <s v="19BA14.10"/>
    <x v="4"/>
    <x v="1"/>
    <m/>
    <m/>
    <m/>
  </r>
  <r>
    <s v="YK263200357"/>
    <x v="7"/>
    <x v="7"/>
    <n v="1"/>
    <x v="3"/>
    <d v="2026-08-31T13:32:53"/>
    <x v="36"/>
    <x v="20"/>
    <x v="36"/>
    <s v="19BA14.10"/>
    <x v="4"/>
    <x v="1"/>
    <m/>
    <m/>
    <m/>
  </r>
  <r>
    <s v="YK263200358"/>
    <x v="9"/>
    <x v="9"/>
    <n v="1"/>
    <x v="3"/>
    <d v="2026-08-17T19:22:58"/>
    <x v="36"/>
    <x v="20"/>
    <x v="36"/>
    <s v="19BA14.10"/>
    <x v="4"/>
    <x v="1"/>
    <m/>
    <m/>
    <m/>
  </r>
  <r>
    <s v="YK263200359"/>
    <x v="9"/>
    <x v="9"/>
    <n v="1"/>
    <x v="3"/>
    <d v="2026-08-17T19:22:11"/>
    <x v="36"/>
    <x v="20"/>
    <x v="36"/>
    <s v="19BA14.10"/>
    <x v="4"/>
    <x v="1"/>
    <m/>
    <m/>
    <m/>
  </r>
  <r>
    <s v="YK263200360"/>
    <x v="9"/>
    <x v="9"/>
    <n v="1"/>
    <x v="3"/>
    <d v="2026-08-17T19:12:32"/>
    <x v="36"/>
    <x v="20"/>
    <x v="36"/>
    <s v="19BA14.10"/>
    <x v="4"/>
    <x v="1"/>
    <m/>
    <m/>
    <m/>
  </r>
  <r>
    <s v="YK263200361"/>
    <x v="0"/>
    <x v="0"/>
    <n v="1"/>
    <x v="1"/>
    <d v="2026-09-14T06:08:34"/>
    <x v="36"/>
    <x v="20"/>
    <x v="36"/>
    <s v="19BA14.10"/>
    <x v="4"/>
    <x v="1"/>
    <m/>
    <m/>
    <m/>
  </r>
  <r>
    <s v="YK263200362"/>
    <x v="9"/>
    <x v="9"/>
    <n v="1"/>
    <x v="3"/>
    <d v="2026-08-31T13:17:22"/>
    <x v="36"/>
    <x v="20"/>
    <x v="36"/>
    <s v="19BA14.10"/>
    <x v="4"/>
    <x v="1"/>
    <m/>
    <m/>
    <m/>
  </r>
  <r>
    <s v="YK263200363"/>
    <x v="9"/>
    <x v="9"/>
    <n v="1"/>
    <x v="3"/>
    <d v="2026-08-17T19:11:04"/>
    <x v="36"/>
    <x v="20"/>
    <x v="36"/>
    <s v="19BA14.10"/>
    <x v="4"/>
    <x v="1"/>
    <m/>
    <m/>
    <m/>
  </r>
  <r>
    <s v="YK263200364"/>
    <x v="7"/>
    <x v="7"/>
    <n v="1"/>
    <x v="3"/>
    <d v="2026-08-31T13:22:41"/>
    <x v="36"/>
    <x v="20"/>
    <x v="36"/>
    <s v="19BA14.10"/>
    <x v="4"/>
    <x v="1"/>
    <m/>
    <m/>
    <m/>
  </r>
  <r>
    <s v="YK263200365"/>
    <x v="9"/>
    <x v="9"/>
    <n v="1"/>
    <x v="3"/>
    <d v="2026-08-17T19:07:37"/>
    <x v="36"/>
    <x v="20"/>
    <x v="36"/>
    <s v="19BA14.10"/>
    <x v="4"/>
    <x v="1"/>
    <m/>
    <m/>
    <m/>
  </r>
  <r>
    <s v="YK263200366"/>
    <x v="3"/>
    <x v="3"/>
    <n v="1"/>
    <x v="4"/>
    <d v="2026-09-01T07:20:40"/>
    <x v="36"/>
    <x v="20"/>
    <x v="36"/>
    <s v="19BA14.10"/>
    <x v="4"/>
    <x v="1"/>
    <m/>
    <m/>
    <m/>
  </r>
  <r>
    <s v="YK263200367"/>
    <x v="9"/>
    <x v="9"/>
    <n v="1"/>
    <x v="3"/>
    <d v="2026-08-17T21:19:09"/>
    <x v="36"/>
    <x v="20"/>
    <x v="36"/>
    <s v="19BA14.10"/>
    <x v="4"/>
    <x v="1"/>
    <m/>
    <m/>
    <m/>
  </r>
  <r>
    <s v="YK263200368"/>
    <x v="9"/>
    <x v="9"/>
    <n v="1"/>
    <x v="3"/>
    <d v="2026-08-17T21:18:27"/>
    <x v="36"/>
    <x v="20"/>
    <x v="36"/>
    <s v="19BA14.10"/>
    <x v="4"/>
    <x v="1"/>
    <m/>
    <m/>
    <m/>
  </r>
  <r>
    <s v="YK263200369"/>
    <x v="3"/>
    <x v="3"/>
    <n v="1"/>
    <x v="4"/>
    <d v="2026-09-01T07:31:57"/>
    <x v="36"/>
    <x v="20"/>
    <x v="36"/>
    <s v="19BA14.10"/>
    <x v="4"/>
    <x v="1"/>
    <m/>
    <m/>
    <m/>
  </r>
  <r>
    <s v="YK263200370"/>
    <x v="9"/>
    <x v="9"/>
    <n v="1"/>
    <x v="3"/>
    <d v="2026-08-17T21:00:57"/>
    <x v="36"/>
    <x v="20"/>
    <x v="36"/>
    <s v="19BA14.10"/>
    <x v="4"/>
    <x v="1"/>
    <m/>
    <m/>
    <m/>
  </r>
  <r>
    <s v="YK263200371"/>
    <x v="9"/>
    <x v="9"/>
    <n v="1"/>
    <x v="3"/>
    <d v="2026-08-17T20:59:35"/>
    <x v="36"/>
    <x v="20"/>
    <x v="36"/>
    <s v="19BA14.10"/>
    <x v="4"/>
    <x v="1"/>
    <m/>
    <m/>
    <m/>
  </r>
  <r>
    <s v="YK263200372"/>
    <x v="9"/>
    <x v="9"/>
    <n v="1"/>
    <x v="3"/>
    <d v="2026-08-17T20:58:22"/>
    <x v="36"/>
    <x v="20"/>
    <x v="36"/>
    <s v="19BA14.10"/>
    <x v="4"/>
    <x v="1"/>
    <m/>
    <m/>
    <m/>
  </r>
  <r>
    <s v="YK263200373"/>
    <x v="25"/>
    <x v="25"/>
    <n v="1"/>
    <x v="7"/>
    <d v="2026-08-31T07:59:21"/>
    <x v="36"/>
    <x v="20"/>
    <x v="36"/>
    <s v="19BA14.10"/>
    <x v="4"/>
    <x v="1"/>
    <m/>
    <m/>
    <m/>
  </r>
  <r>
    <s v="YK263200374"/>
    <x v="9"/>
    <x v="9"/>
    <n v="1"/>
    <x v="3"/>
    <d v="2026-08-17T20:56:31"/>
    <x v="36"/>
    <x v="20"/>
    <x v="36"/>
    <s v="19BA14.10"/>
    <x v="4"/>
    <x v="1"/>
    <m/>
    <m/>
    <m/>
  </r>
  <r>
    <s v="YK263200375"/>
    <x v="9"/>
    <x v="9"/>
    <n v="1"/>
    <x v="3"/>
    <d v="2026-08-17T20:55:39"/>
    <x v="36"/>
    <x v="20"/>
    <x v="36"/>
    <s v="19BA14.10"/>
    <x v="4"/>
    <x v="1"/>
    <m/>
    <m/>
    <m/>
  </r>
  <r>
    <s v="YK263200376"/>
    <x v="9"/>
    <x v="9"/>
    <n v="1"/>
    <x v="3"/>
    <d v="2026-08-17T22:38:39"/>
    <x v="36"/>
    <x v="20"/>
    <x v="36"/>
    <s v="19BA14.10"/>
    <x v="4"/>
    <x v="1"/>
    <m/>
    <m/>
    <m/>
  </r>
  <r>
    <s v="YK263200377"/>
    <x v="9"/>
    <x v="9"/>
    <n v="1"/>
    <x v="3"/>
    <d v="2026-08-17T22:37:57"/>
    <x v="36"/>
    <x v="20"/>
    <x v="36"/>
    <s v="19BA14.10"/>
    <x v="4"/>
    <x v="1"/>
    <m/>
    <m/>
    <m/>
  </r>
  <r>
    <s v="YK263200378"/>
    <x v="9"/>
    <x v="9"/>
    <n v="1"/>
    <x v="3"/>
    <d v="2026-08-17T22:37:14"/>
    <x v="36"/>
    <x v="20"/>
    <x v="36"/>
    <s v="19BA14.10"/>
    <x v="4"/>
    <x v="1"/>
    <m/>
    <m/>
    <m/>
  </r>
  <r>
    <s v="YK263200379"/>
    <x v="3"/>
    <x v="3"/>
    <n v="1"/>
    <x v="4"/>
    <d v="2026-09-01T07:36:50"/>
    <x v="36"/>
    <x v="20"/>
    <x v="36"/>
    <s v="19BA14.10"/>
    <x v="4"/>
    <x v="1"/>
    <m/>
    <m/>
    <m/>
  </r>
  <r>
    <s v="YK263200380"/>
    <x v="3"/>
    <x v="3"/>
    <n v="1"/>
    <x v="4"/>
    <d v="2026-09-01T07:25:56"/>
    <x v="36"/>
    <x v="20"/>
    <x v="36"/>
    <s v="19BA14.10"/>
    <x v="4"/>
    <x v="1"/>
    <m/>
    <m/>
    <m/>
  </r>
  <r>
    <s v="YK263200381"/>
    <x v="9"/>
    <x v="9"/>
    <n v="1"/>
    <x v="3"/>
    <d v="2026-08-17T22:18:05"/>
    <x v="36"/>
    <x v="20"/>
    <x v="36"/>
    <s v="19BA14.10"/>
    <x v="4"/>
    <x v="1"/>
    <m/>
    <m/>
    <m/>
  </r>
  <r>
    <s v="YK263200382"/>
    <x v="10"/>
    <x v="10"/>
    <n v="1"/>
    <x v="7"/>
    <d v="2026-08-29T05:42:47"/>
    <x v="36"/>
    <x v="20"/>
    <x v="36"/>
    <s v="19BA14.10"/>
    <x v="4"/>
    <x v="1"/>
    <m/>
    <m/>
    <m/>
  </r>
  <r>
    <s v="YK263200383"/>
    <x v="3"/>
    <x v="3"/>
    <n v="1"/>
    <x v="4"/>
    <d v="2026-09-01T08:45:17"/>
    <x v="36"/>
    <x v="20"/>
    <x v="36"/>
    <s v="19BA14.10"/>
    <x v="4"/>
    <x v="1"/>
    <m/>
    <m/>
    <m/>
  </r>
  <r>
    <s v="YK263200384"/>
    <x v="9"/>
    <x v="9"/>
    <n v="1"/>
    <x v="3"/>
    <d v="2026-08-17T22:06:14"/>
    <x v="36"/>
    <x v="20"/>
    <x v="36"/>
    <s v="19BA14.10"/>
    <x v="4"/>
    <x v="1"/>
    <m/>
    <m/>
    <m/>
  </r>
  <r>
    <s v="YK263200385"/>
    <x v="9"/>
    <x v="9"/>
    <n v="1"/>
    <x v="3"/>
    <d v="2026-08-17T22:01:05"/>
    <x v="36"/>
    <x v="20"/>
    <x v="36"/>
    <s v="19BA14.10"/>
    <x v="4"/>
    <x v="1"/>
    <m/>
    <m/>
    <m/>
  </r>
  <r>
    <s v="YK263200386"/>
    <x v="3"/>
    <x v="3"/>
    <n v="1"/>
    <x v="4"/>
    <d v="2026-09-01T08:56:36"/>
    <x v="36"/>
    <x v="20"/>
    <x v="36"/>
    <s v="19BA14.10"/>
    <x v="4"/>
    <x v="1"/>
    <m/>
    <m/>
    <m/>
  </r>
  <r>
    <s v="YK263200387"/>
    <x v="10"/>
    <x v="10"/>
    <n v="1"/>
    <x v="7"/>
    <d v="2026-08-31T08:13:20"/>
    <x v="36"/>
    <x v="20"/>
    <x v="36"/>
    <s v="19BA14.10"/>
    <x v="4"/>
    <x v="1"/>
    <m/>
    <m/>
    <m/>
  </r>
  <r>
    <s v="YK263200388"/>
    <x v="9"/>
    <x v="9"/>
    <n v="1"/>
    <x v="3"/>
    <d v="2026-08-17T23:45:43"/>
    <x v="36"/>
    <x v="20"/>
    <x v="36"/>
    <s v="19BA14.10"/>
    <x v="4"/>
    <x v="1"/>
    <m/>
    <m/>
    <m/>
  </r>
  <r>
    <s v="YK263200389"/>
    <x v="9"/>
    <x v="9"/>
    <n v="1"/>
    <x v="3"/>
    <d v="2026-08-17T23:46:27"/>
    <x v="36"/>
    <x v="20"/>
    <x v="36"/>
    <s v="19BA14.10"/>
    <x v="4"/>
    <x v="1"/>
    <m/>
    <m/>
    <m/>
  </r>
  <r>
    <s v="YK263200390"/>
    <x v="10"/>
    <x v="10"/>
    <n v="1"/>
    <x v="7"/>
    <d v="2026-08-28T08:42:49"/>
    <x v="36"/>
    <x v="20"/>
    <x v="36"/>
    <s v="19BA14.10"/>
    <x v="4"/>
    <x v="1"/>
    <m/>
    <m/>
    <m/>
  </r>
  <r>
    <s v="YK263200391"/>
    <x v="9"/>
    <x v="9"/>
    <n v="1"/>
    <x v="3"/>
    <d v="2026-08-17T23:32:17"/>
    <x v="36"/>
    <x v="20"/>
    <x v="36"/>
    <s v="19BA14.10"/>
    <x v="4"/>
    <x v="1"/>
    <m/>
    <m/>
    <m/>
  </r>
  <r>
    <s v="YK263200392"/>
    <x v="7"/>
    <x v="7"/>
    <n v="1"/>
    <x v="3"/>
    <d v="2026-09-09T05:06:51"/>
    <x v="36"/>
    <x v="20"/>
    <x v="36"/>
    <s v="19BA14.10"/>
    <x v="4"/>
    <x v="1"/>
    <m/>
    <m/>
    <m/>
  </r>
  <r>
    <s v="YK263200393"/>
    <x v="7"/>
    <x v="7"/>
    <n v="1"/>
    <x v="3"/>
    <d v="2026-09-09T05:23:53"/>
    <x v="36"/>
    <x v="20"/>
    <x v="36"/>
    <s v="19BA14.10"/>
    <x v="4"/>
    <x v="1"/>
    <m/>
    <m/>
    <m/>
  </r>
  <r>
    <s v="YK263200394"/>
    <x v="7"/>
    <x v="7"/>
    <n v="1"/>
    <x v="3"/>
    <d v="2026-09-09T05:20:50"/>
    <x v="36"/>
    <x v="20"/>
    <x v="36"/>
    <s v="19BA14.10"/>
    <x v="4"/>
    <x v="1"/>
    <m/>
    <m/>
    <m/>
  </r>
  <r>
    <s v="YK263200395"/>
    <x v="10"/>
    <x v="10"/>
    <n v="1"/>
    <x v="7"/>
    <d v="2026-09-09T05:11:09"/>
    <x v="36"/>
    <x v="20"/>
    <x v="36"/>
    <s v="19BA14.10"/>
    <x v="4"/>
    <x v="1"/>
    <m/>
    <m/>
    <m/>
  </r>
  <r>
    <s v="YK263200396"/>
    <x v="7"/>
    <x v="7"/>
    <n v="1"/>
    <x v="3"/>
    <d v="2026-09-09T05:18:58"/>
    <x v="36"/>
    <x v="20"/>
    <x v="36"/>
    <s v="19BA14.10"/>
    <x v="4"/>
    <x v="1"/>
    <m/>
    <m/>
    <m/>
  </r>
  <r>
    <s v="YK263200397"/>
    <x v="7"/>
    <x v="7"/>
    <n v="1"/>
    <x v="3"/>
    <d v="2026-09-09T05:32:29"/>
    <x v="36"/>
    <x v="20"/>
    <x v="36"/>
    <s v="19BA14.10"/>
    <x v="4"/>
    <x v="1"/>
    <m/>
    <m/>
    <m/>
  </r>
  <r>
    <s v="YK263200398"/>
    <x v="7"/>
    <x v="7"/>
    <n v="1"/>
    <x v="3"/>
    <d v="2026-09-09T05:29:50"/>
    <x v="36"/>
    <x v="20"/>
    <x v="36"/>
    <s v="19BA14.10"/>
    <x v="4"/>
    <x v="1"/>
    <m/>
    <m/>
    <m/>
  </r>
  <r>
    <s v="YK263200399"/>
    <x v="7"/>
    <x v="7"/>
    <n v="1"/>
    <x v="3"/>
    <d v="2026-09-09T05:25:39"/>
    <x v="36"/>
    <x v="20"/>
    <x v="36"/>
    <s v="19BA14.10"/>
    <x v="4"/>
    <x v="1"/>
    <m/>
    <m/>
    <m/>
  </r>
  <r>
    <s v="YK263200400"/>
    <x v="7"/>
    <x v="7"/>
    <n v="1"/>
    <x v="3"/>
    <d v="2026-09-09T05:45:43"/>
    <x v="36"/>
    <x v="20"/>
    <x v="36"/>
    <s v="19BA14.10"/>
    <x v="4"/>
    <x v="1"/>
    <m/>
    <m/>
    <m/>
  </r>
  <r>
    <s v="YK263200401"/>
    <x v="7"/>
    <x v="7"/>
    <n v="1"/>
    <x v="3"/>
    <d v="2026-09-09T05:44:17"/>
    <x v="36"/>
    <x v="20"/>
    <x v="36"/>
    <s v="19BA14.10"/>
    <x v="4"/>
    <x v="1"/>
    <m/>
    <m/>
    <m/>
  </r>
  <r>
    <s v="YK263200402"/>
    <x v="7"/>
    <x v="7"/>
    <n v="1"/>
    <x v="3"/>
    <d v="2026-09-09T05:36:15"/>
    <x v="36"/>
    <x v="20"/>
    <x v="36"/>
    <s v="19BA14.10"/>
    <x v="4"/>
    <x v="1"/>
    <m/>
    <m/>
    <m/>
  </r>
  <r>
    <s v="YK263200403"/>
    <x v="7"/>
    <x v="7"/>
    <n v="1"/>
    <x v="3"/>
    <d v="2026-08-31T12:02:12"/>
    <x v="36"/>
    <x v="20"/>
    <x v="36"/>
    <s v="19BA14.10"/>
    <x v="4"/>
    <x v="1"/>
    <m/>
    <m/>
    <m/>
  </r>
  <r>
    <s v="YK263200404"/>
    <x v="9"/>
    <x v="9"/>
    <n v="1"/>
    <x v="3"/>
    <d v="2026-09-08T07:28:58"/>
    <x v="36"/>
    <x v="20"/>
    <x v="36"/>
    <s v="19BA14.10"/>
    <x v="4"/>
    <x v="1"/>
    <m/>
    <m/>
    <m/>
  </r>
  <r>
    <s v="YK263200405"/>
    <x v="9"/>
    <x v="9"/>
    <n v="1"/>
    <x v="3"/>
    <d v="2026-08-18T06:14:05"/>
    <x v="36"/>
    <x v="20"/>
    <x v="36"/>
    <s v="19BA14.10"/>
    <x v="4"/>
    <x v="1"/>
    <m/>
    <m/>
    <m/>
  </r>
  <r>
    <s v="YK263200406"/>
    <x v="7"/>
    <x v="7"/>
    <n v="1"/>
    <x v="3"/>
    <d v="2026-08-31T11:06:04"/>
    <x v="36"/>
    <x v="20"/>
    <x v="36"/>
    <s v="19BA14.10"/>
    <x v="4"/>
    <x v="1"/>
    <m/>
    <m/>
    <m/>
  </r>
  <r>
    <s v="YK263200407"/>
    <x v="3"/>
    <x v="3"/>
    <n v="1"/>
    <x v="4"/>
    <d v="2026-09-14T07:21:48"/>
    <x v="36"/>
    <x v="20"/>
    <x v="36"/>
    <s v="19BA14.10"/>
    <x v="4"/>
    <x v="1"/>
    <m/>
    <m/>
    <m/>
  </r>
  <r>
    <s v="YK263200408"/>
    <x v="7"/>
    <x v="7"/>
    <n v="1"/>
    <x v="3"/>
    <d v="2026-08-29T13:18:55"/>
    <x v="36"/>
    <x v="20"/>
    <x v="36"/>
    <s v="19BA14.10"/>
    <x v="4"/>
    <x v="1"/>
    <m/>
    <m/>
    <m/>
  </r>
  <r>
    <s v="YK263200409"/>
    <x v="7"/>
    <x v="7"/>
    <n v="1"/>
    <x v="3"/>
    <d v="2026-08-29T13:21:58"/>
    <x v="36"/>
    <x v="20"/>
    <x v="36"/>
    <s v="19BA14.10"/>
    <x v="4"/>
    <x v="1"/>
    <m/>
    <m/>
    <m/>
  </r>
  <r>
    <s v="YK263200410"/>
    <x v="7"/>
    <x v="7"/>
    <n v="1"/>
    <x v="3"/>
    <d v="2026-08-29T13:25:15"/>
    <x v="36"/>
    <x v="20"/>
    <x v="36"/>
    <s v="19BA14.10"/>
    <x v="4"/>
    <x v="1"/>
    <m/>
    <m/>
    <m/>
  </r>
  <r>
    <s v="YK263200411"/>
    <x v="7"/>
    <x v="7"/>
    <n v="1"/>
    <x v="3"/>
    <d v="2026-08-31T04:49:27"/>
    <x v="36"/>
    <x v="20"/>
    <x v="36"/>
    <s v="19BA14.10"/>
    <x v="4"/>
    <x v="1"/>
    <m/>
    <m/>
    <m/>
  </r>
  <r>
    <s v="YK263200412"/>
    <x v="7"/>
    <x v="7"/>
    <n v="1"/>
    <x v="3"/>
    <d v="2026-08-31T04:51:04"/>
    <x v="36"/>
    <x v="20"/>
    <x v="36"/>
    <s v="19BA14.10"/>
    <x v="4"/>
    <x v="1"/>
    <m/>
    <m/>
    <m/>
  </r>
  <r>
    <s v="YK263200413"/>
    <x v="7"/>
    <x v="7"/>
    <n v="1"/>
    <x v="3"/>
    <d v="2026-08-31T04:55:21"/>
    <x v="36"/>
    <x v="20"/>
    <x v="36"/>
    <s v="19BA14.10"/>
    <x v="4"/>
    <x v="1"/>
    <m/>
    <m/>
    <m/>
  </r>
  <r>
    <s v="YK263200414"/>
    <x v="7"/>
    <x v="7"/>
    <n v="1"/>
    <x v="3"/>
    <d v="2026-08-31T04:59:15"/>
    <x v="36"/>
    <x v="20"/>
    <x v="36"/>
    <s v="19BA14.10"/>
    <x v="4"/>
    <x v="1"/>
    <m/>
    <d v="2026-07-17T00:00:00"/>
    <m/>
  </r>
  <r>
    <s v="YK263200415"/>
    <x v="10"/>
    <x v="10"/>
    <n v="1"/>
    <x v="7"/>
    <d v="2026-08-31T06:14:25"/>
    <x v="36"/>
    <x v="20"/>
    <x v="36"/>
    <s v="19BA14.10"/>
    <x v="4"/>
    <x v="1"/>
    <m/>
    <d v="2026-07-06T00:00:00"/>
    <m/>
  </r>
  <r>
    <s v="YK263200416"/>
    <x v="7"/>
    <x v="7"/>
    <n v="1"/>
    <x v="3"/>
    <d v="2026-08-31T05:02:06"/>
    <x v="36"/>
    <x v="20"/>
    <x v="36"/>
    <s v="19BA14.10"/>
    <x v="4"/>
    <x v="1"/>
    <m/>
    <m/>
    <m/>
  </r>
  <r>
    <s v="YK263200417"/>
    <x v="7"/>
    <x v="7"/>
    <n v="1"/>
    <x v="3"/>
    <d v="2026-08-31T05:04:15"/>
    <x v="36"/>
    <x v="20"/>
    <x v="36"/>
    <s v="19BA14.10"/>
    <x v="4"/>
    <x v="1"/>
    <m/>
    <d v="2026-07-17T00:00:00"/>
    <m/>
  </r>
  <r>
    <s v="YK263200418"/>
    <x v="7"/>
    <x v="7"/>
    <n v="1"/>
    <x v="3"/>
    <d v="2026-08-31T05:06:16"/>
    <x v="36"/>
    <x v="20"/>
    <x v="36"/>
    <s v="19BA14.10"/>
    <x v="4"/>
    <x v="1"/>
    <m/>
    <d v="2026-07-06T00:00:00"/>
    <m/>
  </r>
  <r>
    <s v="YK263200419"/>
    <x v="7"/>
    <x v="7"/>
    <n v="1"/>
    <x v="3"/>
    <d v="2026-08-31T05:08:48"/>
    <x v="36"/>
    <x v="20"/>
    <x v="36"/>
    <s v="19BA14.10"/>
    <x v="4"/>
    <x v="1"/>
    <m/>
    <m/>
    <m/>
  </r>
  <r>
    <s v="YK263200420"/>
    <x v="7"/>
    <x v="7"/>
    <n v="1"/>
    <x v="3"/>
    <d v="2026-08-31T05:14:51"/>
    <x v="36"/>
    <x v="20"/>
    <x v="36"/>
    <s v="19BA14.10"/>
    <x v="4"/>
    <x v="1"/>
    <m/>
    <m/>
    <m/>
  </r>
  <r>
    <s v="YK263200421"/>
    <x v="7"/>
    <x v="7"/>
    <n v="1"/>
    <x v="3"/>
    <d v="2026-08-31T05:11:45"/>
    <x v="36"/>
    <x v="20"/>
    <x v="36"/>
    <s v="19BA14.10"/>
    <x v="4"/>
    <x v="1"/>
    <m/>
    <d v="2026-07-17T00:00:00"/>
    <m/>
  </r>
  <r>
    <s v="YK263200422"/>
    <x v="7"/>
    <x v="7"/>
    <n v="1"/>
    <x v="3"/>
    <d v="2026-08-31T05:10:15"/>
    <x v="36"/>
    <x v="20"/>
    <x v="36"/>
    <s v="19BA14.10"/>
    <x v="4"/>
    <x v="1"/>
    <m/>
    <d v="2026-07-17T00:00:00"/>
    <m/>
  </r>
  <r>
    <s v="YK263200423"/>
    <x v="7"/>
    <x v="7"/>
    <n v="1"/>
    <x v="3"/>
    <d v="2026-08-29T06:27:20"/>
    <x v="36"/>
    <x v="20"/>
    <x v="36"/>
    <s v="19BA14.10"/>
    <x v="4"/>
    <x v="1"/>
    <m/>
    <m/>
    <m/>
  </r>
  <r>
    <s v="YK263200424"/>
    <x v="7"/>
    <x v="7"/>
    <n v="1"/>
    <x v="3"/>
    <d v="2026-08-29T13:11:41"/>
    <x v="36"/>
    <x v="20"/>
    <x v="36"/>
    <s v="19BA14.10"/>
    <x v="4"/>
    <x v="1"/>
    <m/>
    <d v="2026-07-17T00:00:00"/>
    <m/>
  </r>
  <r>
    <s v="YK263200425"/>
    <x v="7"/>
    <x v="7"/>
    <n v="1"/>
    <x v="3"/>
    <d v="2026-09-05T08:06:46"/>
    <x v="36"/>
    <x v="20"/>
    <x v="36"/>
    <s v="19BA14.10"/>
    <x v="4"/>
    <x v="1"/>
    <m/>
    <d v="2026-07-17T00:00:00"/>
    <m/>
  </r>
  <r>
    <s v="YK263200426"/>
    <x v="7"/>
    <x v="7"/>
    <n v="1"/>
    <x v="3"/>
    <d v="2026-09-09T04:52:11"/>
    <x v="36"/>
    <x v="20"/>
    <x v="36"/>
    <s v="19BA14.10"/>
    <x v="4"/>
    <x v="1"/>
    <m/>
    <d v="2026-07-17T00:00:00"/>
    <m/>
  </r>
  <r>
    <s v="YK263200427"/>
    <x v="7"/>
    <x v="7"/>
    <n v="1"/>
    <x v="3"/>
    <d v="2026-09-09T04:54:54"/>
    <x v="36"/>
    <x v="20"/>
    <x v="36"/>
    <s v="19BA14.10"/>
    <x v="4"/>
    <x v="1"/>
    <m/>
    <d v="2026-07-17T00:00:00"/>
    <m/>
  </r>
  <r>
    <s v="YK263200428"/>
    <x v="7"/>
    <x v="7"/>
    <n v="1"/>
    <x v="3"/>
    <d v="2026-09-09T05:00:38"/>
    <x v="36"/>
    <x v="20"/>
    <x v="36"/>
    <s v="19BA14.10"/>
    <x v="4"/>
    <x v="1"/>
    <m/>
    <m/>
    <m/>
  </r>
  <r>
    <s v="YK263200429"/>
    <x v="7"/>
    <x v="7"/>
    <n v="1"/>
    <x v="3"/>
    <d v="2026-09-09T04:58:13"/>
    <x v="36"/>
    <x v="20"/>
    <x v="36"/>
    <s v="19BA14.10"/>
    <x v="4"/>
    <x v="1"/>
    <m/>
    <m/>
    <m/>
  </r>
  <r>
    <s v="YK263200430"/>
    <x v="7"/>
    <x v="7"/>
    <n v="1"/>
    <x v="3"/>
    <d v="2026-09-09T05:05:20"/>
    <x v="36"/>
    <x v="20"/>
    <x v="36"/>
    <s v="19BA14.10"/>
    <x v="4"/>
    <x v="1"/>
    <m/>
    <m/>
    <m/>
  </r>
  <r>
    <s v="YK263200431"/>
    <x v="7"/>
    <x v="7"/>
    <n v="1"/>
    <x v="3"/>
    <d v="2026-09-09T05:02:42"/>
    <x v="36"/>
    <x v="20"/>
    <x v="36"/>
    <s v="19BA14.10"/>
    <x v="4"/>
    <x v="1"/>
    <m/>
    <m/>
    <m/>
  </r>
  <r>
    <s v="YK263200432"/>
    <x v="7"/>
    <x v="7"/>
    <n v="1"/>
    <x v="3"/>
    <d v="2026-09-09T05:15:08"/>
    <x v="36"/>
    <x v="20"/>
    <x v="36"/>
    <s v="19BA14.10"/>
    <x v="4"/>
    <x v="1"/>
    <m/>
    <m/>
    <m/>
  </r>
  <r>
    <s v="YK263200433"/>
    <x v="7"/>
    <x v="7"/>
    <n v="1"/>
    <x v="3"/>
    <d v="2026-09-09T05:37:46"/>
    <x v="36"/>
    <x v="20"/>
    <x v="36"/>
    <s v="19BA14.10"/>
    <x v="4"/>
    <x v="1"/>
    <m/>
    <m/>
    <m/>
  </r>
  <r>
    <s v="YK263200434"/>
    <x v="7"/>
    <x v="7"/>
    <n v="1"/>
    <x v="3"/>
    <d v="2026-09-09T05:54:16"/>
    <x v="36"/>
    <x v="20"/>
    <x v="36"/>
    <s v="19BA14.10"/>
    <x v="4"/>
    <x v="1"/>
    <m/>
    <m/>
    <m/>
  </r>
  <r>
    <s v="YK263200435"/>
    <x v="7"/>
    <x v="7"/>
    <n v="1"/>
    <x v="3"/>
    <d v="2026-09-09T05:56:11"/>
    <x v="36"/>
    <x v="20"/>
    <x v="36"/>
    <s v="19BA14.10"/>
    <x v="4"/>
    <x v="1"/>
    <m/>
    <m/>
    <m/>
  </r>
  <r>
    <s v="YK263200436"/>
    <x v="7"/>
    <x v="7"/>
    <n v="1"/>
    <x v="3"/>
    <d v="2026-09-09T05:49:10"/>
    <x v="36"/>
    <x v="20"/>
    <x v="36"/>
    <s v="19BA14.10"/>
    <x v="4"/>
    <x v="1"/>
    <m/>
    <m/>
    <m/>
  </r>
  <r>
    <s v="YK263200437"/>
    <x v="7"/>
    <x v="7"/>
    <n v="1"/>
    <x v="3"/>
    <d v="2026-09-09T05:57:23"/>
    <x v="36"/>
    <x v="20"/>
    <x v="36"/>
    <s v="19BA14.10"/>
    <x v="4"/>
    <x v="1"/>
    <m/>
    <m/>
    <m/>
  </r>
  <r>
    <s v="YK263200438"/>
    <x v="10"/>
    <x v="10"/>
    <n v="1"/>
    <x v="7"/>
    <d v="2026-09-09T06:36:00"/>
    <x v="36"/>
    <x v="20"/>
    <x v="36"/>
    <s v="19BA14.10"/>
    <x v="4"/>
    <x v="1"/>
    <m/>
    <m/>
    <m/>
  </r>
  <r>
    <s v="YK263200439"/>
    <x v="7"/>
    <x v="7"/>
    <n v="1"/>
    <x v="3"/>
    <d v="2026-09-09T06:32:24"/>
    <x v="36"/>
    <x v="20"/>
    <x v="36"/>
    <s v="19BA14.10"/>
    <x v="4"/>
    <x v="1"/>
    <m/>
    <m/>
    <m/>
  </r>
  <r>
    <s v="YK263200440"/>
    <x v="9"/>
    <x v="9"/>
    <n v="1"/>
    <x v="3"/>
    <d v="2026-09-09T06:38:03"/>
    <x v="36"/>
    <x v="20"/>
    <x v="36"/>
    <s v="19BA14.10"/>
    <x v="4"/>
    <x v="1"/>
    <m/>
    <m/>
    <m/>
  </r>
  <r>
    <s v="YK263200441"/>
    <x v="7"/>
    <x v="7"/>
    <n v="1"/>
    <x v="3"/>
    <d v="2026-09-09T06:24:13"/>
    <x v="36"/>
    <x v="20"/>
    <x v="36"/>
    <s v="19BA14.10"/>
    <x v="4"/>
    <x v="1"/>
    <m/>
    <m/>
    <m/>
  </r>
  <r>
    <s v="YK263200442"/>
    <x v="10"/>
    <x v="10"/>
    <n v="1"/>
    <x v="7"/>
    <d v="2026-09-09T06:30:39"/>
    <x v="36"/>
    <x v="20"/>
    <x v="36"/>
    <s v="19BA14.10"/>
    <x v="4"/>
    <x v="1"/>
    <m/>
    <m/>
    <m/>
  </r>
  <r>
    <s v="YK263200443"/>
    <x v="7"/>
    <x v="7"/>
    <n v="1"/>
    <x v="3"/>
    <d v="2026-09-09T06:41:40"/>
    <x v="36"/>
    <x v="20"/>
    <x v="36"/>
    <s v="19BA14.10"/>
    <x v="4"/>
    <x v="1"/>
    <m/>
    <m/>
    <m/>
  </r>
  <r>
    <s v="YK263200444"/>
    <x v="7"/>
    <x v="7"/>
    <n v="1"/>
    <x v="3"/>
    <d v="2026-09-09T06:09:13"/>
    <x v="36"/>
    <x v="20"/>
    <x v="36"/>
    <s v="19BA14.10"/>
    <x v="4"/>
    <x v="1"/>
    <m/>
    <m/>
    <m/>
  </r>
  <r>
    <s v="YK263200445"/>
    <x v="7"/>
    <x v="7"/>
    <n v="1"/>
    <x v="3"/>
    <d v="2026-09-09T06:10:45"/>
    <x v="36"/>
    <x v="20"/>
    <x v="36"/>
    <s v="19BA14.10"/>
    <x v="4"/>
    <x v="1"/>
    <m/>
    <m/>
    <m/>
  </r>
  <r>
    <s v="YK263200446"/>
    <x v="7"/>
    <x v="7"/>
    <n v="1"/>
    <x v="3"/>
    <d v="2026-09-09T06:04:35"/>
    <x v="36"/>
    <x v="20"/>
    <x v="36"/>
    <s v="19BA14.10"/>
    <x v="4"/>
    <x v="1"/>
    <m/>
    <m/>
    <m/>
  </r>
  <r>
    <s v="YK263200447"/>
    <x v="7"/>
    <x v="7"/>
    <n v="1"/>
    <x v="3"/>
    <d v="2026-09-09T06:07:36"/>
    <x v="36"/>
    <x v="20"/>
    <x v="36"/>
    <s v="19BA14.10"/>
    <x v="4"/>
    <x v="1"/>
    <m/>
    <m/>
    <m/>
  </r>
  <r>
    <s v="YK263200448"/>
    <x v="7"/>
    <x v="7"/>
    <n v="1"/>
    <x v="3"/>
    <d v="2026-09-09T06:20:15"/>
    <x v="36"/>
    <x v="20"/>
    <x v="36"/>
    <s v="19BA14.10"/>
    <x v="4"/>
    <x v="1"/>
    <m/>
    <m/>
    <m/>
  </r>
  <r>
    <s v="YK263200449"/>
    <x v="7"/>
    <x v="7"/>
    <n v="1"/>
    <x v="3"/>
    <d v="2026-09-09T06:03:04"/>
    <x v="36"/>
    <x v="20"/>
    <x v="36"/>
    <s v="19BA14.10"/>
    <x v="4"/>
    <x v="1"/>
    <m/>
    <m/>
    <m/>
  </r>
  <r>
    <s v="YK263200450"/>
    <x v="7"/>
    <x v="7"/>
    <n v="1"/>
    <x v="3"/>
    <d v="2026-09-09T06:47:11"/>
    <x v="36"/>
    <x v="20"/>
    <x v="36"/>
    <s v="19BA14.10"/>
    <x v="4"/>
    <x v="1"/>
    <m/>
    <m/>
    <m/>
  </r>
  <r>
    <s v="YK263200451"/>
    <x v="7"/>
    <x v="7"/>
    <n v="1"/>
    <x v="3"/>
    <d v="2026-09-09T06:46:02"/>
    <x v="36"/>
    <x v="20"/>
    <x v="36"/>
    <s v="19BA14.10"/>
    <x v="4"/>
    <x v="1"/>
    <m/>
    <m/>
    <m/>
  </r>
  <r>
    <s v="YK263200452"/>
    <x v="7"/>
    <x v="7"/>
    <n v="1"/>
    <x v="3"/>
    <d v="2026-09-09T06:39:53"/>
    <x v="36"/>
    <x v="20"/>
    <x v="36"/>
    <s v="19BA14.10"/>
    <x v="4"/>
    <x v="1"/>
    <m/>
    <m/>
    <m/>
  </r>
  <r>
    <s v="YK263200453"/>
    <x v="7"/>
    <x v="7"/>
    <n v="1"/>
    <x v="3"/>
    <d v="2026-09-09T06:22:59"/>
    <x v="36"/>
    <x v="20"/>
    <x v="36"/>
    <s v="19BA14.10"/>
    <x v="4"/>
    <x v="1"/>
    <m/>
    <m/>
    <m/>
  </r>
  <r>
    <s v="YK263200454"/>
    <x v="7"/>
    <x v="7"/>
    <n v="1"/>
    <x v="3"/>
    <d v="2026-09-09T04:47:22"/>
    <x v="36"/>
    <x v="20"/>
    <x v="36"/>
    <s v="19BA14.10"/>
    <x v="4"/>
    <x v="1"/>
    <m/>
    <m/>
    <m/>
  </r>
  <r>
    <s v="YK262500309"/>
    <x v="0"/>
    <x v="0"/>
    <n v="1"/>
    <x v="1"/>
    <d v="2026-07-31T07:18:12"/>
    <x v="37"/>
    <x v="21"/>
    <x v="37"/>
    <s v="19BA21.00"/>
    <x v="4"/>
    <x v="2"/>
    <m/>
    <m/>
    <m/>
  </r>
  <r>
    <s v="YK262500310"/>
    <x v="1"/>
    <x v="1"/>
    <n v="1"/>
    <x v="2"/>
    <d v="2026-07-17T07:49:39"/>
    <x v="37"/>
    <x v="21"/>
    <x v="37"/>
    <s v="19BA21.00"/>
    <x v="4"/>
    <x v="2"/>
    <m/>
    <m/>
    <m/>
  </r>
  <r>
    <s v="YK262500311"/>
    <x v="1"/>
    <x v="1"/>
    <n v="1"/>
    <x v="2"/>
    <d v="2026-08-18T09:42:27"/>
    <x v="37"/>
    <x v="21"/>
    <x v="37"/>
    <s v="19BA21.00"/>
    <x v="4"/>
    <x v="2"/>
    <m/>
    <m/>
    <m/>
  </r>
  <r>
    <s v="YK262500312"/>
    <x v="0"/>
    <x v="0"/>
    <n v="1"/>
    <x v="1"/>
    <d v="2026-07-31T22:19:09"/>
    <x v="37"/>
    <x v="21"/>
    <x v="37"/>
    <s v="19BA21.00"/>
    <x v="4"/>
    <x v="2"/>
    <m/>
    <m/>
    <m/>
  </r>
  <r>
    <s v="YK262500313"/>
    <x v="1"/>
    <x v="1"/>
    <n v="1"/>
    <x v="2"/>
    <d v="2026-07-17T07:50:24"/>
    <x v="37"/>
    <x v="21"/>
    <x v="37"/>
    <s v="19BA21.00"/>
    <x v="4"/>
    <x v="2"/>
    <m/>
    <m/>
    <m/>
  </r>
  <r>
    <s v="YK262500314"/>
    <x v="1"/>
    <x v="1"/>
    <n v="1"/>
    <x v="2"/>
    <d v="2026-08-18T09:42:27"/>
    <x v="37"/>
    <x v="21"/>
    <x v="37"/>
    <s v="19BA21.00"/>
    <x v="4"/>
    <x v="2"/>
    <m/>
    <m/>
    <m/>
  </r>
  <r>
    <s v="YK262500315"/>
    <x v="20"/>
    <x v="20"/>
    <n v="1"/>
    <x v="7"/>
    <d v="2026-08-27T07:55:29"/>
    <x v="37"/>
    <x v="21"/>
    <x v="37"/>
    <s v="19BA21.00"/>
    <x v="4"/>
    <x v="2"/>
    <m/>
    <m/>
    <m/>
  </r>
  <r>
    <s v="YK262500316"/>
    <x v="0"/>
    <x v="0"/>
    <n v="1"/>
    <x v="1"/>
    <d v="2026-08-14T12:21:07"/>
    <x v="37"/>
    <x v="21"/>
    <x v="37"/>
    <s v="19BA21.00"/>
    <x v="4"/>
    <x v="2"/>
    <m/>
    <m/>
    <m/>
  </r>
  <r>
    <s v="YK262500317"/>
    <x v="1"/>
    <x v="1"/>
    <n v="1"/>
    <x v="2"/>
    <d v="2026-07-17T07:51:19"/>
    <x v="37"/>
    <x v="21"/>
    <x v="37"/>
    <s v="19BA21.00"/>
    <x v="4"/>
    <x v="2"/>
    <m/>
    <m/>
    <m/>
  </r>
  <r>
    <s v="YK262500318"/>
    <x v="1"/>
    <x v="1"/>
    <n v="1"/>
    <x v="2"/>
    <d v="2026-07-17T07:51:54"/>
    <x v="37"/>
    <x v="21"/>
    <x v="37"/>
    <s v="19BA21.00"/>
    <x v="4"/>
    <x v="2"/>
    <m/>
    <m/>
    <m/>
  </r>
  <r>
    <s v="YK262500319"/>
    <x v="4"/>
    <x v="4"/>
    <n v="1"/>
    <x v="5"/>
    <d v="2026-07-30T17:00:11"/>
    <x v="37"/>
    <x v="21"/>
    <x v="37"/>
    <s v="19BA21.00"/>
    <x v="4"/>
    <x v="2"/>
    <m/>
    <m/>
    <m/>
  </r>
  <r>
    <s v="YK262500320"/>
    <x v="1"/>
    <x v="1"/>
    <n v="1"/>
    <x v="2"/>
    <d v="2026-07-17T07:52:20"/>
    <x v="37"/>
    <x v="21"/>
    <x v="37"/>
    <s v="19BA21.00"/>
    <x v="4"/>
    <x v="2"/>
    <m/>
    <m/>
    <m/>
  </r>
  <r>
    <s v="YK262500321"/>
    <x v="1"/>
    <x v="1"/>
    <n v="1"/>
    <x v="2"/>
    <d v="2026-07-17T07:52:52"/>
    <x v="37"/>
    <x v="21"/>
    <x v="37"/>
    <s v="19BA21.00"/>
    <x v="4"/>
    <x v="2"/>
    <m/>
    <m/>
    <m/>
  </r>
  <r>
    <s v="YK262500322"/>
    <x v="1"/>
    <x v="1"/>
    <n v="1"/>
    <x v="2"/>
    <d v="2026-07-17T07:53:21"/>
    <x v="37"/>
    <x v="21"/>
    <x v="37"/>
    <s v="19BA21.00"/>
    <x v="4"/>
    <x v="2"/>
    <m/>
    <m/>
    <m/>
  </r>
  <r>
    <s v="YK262500323"/>
    <x v="1"/>
    <x v="1"/>
    <n v="1"/>
    <x v="2"/>
    <d v="2026-07-17T07:54:05"/>
    <x v="37"/>
    <x v="21"/>
    <x v="37"/>
    <s v="19BA21.00"/>
    <x v="4"/>
    <x v="2"/>
    <m/>
    <m/>
    <m/>
  </r>
  <r>
    <s v="YK262500324"/>
    <x v="0"/>
    <x v="0"/>
    <n v="1"/>
    <x v="1"/>
    <d v="2026-08-14T13:54:55"/>
    <x v="37"/>
    <x v="21"/>
    <x v="37"/>
    <s v="19BA21.00"/>
    <x v="4"/>
    <x v="2"/>
    <m/>
    <m/>
    <m/>
  </r>
  <r>
    <s v="YK262500325"/>
    <x v="0"/>
    <x v="0"/>
    <n v="1"/>
    <x v="1"/>
    <d v="2026-07-30T13:56:55"/>
    <x v="37"/>
    <x v="21"/>
    <x v="37"/>
    <s v="19BA21.00"/>
    <x v="4"/>
    <x v="2"/>
    <m/>
    <m/>
    <m/>
  </r>
  <r>
    <s v="YK262500326"/>
    <x v="4"/>
    <x v="4"/>
    <n v="1"/>
    <x v="5"/>
    <d v="2026-08-17T07:08:12"/>
    <x v="37"/>
    <x v="21"/>
    <x v="37"/>
    <s v="19BA21.00"/>
    <x v="4"/>
    <x v="2"/>
    <m/>
    <m/>
    <m/>
  </r>
  <r>
    <s v="YK262500327"/>
    <x v="4"/>
    <x v="4"/>
    <n v="1"/>
    <x v="5"/>
    <d v="2026-08-03T07:26:27"/>
    <x v="37"/>
    <x v="21"/>
    <x v="37"/>
    <s v="19BA21.00"/>
    <x v="4"/>
    <x v="2"/>
    <m/>
    <m/>
    <m/>
  </r>
  <r>
    <s v="YK262500328"/>
    <x v="0"/>
    <x v="0"/>
    <n v="1"/>
    <x v="1"/>
    <d v="2026-07-31T11:18:26"/>
    <x v="37"/>
    <x v="21"/>
    <x v="37"/>
    <s v="19BA21.00"/>
    <x v="4"/>
    <x v="2"/>
    <m/>
    <m/>
    <m/>
  </r>
  <r>
    <s v="YK262500329"/>
    <x v="4"/>
    <x v="4"/>
    <n v="1"/>
    <x v="5"/>
    <d v="2026-07-31T17:38:02"/>
    <x v="37"/>
    <x v="21"/>
    <x v="37"/>
    <s v="19BA21.00"/>
    <x v="4"/>
    <x v="2"/>
    <m/>
    <m/>
    <m/>
  </r>
  <r>
    <s v="YK262500330"/>
    <x v="4"/>
    <x v="4"/>
    <n v="1"/>
    <x v="5"/>
    <d v="2026-09-11T07:15:19"/>
    <x v="37"/>
    <x v="21"/>
    <x v="37"/>
    <s v="19BA21.00"/>
    <x v="4"/>
    <x v="2"/>
    <m/>
    <m/>
    <m/>
  </r>
  <r>
    <s v="YK263206112"/>
    <x v="0"/>
    <x v="0"/>
    <n v="1"/>
    <x v="1"/>
    <d v="2026-09-01T18:28:50"/>
    <x v="38"/>
    <x v="22"/>
    <x v="38"/>
    <s v="19BA22.00"/>
    <x v="4"/>
    <x v="2"/>
    <m/>
    <m/>
    <m/>
  </r>
  <r>
    <s v="YK263206113"/>
    <x v="0"/>
    <x v="0"/>
    <n v="1"/>
    <x v="1"/>
    <d v="2026-09-01T11:10:34"/>
    <x v="38"/>
    <x v="22"/>
    <x v="38"/>
    <s v="19BA22.00"/>
    <x v="4"/>
    <x v="2"/>
    <m/>
    <m/>
    <m/>
  </r>
  <r>
    <s v="YK263206114"/>
    <x v="0"/>
    <x v="0"/>
    <n v="1"/>
    <x v="1"/>
    <d v="2026-09-16T11:22:13"/>
    <x v="38"/>
    <x v="22"/>
    <x v="38"/>
    <s v="19BA22.00"/>
    <x v="4"/>
    <x v="2"/>
    <m/>
    <m/>
    <m/>
  </r>
  <r>
    <s v="YK263206115"/>
    <x v="16"/>
    <x v="16"/>
    <n v="1"/>
    <x v="7"/>
    <d v="2026-08-25T09:20:12"/>
    <x v="38"/>
    <x v="22"/>
    <x v="38"/>
    <s v="19BA22.00"/>
    <x v="4"/>
    <x v="2"/>
    <m/>
    <m/>
    <m/>
  </r>
  <r>
    <s v="YK263206116"/>
    <x v="4"/>
    <x v="4"/>
    <n v="1"/>
    <x v="5"/>
    <d v="2026-08-20T17:28:16"/>
    <x v="38"/>
    <x v="22"/>
    <x v="38"/>
    <s v="19BA22.00"/>
    <x v="4"/>
    <x v="2"/>
    <m/>
    <m/>
    <m/>
  </r>
  <r>
    <s v="YK263206117"/>
    <x v="0"/>
    <x v="0"/>
    <n v="1"/>
    <x v="1"/>
    <d v="2026-09-01T18:24:27"/>
    <x v="38"/>
    <x v="22"/>
    <x v="38"/>
    <s v="19BA22.00"/>
    <x v="4"/>
    <x v="2"/>
    <m/>
    <m/>
    <m/>
  </r>
  <r>
    <s v="YK263206118"/>
    <x v="11"/>
    <x v="11"/>
    <n v="1"/>
    <x v="5"/>
    <d v="2026-09-09T11:06:04"/>
    <x v="38"/>
    <x v="22"/>
    <x v="38"/>
    <s v="19BA22.00"/>
    <x v="4"/>
    <x v="2"/>
    <m/>
    <m/>
    <m/>
  </r>
  <r>
    <s v="YK263206119"/>
    <x v="0"/>
    <x v="0"/>
    <n v="1"/>
    <x v="1"/>
    <d v="2026-09-14T11:56:53"/>
    <x v="38"/>
    <x v="22"/>
    <x v="38"/>
    <s v="19BA22.00"/>
    <x v="4"/>
    <x v="2"/>
    <m/>
    <m/>
    <m/>
  </r>
  <r>
    <s v="YK263206120"/>
    <x v="16"/>
    <x v="16"/>
    <n v="1"/>
    <x v="7"/>
    <d v="2026-08-25T09:19:38"/>
    <x v="38"/>
    <x v="22"/>
    <x v="38"/>
    <s v="19BA22.00"/>
    <x v="4"/>
    <x v="2"/>
    <m/>
    <m/>
    <m/>
  </r>
  <r>
    <s v="YK263206121"/>
    <x v="4"/>
    <x v="4"/>
    <n v="1"/>
    <x v="5"/>
    <d v="2026-08-20T18:48:00"/>
    <x v="38"/>
    <x v="22"/>
    <x v="38"/>
    <s v="19BA22.00"/>
    <x v="4"/>
    <x v="2"/>
    <m/>
    <m/>
    <m/>
  </r>
  <r>
    <s v="YK263206122"/>
    <x v="2"/>
    <x v="2"/>
    <n v="1"/>
    <x v="3"/>
    <d v="2026-09-16T13:55:50"/>
    <x v="38"/>
    <x v="22"/>
    <x v="38"/>
    <s v="19BA22.00"/>
    <x v="4"/>
    <x v="2"/>
    <m/>
    <m/>
    <m/>
  </r>
  <r>
    <s v="YK263206123"/>
    <x v="0"/>
    <x v="0"/>
    <n v="1"/>
    <x v="1"/>
    <d v="2026-09-02T08:30:37"/>
    <x v="38"/>
    <x v="22"/>
    <x v="38"/>
    <s v="19BA22.00"/>
    <x v="4"/>
    <x v="2"/>
    <m/>
    <m/>
    <m/>
  </r>
  <r>
    <s v="YK263206124"/>
    <x v="4"/>
    <x v="4"/>
    <n v="1"/>
    <x v="5"/>
    <d v="2026-08-27T11:33:57"/>
    <x v="38"/>
    <x v="22"/>
    <x v="38"/>
    <s v="19BA22.00"/>
    <x v="4"/>
    <x v="2"/>
    <m/>
    <m/>
    <m/>
  </r>
  <r>
    <s v="YK263206125"/>
    <x v="0"/>
    <x v="0"/>
    <n v="1"/>
    <x v="1"/>
    <d v="2026-09-14T19:28:36"/>
    <x v="38"/>
    <x v="22"/>
    <x v="38"/>
    <s v="19BA22.00"/>
    <x v="4"/>
    <x v="2"/>
    <m/>
    <m/>
    <m/>
  </r>
  <r>
    <s v="YK263206126"/>
    <x v="0"/>
    <x v="0"/>
    <n v="1"/>
    <x v="1"/>
    <d v="2026-09-14T11:45:05"/>
    <x v="38"/>
    <x v="22"/>
    <x v="38"/>
    <s v="19BA22.00"/>
    <x v="4"/>
    <x v="2"/>
    <m/>
    <m/>
    <m/>
  </r>
  <r>
    <s v="YK263206127"/>
    <x v="0"/>
    <x v="0"/>
    <n v="1"/>
    <x v="1"/>
    <d v="2026-09-11T19:21:44"/>
    <x v="38"/>
    <x v="22"/>
    <x v="38"/>
    <s v="19BA22.00"/>
    <x v="4"/>
    <x v="2"/>
    <m/>
    <m/>
    <m/>
  </r>
  <r>
    <s v="YK263206128"/>
    <x v="16"/>
    <x v="16"/>
    <n v="1"/>
    <x v="7"/>
    <d v="2026-08-25T09:18:56"/>
    <x v="38"/>
    <x v="22"/>
    <x v="38"/>
    <s v="19BA22.00"/>
    <x v="4"/>
    <x v="2"/>
    <m/>
    <m/>
    <m/>
  </r>
  <r>
    <s v="YK263206129"/>
    <x v="16"/>
    <x v="16"/>
    <n v="1"/>
    <x v="7"/>
    <d v="2026-08-25T09:17:48"/>
    <x v="38"/>
    <x v="22"/>
    <x v="38"/>
    <s v="19BA22.00"/>
    <x v="4"/>
    <x v="2"/>
    <m/>
    <m/>
    <m/>
  </r>
  <r>
    <s v="YK263206130"/>
    <x v="0"/>
    <x v="0"/>
    <n v="1"/>
    <x v="1"/>
    <d v="2026-08-31T12:15:33"/>
    <x v="38"/>
    <x v="22"/>
    <x v="38"/>
    <s v="19BA22.00"/>
    <x v="4"/>
    <x v="2"/>
    <m/>
    <m/>
    <m/>
  </r>
  <r>
    <s v="YK263206131"/>
    <x v="4"/>
    <x v="4"/>
    <n v="1"/>
    <x v="5"/>
    <d v="2026-09-14T17:55:17"/>
    <x v="38"/>
    <x v="22"/>
    <x v="38"/>
    <s v="19BA22.00"/>
    <x v="4"/>
    <x v="2"/>
    <m/>
    <m/>
    <m/>
  </r>
  <r>
    <s v="YK263206132"/>
    <x v="0"/>
    <x v="0"/>
    <n v="1"/>
    <x v="1"/>
    <d v="2026-09-10T18:55:57"/>
    <x v="38"/>
    <x v="22"/>
    <x v="38"/>
    <s v="19BA22.00"/>
    <x v="4"/>
    <x v="2"/>
    <m/>
    <m/>
    <m/>
  </r>
  <r>
    <s v="YK263206133"/>
    <x v="0"/>
    <x v="0"/>
    <n v="1"/>
    <x v="1"/>
    <d v="2026-09-01T09:11:54"/>
    <x v="38"/>
    <x v="22"/>
    <x v="38"/>
    <s v="19BA22.00"/>
    <x v="4"/>
    <x v="2"/>
    <m/>
    <m/>
    <m/>
  </r>
  <r>
    <s v="YK263206134"/>
    <x v="3"/>
    <x v="3"/>
    <n v="1"/>
    <x v="4"/>
    <d v="2026-09-16T15:48:50"/>
    <x v="38"/>
    <x v="22"/>
    <x v="38"/>
    <s v="19BA22.00"/>
    <x v="4"/>
    <x v="2"/>
    <m/>
    <d v="2026-08-19T00:00:00"/>
    <m/>
  </r>
  <r>
    <s v="YK263206135"/>
    <x v="4"/>
    <x v="4"/>
    <n v="1"/>
    <x v="5"/>
    <d v="2026-08-24T19:54:58"/>
    <x v="38"/>
    <x v="22"/>
    <x v="38"/>
    <s v="19BA22.00"/>
    <x v="4"/>
    <x v="2"/>
    <s v="Poland unit "/>
    <d v="2026-08-27T00:00:00"/>
    <m/>
  </r>
  <r>
    <s v="YK263206136"/>
    <x v="13"/>
    <x v="13"/>
    <n v="1"/>
    <x v="7"/>
    <d v="2026-09-15T13:16:20"/>
    <x v="38"/>
    <x v="22"/>
    <x v="38"/>
    <s v="19BA22.00"/>
    <x v="4"/>
    <x v="2"/>
    <m/>
    <d v="2026-08-19T00:00:00"/>
    <m/>
  </r>
  <r>
    <s v="YK263206137"/>
    <x v="17"/>
    <x v="17"/>
    <n v="1"/>
    <x v="3"/>
    <d v="2026-09-16T09:03:18"/>
    <x v="38"/>
    <x v="22"/>
    <x v="38"/>
    <s v="19BA22.00"/>
    <x v="4"/>
    <x v="2"/>
    <s v="Poland unit "/>
    <d v="2026-08-27T00:00:00"/>
    <m/>
  </r>
  <r>
    <s v="YK263206138"/>
    <x v="0"/>
    <x v="0"/>
    <n v="1"/>
    <x v="1"/>
    <d v="2026-08-31T11:03:10"/>
    <x v="38"/>
    <x v="22"/>
    <x v="38"/>
    <s v="19BA22.00"/>
    <x v="4"/>
    <x v="2"/>
    <m/>
    <m/>
    <m/>
  </r>
  <r>
    <s v="YK263206139"/>
    <x v="0"/>
    <x v="0"/>
    <n v="1"/>
    <x v="1"/>
    <d v="2026-09-01T13:15:28"/>
    <x v="38"/>
    <x v="22"/>
    <x v="38"/>
    <s v="19BA22.00"/>
    <x v="4"/>
    <x v="2"/>
    <m/>
    <d v="2026-08-19T00:00:00"/>
    <m/>
  </r>
  <r>
    <s v="YK263206140"/>
    <x v="4"/>
    <x v="4"/>
    <n v="1"/>
    <x v="5"/>
    <d v="2026-09-14T18:31:32"/>
    <x v="38"/>
    <x v="22"/>
    <x v="38"/>
    <s v="19BA22.00"/>
    <x v="4"/>
    <x v="2"/>
    <m/>
    <d v="2026-08-19T00:00:00"/>
    <m/>
  </r>
  <r>
    <s v="YK263206141"/>
    <x v="0"/>
    <x v="0"/>
    <n v="1"/>
    <x v="1"/>
    <d v="2026-09-11T13:11:36"/>
    <x v="38"/>
    <x v="22"/>
    <x v="38"/>
    <s v="19BA22.00"/>
    <x v="4"/>
    <x v="2"/>
    <m/>
    <m/>
    <m/>
  </r>
  <r>
    <s v="YK263206142"/>
    <x v="0"/>
    <x v="0"/>
    <n v="1"/>
    <x v="1"/>
    <d v="2026-09-10T18:45:44"/>
    <x v="38"/>
    <x v="22"/>
    <x v="38"/>
    <s v="19BA22.00"/>
    <x v="4"/>
    <x v="2"/>
    <m/>
    <m/>
    <m/>
  </r>
  <r>
    <s v="YK263206143"/>
    <x v="4"/>
    <x v="4"/>
    <n v="1"/>
    <x v="5"/>
    <d v="2026-08-20T17:48:08"/>
    <x v="38"/>
    <x v="22"/>
    <x v="38"/>
    <s v="19BA22.00"/>
    <x v="4"/>
    <x v="2"/>
    <m/>
    <d v="2026-09-02T00:00:00"/>
    <m/>
  </r>
  <r>
    <s v="YK263206144"/>
    <x v="6"/>
    <x v="6"/>
    <n v="1"/>
    <x v="7"/>
    <d v="2026-09-16T14:14:04"/>
    <x v="38"/>
    <x v="22"/>
    <x v="38"/>
    <s v="19BA22.00"/>
    <x v="4"/>
    <x v="2"/>
    <m/>
    <m/>
    <m/>
  </r>
  <r>
    <s v="YK263206145"/>
    <x v="9"/>
    <x v="9"/>
    <n v="1"/>
    <x v="3"/>
    <d v="2026-08-18T18:39:07"/>
    <x v="38"/>
    <x v="22"/>
    <x v="38"/>
    <s v="19BA22.00"/>
    <x v="4"/>
    <x v="2"/>
    <m/>
    <m/>
    <m/>
  </r>
  <r>
    <s v="YK263206146"/>
    <x v="0"/>
    <x v="0"/>
    <n v="1"/>
    <x v="1"/>
    <d v="2026-09-11T13:17:44"/>
    <x v="38"/>
    <x v="22"/>
    <x v="38"/>
    <s v="19BA22.00"/>
    <x v="4"/>
    <x v="2"/>
    <m/>
    <d v="2026-09-04T00:00:00"/>
    <m/>
  </r>
  <r>
    <s v="YK263206147"/>
    <x v="9"/>
    <x v="9"/>
    <n v="1"/>
    <x v="3"/>
    <d v="2026-08-18T18:47:07"/>
    <x v="38"/>
    <x v="22"/>
    <x v="38"/>
    <s v="19BA22.00"/>
    <x v="4"/>
    <x v="2"/>
    <m/>
    <m/>
    <m/>
  </r>
  <r>
    <s v="YK263206148"/>
    <x v="9"/>
    <x v="9"/>
    <n v="1"/>
    <x v="3"/>
    <d v="2026-08-18T19:09:59"/>
    <x v="38"/>
    <x v="22"/>
    <x v="38"/>
    <s v="19BA22.00"/>
    <x v="4"/>
    <x v="2"/>
    <m/>
    <m/>
    <m/>
  </r>
  <r>
    <s v="YK263206149"/>
    <x v="9"/>
    <x v="9"/>
    <n v="1"/>
    <x v="3"/>
    <d v="2026-08-18T19:14:50"/>
    <x v="38"/>
    <x v="22"/>
    <x v="38"/>
    <s v="19BA22.00"/>
    <x v="4"/>
    <x v="2"/>
    <m/>
    <m/>
    <m/>
  </r>
  <r>
    <s v="YK263206150"/>
    <x v="9"/>
    <x v="9"/>
    <n v="1"/>
    <x v="3"/>
    <d v="2026-08-18T19:42:26"/>
    <x v="38"/>
    <x v="22"/>
    <x v="38"/>
    <s v="19BA22.00"/>
    <x v="4"/>
    <x v="2"/>
    <m/>
    <m/>
    <m/>
  </r>
  <r>
    <s v="YK263206151"/>
    <x v="0"/>
    <x v="0"/>
    <n v="1"/>
    <x v="1"/>
    <d v="2026-09-15T13:06:31"/>
    <x v="38"/>
    <x v="22"/>
    <x v="38"/>
    <s v="19BA22.00"/>
    <x v="4"/>
    <x v="2"/>
    <m/>
    <m/>
    <m/>
  </r>
  <r>
    <s v="YK263206152"/>
    <x v="9"/>
    <x v="9"/>
    <n v="1"/>
    <x v="3"/>
    <d v="2026-08-18T19:57:09"/>
    <x v="38"/>
    <x v="22"/>
    <x v="38"/>
    <s v="19BA22.00"/>
    <x v="4"/>
    <x v="2"/>
    <m/>
    <m/>
    <m/>
  </r>
  <r>
    <s v="YK263206153"/>
    <x v="9"/>
    <x v="9"/>
    <n v="1"/>
    <x v="3"/>
    <d v="2026-08-18T20:53:32"/>
    <x v="38"/>
    <x v="22"/>
    <x v="38"/>
    <s v="19BA22.00"/>
    <x v="4"/>
    <x v="2"/>
    <m/>
    <m/>
    <m/>
  </r>
  <r>
    <s v="YK263206154"/>
    <x v="4"/>
    <x v="4"/>
    <n v="1"/>
    <x v="5"/>
    <d v="2026-09-10T14:55:34"/>
    <x v="38"/>
    <x v="22"/>
    <x v="38"/>
    <s v="19BA22.00"/>
    <x v="4"/>
    <x v="2"/>
    <m/>
    <m/>
    <m/>
  </r>
  <r>
    <s v="YK263206155"/>
    <x v="9"/>
    <x v="9"/>
    <n v="1"/>
    <x v="3"/>
    <d v="2026-08-19T08:03:52"/>
    <x v="38"/>
    <x v="22"/>
    <x v="38"/>
    <s v="19BA22.00"/>
    <x v="4"/>
    <x v="2"/>
    <m/>
    <m/>
    <m/>
  </r>
  <r>
    <s v="YK263206156"/>
    <x v="16"/>
    <x v="16"/>
    <n v="1"/>
    <x v="7"/>
    <d v="2026-09-14T09:20:12"/>
    <x v="38"/>
    <x v="22"/>
    <x v="38"/>
    <s v="19BA22.00"/>
    <x v="4"/>
    <x v="2"/>
    <m/>
    <m/>
    <m/>
  </r>
  <r>
    <s v="YK263206157"/>
    <x v="9"/>
    <x v="9"/>
    <n v="1"/>
    <x v="3"/>
    <d v="2026-08-19T06:52:14"/>
    <x v="38"/>
    <x v="22"/>
    <x v="38"/>
    <s v="19BA22.00"/>
    <x v="4"/>
    <x v="2"/>
    <m/>
    <m/>
    <m/>
  </r>
  <r>
    <s v="YK263206158"/>
    <x v="9"/>
    <x v="9"/>
    <n v="1"/>
    <x v="3"/>
    <d v="2026-08-19T06:55:18"/>
    <x v="38"/>
    <x v="22"/>
    <x v="38"/>
    <s v="19BA22.00"/>
    <x v="4"/>
    <x v="2"/>
    <m/>
    <m/>
    <m/>
  </r>
  <r>
    <s v="YK263206159"/>
    <x v="9"/>
    <x v="9"/>
    <n v="1"/>
    <x v="3"/>
    <d v="2026-08-19T07:06:41"/>
    <x v="38"/>
    <x v="22"/>
    <x v="38"/>
    <s v="19BA22.00"/>
    <x v="4"/>
    <x v="2"/>
    <m/>
    <m/>
    <m/>
  </r>
  <r>
    <s v="YK263206160"/>
    <x v="0"/>
    <x v="0"/>
    <n v="1"/>
    <x v="1"/>
    <d v="2026-09-11T14:32:49"/>
    <x v="38"/>
    <x v="22"/>
    <x v="38"/>
    <s v="19BA22.00"/>
    <x v="4"/>
    <x v="2"/>
    <m/>
    <m/>
    <m/>
  </r>
  <r>
    <s v="YK263206161"/>
    <x v="9"/>
    <x v="9"/>
    <n v="1"/>
    <x v="3"/>
    <d v="2026-08-19T07:10:41"/>
    <x v="38"/>
    <x v="22"/>
    <x v="38"/>
    <s v="19BA22.00"/>
    <x v="4"/>
    <x v="2"/>
    <m/>
    <m/>
    <m/>
  </r>
  <r>
    <s v="YK263206162"/>
    <x v="17"/>
    <x v="17"/>
    <n v="1"/>
    <x v="3"/>
    <d v="2026-09-16T14:49:40"/>
    <x v="38"/>
    <x v="22"/>
    <x v="38"/>
    <s v="19BA22.00"/>
    <x v="4"/>
    <x v="2"/>
    <m/>
    <m/>
    <m/>
  </r>
  <r>
    <s v="YK263206163"/>
    <x v="9"/>
    <x v="9"/>
    <n v="1"/>
    <x v="3"/>
    <d v="2026-08-19T07:15:16"/>
    <x v="38"/>
    <x v="22"/>
    <x v="38"/>
    <s v="19BA22.00"/>
    <x v="4"/>
    <x v="2"/>
    <m/>
    <m/>
    <m/>
  </r>
  <r>
    <s v="YK263206164"/>
    <x v="17"/>
    <x v="17"/>
    <n v="1"/>
    <x v="3"/>
    <d v="2026-09-16T14:48:50"/>
    <x v="38"/>
    <x v="22"/>
    <x v="38"/>
    <s v="19BA22.00"/>
    <x v="4"/>
    <x v="2"/>
    <m/>
    <m/>
    <m/>
  </r>
  <r>
    <s v="YK263206165"/>
    <x v="9"/>
    <x v="9"/>
    <n v="1"/>
    <x v="3"/>
    <d v="2026-08-19T07:16:14"/>
    <x v="38"/>
    <x v="22"/>
    <x v="38"/>
    <s v="19BA22.00"/>
    <x v="4"/>
    <x v="2"/>
    <m/>
    <m/>
    <m/>
  </r>
  <r>
    <s v="YK263206166"/>
    <x v="17"/>
    <x v="17"/>
    <n v="1"/>
    <x v="3"/>
    <d v="2026-09-16T14:50:44"/>
    <x v="38"/>
    <x v="22"/>
    <x v="38"/>
    <s v="19BA22.00"/>
    <x v="4"/>
    <x v="2"/>
    <m/>
    <m/>
    <m/>
  </r>
  <r>
    <s v="YK263206167"/>
    <x v="9"/>
    <x v="9"/>
    <n v="1"/>
    <x v="3"/>
    <d v="2026-09-09T12:25:41"/>
    <x v="38"/>
    <x v="22"/>
    <x v="38"/>
    <s v="19BA22.00"/>
    <x v="4"/>
    <x v="2"/>
    <m/>
    <m/>
    <m/>
  </r>
  <r>
    <s v="YK263206168"/>
    <x v="10"/>
    <x v="10"/>
    <n v="1"/>
    <x v="7"/>
    <d v="2026-09-14T09:40:19"/>
    <x v="38"/>
    <x v="22"/>
    <x v="38"/>
    <s v="19BA22.00"/>
    <x v="4"/>
    <x v="2"/>
    <m/>
    <m/>
    <m/>
  </r>
  <r>
    <s v="YK263206169"/>
    <x v="0"/>
    <x v="0"/>
    <n v="1"/>
    <x v="1"/>
    <d v="2026-09-14T11:41:29"/>
    <x v="38"/>
    <x v="22"/>
    <x v="38"/>
    <s v="19BA22.00"/>
    <x v="4"/>
    <x v="2"/>
    <m/>
    <m/>
    <m/>
  </r>
  <r>
    <s v="YK263206170"/>
    <x v="17"/>
    <x v="17"/>
    <n v="1"/>
    <x v="3"/>
    <d v="2026-09-16T14:47:20"/>
    <x v="38"/>
    <x v="22"/>
    <x v="38"/>
    <s v="19BA22.00"/>
    <x v="4"/>
    <x v="2"/>
    <m/>
    <m/>
    <m/>
  </r>
  <r>
    <s v="YK263206171"/>
    <x v="9"/>
    <x v="9"/>
    <n v="1"/>
    <x v="3"/>
    <d v="2026-08-19T10:48:22"/>
    <x v="38"/>
    <x v="22"/>
    <x v="38"/>
    <s v="19BA22.00"/>
    <x v="4"/>
    <x v="2"/>
    <m/>
    <m/>
    <m/>
  </r>
  <r>
    <s v="YK263206172"/>
    <x v="15"/>
    <x v="15"/>
    <n v="1"/>
    <x v="3"/>
    <d v="2026-09-15T14:40:01"/>
    <x v="38"/>
    <x v="22"/>
    <x v="38"/>
    <s v="19BA22.00"/>
    <x v="4"/>
    <x v="2"/>
    <m/>
    <m/>
    <m/>
  </r>
  <r>
    <s v="YK263206173"/>
    <x v="15"/>
    <x v="15"/>
    <n v="1"/>
    <x v="3"/>
    <d v="2026-09-09T13:13:39"/>
    <x v="38"/>
    <x v="22"/>
    <x v="38"/>
    <s v="19BA22.00"/>
    <x v="4"/>
    <x v="2"/>
    <m/>
    <m/>
    <m/>
  </r>
  <r>
    <s v="YK263206174"/>
    <x v="7"/>
    <x v="7"/>
    <n v="1"/>
    <x v="3"/>
    <d v="2026-09-17T07:43:40"/>
    <x v="38"/>
    <x v="22"/>
    <x v="38"/>
    <s v="19BA22.00"/>
    <x v="4"/>
    <x v="2"/>
    <m/>
    <m/>
    <m/>
  </r>
  <r>
    <s v="YK263206175"/>
    <x v="6"/>
    <x v="6"/>
    <n v="1"/>
    <x v="7"/>
    <d v="2026-09-11T12:28:58"/>
    <x v="38"/>
    <x v="22"/>
    <x v="38"/>
    <s v="19BA22.00"/>
    <x v="4"/>
    <x v="2"/>
    <m/>
    <m/>
    <m/>
  </r>
  <r>
    <s v="YK262701267"/>
    <x v="1"/>
    <x v="1"/>
    <n v="1"/>
    <x v="2"/>
    <d v="2026-08-18T11:27:03"/>
    <x v="39"/>
    <x v="23"/>
    <x v="39"/>
    <s v="19BA41.00"/>
    <x v="4"/>
    <x v="4"/>
    <m/>
    <m/>
    <m/>
  </r>
  <r>
    <s v="YK262701268"/>
    <x v="1"/>
    <x v="1"/>
    <n v="1"/>
    <x v="2"/>
    <d v="2026-08-18T11:25:03"/>
    <x v="39"/>
    <x v="23"/>
    <x v="39"/>
    <s v="19BA41.00"/>
    <x v="4"/>
    <x v="4"/>
    <m/>
    <m/>
    <m/>
  </r>
  <r>
    <s v="YK262701269"/>
    <x v="1"/>
    <x v="1"/>
    <n v="1"/>
    <x v="2"/>
    <d v="2026-08-18T11:25:57"/>
    <x v="39"/>
    <x v="23"/>
    <x v="39"/>
    <s v="19BA41.00"/>
    <x v="4"/>
    <x v="4"/>
    <m/>
    <m/>
    <m/>
  </r>
  <r>
    <s v="YK262701270"/>
    <x v="1"/>
    <x v="1"/>
    <n v="1"/>
    <x v="2"/>
    <d v="2026-08-18T11:28:46"/>
    <x v="39"/>
    <x v="23"/>
    <x v="39"/>
    <s v="19BA41.00"/>
    <x v="4"/>
    <x v="4"/>
    <m/>
    <m/>
    <m/>
  </r>
  <r>
    <s v="YK262701271"/>
    <x v="8"/>
    <x v="8"/>
    <n v="1"/>
    <x v="7"/>
    <d v="2026-08-26T14:52:41"/>
    <x v="39"/>
    <x v="23"/>
    <x v="39"/>
    <s v="19BA41.00"/>
    <x v="4"/>
    <x v="4"/>
    <m/>
    <m/>
    <m/>
  </r>
  <r>
    <s v="YK262701272"/>
    <x v="1"/>
    <x v="1"/>
    <n v="1"/>
    <x v="2"/>
    <d v="2026-08-18T13:28:18"/>
    <x v="39"/>
    <x v="23"/>
    <x v="39"/>
    <s v="19BA41.00"/>
    <x v="4"/>
    <x v="4"/>
    <m/>
    <m/>
    <m/>
  </r>
  <r>
    <s v="YK262701273"/>
    <x v="1"/>
    <x v="1"/>
    <n v="1"/>
    <x v="2"/>
    <d v="2026-08-19T06:48:18"/>
    <x v="39"/>
    <x v="23"/>
    <x v="39"/>
    <s v="19BA41.00"/>
    <x v="4"/>
    <x v="4"/>
    <m/>
    <m/>
    <m/>
  </r>
  <r>
    <s v="YK262701274"/>
    <x v="20"/>
    <x v="20"/>
    <n v="1"/>
    <x v="7"/>
    <d v="2026-08-17T08:35:27"/>
    <x v="39"/>
    <x v="23"/>
    <x v="39"/>
    <s v="19BA41.00"/>
    <x v="4"/>
    <x v="4"/>
    <m/>
    <m/>
    <m/>
  </r>
  <r>
    <s v="YK263501057"/>
    <x v="26"/>
    <x v="26"/>
    <n v="1"/>
    <x v="3"/>
    <d v="2026-09-03T11:01:34"/>
    <x v="40"/>
    <x v="24"/>
    <x v="40"/>
    <s v="19BA42.00"/>
    <x v="4"/>
    <x v="4"/>
    <m/>
    <m/>
    <m/>
  </r>
  <r>
    <s v="YK263501058"/>
    <x v="1"/>
    <x v="1"/>
    <n v="1"/>
    <x v="2"/>
    <d v="2026-09-03T06:30:34"/>
    <x v="40"/>
    <x v="24"/>
    <x v="40"/>
    <s v="19BA42.00"/>
    <x v="4"/>
    <x v="4"/>
    <m/>
    <m/>
    <m/>
  </r>
  <r>
    <s v="YK263501059"/>
    <x v="20"/>
    <x v="20"/>
    <n v="1"/>
    <x v="7"/>
    <d v="2026-09-02T14:26:17"/>
    <x v="40"/>
    <x v="24"/>
    <x v="40"/>
    <s v="19BA42.00"/>
    <x v="4"/>
    <x v="4"/>
    <m/>
    <m/>
    <m/>
  </r>
  <r>
    <s v="YK263501060"/>
    <x v="20"/>
    <x v="20"/>
    <n v="1"/>
    <x v="7"/>
    <d v="2026-09-02T11:44:08"/>
    <x v="40"/>
    <x v="24"/>
    <x v="40"/>
    <s v="19BA42.00"/>
    <x v="4"/>
    <x v="4"/>
    <m/>
    <m/>
    <m/>
  </r>
  <r>
    <s v="YK263501061"/>
    <x v="26"/>
    <x v="26"/>
    <n v="1"/>
    <x v="3"/>
    <d v="2026-09-03T12:10:10"/>
    <x v="40"/>
    <x v="24"/>
    <x v="40"/>
    <s v="19BA42.00"/>
    <x v="4"/>
    <x v="4"/>
    <m/>
    <m/>
    <m/>
  </r>
  <r>
    <s v="YK263501062"/>
    <x v="20"/>
    <x v="20"/>
    <n v="1"/>
    <x v="7"/>
    <d v="2026-09-15T11:56:06"/>
    <x v="40"/>
    <x v="24"/>
    <x v="40"/>
    <s v="19BA42.00"/>
    <x v="4"/>
    <x v="4"/>
    <m/>
    <m/>
    <m/>
  </r>
  <r>
    <s v="YK263501063"/>
    <x v="0"/>
    <x v="0"/>
    <n v="1"/>
    <x v="0"/>
    <d v="2026-08-28T10:16:21"/>
    <x v="40"/>
    <x v="24"/>
    <x v="40"/>
    <s v="19BA42.00"/>
    <x v="4"/>
    <x v="4"/>
    <m/>
    <m/>
    <m/>
  </r>
  <r>
    <s v="YK263501064"/>
    <x v="1"/>
    <x v="1"/>
    <n v="1"/>
    <x v="2"/>
    <d v="2026-09-04T10:50:41"/>
    <x v="40"/>
    <x v="24"/>
    <x v="40"/>
    <s v="19BA42.00"/>
    <x v="4"/>
    <x v="4"/>
    <m/>
    <m/>
    <m/>
  </r>
  <r>
    <s v="YK263501065"/>
    <x v="20"/>
    <x v="20"/>
    <n v="1"/>
    <x v="7"/>
    <d v="2026-09-02T14:10:35"/>
    <x v="40"/>
    <x v="24"/>
    <x v="40"/>
    <s v="19BA42.00"/>
    <x v="4"/>
    <x v="4"/>
    <m/>
    <m/>
    <m/>
  </r>
  <r>
    <s v="YK263501066"/>
    <x v="20"/>
    <x v="20"/>
    <n v="1"/>
    <x v="7"/>
    <d v="2026-09-02T10:14:55"/>
    <x v="40"/>
    <x v="24"/>
    <x v="40"/>
    <s v="19BA42.00"/>
    <x v="4"/>
    <x v="4"/>
    <m/>
    <m/>
    <m/>
  </r>
  <r>
    <s v="YK263501067"/>
    <x v="19"/>
    <x v="19"/>
    <n v="1"/>
    <x v="3"/>
    <d v="2026-09-17T07:22:38"/>
    <x v="40"/>
    <x v="24"/>
    <x v="40"/>
    <s v="19BA42.00"/>
    <x v="4"/>
    <x v="4"/>
    <m/>
    <m/>
    <m/>
  </r>
  <r>
    <s v="YK263501068"/>
    <x v="2"/>
    <x v="2"/>
    <n v="1"/>
    <x v="3"/>
    <d v="2026-09-10T20:42:18"/>
    <x v="40"/>
    <x v="24"/>
    <x v="40"/>
    <s v="19BA42.00"/>
    <x v="4"/>
    <x v="4"/>
    <m/>
    <m/>
    <m/>
  </r>
  <r>
    <s v="YK263501069"/>
    <x v="20"/>
    <x v="20"/>
    <n v="1"/>
    <x v="7"/>
    <d v="2026-09-16T13:36:58"/>
    <x v="40"/>
    <x v="24"/>
    <x v="40"/>
    <s v="19BA42.00"/>
    <x v="4"/>
    <x v="4"/>
    <m/>
    <m/>
    <m/>
  </r>
  <r>
    <s v="YK263501070"/>
    <x v="2"/>
    <x v="2"/>
    <n v="1"/>
    <x v="3"/>
    <d v="2026-09-11T17:22:33"/>
    <x v="40"/>
    <x v="24"/>
    <x v="40"/>
    <s v="19BA42.00"/>
    <x v="4"/>
    <x v="4"/>
    <m/>
    <m/>
    <m/>
  </r>
  <r>
    <s v="YK263501071"/>
    <x v="19"/>
    <x v="19"/>
    <n v="1"/>
    <x v="3"/>
    <d v="2026-09-17T07:25:46"/>
    <x v="40"/>
    <x v="24"/>
    <x v="40"/>
    <s v="19BA42.00"/>
    <x v="4"/>
    <x v="4"/>
    <m/>
    <m/>
    <m/>
  </r>
  <r>
    <s v="YK263501072"/>
    <x v="2"/>
    <x v="2"/>
    <n v="1"/>
    <x v="3"/>
    <d v="2026-09-17T06:59:43"/>
    <x v="40"/>
    <x v="24"/>
    <x v="40"/>
    <s v="19BA42.00"/>
    <x v="4"/>
    <x v="4"/>
    <m/>
    <m/>
    <m/>
  </r>
  <r>
    <s v="YK263501073"/>
    <x v="20"/>
    <x v="20"/>
    <n v="1"/>
    <x v="7"/>
    <d v="2026-09-15T11:08:55"/>
    <x v="40"/>
    <x v="24"/>
    <x v="40"/>
    <s v="19BA42.00"/>
    <x v="4"/>
    <x v="4"/>
    <m/>
    <m/>
    <m/>
  </r>
  <r>
    <s v="YK263501074"/>
    <x v="19"/>
    <x v="19"/>
    <n v="1"/>
    <x v="3"/>
    <d v="2026-09-17T07:23:02"/>
    <x v="40"/>
    <x v="24"/>
    <x v="40"/>
    <s v="19BA42.00"/>
    <x v="4"/>
    <x v="4"/>
    <m/>
    <m/>
    <m/>
  </r>
  <r>
    <s v="YK263501075"/>
    <x v="0"/>
    <x v="0"/>
    <n v="1"/>
    <x v="0"/>
    <d v="2026-08-28T10:16:21"/>
    <x v="40"/>
    <x v="24"/>
    <x v="40"/>
    <s v="19BA42.00"/>
    <x v="4"/>
    <x v="4"/>
    <m/>
    <m/>
    <m/>
  </r>
  <r>
    <s v="YK263501076"/>
    <x v="20"/>
    <x v="20"/>
    <n v="1"/>
    <x v="7"/>
    <d v="2026-09-15T10:23:54"/>
    <x v="40"/>
    <x v="24"/>
    <x v="40"/>
    <s v="19BA42.00"/>
    <x v="4"/>
    <x v="4"/>
    <m/>
    <m/>
    <m/>
  </r>
  <r>
    <s v="YK263501077"/>
    <x v="20"/>
    <x v="20"/>
    <n v="1"/>
    <x v="7"/>
    <d v="2026-09-16T11:03:32"/>
    <x v="40"/>
    <x v="24"/>
    <x v="40"/>
    <s v="19BA42.00"/>
    <x v="4"/>
    <x v="4"/>
    <m/>
    <m/>
    <m/>
  </r>
  <r>
    <s v="YK263501078"/>
    <x v="20"/>
    <x v="20"/>
    <n v="1"/>
    <x v="7"/>
    <d v="2026-09-16T15:01:11"/>
    <x v="40"/>
    <x v="24"/>
    <x v="40"/>
    <s v="19BA42.00"/>
    <x v="4"/>
    <x v="4"/>
    <m/>
    <m/>
    <m/>
  </r>
  <r>
    <s v="YK263501079"/>
    <x v="24"/>
    <x v="24"/>
    <n v="1"/>
    <x v="8"/>
    <d v="2026-09-16T19:56:31"/>
    <x v="40"/>
    <x v="24"/>
    <x v="40"/>
    <s v="19BA42.00"/>
    <x v="4"/>
    <x v="4"/>
    <m/>
    <d v="2026-09-04T00:00:00"/>
    <m/>
  </r>
  <r>
    <s v="YK263501080"/>
    <x v="24"/>
    <x v="24"/>
    <n v="1"/>
    <x v="8"/>
    <d v="2026-09-16T20:55:39"/>
    <x v="40"/>
    <x v="24"/>
    <x v="40"/>
    <s v="19BA42.00"/>
    <x v="4"/>
    <x v="4"/>
    <m/>
    <m/>
    <m/>
  </r>
  <r>
    <s v="YK263501081"/>
    <x v="24"/>
    <x v="24"/>
    <n v="1"/>
    <x v="8"/>
    <d v="2026-09-17T06:36:20"/>
    <x v="40"/>
    <x v="24"/>
    <x v="40"/>
    <s v="19BA42.00"/>
    <x v="4"/>
    <x v="4"/>
    <m/>
    <d v="2026-08-19T00:00:00"/>
    <m/>
  </r>
  <r>
    <s v="YK263501082"/>
    <x v="24"/>
    <x v="24"/>
    <n v="1"/>
    <x v="8"/>
    <d v="2026-09-17T07:24:35"/>
    <x v="40"/>
    <x v="24"/>
    <x v="40"/>
    <s v="19BA42.00"/>
    <x v="4"/>
    <x v="4"/>
    <m/>
    <d v="2026-08-19T00:00:00"/>
    <m/>
  </r>
  <r>
    <s v="YK263501083"/>
    <x v="24"/>
    <x v="24"/>
    <n v="1"/>
    <x v="8"/>
    <d v="2026-09-17T07:40:56"/>
    <x v="40"/>
    <x v="24"/>
    <x v="40"/>
    <s v="19BA42.00"/>
    <x v="4"/>
    <x v="4"/>
    <m/>
    <d v="2026-08-19T00:00:00"/>
    <m/>
  </r>
  <r>
    <s v="YK263501084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5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6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7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8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9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0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2"/>
    <x v="0"/>
    <x v="0"/>
    <n v="1"/>
    <x v="0"/>
    <d v="2026-08-28T10:16:21"/>
    <x v="40"/>
    <x v="24"/>
    <x v="40"/>
    <s v="19BA42.00"/>
    <x v="4"/>
    <x v="4"/>
    <m/>
    <m/>
    <m/>
  </r>
  <r>
    <s v="YK263501093"/>
    <x v="0"/>
    <x v="0"/>
    <n v="1"/>
    <x v="0"/>
    <d v="2026-08-28T10:16:21"/>
    <x v="40"/>
    <x v="24"/>
    <x v="40"/>
    <s v="19BA42.00"/>
    <x v="4"/>
    <x v="4"/>
    <m/>
    <m/>
    <m/>
  </r>
  <r>
    <s v="YK263501094"/>
    <x v="0"/>
    <x v="0"/>
    <n v="1"/>
    <x v="0"/>
    <d v="2026-08-28T10:16:21"/>
    <x v="40"/>
    <x v="24"/>
    <x v="40"/>
    <s v="19BA42.00"/>
    <x v="4"/>
    <x v="4"/>
    <m/>
    <m/>
    <m/>
  </r>
  <r>
    <s v="YK263501095"/>
    <x v="0"/>
    <x v="0"/>
    <n v="1"/>
    <x v="0"/>
    <d v="2026-08-28T10:16:21"/>
    <x v="40"/>
    <x v="24"/>
    <x v="40"/>
    <s v="19BA42.00"/>
    <x v="4"/>
    <x v="4"/>
    <m/>
    <m/>
    <m/>
  </r>
  <r>
    <s v="YK263501096"/>
    <x v="0"/>
    <x v="0"/>
    <n v="1"/>
    <x v="0"/>
    <d v="2026-08-28T10:16:21"/>
    <x v="40"/>
    <x v="24"/>
    <x v="40"/>
    <s v="19BA42.00"/>
    <x v="4"/>
    <x v="4"/>
    <m/>
    <m/>
    <m/>
  </r>
  <r>
    <s v="YK263501097"/>
    <x v="0"/>
    <x v="0"/>
    <n v="1"/>
    <x v="0"/>
    <d v="2026-08-28T10:16:21"/>
    <x v="40"/>
    <x v="24"/>
    <x v="40"/>
    <s v="19BA42.00"/>
    <x v="4"/>
    <x v="4"/>
    <m/>
    <m/>
    <m/>
  </r>
  <r>
    <s v="YK263501098"/>
    <x v="0"/>
    <x v="0"/>
    <n v="1"/>
    <x v="0"/>
    <d v="2026-08-28T10:16:21"/>
    <x v="40"/>
    <x v="24"/>
    <x v="40"/>
    <s v="19BA42.00"/>
    <x v="4"/>
    <x v="4"/>
    <m/>
    <m/>
    <m/>
  </r>
  <r>
    <s v="YK263501099"/>
    <x v="0"/>
    <x v="0"/>
    <n v="1"/>
    <x v="0"/>
    <d v="2026-08-28T10:16:21"/>
    <x v="40"/>
    <x v="24"/>
    <x v="40"/>
    <s v="19BA42.00"/>
    <x v="4"/>
    <x v="4"/>
    <m/>
    <m/>
    <m/>
  </r>
  <r>
    <s v="YK263501100"/>
    <x v="0"/>
    <x v="0"/>
    <n v="1"/>
    <x v="0"/>
    <d v="2026-08-28T10:16:21"/>
    <x v="40"/>
    <x v="24"/>
    <x v="40"/>
    <s v="19BA42.00"/>
    <x v="4"/>
    <x v="4"/>
    <m/>
    <m/>
    <m/>
  </r>
  <r>
    <s v="YK263501101"/>
    <x v="0"/>
    <x v="0"/>
    <n v="1"/>
    <x v="0"/>
    <d v="2026-08-28T10:16:21"/>
    <x v="40"/>
    <x v="24"/>
    <x v="40"/>
    <s v="19BA42.00"/>
    <x v="4"/>
    <x v="4"/>
    <m/>
    <m/>
    <m/>
  </r>
  <r>
    <s v="YK263501102"/>
    <x v="0"/>
    <x v="0"/>
    <n v="1"/>
    <x v="0"/>
    <d v="2026-08-28T10:16:21"/>
    <x v="40"/>
    <x v="24"/>
    <x v="40"/>
    <s v="19BA42.00"/>
    <x v="4"/>
    <x v="4"/>
    <m/>
    <m/>
    <m/>
  </r>
  <r>
    <s v="YK263501103"/>
    <x v="0"/>
    <x v="0"/>
    <n v="1"/>
    <x v="0"/>
    <d v="2026-08-28T10:16:21"/>
    <x v="40"/>
    <x v="24"/>
    <x v="40"/>
    <s v="19BA42.00"/>
    <x v="4"/>
    <x v="4"/>
    <m/>
    <m/>
    <m/>
  </r>
  <r>
    <s v="YK263501104"/>
    <x v="0"/>
    <x v="0"/>
    <n v="1"/>
    <x v="0"/>
    <d v="2026-08-28T10:16:21"/>
    <x v="40"/>
    <x v="24"/>
    <x v="40"/>
    <s v="19BA42.00"/>
    <x v="4"/>
    <x v="4"/>
    <m/>
    <m/>
    <m/>
  </r>
  <r>
    <s v="YK263501105"/>
    <x v="0"/>
    <x v="0"/>
    <n v="1"/>
    <x v="0"/>
    <d v="2026-08-28T10:16:21"/>
    <x v="40"/>
    <x v="24"/>
    <x v="40"/>
    <s v="19BA42.00"/>
    <x v="4"/>
    <x v="4"/>
    <m/>
    <m/>
    <m/>
  </r>
  <r>
    <s v="YK263501106"/>
    <x v="0"/>
    <x v="0"/>
    <n v="1"/>
    <x v="0"/>
    <d v="2026-08-28T10:16:21"/>
    <x v="40"/>
    <x v="24"/>
    <x v="40"/>
    <s v="19BA42.00"/>
    <x v="4"/>
    <x v="4"/>
    <m/>
    <m/>
    <m/>
  </r>
  <r>
    <s v="YK263501107"/>
    <x v="0"/>
    <x v="0"/>
    <n v="1"/>
    <x v="0"/>
    <d v="2026-08-28T10:16:21"/>
    <x v="40"/>
    <x v="24"/>
    <x v="40"/>
    <s v="19BA42.00"/>
    <x v="4"/>
    <x v="4"/>
    <m/>
    <m/>
    <m/>
  </r>
  <r>
    <s v="YK263501108"/>
    <x v="0"/>
    <x v="0"/>
    <n v="1"/>
    <x v="0"/>
    <d v="2026-08-28T10:16:21"/>
    <x v="40"/>
    <x v="24"/>
    <x v="40"/>
    <s v="19BA42.00"/>
    <x v="4"/>
    <x v="4"/>
    <m/>
    <m/>
    <m/>
  </r>
  <r>
    <s v="YK263501109"/>
    <x v="0"/>
    <x v="0"/>
    <n v="1"/>
    <x v="0"/>
    <d v="2026-08-28T10:16:21"/>
    <x v="40"/>
    <x v="24"/>
    <x v="40"/>
    <s v="19BA42.00"/>
    <x v="4"/>
    <x v="4"/>
    <m/>
    <m/>
    <m/>
  </r>
  <r>
    <s v="YK263501110"/>
    <x v="0"/>
    <x v="0"/>
    <n v="1"/>
    <x v="0"/>
    <d v="2026-08-28T10:16:21"/>
    <x v="40"/>
    <x v="24"/>
    <x v="40"/>
    <s v="19BA42.00"/>
    <x v="4"/>
    <x v="4"/>
    <m/>
    <m/>
    <m/>
  </r>
  <r>
    <s v="YK263501111"/>
    <x v="0"/>
    <x v="0"/>
    <n v="1"/>
    <x v="0"/>
    <d v="2026-08-28T10:16:21"/>
    <x v="40"/>
    <x v="24"/>
    <x v="40"/>
    <s v="19BA42.00"/>
    <x v="4"/>
    <x v="4"/>
    <m/>
    <m/>
    <m/>
  </r>
  <r>
    <s v="YK263501112"/>
    <x v="0"/>
    <x v="0"/>
    <n v="1"/>
    <x v="0"/>
    <d v="2026-08-28T10:16:21"/>
    <x v="40"/>
    <x v="24"/>
    <x v="40"/>
    <s v="19BA42.00"/>
    <x v="4"/>
    <x v="4"/>
    <m/>
    <m/>
    <m/>
  </r>
  <r>
    <s v="YK263501113"/>
    <x v="0"/>
    <x v="0"/>
    <n v="1"/>
    <x v="0"/>
    <d v="2026-08-28T10:16:21"/>
    <x v="40"/>
    <x v="24"/>
    <x v="40"/>
    <s v="19BA42.00"/>
    <x v="4"/>
    <x v="4"/>
    <m/>
    <m/>
    <m/>
  </r>
  <r>
    <s v="YK263501114"/>
    <x v="0"/>
    <x v="0"/>
    <n v="1"/>
    <x v="0"/>
    <d v="2026-08-28T10:16:21"/>
    <x v="40"/>
    <x v="24"/>
    <x v="40"/>
    <s v="19BA42.00"/>
    <x v="4"/>
    <x v="4"/>
    <m/>
    <m/>
    <m/>
  </r>
  <r>
    <s v="YK263501115"/>
    <x v="0"/>
    <x v="0"/>
    <n v="1"/>
    <x v="0"/>
    <d v="2026-08-28T10:16:21"/>
    <x v="40"/>
    <x v="24"/>
    <x v="40"/>
    <s v="19BA42.00"/>
    <x v="4"/>
    <x v="4"/>
    <m/>
    <m/>
    <m/>
  </r>
  <r>
    <s v="YK263501116"/>
    <x v="0"/>
    <x v="0"/>
    <n v="1"/>
    <x v="0"/>
    <d v="2026-08-28T10:16:21"/>
    <x v="40"/>
    <x v="24"/>
    <x v="40"/>
    <s v="19BA42.00"/>
    <x v="4"/>
    <x v="4"/>
    <m/>
    <m/>
    <m/>
  </r>
  <r>
    <s v="YK263501117"/>
    <x v="0"/>
    <x v="0"/>
    <n v="1"/>
    <x v="0"/>
    <d v="2026-08-28T10:16:21"/>
    <x v="40"/>
    <x v="24"/>
    <x v="40"/>
    <s v="19BA42.00"/>
    <x v="4"/>
    <x v="4"/>
    <m/>
    <m/>
    <m/>
  </r>
  <r>
    <s v="YK263501118"/>
    <x v="0"/>
    <x v="0"/>
    <n v="1"/>
    <x v="0"/>
    <d v="2026-08-28T10:16:21"/>
    <x v="40"/>
    <x v="24"/>
    <x v="40"/>
    <s v="19BA42.00"/>
    <x v="4"/>
    <x v="4"/>
    <m/>
    <d v="2026-07-08T00:00:00"/>
    <m/>
  </r>
  <r>
    <s v="YK263501119"/>
    <x v="0"/>
    <x v="0"/>
    <n v="1"/>
    <x v="0"/>
    <d v="2026-08-28T10:16:21"/>
    <x v="40"/>
    <x v="24"/>
    <x v="40"/>
    <s v="19BA42.00"/>
    <x v="4"/>
    <x v="4"/>
    <m/>
    <m/>
    <m/>
  </r>
  <r>
    <s v="YK263501120"/>
    <x v="0"/>
    <x v="0"/>
    <n v="1"/>
    <x v="0"/>
    <d v="2026-08-28T10:16:21"/>
    <x v="40"/>
    <x v="24"/>
    <x v="40"/>
    <s v="19BA42.00"/>
    <x v="4"/>
    <x v="4"/>
    <m/>
    <m/>
    <m/>
  </r>
  <r>
    <s v="YK263300227"/>
    <x v="1"/>
    <x v="1"/>
    <n v="1"/>
    <x v="2"/>
    <d v="2026-09-03T14:17:43"/>
    <x v="41"/>
    <x v="25"/>
    <x v="41"/>
    <s v="20LA11.00"/>
    <x v="3"/>
    <x v="1"/>
    <m/>
    <m/>
    <m/>
  </r>
  <r>
    <s v="YK263300228"/>
    <x v="1"/>
    <x v="1"/>
    <n v="1"/>
    <x v="2"/>
    <d v="2026-08-19T12:19:35"/>
    <x v="41"/>
    <x v="25"/>
    <x v="41"/>
    <s v="20LA11.00"/>
    <x v="3"/>
    <x v="1"/>
    <m/>
    <m/>
    <m/>
  </r>
  <r>
    <s v="YK263300229"/>
    <x v="1"/>
    <x v="1"/>
    <n v="1"/>
    <x v="2"/>
    <d v="2026-08-19T12:19:03"/>
    <x v="41"/>
    <x v="25"/>
    <x v="41"/>
    <s v="20LA11.00"/>
    <x v="3"/>
    <x v="1"/>
    <m/>
    <m/>
    <m/>
  </r>
  <r>
    <s v="YK263300230"/>
    <x v="1"/>
    <x v="1"/>
    <n v="1"/>
    <x v="2"/>
    <d v="2026-08-19T12:18:30"/>
    <x v="41"/>
    <x v="25"/>
    <x v="41"/>
    <s v="20LA11.00"/>
    <x v="3"/>
    <x v="1"/>
    <m/>
    <m/>
    <m/>
  </r>
  <r>
    <s v="YK263300231"/>
    <x v="1"/>
    <x v="1"/>
    <n v="1"/>
    <x v="2"/>
    <d v="2026-08-19T12:16:53"/>
    <x v="41"/>
    <x v="25"/>
    <x v="41"/>
    <s v="20LA11.00"/>
    <x v="3"/>
    <x v="1"/>
    <m/>
    <m/>
    <m/>
  </r>
  <r>
    <s v="YK263300232"/>
    <x v="1"/>
    <x v="1"/>
    <n v="1"/>
    <x v="2"/>
    <d v="2026-08-19T12:18:00"/>
    <x v="41"/>
    <x v="25"/>
    <x v="41"/>
    <s v="20LA11.00"/>
    <x v="3"/>
    <x v="1"/>
    <m/>
    <m/>
    <m/>
  </r>
  <r>
    <s v="YK263300233"/>
    <x v="1"/>
    <x v="1"/>
    <n v="1"/>
    <x v="2"/>
    <d v="2026-08-19T09:11:32"/>
    <x v="41"/>
    <x v="25"/>
    <x v="41"/>
    <s v="20LA11.00"/>
    <x v="3"/>
    <x v="1"/>
    <m/>
    <m/>
    <m/>
  </r>
  <r>
    <s v="YK263300234"/>
    <x v="1"/>
    <x v="1"/>
    <n v="1"/>
    <x v="2"/>
    <d v="2026-08-19T09:13:52"/>
    <x v="41"/>
    <x v="25"/>
    <x v="41"/>
    <s v="20LA11.00"/>
    <x v="3"/>
    <x v="1"/>
    <m/>
    <m/>
    <m/>
  </r>
  <r>
    <s v="YK263300235"/>
    <x v="1"/>
    <x v="1"/>
    <n v="1"/>
    <x v="2"/>
    <d v="2026-08-19T09:12:05"/>
    <x v="41"/>
    <x v="25"/>
    <x v="41"/>
    <s v="20LA11.00"/>
    <x v="3"/>
    <x v="1"/>
    <m/>
    <m/>
    <m/>
  </r>
  <r>
    <s v="YK263300236"/>
    <x v="1"/>
    <x v="1"/>
    <n v="1"/>
    <x v="2"/>
    <d v="2026-08-19T09:12:54"/>
    <x v="41"/>
    <x v="25"/>
    <x v="41"/>
    <s v="20LA11.00"/>
    <x v="3"/>
    <x v="1"/>
    <m/>
    <m/>
    <m/>
  </r>
  <r>
    <s v="YK263300237"/>
    <x v="1"/>
    <x v="1"/>
    <n v="1"/>
    <x v="2"/>
    <d v="2026-08-19T12:17:35"/>
    <x v="41"/>
    <x v="25"/>
    <x v="41"/>
    <s v="20LA11.00"/>
    <x v="3"/>
    <x v="1"/>
    <m/>
    <m/>
    <m/>
  </r>
  <r>
    <s v="YK263300238"/>
    <x v="1"/>
    <x v="1"/>
    <n v="1"/>
    <x v="2"/>
    <d v="2026-08-19T09:13:23"/>
    <x v="41"/>
    <x v="25"/>
    <x v="41"/>
    <s v="20LA11.00"/>
    <x v="3"/>
    <x v="1"/>
    <m/>
    <m/>
    <m/>
  </r>
  <r>
    <s v="YK263300239"/>
    <x v="1"/>
    <x v="1"/>
    <n v="1"/>
    <x v="2"/>
    <d v="2026-08-19T09:11:03"/>
    <x v="41"/>
    <x v="25"/>
    <x v="41"/>
    <s v="20LA11.00"/>
    <x v="3"/>
    <x v="1"/>
    <m/>
    <m/>
    <m/>
  </r>
  <r>
    <s v="YK262300826"/>
    <x v="0"/>
    <x v="0"/>
    <n v="1"/>
    <x v="1"/>
    <d v="2026-08-04T09:13:40"/>
    <x v="42"/>
    <x v="19"/>
    <x v="42"/>
    <s v="20LA12.00"/>
    <x v="3"/>
    <x v="1"/>
    <m/>
    <m/>
    <m/>
  </r>
  <r>
    <s v="YK262300827"/>
    <x v="0"/>
    <x v="0"/>
    <n v="1"/>
    <x v="1"/>
    <d v="2026-07-30T12:20:10"/>
    <x v="42"/>
    <x v="19"/>
    <x v="42"/>
    <s v="20LA12.00"/>
    <x v="3"/>
    <x v="1"/>
    <m/>
    <m/>
    <m/>
  </r>
  <r>
    <s v="YK262300828"/>
    <x v="0"/>
    <x v="0"/>
    <n v="1"/>
    <x v="1"/>
    <d v="2026-07-14T06:39:10"/>
    <x v="42"/>
    <x v="19"/>
    <x v="42"/>
    <s v="20LA12.00"/>
    <x v="3"/>
    <x v="1"/>
    <m/>
    <m/>
    <m/>
  </r>
  <r>
    <s v="YK262300829"/>
    <x v="0"/>
    <x v="0"/>
    <n v="1"/>
    <x v="1"/>
    <d v="2026-07-02T13:41:04"/>
    <x v="42"/>
    <x v="19"/>
    <x v="42"/>
    <s v="20LA12.00"/>
    <x v="3"/>
    <x v="1"/>
    <m/>
    <m/>
    <m/>
  </r>
  <r>
    <s v="YK262300830"/>
    <x v="3"/>
    <x v="3"/>
    <n v="1"/>
    <x v="4"/>
    <d v="2026-06-24T20:34:10"/>
    <x v="42"/>
    <x v="19"/>
    <x v="42"/>
    <s v="20LA12.00"/>
    <x v="3"/>
    <x v="1"/>
    <m/>
    <m/>
    <m/>
  </r>
  <r>
    <s v="YK262300831"/>
    <x v="3"/>
    <x v="3"/>
    <n v="1"/>
    <x v="4"/>
    <d v="2026-06-24T07:42:16"/>
    <x v="42"/>
    <x v="19"/>
    <x v="42"/>
    <s v="20LA12.00"/>
    <x v="3"/>
    <x v="1"/>
    <m/>
    <m/>
    <m/>
  </r>
  <r>
    <s v="YK262300832"/>
    <x v="0"/>
    <x v="0"/>
    <n v="1"/>
    <x v="1"/>
    <d v="2026-07-13T14:09:49"/>
    <x v="42"/>
    <x v="19"/>
    <x v="42"/>
    <s v="20LA12.00"/>
    <x v="3"/>
    <x v="1"/>
    <m/>
    <m/>
    <m/>
  </r>
  <r>
    <s v="YK262300833"/>
    <x v="0"/>
    <x v="0"/>
    <n v="1"/>
    <x v="1"/>
    <d v="2026-07-02T13:41:54"/>
    <x v="42"/>
    <x v="19"/>
    <x v="42"/>
    <s v="20LA12.00"/>
    <x v="3"/>
    <x v="1"/>
    <m/>
    <m/>
    <m/>
  </r>
  <r>
    <s v="YK262300834"/>
    <x v="0"/>
    <x v="0"/>
    <n v="1"/>
    <x v="1"/>
    <d v="2026-07-02T13:41:02"/>
    <x v="42"/>
    <x v="19"/>
    <x v="42"/>
    <s v="20LA12.00"/>
    <x v="3"/>
    <x v="1"/>
    <m/>
    <m/>
    <m/>
  </r>
  <r>
    <s v="YK262300835"/>
    <x v="0"/>
    <x v="0"/>
    <n v="1"/>
    <x v="1"/>
    <d v="2026-07-30T12:21:20"/>
    <x v="42"/>
    <x v="19"/>
    <x v="42"/>
    <s v="20LA12.00"/>
    <x v="3"/>
    <x v="1"/>
    <m/>
    <m/>
    <m/>
  </r>
  <r>
    <s v="YK262300836"/>
    <x v="0"/>
    <x v="0"/>
    <n v="1"/>
    <x v="1"/>
    <d v="2026-07-13T14:01:06"/>
    <x v="42"/>
    <x v="19"/>
    <x v="42"/>
    <s v="20LA12.00"/>
    <x v="3"/>
    <x v="1"/>
    <m/>
    <m/>
    <m/>
  </r>
  <r>
    <s v="YK262300837"/>
    <x v="0"/>
    <x v="0"/>
    <n v="1"/>
    <x v="1"/>
    <d v="2026-08-14T11:44:57"/>
    <x v="42"/>
    <x v="19"/>
    <x v="42"/>
    <s v="20LA12.00"/>
    <x v="3"/>
    <x v="1"/>
    <m/>
    <m/>
    <m/>
  </r>
  <r>
    <s v="YK262300838"/>
    <x v="0"/>
    <x v="0"/>
    <n v="1"/>
    <x v="1"/>
    <d v="2026-08-14T11:43:43"/>
    <x v="42"/>
    <x v="19"/>
    <x v="42"/>
    <s v="20LA12.00"/>
    <x v="3"/>
    <x v="1"/>
    <m/>
    <m/>
    <m/>
  </r>
  <r>
    <s v="YK262300839"/>
    <x v="0"/>
    <x v="0"/>
    <n v="1"/>
    <x v="1"/>
    <d v="2026-07-30T12:20:30"/>
    <x v="42"/>
    <x v="19"/>
    <x v="42"/>
    <s v="20LA12.00"/>
    <x v="3"/>
    <x v="1"/>
    <m/>
    <m/>
    <m/>
  </r>
  <r>
    <s v="YK262300840"/>
    <x v="0"/>
    <x v="0"/>
    <n v="1"/>
    <x v="1"/>
    <d v="2026-08-14T11:44:47"/>
    <x v="42"/>
    <x v="19"/>
    <x v="42"/>
    <s v="20LA12.00"/>
    <x v="3"/>
    <x v="1"/>
    <m/>
    <m/>
    <m/>
  </r>
  <r>
    <s v="YK262300841"/>
    <x v="0"/>
    <x v="0"/>
    <n v="1"/>
    <x v="1"/>
    <d v="2026-07-02T13:41:26"/>
    <x v="42"/>
    <x v="19"/>
    <x v="42"/>
    <s v="20LA12.00"/>
    <x v="3"/>
    <x v="1"/>
    <m/>
    <m/>
    <m/>
  </r>
  <r>
    <s v="YK262300842"/>
    <x v="0"/>
    <x v="0"/>
    <n v="1"/>
    <x v="1"/>
    <d v="2026-07-14T06:39:14"/>
    <x v="42"/>
    <x v="19"/>
    <x v="42"/>
    <s v="20LA12.00"/>
    <x v="3"/>
    <x v="1"/>
    <m/>
    <m/>
    <m/>
  </r>
  <r>
    <s v="YK262300843"/>
    <x v="3"/>
    <x v="3"/>
    <n v="1"/>
    <x v="4"/>
    <d v="2026-06-24T07:36:48"/>
    <x v="42"/>
    <x v="19"/>
    <x v="42"/>
    <s v="20LA12.00"/>
    <x v="3"/>
    <x v="1"/>
    <m/>
    <m/>
    <m/>
  </r>
  <r>
    <s v="YK262300844"/>
    <x v="0"/>
    <x v="0"/>
    <n v="1"/>
    <x v="1"/>
    <d v="2026-07-14T06:38:35"/>
    <x v="42"/>
    <x v="19"/>
    <x v="42"/>
    <s v="20LA12.00"/>
    <x v="3"/>
    <x v="1"/>
    <m/>
    <m/>
    <m/>
  </r>
  <r>
    <s v="YK262300845"/>
    <x v="0"/>
    <x v="0"/>
    <n v="1"/>
    <x v="1"/>
    <d v="2026-07-31T22:02:01"/>
    <x v="42"/>
    <x v="19"/>
    <x v="42"/>
    <s v="20LA12.00"/>
    <x v="3"/>
    <x v="1"/>
    <m/>
    <m/>
    <m/>
  </r>
  <r>
    <s v="YK262300846"/>
    <x v="0"/>
    <x v="0"/>
    <n v="1"/>
    <x v="1"/>
    <d v="2026-08-14T11:43:30"/>
    <x v="42"/>
    <x v="19"/>
    <x v="42"/>
    <s v="20LA12.00"/>
    <x v="3"/>
    <x v="1"/>
    <m/>
    <m/>
    <m/>
  </r>
  <r>
    <s v="YK262300847"/>
    <x v="0"/>
    <x v="0"/>
    <n v="1"/>
    <x v="1"/>
    <d v="2026-07-31T22:02:18"/>
    <x v="42"/>
    <x v="19"/>
    <x v="42"/>
    <s v="20LA12.00"/>
    <x v="3"/>
    <x v="1"/>
    <m/>
    <m/>
    <m/>
  </r>
  <r>
    <s v="YK262300848"/>
    <x v="0"/>
    <x v="0"/>
    <n v="1"/>
    <x v="1"/>
    <d v="2026-07-13T14:09:14"/>
    <x v="42"/>
    <x v="19"/>
    <x v="42"/>
    <s v="20LA12.00"/>
    <x v="3"/>
    <x v="1"/>
    <m/>
    <m/>
    <m/>
  </r>
  <r>
    <s v="YK262300849"/>
    <x v="0"/>
    <x v="0"/>
    <n v="1"/>
    <x v="1"/>
    <d v="2026-08-04T09:13:11"/>
    <x v="42"/>
    <x v="19"/>
    <x v="42"/>
    <s v="20LA12.00"/>
    <x v="3"/>
    <x v="1"/>
    <m/>
    <m/>
    <m/>
  </r>
  <r>
    <s v="YK262300850"/>
    <x v="0"/>
    <x v="0"/>
    <n v="1"/>
    <x v="1"/>
    <d v="2026-07-31T22:03:06"/>
    <x v="42"/>
    <x v="19"/>
    <x v="42"/>
    <s v="20LA12.00"/>
    <x v="3"/>
    <x v="1"/>
    <m/>
    <m/>
    <m/>
  </r>
  <r>
    <s v="YK262300851"/>
    <x v="0"/>
    <x v="0"/>
    <n v="1"/>
    <x v="1"/>
    <d v="2026-07-31T22:03:31"/>
    <x v="42"/>
    <x v="19"/>
    <x v="42"/>
    <s v="20LA12.00"/>
    <x v="3"/>
    <x v="1"/>
    <m/>
    <m/>
    <m/>
  </r>
  <r>
    <s v="YK262300852"/>
    <x v="1"/>
    <x v="1"/>
    <n v="1"/>
    <x v="2"/>
    <d v="2026-07-08T08:30:54"/>
    <x v="42"/>
    <x v="19"/>
    <x v="42"/>
    <s v="20LA12.00"/>
    <x v="3"/>
    <x v="1"/>
    <m/>
    <m/>
    <m/>
  </r>
  <r>
    <s v="YK262300853"/>
    <x v="0"/>
    <x v="0"/>
    <n v="1"/>
    <x v="1"/>
    <d v="2026-07-13T14:00:26"/>
    <x v="42"/>
    <x v="19"/>
    <x v="42"/>
    <s v="20LA12.00"/>
    <x v="3"/>
    <x v="1"/>
    <m/>
    <m/>
    <m/>
  </r>
  <r>
    <s v="YK262300854"/>
    <x v="0"/>
    <x v="0"/>
    <n v="1"/>
    <x v="1"/>
    <d v="2026-07-02T13:41:11"/>
    <x v="42"/>
    <x v="19"/>
    <x v="42"/>
    <s v="20LA12.00"/>
    <x v="3"/>
    <x v="1"/>
    <m/>
    <m/>
    <m/>
  </r>
  <r>
    <s v="YK262300855"/>
    <x v="0"/>
    <x v="0"/>
    <n v="1"/>
    <x v="1"/>
    <d v="2026-07-14T06:38:39"/>
    <x v="42"/>
    <x v="19"/>
    <x v="42"/>
    <s v="20LA12.00"/>
    <x v="3"/>
    <x v="1"/>
    <m/>
    <m/>
    <m/>
  </r>
  <r>
    <s v="YK262300856"/>
    <x v="0"/>
    <x v="0"/>
    <n v="1"/>
    <x v="1"/>
    <d v="2026-07-31T10:58:25"/>
    <x v="42"/>
    <x v="19"/>
    <x v="42"/>
    <s v="20LA12.00"/>
    <x v="3"/>
    <x v="1"/>
    <m/>
    <m/>
    <m/>
  </r>
  <r>
    <s v="YK262300857"/>
    <x v="0"/>
    <x v="0"/>
    <n v="1"/>
    <x v="1"/>
    <d v="2026-07-31T06:25:14"/>
    <x v="42"/>
    <x v="19"/>
    <x v="42"/>
    <s v="20LA12.00"/>
    <x v="3"/>
    <x v="1"/>
    <m/>
    <m/>
    <m/>
  </r>
  <r>
    <s v="YK262300962"/>
    <x v="0"/>
    <x v="0"/>
    <n v="1"/>
    <x v="1"/>
    <d v="2026-07-13T14:15:07"/>
    <x v="42"/>
    <x v="19"/>
    <x v="42"/>
    <s v="20LA12.00"/>
    <x v="3"/>
    <x v="1"/>
    <m/>
    <m/>
    <m/>
  </r>
  <r>
    <s v="YK262300963"/>
    <x v="0"/>
    <x v="0"/>
    <n v="1"/>
    <x v="1"/>
    <d v="2026-08-04T09:15:02"/>
    <x v="42"/>
    <x v="19"/>
    <x v="42"/>
    <s v="20LA12.00"/>
    <x v="3"/>
    <x v="1"/>
    <m/>
    <m/>
    <m/>
  </r>
  <r>
    <s v="YK262300964"/>
    <x v="0"/>
    <x v="0"/>
    <n v="1"/>
    <x v="1"/>
    <d v="2026-08-31T10:36:07"/>
    <x v="42"/>
    <x v="19"/>
    <x v="42"/>
    <s v="20LA12.00"/>
    <x v="3"/>
    <x v="1"/>
    <m/>
    <m/>
    <m/>
  </r>
  <r>
    <s v="YK262300965"/>
    <x v="0"/>
    <x v="0"/>
    <n v="1"/>
    <x v="1"/>
    <d v="2026-07-13T14:15:24"/>
    <x v="42"/>
    <x v="19"/>
    <x v="42"/>
    <s v="20LA12.00"/>
    <x v="3"/>
    <x v="1"/>
    <m/>
    <m/>
    <m/>
  </r>
  <r>
    <s v="YK262300966"/>
    <x v="0"/>
    <x v="0"/>
    <n v="1"/>
    <x v="1"/>
    <d v="2026-07-13T14:02:23"/>
    <x v="42"/>
    <x v="19"/>
    <x v="42"/>
    <s v="20LA12.00"/>
    <x v="3"/>
    <x v="1"/>
    <m/>
    <d v="2026-07-08T00:00:00"/>
    <m/>
  </r>
  <r>
    <s v="YK262300967"/>
    <x v="0"/>
    <x v="0"/>
    <n v="1"/>
    <x v="1"/>
    <d v="2026-07-02T13:41:50"/>
    <x v="42"/>
    <x v="19"/>
    <x v="42"/>
    <s v="20LA12.00"/>
    <x v="3"/>
    <x v="1"/>
    <m/>
    <m/>
    <m/>
  </r>
  <r>
    <s v="YK262300968"/>
    <x v="0"/>
    <x v="0"/>
    <n v="1"/>
    <x v="1"/>
    <d v="2026-07-31T10:51:59"/>
    <x v="42"/>
    <x v="19"/>
    <x v="42"/>
    <s v="20LA12.00"/>
    <x v="3"/>
    <x v="1"/>
    <m/>
    <m/>
    <m/>
  </r>
  <r>
    <s v="YK262300969"/>
    <x v="0"/>
    <x v="0"/>
    <n v="1"/>
    <x v="1"/>
    <d v="2026-07-30T12:21:35"/>
    <x v="42"/>
    <x v="19"/>
    <x v="42"/>
    <s v="20LA12.00"/>
    <x v="3"/>
    <x v="1"/>
    <m/>
    <m/>
    <m/>
  </r>
  <r>
    <s v="YK262300970"/>
    <x v="0"/>
    <x v="0"/>
    <n v="1"/>
    <x v="1"/>
    <d v="2026-06-18T13:51:46"/>
    <x v="42"/>
    <x v="19"/>
    <x v="42"/>
    <s v="20LA12.00"/>
    <x v="3"/>
    <x v="1"/>
    <m/>
    <m/>
    <m/>
  </r>
  <r>
    <s v="YK262300971"/>
    <x v="0"/>
    <x v="0"/>
    <n v="1"/>
    <x v="1"/>
    <d v="2026-07-13T14:15:14"/>
    <x v="42"/>
    <x v="19"/>
    <x v="42"/>
    <s v="20LA12.00"/>
    <x v="3"/>
    <x v="1"/>
    <m/>
    <m/>
    <m/>
  </r>
  <r>
    <s v="YK262300972"/>
    <x v="0"/>
    <x v="0"/>
    <n v="1"/>
    <x v="1"/>
    <d v="2026-07-13T14:04:31"/>
    <x v="42"/>
    <x v="19"/>
    <x v="42"/>
    <s v="20LA12.00"/>
    <x v="3"/>
    <x v="1"/>
    <m/>
    <m/>
    <m/>
  </r>
  <r>
    <s v="YK262300973"/>
    <x v="0"/>
    <x v="0"/>
    <n v="1"/>
    <x v="1"/>
    <d v="2026-07-02T13:41:57"/>
    <x v="42"/>
    <x v="19"/>
    <x v="42"/>
    <s v="20LA12.00"/>
    <x v="3"/>
    <x v="1"/>
    <m/>
    <m/>
    <m/>
  </r>
  <r>
    <s v="YK262300974"/>
    <x v="0"/>
    <x v="0"/>
    <n v="1"/>
    <x v="1"/>
    <d v="2026-07-31T10:55:05"/>
    <x v="42"/>
    <x v="19"/>
    <x v="42"/>
    <s v="20LA12.00"/>
    <x v="3"/>
    <x v="1"/>
    <m/>
    <m/>
    <m/>
  </r>
  <r>
    <s v="YK262300975"/>
    <x v="0"/>
    <x v="0"/>
    <n v="1"/>
    <x v="1"/>
    <d v="2026-06-19T14:17:38"/>
    <x v="42"/>
    <x v="19"/>
    <x v="42"/>
    <s v="20LA12.00"/>
    <x v="3"/>
    <x v="1"/>
    <m/>
    <m/>
    <m/>
  </r>
  <r>
    <s v="YK262300976"/>
    <x v="0"/>
    <x v="0"/>
    <n v="1"/>
    <x v="1"/>
    <d v="2026-06-19T14:17:00"/>
    <x v="42"/>
    <x v="19"/>
    <x v="42"/>
    <s v="20LA12.00"/>
    <x v="3"/>
    <x v="1"/>
    <m/>
    <m/>
    <m/>
  </r>
  <r>
    <s v="YK262300977"/>
    <x v="0"/>
    <x v="0"/>
    <n v="1"/>
    <x v="1"/>
    <d v="2026-06-18T13:05:54"/>
    <x v="42"/>
    <x v="19"/>
    <x v="42"/>
    <s v="20LA12.00"/>
    <x v="3"/>
    <x v="1"/>
    <m/>
    <m/>
    <m/>
  </r>
  <r>
    <s v="YK262300978"/>
    <x v="0"/>
    <x v="0"/>
    <n v="1"/>
    <x v="1"/>
    <d v="2026-06-18T13:05:13"/>
    <x v="42"/>
    <x v="19"/>
    <x v="42"/>
    <s v="20LA12.00"/>
    <x v="3"/>
    <x v="1"/>
    <m/>
    <m/>
    <m/>
  </r>
  <r>
    <s v="YK262300979"/>
    <x v="0"/>
    <x v="0"/>
    <n v="1"/>
    <x v="1"/>
    <d v="2026-07-31T10:50:19"/>
    <x v="42"/>
    <x v="19"/>
    <x v="42"/>
    <s v="20LA12.00"/>
    <x v="3"/>
    <x v="1"/>
    <m/>
    <m/>
    <m/>
  </r>
  <r>
    <s v="YK262300980"/>
    <x v="0"/>
    <x v="0"/>
    <n v="1"/>
    <x v="1"/>
    <d v="2026-08-04T09:14:43"/>
    <x v="42"/>
    <x v="19"/>
    <x v="42"/>
    <s v="20LA12.00"/>
    <x v="3"/>
    <x v="1"/>
    <m/>
    <m/>
    <m/>
  </r>
  <r>
    <s v="YK262300981"/>
    <x v="8"/>
    <x v="8"/>
    <n v="1"/>
    <x v="7"/>
    <d v="2026-09-08T11:42:35"/>
    <x v="42"/>
    <x v="19"/>
    <x v="42"/>
    <s v="20LA12.00"/>
    <x v="3"/>
    <x v="1"/>
    <m/>
    <m/>
    <m/>
  </r>
  <r>
    <s v="YK262300982"/>
    <x v="0"/>
    <x v="0"/>
    <n v="1"/>
    <x v="1"/>
    <d v="2026-07-13T14:15:29"/>
    <x v="42"/>
    <x v="19"/>
    <x v="42"/>
    <s v="20LA12.00"/>
    <x v="3"/>
    <x v="1"/>
    <m/>
    <m/>
    <m/>
  </r>
  <r>
    <s v="YK262300983"/>
    <x v="0"/>
    <x v="0"/>
    <n v="1"/>
    <x v="1"/>
    <d v="2026-07-13T14:09:43"/>
    <x v="42"/>
    <x v="19"/>
    <x v="42"/>
    <s v="20LA12.00"/>
    <x v="3"/>
    <x v="1"/>
    <m/>
    <m/>
    <m/>
  </r>
  <r>
    <s v="YK262300984"/>
    <x v="0"/>
    <x v="0"/>
    <n v="1"/>
    <x v="1"/>
    <d v="2026-07-31T06:24:53"/>
    <x v="42"/>
    <x v="19"/>
    <x v="42"/>
    <s v="20LA12.00"/>
    <x v="3"/>
    <x v="1"/>
    <m/>
    <m/>
    <m/>
  </r>
  <r>
    <s v="YK262300985"/>
    <x v="0"/>
    <x v="0"/>
    <n v="1"/>
    <x v="1"/>
    <d v="2026-07-31T06:23:59"/>
    <x v="42"/>
    <x v="19"/>
    <x v="42"/>
    <s v="20LA12.00"/>
    <x v="3"/>
    <x v="1"/>
    <m/>
    <m/>
    <m/>
  </r>
  <r>
    <s v="YK262300986"/>
    <x v="3"/>
    <x v="3"/>
    <n v="1"/>
    <x v="4"/>
    <d v="2026-06-24T07:55:18"/>
    <x v="42"/>
    <x v="19"/>
    <x v="42"/>
    <s v="20LA12.00"/>
    <x v="3"/>
    <x v="1"/>
    <m/>
    <m/>
    <m/>
  </r>
  <r>
    <s v="YK262300987"/>
    <x v="4"/>
    <x v="4"/>
    <n v="1"/>
    <x v="5"/>
    <d v="2026-07-22T06:29:06"/>
    <x v="42"/>
    <x v="19"/>
    <x v="42"/>
    <s v="20LA12.00"/>
    <x v="3"/>
    <x v="1"/>
    <m/>
    <m/>
    <m/>
  </r>
  <r>
    <s v="YK262300988"/>
    <x v="0"/>
    <x v="0"/>
    <n v="1"/>
    <x v="1"/>
    <d v="2026-07-13T14:09:10"/>
    <x v="42"/>
    <x v="19"/>
    <x v="42"/>
    <s v="20LA12.00"/>
    <x v="3"/>
    <x v="1"/>
    <m/>
    <m/>
    <m/>
  </r>
  <r>
    <s v="YK262300989"/>
    <x v="0"/>
    <x v="0"/>
    <n v="1"/>
    <x v="1"/>
    <d v="2026-07-02T13:41:59"/>
    <x v="42"/>
    <x v="19"/>
    <x v="42"/>
    <s v="20LA12.00"/>
    <x v="3"/>
    <x v="1"/>
    <m/>
    <m/>
    <m/>
  </r>
  <r>
    <s v="YK262300990"/>
    <x v="0"/>
    <x v="0"/>
    <n v="1"/>
    <x v="1"/>
    <d v="2026-07-31T06:23:32"/>
    <x v="42"/>
    <x v="19"/>
    <x v="42"/>
    <s v="20LA12.00"/>
    <x v="3"/>
    <x v="1"/>
    <m/>
    <m/>
    <m/>
  </r>
  <r>
    <s v="YK262300991"/>
    <x v="0"/>
    <x v="0"/>
    <n v="1"/>
    <x v="1"/>
    <d v="2026-06-19T14:17:33"/>
    <x v="42"/>
    <x v="19"/>
    <x v="42"/>
    <s v="20LA12.00"/>
    <x v="3"/>
    <x v="1"/>
    <m/>
    <m/>
    <m/>
  </r>
  <r>
    <s v="YK262300992"/>
    <x v="0"/>
    <x v="0"/>
    <n v="1"/>
    <x v="1"/>
    <d v="2026-06-19T14:36:39"/>
    <x v="42"/>
    <x v="19"/>
    <x v="42"/>
    <s v="20LA12.00"/>
    <x v="3"/>
    <x v="1"/>
    <m/>
    <m/>
    <m/>
  </r>
  <r>
    <s v="YK262300993"/>
    <x v="0"/>
    <x v="0"/>
    <n v="1"/>
    <x v="1"/>
    <d v="2026-06-18T13:05:28"/>
    <x v="42"/>
    <x v="19"/>
    <x v="42"/>
    <s v="20LA12.00"/>
    <x v="3"/>
    <x v="1"/>
    <m/>
    <m/>
    <m/>
  </r>
  <r>
    <s v="YK262300858"/>
    <x v="0"/>
    <x v="0"/>
    <n v="1"/>
    <x v="1"/>
    <d v="2026-07-13T14:09:36"/>
    <x v="43"/>
    <x v="20"/>
    <x v="43"/>
    <s v="20LA12.10"/>
    <x v="3"/>
    <x v="1"/>
    <m/>
    <m/>
    <m/>
  </r>
  <r>
    <s v="YK262300859"/>
    <x v="0"/>
    <x v="0"/>
    <n v="1"/>
    <x v="1"/>
    <d v="2026-06-18T13:05:38"/>
    <x v="43"/>
    <x v="20"/>
    <x v="43"/>
    <s v="20LA12.10"/>
    <x v="3"/>
    <x v="1"/>
    <m/>
    <m/>
    <m/>
  </r>
  <r>
    <s v="YK262300860"/>
    <x v="0"/>
    <x v="0"/>
    <n v="1"/>
    <x v="1"/>
    <d v="2026-07-13T14:15:16"/>
    <x v="43"/>
    <x v="20"/>
    <x v="43"/>
    <s v="20LA12.10"/>
    <x v="3"/>
    <x v="1"/>
    <m/>
    <m/>
    <m/>
  </r>
  <r>
    <s v="YK262300861"/>
    <x v="3"/>
    <x v="3"/>
    <n v="1"/>
    <x v="4"/>
    <d v="2026-08-20T07:41:26"/>
    <x v="43"/>
    <x v="20"/>
    <x v="43"/>
    <s v="20LA12.10"/>
    <x v="3"/>
    <x v="1"/>
    <m/>
    <m/>
    <m/>
  </r>
  <r>
    <s v="YK262300862"/>
    <x v="0"/>
    <x v="0"/>
    <n v="1"/>
    <x v="1"/>
    <d v="2026-07-31T22:02:34"/>
    <x v="43"/>
    <x v="20"/>
    <x v="43"/>
    <s v="20LA12.10"/>
    <x v="3"/>
    <x v="1"/>
    <m/>
    <m/>
    <m/>
  </r>
  <r>
    <s v="YK262300863"/>
    <x v="0"/>
    <x v="0"/>
    <n v="1"/>
    <x v="1"/>
    <d v="2026-07-13T14:09:22"/>
    <x v="43"/>
    <x v="20"/>
    <x v="43"/>
    <s v="20LA12.10"/>
    <x v="3"/>
    <x v="1"/>
    <m/>
    <m/>
    <m/>
  </r>
  <r>
    <s v="YK262300864"/>
    <x v="0"/>
    <x v="0"/>
    <n v="1"/>
    <x v="1"/>
    <d v="2026-07-14T06:38:30"/>
    <x v="43"/>
    <x v="20"/>
    <x v="43"/>
    <s v="20LA12.10"/>
    <x v="3"/>
    <x v="1"/>
    <m/>
    <m/>
    <m/>
  </r>
  <r>
    <s v="YK262300865"/>
    <x v="0"/>
    <x v="0"/>
    <n v="1"/>
    <x v="1"/>
    <d v="2026-06-18T13:05:32"/>
    <x v="43"/>
    <x v="20"/>
    <x v="43"/>
    <s v="20LA12.10"/>
    <x v="3"/>
    <x v="1"/>
    <m/>
    <m/>
    <m/>
  </r>
  <r>
    <s v="YK262300866"/>
    <x v="0"/>
    <x v="0"/>
    <n v="1"/>
    <x v="1"/>
    <d v="2026-06-19T14:17:19"/>
    <x v="43"/>
    <x v="20"/>
    <x v="43"/>
    <s v="20LA12.10"/>
    <x v="3"/>
    <x v="1"/>
    <m/>
    <m/>
    <m/>
  </r>
  <r>
    <s v="YK262300867"/>
    <x v="0"/>
    <x v="0"/>
    <n v="1"/>
    <x v="1"/>
    <d v="2026-07-31T10:47:05"/>
    <x v="43"/>
    <x v="20"/>
    <x v="43"/>
    <s v="20LA12.10"/>
    <x v="3"/>
    <x v="1"/>
    <m/>
    <m/>
    <m/>
  </r>
  <r>
    <s v="YK262300868"/>
    <x v="0"/>
    <x v="0"/>
    <n v="1"/>
    <x v="1"/>
    <d v="2026-07-14T06:38:43"/>
    <x v="43"/>
    <x v="20"/>
    <x v="43"/>
    <s v="20LA12.10"/>
    <x v="3"/>
    <x v="1"/>
    <m/>
    <m/>
    <m/>
  </r>
  <r>
    <s v="YK262300869"/>
    <x v="4"/>
    <x v="4"/>
    <n v="1"/>
    <x v="5"/>
    <d v="2026-08-19T08:58:26"/>
    <x v="43"/>
    <x v="20"/>
    <x v="43"/>
    <s v="20LA12.10"/>
    <x v="3"/>
    <x v="1"/>
    <m/>
    <m/>
    <m/>
  </r>
  <r>
    <s v="YK262300870"/>
    <x v="0"/>
    <x v="0"/>
    <n v="1"/>
    <x v="1"/>
    <d v="2026-07-02T13:42:03"/>
    <x v="43"/>
    <x v="20"/>
    <x v="43"/>
    <s v="20LA12.10"/>
    <x v="3"/>
    <x v="1"/>
    <m/>
    <m/>
    <m/>
  </r>
  <r>
    <s v="YK262300871"/>
    <x v="0"/>
    <x v="0"/>
    <n v="1"/>
    <x v="1"/>
    <d v="2026-06-18T13:05:40"/>
    <x v="43"/>
    <x v="20"/>
    <x v="43"/>
    <s v="20LA12.10"/>
    <x v="3"/>
    <x v="1"/>
    <m/>
    <m/>
    <m/>
  </r>
  <r>
    <s v="YK262300872"/>
    <x v="1"/>
    <x v="1"/>
    <n v="1"/>
    <x v="2"/>
    <d v="2026-07-08T08:29:39"/>
    <x v="43"/>
    <x v="20"/>
    <x v="43"/>
    <s v="20LA12.10"/>
    <x v="3"/>
    <x v="1"/>
    <m/>
    <m/>
    <m/>
  </r>
  <r>
    <s v="YK262300873"/>
    <x v="0"/>
    <x v="0"/>
    <n v="1"/>
    <x v="1"/>
    <d v="2026-06-18T13:05:35"/>
    <x v="43"/>
    <x v="20"/>
    <x v="43"/>
    <s v="20LA12.10"/>
    <x v="3"/>
    <x v="1"/>
    <m/>
    <m/>
    <m/>
  </r>
  <r>
    <s v="YK262300874"/>
    <x v="0"/>
    <x v="0"/>
    <n v="1"/>
    <x v="1"/>
    <d v="2026-07-31T10:46:07"/>
    <x v="43"/>
    <x v="20"/>
    <x v="43"/>
    <s v="20LA12.10"/>
    <x v="3"/>
    <x v="1"/>
    <m/>
    <m/>
    <m/>
  </r>
  <r>
    <s v="YK262300875"/>
    <x v="0"/>
    <x v="0"/>
    <n v="1"/>
    <x v="1"/>
    <d v="2026-06-19T14:17:27"/>
    <x v="43"/>
    <x v="20"/>
    <x v="43"/>
    <s v="20LA12.10"/>
    <x v="3"/>
    <x v="1"/>
    <m/>
    <m/>
    <m/>
  </r>
  <r>
    <s v="YK262300876"/>
    <x v="0"/>
    <x v="0"/>
    <n v="1"/>
    <x v="1"/>
    <d v="2026-06-19T14:17:14"/>
    <x v="43"/>
    <x v="20"/>
    <x v="43"/>
    <s v="20LA12.10"/>
    <x v="3"/>
    <x v="1"/>
    <m/>
    <m/>
    <m/>
  </r>
  <r>
    <s v="YK262300877"/>
    <x v="0"/>
    <x v="0"/>
    <n v="1"/>
    <x v="1"/>
    <d v="2026-08-04T09:14:27"/>
    <x v="43"/>
    <x v="20"/>
    <x v="43"/>
    <s v="20LA12.10"/>
    <x v="3"/>
    <x v="1"/>
    <m/>
    <m/>
    <m/>
  </r>
  <r>
    <s v="YK262300878"/>
    <x v="3"/>
    <x v="3"/>
    <n v="1"/>
    <x v="4"/>
    <d v="2026-07-02T10:29:36"/>
    <x v="43"/>
    <x v="20"/>
    <x v="43"/>
    <s v="20LA12.10"/>
    <x v="3"/>
    <x v="1"/>
    <m/>
    <m/>
    <m/>
  </r>
  <r>
    <s v="YK262300879"/>
    <x v="0"/>
    <x v="0"/>
    <n v="1"/>
    <x v="1"/>
    <d v="2026-07-31T22:04:19"/>
    <x v="43"/>
    <x v="20"/>
    <x v="43"/>
    <s v="20LA12.10"/>
    <x v="3"/>
    <x v="1"/>
    <m/>
    <m/>
    <m/>
  </r>
  <r>
    <s v="YK262300880"/>
    <x v="0"/>
    <x v="0"/>
    <n v="1"/>
    <x v="1"/>
    <d v="2026-07-31T10:45:45"/>
    <x v="43"/>
    <x v="20"/>
    <x v="43"/>
    <s v="20LA12.10"/>
    <x v="3"/>
    <x v="1"/>
    <m/>
    <d v="2026-07-23T00:00:00"/>
    <m/>
  </r>
  <r>
    <s v="YK262300881"/>
    <x v="3"/>
    <x v="3"/>
    <n v="1"/>
    <x v="4"/>
    <d v="2026-07-02T11:21:17"/>
    <x v="43"/>
    <x v="20"/>
    <x v="43"/>
    <s v="20LA12.10"/>
    <x v="3"/>
    <x v="1"/>
    <m/>
    <d v="2026-07-23T00:00:00"/>
    <m/>
  </r>
  <r>
    <s v="YK262300882"/>
    <x v="0"/>
    <x v="0"/>
    <n v="1"/>
    <x v="1"/>
    <d v="2026-07-14T06:39:20"/>
    <x v="43"/>
    <x v="20"/>
    <x v="43"/>
    <s v="20LA12.10"/>
    <x v="3"/>
    <x v="1"/>
    <m/>
    <d v="2026-07-27T00:00:00"/>
    <m/>
  </r>
  <r>
    <s v="YK262300883"/>
    <x v="0"/>
    <x v="0"/>
    <n v="1"/>
    <x v="1"/>
    <d v="2026-07-31T06:24:32"/>
    <x v="43"/>
    <x v="20"/>
    <x v="43"/>
    <s v="20LA12.10"/>
    <x v="3"/>
    <x v="1"/>
    <m/>
    <d v="2026-07-23T00:00:00"/>
    <m/>
  </r>
  <r>
    <s v="YK262300884"/>
    <x v="0"/>
    <x v="0"/>
    <n v="1"/>
    <x v="1"/>
    <d v="2026-07-02T13:41:05"/>
    <x v="43"/>
    <x v="20"/>
    <x v="43"/>
    <s v="20LA12.10"/>
    <x v="3"/>
    <x v="1"/>
    <m/>
    <d v="2026-07-27T00:00:00"/>
    <m/>
  </r>
  <r>
    <s v="YK262300885"/>
    <x v="0"/>
    <x v="0"/>
    <n v="1"/>
    <x v="1"/>
    <d v="2026-07-02T13:40:59"/>
    <x v="43"/>
    <x v="20"/>
    <x v="43"/>
    <s v="20LA12.10"/>
    <x v="3"/>
    <x v="1"/>
    <m/>
    <d v="2026-07-27T00:00:00"/>
    <m/>
  </r>
  <r>
    <s v="YK262300886"/>
    <x v="3"/>
    <x v="3"/>
    <n v="1"/>
    <x v="4"/>
    <d v="2026-07-02T10:34:33"/>
    <x v="43"/>
    <x v="20"/>
    <x v="43"/>
    <s v="20LA12.10"/>
    <x v="3"/>
    <x v="1"/>
    <m/>
    <d v="2026-07-23T00:00:00"/>
    <m/>
  </r>
  <r>
    <s v="YK262300887"/>
    <x v="0"/>
    <x v="0"/>
    <n v="1"/>
    <x v="1"/>
    <d v="2026-07-13T14:15:31"/>
    <x v="43"/>
    <x v="20"/>
    <x v="43"/>
    <s v="20LA12.10"/>
    <x v="3"/>
    <x v="1"/>
    <m/>
    <d v="2026-07-23T00:00:00"/>
    <m/>
  </r>
  <r>
    <s v="YK262300888"/>
    <x v="0"/>
    <x v="0"/>
    <n v="1"/>
    <x v="1"/>
    <d v="2026-07-13T14:08:41"/>
    <x v="43"/>
    <x v="20"/>
    <x v="43"/>
    <s v="20LA12.10"/>
    <x v="3"/>
    <x v="1"/>
    <m/>
    <d v="2026-07-23T00:00:00"/>
    <m/>
  </r>
  <r>
    <s v="YK262300889"/>
    <x v="0"/>
    <x v="0"/>
    <n v="1"/>
    <x v="1"/>
    <d v="2026-07-02T13:41:48"/>
    <x v="43"/>
    <x v="20"/>
    <x v="43"/>
    <s v="20LA12.10"/>
    <x v="3"/>
    <x v="1"/>
    <m/>
    <d v="2026-07-27T00:00:00"/>
    <m/>
  </r>
  <r>
    <s v="YK262300994"/>
    <x v="8"/>
    <x v="8"/>
    <n v="1"/>
    <x v="7"/>
    <d v="2026-08-06T13:42:34"/>
    <x v="43"/>
    <x v="20"/>
    <x v="43"/>
    <s v="20LA12.10"/>
    <x v="3"/>
    <x v="1"/>
    <m/>
    <m/>
    <m/>
  </r>
  <r>
    <s v="YK262300995"/>
    <x v="0"/>
    <x v="0"/>
    <n v="1"/>
    <x v="1"/>
    <d v="2026-07-31T10:44:47"/>
    <x v="43"/>
    <x v="20"/>
    <x v="43"/>
    <s v="20LA12.10"/>
    <x v="3"/>
    <x v="1"/>
    <m/>
    <d v="2026-07-23T00:00:00"/>
    <m/>
  </r>
  <r>
    <s v="YK262300996"/>
    <x v="0"/>
    <x v="0"/>
    <n v="1"/>
    <x v="1"/>
    <d v="2026-08-04T09:15:26"/>
    <x v="43"/>
    <x v="20"/>
    <x v="43"/>
    <s v="20LA12.10"/>
    <x v="3"/>
    <x v="1"/>
    <m/>
    <d v="2026-07-23T00:00:00"/>
    <m/>
  </r>
  <r>
    <s v="YK262300997"/>
    <x v="8"/>
    <x v="8"/>
    <n v="1"/>
    <x v="7"/>
    <d v="2026-08-31T07:43:36"/>
    <x v="43"/>
    <x v="20"/>
    <x v="43"/>
    <s v="20LA12.10"/>
    <x v="3"/>
    <x v="1"/>
    <m/>
    <d v="2026-07-23T00:00:00"/>
    <m/>
  </r>
  <r>
    <s v="YK262300998"/>
    <x v="0"/>
    <x v="0"/>
    <n v="1"/>
    <x v="1"/>
    <d v="2026-07-13T14:15:22"/>
    <x v="43"/>
    <x v="20"/>
    <x v="43"/>
    <s v="20LA12.10"/>
    <x v="3"/>
    <x v="1"/>
    <m/>
    <d v="2026-07-23T00:00:00"/>
    <m/>
  </r>
  <r>
    <s v="YK262300999"/>
    <x v="0"/>
    <x v="0"/>
    <n v="1"/>
    <x v="1"/>
    <d v="2026-08-04T09:12:53"/>
    <x v="43"/>
    <x v="20"/>
    <x v="43"/>
    <s v="20LA12.10"/>
    <x v="3"/>
    <x v="1"/>
    <m/>
    <d v="2026-07-23T00:00:00"/>
    <m/>
  </r>
  <r>
    <s v="YK262301000"/>
    <x v="0"/>
    <x v="0"/>
    <n v="1"/>
    <x v="1"/>
    <d v="2026-07-13T14:02:43"/>
    <x v="43"/>
    <x v="20"/>
    <x v="43"/>
    <s v="20LA12.10"/>
    <x v="3"/>
    <x v="1"/>
    <m/>
    <d v="2026-08-04T00:00:00"/>
    <m/>
  </r>
  <r>
    <s v="YK262301001"/>
    <x v="0"/>
    <x v="0"/>
    <n v="1"/>
    <x v="1"/>
    <d v="2026-07-02T13:41:08"/>
    <x v="43"/>
    <x v="20"/>
    <x v="43"/>
    <s v="20LA12.10"/>
    <x v="3"/>
    <x v="1"/>
    <m/>
    <d v="2026-07-23T00:00:00"/>
    <m/>
  </r>
  <r>
    <s v="YK262301002"/>
    <x v="0"/>
    <x v="0"/>
    <n v="1"/>
    <x v="1"/>
    <d v="2026-07-13T13:58:54"/>
    <x v="43"/>
    <x v="20"/>
    <x v="43"/>
    <s v="20LA12.10"/>
    <x v="3"/>
    <x v="1"/>
    <m/>
    <d v="2026-07-27T00:00:00"/>
    <m/>
  </r>
  <r>
    <s v="YK262301003"/>
    <x v="0"/>
    <x v="0"/>
    <n v="1"/>
    <x v="1"/>
    <d v="2026-07-13T14:01:40"/>
    <x v="43"/>
    <x v="20"/>
    <x v="43"/>
    <s v="20LA12.10"/>
    <x v="3"/>
    <x v="1"/>
    <m/>
    <d v="2026-07-23T00:00:00"/>
    <m/>
  </r>
  <r>
    <s v="YK262301004"/>
    <x v="0"/>
    <x v="0"/>
    <n v="1"/>
    <x v="1"/>
    <d v="2026-07-31T06:23:06"/>
    <x v="43"/>
    <x v="20"/>
    <x v="43"/>
    <s v="20LA12.10"/>
    <x v="3"/>
    <x v="1"/>
    <m/>
    <d v="2026-07-23T00:00:00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d v="2026-07-23T00:00:00"/>
    <m/>
  </r>
  <r>
    <s v="YK262301006"/>
    <x v="0"/>
    <x v="0"/>
    <n v="1"/>
    <x v="1"/>
    <d v="2026-08-14T11:44:03"/>
    <x v="43"/>
    <x v="20"/>
    <x v="43"/>
    <s v="20LA12.10"/>
    <x v="3"/>
    <x v="1"/>
    <m/>
    <d v="2026-08-04T00:00:00"/>
    <m/>
  </r>
  <r>
    <s v="YK262301007"/>
    <x v="0"/>
    <x v="0"/>
    <n v="1"/>
    <x v="1"/>
    <d v="2026-07-02T13:41:53"/>
    <x v="43"/>
    <x v="20"/>
    <x v="43"/>
    <s v="20LA12.10"/>
    <x v="3"/>
    <x v="1"/>
    <m/>
    <d v="2026-07-23T00:00:00"/>
    <m/>
  </r>
  <r>
    <s v="YK262301008"/>
    <x v="0"/>
    <x v="0"/>
    <n v="1"/>
    <x v="1"/>
    <d v="2026-08-14T11:43:17"/>
    <x v="43"/>
    <x v="20"/>
    <x v="43"/>
    <s v="20LA12.10"/>
    <x v="3"/>
    <x v="1"/>
    <m/>
    <d v="2026-07-23T00:00:00"/>
    <m/>
  </r>
  <r>
    <s v="YK262301009"/>
    <x v="0"/>
    <x v="0"/>
    <n v="1"/>
    <x v="1"/>
    <d v="2026-07-31T22:01:44"/>
    <x v="43"/>
    <x v="20"/>
    <x v="43"/>
    <s v="20LA12.10"/>
    <x v="3"/>
    <x v="1"/>
    <m/>
    <d v="2026-07-23T00:00:00"/>
    <m/>
  </r>
  <r>
    <s v="YK262301010"/>
    <x v="0"/>
    <x v="0"/>
    <n v="1"/>
    <x v="1"/>
    <d v="2026-07-13T14:09:53"/>
    <x v="43"/>
    <x v="20"/>
    <x v="43"/>
    <s v="20LA12.10"/>
    <x v="3"/>
    <x v="1"/>
    <m/>
    <m/>
    <m/>
  </r>
  <r>
    <s v="YK262301011"/>
    <x v="0"/>
    <x v="0"/>
    <n v="1"/>
    <x v="1"/>
    <d v="2026-09-14T19:23:12"/>
    <x v="43"/>
    <x v="20"/>
    <x v="43"/>
    <s v="20LA12.10"/>
    <x v="3"/>
    <x v="1"/>
    <m/>
    <m/>
    <m/>
  </r>
  <r>
    <s v="YK262301012"/>
    <x v="0"/>
    <x v="0"/>
    <n v="1"/>
    <x v="1"/>
    <d v="2026-07-02T13:41:55"/>
    <x v="43"/>
    <x v="20"/>
    <x v="43"/>
    <s v="20LA12.10"/>
    <x v="3"/>
    <x v="1"/>
    <m/>
    <m/>
    <m/>
  </r>
  <r>
    <s v="YK262301013"/>
    <x v="0"/>
    <x v="0"/>
    <n v="1"/>
    <x v="1"/>
    <d v="2026-06-19T14:17:09"/>
    <x v="43"/>
    <x v="20"/>
    <x v="43"/>
    <s v="20LA12.10"/>
    <x v="3"/>
    <x v="1"/>
    <m/>
    <m/>
    <m/>
  </r>
  <r>
    <s v="YK262301014"/>
    <x v="0"/>
    <x v="0"/>
    <n v="1"/>
    <x v="1"/>
    <d v="2026-07-31T06:25:29"/>
    <x v="43"/>
    <x v="20"/>
    <x v="43"/>
    <s v="20LA12.10"/>
    <x v="3"/>
    <x v="1"/>
    <m/>
    <d v="2026-05-27T00:00:00"/>
    <m/>
  </r>
  <r>
    <s v="YK262301015"/>
    <x v="0"/>
    <x v="0"/>
    <n v="1"/>
    <x v="1"/>
    <d v="2026-08-04T09:14:01"/>
    <x v="43"/>
    <x v="20"/>
    <x v="43"/>
    <s v="20LA12.10"/>
    <x v="3"/>
    <x v="1"/>
    <m/>
    <m/>
    <m/>
  </r>
  <r>
    <s v="YK262301016"/>
    <x v="0"/>
    <x v="0"/>
    <n v="1"/>
    <x v="1"/>
    <d v="2026-07-30T12:20:43"/>
    <x v="43"/>
    <x v="20"/>
    <x v="43"/>
    <s v="20LA12.10"/>
    <x v="3"/>
    <x v="1"/>
    <m/>
    <m/>
    <m/>
  </r>
  <r>
    <s v="YK262301017"/>
    <x v="0"/>
    <x v="0"/>
    <n v="1"/>
    <x v="1"/>
    <d v="2026-07-31T22:02:48"/>
    <x v="43"/>
    <x v="20"/>
    <x v="43"/>
    <s v="20LA12.10"/>
    <x v="3"/>
    <x v="1"/>
    <m/>
    <m/>
    <m/>
  </r>
  <r>
    <s v="YK262301018"/>
    <x v="0"/>
    <x v="0"/>
    <n v="1"/>
    <x v="1"/>
    <d v="2026-07-14T06:38:49"/>
    <x v="43"/>
    <x v="20"/>
    <x v="43"/>
    <s v="20LA12.10"/>
    <x v="3"/>
    <x v="1"/>
    <m/>
    <m/>
    <m/>
  </r>
  <r>
    <s v="YK262301019"/>
    <x v="0"/>
    <x v="0"/>
    <n v="1"/>
    <x v="1"/>
    <d v="2026-07-02T13:41:27"/>
    <x v="43"/>
    <x v="20"/>
    <x v="43"/>
    <s v="20LA12.10"/>
    <x v="3"/>
    <x v="1"/>
    <m/>
    <m/>
    <m/>
  </r>
  <r>
    <s v="YK262301020"/>
    <x v="0"/>
    <x v="0"/>
    <n v="1"/>
    <x v="1"/>
    <d v="2026-07-13T14:01:22"/>
    <x v="43"/>
    <x v="20"/>
    <x v="43"/>
    <s v="20LA12.10"/>
    <x v="3"/>
    <x v="1"/>
    <m/>
    <m/>
    <m/>
  </r>
  <r>
    <s v="YK262301021"/>
    <x v="0"/>
    <x v="0"/>
    <n v="1"/>
    <x v="1"/>
    <d v="2026-07-30T12:22:05"/>
    <x v="43"/>
    <x v="20"/>
    <x v="43"/>
    <s v="20LA12.10"/>
    <x v="3"/>
    <x v="1"/>
    <m/>
    <m/>
    <m/>
  </r>
  <r>
    <s v="YK262301022"/>
    <x v="0"/>
    <x v="0"/>
    <n v="1"/>
    <x v="1"/>
    <d v="2026-07-30T12:20:59"/>
    <x v="43"/>
    <x v="20"/>
    <x v="43"/>
    <s v="20LA12.10"/>
    <x v="3"/>
    <x v="1"/>
    <m/>
    <m/>
    <m/>
  </r>
  <r>
    <s v="YK262301023"/>
    <x v="0"/>
    <x v="0"/>
    <n v="1"/>
    <x v="1"/>
    <d v="2026-07-13T14:14:47"/>
    <x v="43"/>
    <x v="20"/>
    <x v="43"/>
    <s v="20LA12.10"/>
    <x v="3"/>
    <x v="1"/>
    <m/>
    <m/>
    <m/>
  </r>
  <r>
    <s v="YK262301024"/>
    <x v="0"/>
    <x v="0"/>
    <n v="1"/>
    <x v="1"/>
    <d v="2026-07-31T06:24:18"/>
    <x v="43"/>
    <x v="20"/>
    <x v="43"/>
    <s v="20LA12.10"/>
    <x v="3"/>
    <x v="1"/>
    <m/>
    <m/>
    <m/>
  </r>
  <r>
    <s v="YK262301025"/>
    <x v="3"/>
    <x v="3"/>
    <n v="1"/>
    <x v="4"/>
    <d v="2026-07-02T10:25:10"/>
    <x v="43"/>
    <x v="20"/>
    <x v="43"/>
    <s v="20LA12.10"/>
    <x v="3"/>
    <x v="1"/>
    <m/>
    <m/>
    <m/>
  </r>
  <r>
    <s v="YK262801307"/>
    <x v="1"/>
    <x v="1"/>
    <n v="1"/>
    <x v="2"/>
    <d v="2026-07-24T12:22:14"/>
    <x v="44"/>
    <x v="19"/>
    <x v="44"/>
    <s v="20LA15.93"/>
    <x v="3"/>
    <x v="1"/>
    <m/>
    <m/>
    <m/>
  </r>
  <r>
    <s v="YK262801308"/>
    <x v="1"/>
    <x v="1"/>
    <n v="1"/>
    <x v="2"/>
    <d v="2026-07-24T12:23:01"/>
    <x v="44"/>
    <x v="19"/>
    <x v="44"/>
    <s v="20LA15.93"/>
    <x v="3"/>
    <x v="1"/>
    <m/>
    <m/>
    <m/>
  </r>
  <r>
    <s v="YK262801309"/>
    <x v="1"/>
    <x v="1"/>
    <n v="1"/>
    <x v="2"/>
    <d v="2026-07-24T10:33:47"/>
    <x v="44"/>
    <x v="19"/>
    <x v="44"/>
    <s v="20LA15.93"/>
    <x v="3"/>
    <x v="1"/>
    <m/>
    <m/>
    <m/>
  </r>
  <r>
    <s v="YK262801310"/>
    <x v="1"/>
    <x v="1"/>
    <n v="1"/>
    <x v="2"/>
    <d v="2026-07-24T12:24:19"/>
    <x v="44"/>
    <x v="19"/>
    <x v="44"/>
    <s v="20LA15.93"/>
    <x v="3"/>
    <x v="1"/>
    <m/>
    <m/>
    <m/>
  </r>
  <r>
    <s v="YK262801311"/>
    <x v="1"/>
    <x v="1"/>
    <n v="1"/>
    <x v="2"/>
    <d v="2026-07-24T10:50:10"/>
    <x v="44"/>
    <x v="19"/>
    <x v="44"/>
    <s v="20LA15.93"/>
    <x v="3"/>
    <x v="1"/>
    <m/>
    <d v="2026-07-30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30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30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30T00:00:00"/>
    <m/>
  </r>
  <r>
    <s v="YK262801315"/>
    <x v="1"/>
    <x v="1"/>
    <n v="1"/>
    <x v="2"/>
    <d v="2026-07-24T12:27:15"/>
    <x v="44"/>
    <x v="19"/>
    <x v="44"/>
    <s v="20LA15.93"/>
    <x v="3"/>
    <x v="1"/>
    <m/>
    <m/>
    <m/>
  </r>
  <r>
    <s v="YK262801316"/>
    <x v="1"/>
    <x v="1"/>
    <n v="1"/>
    <x v="2"/>
    <d v="2026-07-24T10:47:24"/>
    <x v="44"/>
    <x v="19"/>
    <x v="44"/>
    <s v="20LA15.93"/>
    <x v="3"/>
    <x v="1"/>
    <m/>
    <m/>
    <m/>
  </r>
  <r>
    <s v="YK262801317"/>
    <x v="1"/>
    <x v="1"/>
    <n v="1"/>
    <x v="2"/>
    <d v="2026-07-24T12:27:47"/>
    <x v="44"/>
    <x v="19"/>
    <x v="44"/>
    <s v="20LA15.93"/>
    <x v="3"/>
    <x v="1"/>
    <m/>
    <m/>
    <m/>
  </r>
  <r>
    <s v="YK262801318"/>
    <x v="1"/>
    <x v="1"/>
    <n v="1"/>
    <x v="2"/>
    <d v="2026-07-24T12:28:17"/>
    <x v="44"/>
    <x v="19"/>
    <x v="44"/>
    <s v="20LA15.93"/>
    <x v="3"/>
    <x v="1"/>
    <m/>
    <m/>
    <m/>
  </r>
  <r>
    <s v="YK262801319"/>
    <x v="1"/>
    <x v="1"/>
    <n v="1"/>
    <x v="2"/>
    <d v="2026-07-24T12:28:55"/>
    <x v="44"/>
    <x v="19"/>
    <x v="44"/>
    <s v="20LA15.93"/>
    <x v="3"/>
    <x v="1"/>
    <m/>
    <m/>
    <m/>
  </r>
  <r>
    <s v="YK262801294"/>
    <x v="1"/>
    <x v="1"/>
    <n v="1"/>
    <x v="2"/>
    <d v="2026-08-18T09:34:50"/>
    <x v="45"/>
    <x v="20"/>
    <x v="45"/>
    <s v="20LA15.95"/>
    <x v="3"/>
    <x v="1"/>
    <m/>
    <m/>
    <m/>
  </r>
  <r>
    <s v="YK262801295"/>
    <x v="1"/>
    <x v="1"/>
    <n v="1"/>
    <x v="2"/>
    <d v="2026-08-18T09:36:05"/>
    <x v="45"/>
    <x v="20"/>
    <x v="45"/>
    <s v="20LA15.95"/>
    <x v="3"/>
    <x v="1"/>
    <m/>
    <m/>
    <m/>
  </r>
  <r>
    <s v="YK262801296"/>
    <x v="1"/>
    <x v="1"/>
    <n v="1"/>
    <x v="2"/>
    <d v="2026-08-18T09:37:11"/>
    <x v="45"/>
    <x v="20"/>
    <x v="45"/>
    <s v="20LA15.95"/>
    <x v="3"/>
    <x v="1"/>
    <m/>
    <m/>
    <m/>
  </r>
  <r>
    <s v="YK262801297"/>
    <x v="1"/>
    <x v="1"/>
    <n v="1"/>
    <x v="2"/>
    <d v="2026-08-18T09:38:10"/>
    <x v="45"/>
    <x v="20"/>
    <x v="45"/>
    <s v="20LA15.95"/>
    <x v="3"/>
    <x v="1"/>
    <m/>
    <m/>
    <m/>
  </r>
  <r>
    <s v="YK262801298"/>
    <x v="1"/>
    <x v="1"/>
    <n v="1"/>
    <x v="2"/>
    <d v="2026-08-18T09:39:14"/>
    <x v="45"/>
    <x v="20"/>
    <x v="45"/>
    <s v="20LA15.95"/>
    <x v="3"/>
    <x v="1"/>
    <m/>
    <m/>
    <m/>
  </r>
  <r>
    <s v="YK262801299"/>
    <x v="1"/>
    <x v="1"/>
    <n v="1"/>
    <x v="2"/>
    <d v="2026-07-24T10:33:17"/>
    <x v="45"/>
    <x v="20"/>
    <x v="45"/>
    <s v="20LA15.95"/>
    <x v="3"/>
    <x v="1"/>
    <m/>
    <m/>
    <m/>
  </r>
  <r>
    <s v="YK262801300"/>
    <x v="1"/>
    <x v="1"/>
    <n v="1"/>
    <x v="2"/>
    <d v="2026-08-18T09:40:21"/>
    <x v="45"/>
    <x v="20"/>
    <x v="45"/>
    <s v="20LA15.95"/>
    <x v="3"/>
    <x v="1"/>
    <m/>
    <m/>
    <m/>
  </r>
  <r>
    <s v="YK262801301"/>
    <x v="1"/>
    <x v="1"/>
    <n v="1"/>
    <x v="2"/>
    <d v="2026-08-18T09:41:58"/>
    <x v="45"/>
    <x v="20"/>
    <x v="45"/>
    <s v="20LA15.95"/>
    <x v="3"/>
    <x v="1"/>
    <m/>
    <m/>
    <m/>
  </r>
  <r>
    <s v="YK262801302"/>
    <x v="3"/>
    <x v="3"/>
    <n v="1"/>
    <x v="4"/>
    <d v="2026-07-17T08:41:38"/>
    <x v="45"/>
    <x v="20"/>
    <x v="45"/>
    <s v="20LA15.95"/>
    <x v="3"/>
    <x v="1"/>
    <m/>
    <m/>
    <m/>
  </r>
  <r>
    <s v="YK262801303"/>
    <x v="1"/>
    <x v="1"/>
    <n v="1"/>
    <x v="2"/>
    <d v="2026-08-18T09:44:43"/>
    <x v="45"/>
    <x v="20"/>
    <x v="45"/>
    <s v="20LA15.95"/>
    <x v="3"/>
    <x v="1"/>
    <m/>
    <m/>
    <m/>
  </r>
  <r>
    <s v="YK262801304"/>
    <x v="1"/>
    <x v="1"/>
    <n v="1"/>
    <x v="2"/>
    <d v="2026-08-18T09:45:50"/>
    <x v="45"/>
    <x v="20"/>
    <x v="45"/>
    <s v="20LA15.95"/>
    <x v="3"/>
    <x v="1"/>
    <m/>
    <m/>
    <m/>
  </r>
  <r>
    <s v="YK262801305"/>
    <x v="1"/>
    <x v="1"/>
    <n v="1"/>
    <x v="2"/>
    <d v="2026-08-18T09:46:52"/>
    <x v="45"/>
    <x v="20"/>
    <x v="45"/>
    <s v="20LA15.95"/>
    <x v="3"/>
    <x v="1"/>
    <m/>
    <m/>
    <m/>
  </r>
  <r>
    <s v="YK262801306"/>
    <x v="1"/>
    <x v="1"/>
    <n v="1"/>
    <x v="2"/>
    <d v="2026-08-18T09:48:08"/>
    <x v="45"/>
    <x v="20"/>
    <x v="45"/>
    <s v="20LA15.95"/>
    <x v="3"/>
    <x v="1"/>
    <m/>
    <m/>
    <m/>
  </r>
  <r>
    <s v="YK262000115"/>
    <x v="1"/>
    <x v="1"/>
    <n v="1"/>
    <x v="2"/>
    <d v="2026-05-27T09:01:07"/>
    <x v="46"/>
    <x v="26"/>
    <x v="46"/>
    <s v="20LA21.00"/>
    <x v="3"/>
    <x v="2"/>
    <m/>
    <m/>
    <m/>
  </r>
  <r>
    <s v="YK262000116"/>
    <x v="0"/>
    <x v="0"/>
    <n v="1"/>
    <x v="1"/>
    <d v="2026-07-14T08:39:57"/>
    <x v="46"/>
    <x v="26"/>
    <x v="46"/>
    <s v="20LA21.00"/>
    <x v="3"/>
    <x v="2"/>
    <m/>
    <m/>
    <m/>
  </r>
  <r>
    <s v="YK262000117"/>
    <x v="0"/>
    <x v="0"/>
    <n v="1"/>
    <x v="1"/>
    <d v="2026-06-18T14:19:25"/>
    <x v="46"/>
    <x v="26"/>
    <x v="46"/>
    <s v="20LA21.00"/>
    <x v="3"/>
    <x v="2"/>
    <m/>
    <m/>
    <m/>
  </r>
  <r>
    <s v="YK262000118"/>
    <x v="0"/>
    <x v="0"/>
    <n v="1"/>
    <x v="1"/>
    <d v="2026-07-16T08:35:53"/>
    <x v="46"/>
    <x v="26"/>
    <x v="46"/>
    <s v="20LA21.00"/>
    <x v="3"/>
    <x v="2"/>
    <m/>
    <m/>
    <m/>
  </r>
  <r>
    <s v="YK262000119"/>
    <x v="1"/>
    <x v="1"/>
    <n v="1"/>
    <x v="2"/>
    <d v="2026-05-27T08:57:54"/>
    <x v="46"/>
    <x v="26"/>
    <x v="46"/>
    <s v="20LA21.00"/>
    <x v="3"/>
    <x v="2"/>
    <m/>
    <m/>
    <m/>
  </r>
  <r>
    <s v="YK262000120"/>
    <x v="0"/>
    <x v="0"/>
    <n v="1"/>
    <x v="1"/>
    <d v="2026-07-15T06:42:19"/>
    <x v="46"/>
    <x v="26"/>
    <x v="46"/>
    <s v="20LA21.00"/>
    <x v="3"/>
    <x v="2"/>
    <m/>
    <m/>
    <m/>
  </r>
  <r>
    <s v="YK262000121"/>
    <x v="0"/>
    <x v="0"/>
    <n v="1"/>
    <x v="1"/>
    <d v="2026-06-19T15:22:57"/>
    <x v="46"/>
    <x v="26"/>
    <x v="46"/>
    <s v="20LA21.00"/>
    <x v="3"/>
    <x v="2"/>
    <m/>
    <m/>
    <m/>
  </r>
  <r>
    <s v="YK262000122"/>
    <x v="0"/>
    <x v="0"/>
    <n v="1"/>
    <x v="1"/>
    <d v="2026-07-14T07:21:44"/>
    <x v="46"/>
    <x v="26"/>
    <x v="46"/>
    <s v="20LA21.00"/>
    <x v="3"/>
    <x v="2"/>
    <m/>
    <m/>
    <m/>
  </r>
  <r>
    <s v="YK262000123"/>
    <x v="0"/>
    <x v="0"/>
    <n v="1"/>
    <x v="1"/>
    <d v="2026-07-14T08:39:04"/>
    <x v="46"/>
    <x v="26"/>
    <x v="46"/>
    <s v="20LA21.00"/>
    <x v="3"/>
    <x v="2"/>
    <m/>
    <m/>
    <m/>
  </r>
  <r>
    <s v="YK262000124"/>
    <x v="0"/>
    <x v="0"/>
    <n v="1"/>
    <x v="1"/>
    <d v="2026-07-02T14:21:45"/>
    <x v="46"/>
    <x v="26"/>
    <x v="46"/>
    <s v="20LA21.00"/>
    <x v="3"/>
    <x v="2"/>
    <m/>
    <m/>
    <m/>
  </r>
  <r>
    <s v="SKL00084998"/>
    <x v="0"/>
    <x v="0"/>
    <n v="1"/>
    <x v="9"/>
    <d v="2026-08-24T11:44:35"/>
    <x v="47"/>
    <x v="27"/>
    <x v="47"/>
    <s v="20LA22.00"/>
    <x v="3"/>
    <x v="2"/>
    <m/>
    <m/>
    <m/>
  </r>
  <r>
    <s v="SKL00085009"/>
    <x v="0"/>
    <x v="0"/>
    <n v="1"/>
    <x v="9"/>
    <d v="2026-08-24T11:47:24"/>
    <x v="47"/>
    <x v="27"/>
    <x v="47"/>
    <s v="20LA22.00"/>
    <x v="3"/>
    <x v="2"/>
    <m/>
    <m/>
    <m/>
  </r>
  <r>
    <s v="SKL00085010"/>
    <x v="0"/>
    <x v="0"/>
    <n v="1"/>
    <x v="9"/>
    <d v="2026-08-24T11:47:24"/>
    <x v="47"/>
    <x v="27"/>
    <x v="47"/>
    <s v="20LA22.00"/>
    <x v="3"/>
    <x v="2"/>
    <m/>
    <m/>
    <m/>
  </r>
  <r>
    <s v="SKL00085011"/>
    <x v="0"/>
    <x v="0"/>
    <n v="1"/>
    <x v="9"/>
    <d v="2026-08-24T11:47:24"/>
    <x v="47"/>
    <x v="27"/>
    <x v="47"/>
    <s v="20LA22.00"/>
    <x v="3"/>
    <x v="2"/>
    <m/>
    <m/>
    <m/>
  </r>
  <r>
    <s v="SKL00085012"/>
    <x v="0"/>
    <x v="0"/>
    <n v="1"/>
    <x v="9"/>
    <d v="2026-08-24T11:47:24"/>
    <x v="47"/>
    <x v="27"/>
    <x v="47"/>
    <s v="20LA22.00"/>
    <x v="3"/>
    <x v="2"/>
    <m/>
    <m/>
    <m/>
  </r>
  <r>
    <s v="SKL00085013"/>
    <x v="0"/>
    <x v="0"/>
    <n v="1"/>
    <x v="9"/>
    <d v="2026-08-24T11:47:24"/>
    <x v="47"/>
    <x v="27"/>
    <x v="47"/>
    <s v="20LA22.00"/>
    <x v="3"/>
    <x v="2"/>
    <m/>
    <m/>
    <m/>
  </r>
  <r>
    <s v="SKL00085014"/>
    <x v="0"/>
    <x v="0"/>
    <n v="1"/>
    <x v="9"/>
    <d v="2026-08-24T11:47:24"/>
    <x v="47"/>
    <x v="27"/>
    <x v="47"/>
    <s v="20LA22.00"/>
    <x v="3"/>
    <x v="2"/>
    <m/>
    <m/>
    <m/>
  </r>
  <r>
    <s v="SKL00085015"/>
    <x v="0"/>
    <x v="0"/>
    <n v="1"/>
    <x v="9"/>
    <d v="2026-08-24T11:47:24"/>
    <x v="47"/>
    <x v="27"/>
    <x v="47"/>
    <s v="20LA22.00"/>
    <x v="3"/>
    <x v="2"/>
    <m/>
    <m/>
    <m/>
  </r>
  <r>
    <s v="SKL00085016"/>
    <x v="0"/>
    <x v="0"/>
    <n v="1"/>
    <x v="9"/>
    <d v="2026-08-24T11:47:24"/>
    <x v="47"/>
    <x v="27"/>
    <x v="47"/>
    <s v="20LA22.00"/>
    <x v="3"/>
    <x v="2"/>
    <m/>
    <m/>
    <m/>
  </r>
  <r>
    <s v="SKL00085017"/>
    <x v="0"/>
    <x v="0"/>
    <n v="1"/>
    <x v="9"/>
    <d v="2026-08-24T11:47:24"/>
    <x v="47"/>
    <x v="27"/>
    <x v="47"/>
    <s v="20LA22.00"/>
    <x v="3"/>
    <x v="2"/>
    <m/>
    <m/>
    <m/>
  </r>
  <r>
    <s v="YK262800085"/>
    <x v="1"/>
    <x v="1"/>
    <n v="1"/>
    <x v="2"/>
    <d v="2026-08-18T09:50:13"/>
    <x v="47"/>
    <x v="27"/>
    <x v="47"/>
    <s v="20LA22.00"/>
    <x v="3"/>
    <x v="2"/>
    <m/>
    <m/>
    <m/>
  </r>
  <r>
    <s v="YK262800086"/>
    <x v="1"/>
    <x v="1"/>
    <n v="1"/>
    <x v="2"/>
    <d v="2026-08-18T09:56:27"/>
    <x v="47"/>
    <x v="27"/>
    <x v="47"/>
    <s v="20LA22.00"/>
    <x v="3"/>
    <x v="2"/>
    <m/>
    <m/>
    <m/>
  </r>
  <r>
    <s v="YK262800087"/>
    <x v="1"/>
    <x v="1"/>
    <n v="1"/>
    <x v="2"/>
    <d v="2026-08-18T10:36:43"/>
    <x v="47"/>
    <x v="27"/>
    <x v="47"/>
    <s v="20LA22.00"/>
    <x v="3"/>
    <x v="2"/>
    <m/>
    <m/>
    <m/>
  </r>
  <r>
    <s v="YK262800088"/>
    <x v="1"/>
    <x v="1"/>
    <n v="1"/>
    <x v="2"/>
    <d v="2026-08-18T10:01:55"/>
    <x v="47"/>
    <x v="27"/>
    <x v="47"/>
    <s v="20LA22.00"/>
    <x v="3"/>
    <x v="2"/>
    <m/>
    <m/>
    <m/>
  </r>
  <r>
    <s v="YK263600007"/>
    <x v="9"/>
    <x v="9"/>
    <n v="1"/>
    <x v="3"/>
    <d v="2026-09-15T06:20:36"/>
    <x v="48"/>
    <x v="28"/>
    <x v="48"/>
    <s v="20LA23.00"/>
    <x v="3"/>
    <x v="2"/>
    <m/>
    <m/>
    <m/>
  </r>
  <r>
    <s v="YK263600008"/>
    <x v="14"/>
    <x v="14"/>
    <n v="1"/>
    <x v="3"/>
    <d v="2026-09-14T10:40:42"/>
    <x v="48"/>
    <x v="28"/>
    <x v="48"/>
    <s v="20LA23.00"/>
    <x v="3"/>
    <x v="2"/>
    <m/>
    <m/>
    <m/>
  </r>
  <r>
    <s v="YK263600009"/>
    <x v="9"/>
    <x v="9"/>
    <n v="1"/>
    <x v="3"/>
    <d v="2026-09-14T11:32:19"/>
    <x v="48"/>
    <x v="28"/>
    <x v="48"/>
    <s v="20LA23.00"/>
    <x v="3"/>
    <x v="2"/>
    <m/>
    <m/>
    <m/>
  </r>
  <r>
    <s v="YK263600010"/>
    <x v="9"/>
    <x v="9"/>
    <n v="1"/>
    <x v="3"/>
    <d v="2026-09-14T11:32:05"/>
    <x v="48"/>
    <x v="28"/>
    <x v="48"/>
    <s v="20LA23.00"/>
    <x v="3"/>
    <x v="2"/>
    <m/>
    <d v="2026-09-02T00:00:00"/>
    <m/>
  </r>
  <r>
    <s v="YK263600011"/>
    <x v="17"/>
    <x v="17"/>
    <n v="1"/>
    <x v="3"/>
    <d v="2026-09-17T05:40:45"/>
    <x v="48"/>
    <x v="28"/>
    <x v="48"/>
    <s v="20LA23.00"/>
    <x v="3"/>
    <x v="2"/>
    <m/>
    <m/>
    <m/>
  </r>
  <r>
    <s v="YK263600012"/>
    <x v="9"/>
    <x v="9"/>
    <n v="1"/>
    <x v="3"/>
    <d v="2026-09-14T05:41:30"/>
    <x v="48"/>
    <x v="28"/>
    <x v="48"/>
    <s v="20LA23.00"/>
    <x v="3"/>
    <x v="2"/>
    <m/>
    <d v="2026-09-02T00:00:00"/>
    <m/>
  </r>
  <r>
    <s v="YK263600013"/>
    <x v="9"/>
    <x v="9"/>
    <n v="1"/>
    <x v="3"/>
    <d v="2026-09-14T11:34:51"/>
    <x v="48"/>
    <x v="28"/>
    <x v="48"/>
    <s v="20LA23.00"/>
    <x v="3"/>
    <x v="2"/>
    <m/>
    <m/>
    <m/>
  </r>
  <r>
    <s v="YK263600014"/>
    <x v="9"/>
    <x v="9"/>
    <n v="1"/>
    <x v="3"/>
    <d v="2026-09-14T11:35:16"/>
    <x v="48"/>
    <x v="28"/>
    <x v="48"/>
    <s v="20LA23.00"/>
    <x v="3"/>
    <x v="2"/>
    <m/>
    <m/>
    <m/>
  </r>
  <r>
    <s v="YK263600015"/>
    <x v="9"/>
    <x v="9"/>
    <n v="1"/>
    <x v="3"/>
    <d v="2026-09-14T11:35:51"/>
    <x v="48"/>
    <x v="28"/>
    <x v="48"/>
    <s v="20LA23.00"/>
    <x v="3"/>
    <x v="2"/>
    <m/>
    <m/>
    <m/>
  </r>
  <r>
    <s v="YK263600016"/>
    <x v="9"/>
    <x v="9"/>
    <n v="1"/>
    <x v="3"/>
    <d v="2026-09-14T11:36:24"/>
    <x v="48"/>
    <x v="28"/>
    <x v="48"/>
    <s v="20LA23.00"/>
    <x v="3"/>
    <x v="2"/>
    <m/>
    <m/>
    <m/>
  </r>
  <r>
    <s v="YK263600017"/>
    <x v="9"/>
    <x v="9"/>
    <n v="1"/>
    <x v="3"/>
    <d v="2026-09-14T11:36:46"/>
    <x v="48"/>
    <x v="28"/>
    <x v="48"/>
    <s v="20LA23.00"/>
    <x v="3"/>
    <x v="2"/>
    <m/>
    <m/>
    <m/>
  </r>
  <r>
    <s v="YK263600018"/>
    <x v="9"/>
    <x v="9"/>
    <n v="1"/>
    <x v="3"/>
    <d v="2026-09-14T11:37:03"/>
    <x v="48"/>
    <x v="28"/>
    <x v="48"/>
    <s v="20LA23.00"/>
    <x v="3"/>
    <x v="2"/>
    <m/>
    <m/>
    <m/>
  </r>
  <r>
    <s v="YK263600019"/>
    <x v="9"/>
    <x v="9"/>
    <n v="1"/>
    <x v="3"/>
    <d v="2026-09-14T11:37:41"/>
    <x v="48"/>
    <x v="28"/>
    <x v="48"/>
    <s v="20LA23.00"/>
    <x v="3"/>
    <x v="2"/>
    <m/>
    <m/>
    <m/>
  </r>
  <r>
    <s v="YK263600020"/>
    <x v="9"/>
    <x v="9"/>
    <n v="1"/>
    <x v="3"/>
    <d v="2026-09-14T11:37:55"/>
    <x v="48"/>
    <x v="28"/>
    <x v="48"/>
    <s v="20LA23.00"/>
    <x v="3"/>
    <x v="2"/>
    <m/>
    <d v="2026-07-27T00:00:00"/>
    <m/>
  </r>
  <r>
    <s v="YK263600021"/>
    <x v="9"/>
    <x v="9"/>
    <n v="1"/>
    <x v="3"/>
    <d v="2026-09-14T11:41:03"/>
    <x v="48"/>
    <x v="28"/>
    <x v="48"/>
    <s v="20LA23.00"/>
    <x v="3"/>
    <x v="2"/>
    <m/>
    <d v="2026-07-27T00:00:00"/>
    <m/>
  </r>
  <r>
    <s v="YK263600022"/>
    <x v="9"/>
    <x v="9"/>
    <n v="1"/>
    <x v="3"/>
    <d v="2026-09-14T11:41:21"/>
    <x v="48"/>
    <x v="28"/>
    <x v="48"/>
    <s v="20LA23.00"/>
    <x v="3"/>
    <x v="2"/>
    <m/>
    <d v="2026-07-27T00:00:00"/>
    <m/>
  </r>
  <r>
    <s v="YK263600023"/>
    <x v="9"/>
    <x v="9"/>
    <n v="1"/>
    <x v="3"/>
    <d v="2026-09-14T11:41:43"/>
    <x v="48"/>
    <x v="28"/>
    <x v="48"/>
    <s v="20LA23.00"/>
    <x v="3"/>
    <x v="2"/>
    <m/>
    <d v="2026-07-17T00:00:00"/>
    <m/>
  </r>
  <r>
    <s v="YK263600024"/>
    <x v="9"/>
    <x v="9"/>
    <n v="1"/>
    <x v="3"/>
    <d v="2026-09-14T11:42:09"/>
    <x v="48"/>
    <x v="28"/>
    <x v="48"/>
    <s v="20LA23.00"/>
    <x v="3"/>
    <x v="2"/>
    <m/>
    <d v="2026-07-17T00:00:00"/>
    <m/>
  </r>
  <r>
    <s v="YK263600025"/>
    <x v="9"/>
    <x v="9"/>
    <n v="1"/>
    <x v="3"/>
    <d v="2026-09-14T11:42:24"/>
    <x v="48"/>
    <x v="28"/>
    <x v="48"/>
    <s v="20LA23.00"/>
    <x v="3"/>
    <x v="2"/>
    <m/>
    <d v="2026-07-17T00:00:00"/>
    <m/>
  </r>
  <r>
    <s v="YK263600026"/>
    <x v="9"/>
    <x v="9"/>
    <n v="1"/>
    <x v="3"/>
    <d v="2026-09-14T11:42:46"/>
    <x v="48"/>
    <x v="28"/>
    <x v="48"/>
    <s v="20LA23.00"/>
    <x v="3"/>
    <x v="2"/>
    <m/>
    <d v="2026-07-23T00:00:00"/>
    <m/>
  </r>
  <r>
    <s v="YK263600027"/>
    <x v="9"/>
    <x v="9"/>
    <n v="1"/>
    <x v="3"/>
    <d v="2026-09-14T11:43:09"/>
    <x v="48"/>
    <x v="28"/>
    <x v="48"/>
    <s v="20LA23.00"/>
    <x v="3"/>
    <x v="2"/>
    <m/>
    <d v="2026-07-17T00:00:00"/>
    <m/>
  </r>
  <r>
    <s v="YK263600028"/>
    <x v="9"/>
    <x v="9"/>
    <n v="1"/>
    <x v="3"/>
    <d v="2026-09-14T11:43:33"/>
    <x v="48"/>
    <x v="28"/>
    <x v="48"/>
    <s v="20LA23.00"/>
    <x v="3"/>
    <x v="2"/>
    <m/>
    <m/>
    <m/>
  </r>
  <r>
    <s v="YK263600029"/>
    <x v="9"/>
    <x v="9"/>
    <n v="1"/>
    <x v="3"/>
    <d v="2026-09-14T11:44:17"/>
    <x v="48"/>
    <x v="28"/>
    <x v="48"/>
    <s v="20LA23.00"/>
    <x v="3"/>
    <x v="2"/>
    <m/>
    <m/>
    <m/>
  </r>
  <r>
    <s v="YK263600030"/>
    <x v="9"/>
    <x v="9"/>
    <n v="1"/>
    <x v="3"/>
    <d v="2026-09-14T11:44:36"/>
    <x v="48"/>
    <x v="28"/>
    <x v="48"/>
    <s v="20LA23.00"/>
    <x v="3"/>
    <x v="2"/>
    <m/>
    <m/>
    <m/>
  </r>
  <r>
    <s v="YK263600031"/>
    <x v="9"/>
    <x v="9"/>
    <n v="1"/>
    <x v="3"/>
    <d v="2026-09-14T11:47:22"/>
    <x v="48"/>
    <x v="28"/>
    <x v="48"/>
    <s v="20LA23.00"/>
    <x v="3"/>
    <x v="2"/>
    <m/>
    <m/>
    <m/>
  </r>
  <r>
    <s v="YK263600032"/>
    <x v="9"/>
    <x v="9"/>
    <n v="1"/>
    <x v="3"/>
    <d v="2026-09-14T11:47:46"/>
    <x v="48"/>
    <x v="28"/>
    <x v="48"/>
    <s v="20LA23.00"/>
    <x v="3"/>
    <x v="2"/>
    <m/>
    <m/>
    <m/>
  </r>
  <r>
    <s v="YK263600033"/>
    <x v="9"/>
    <x v="9"/>
    <n v="1"/>
    <x v="3"/>
    <d v="2026-09-14T11:48:08"/>
    <x v="48"/>
    <x v="28"/>
    <x v="48"/>
    <s v="20LA23.00"/>
    <x v="3"/>
    <x v="2"/>
    <m/>
    <m/>
    <m/>
  </r>
  <r>
    <s v="YK263600034"/>
    <x v="9"/>
    <x v="9"/>
    <n v="1"/>
    <x v="3"/>
    <d v="2026-09-14T11:48:30"/>
    <x v="48"/>
    <x v="28"/>
    <x v="48"/>
    <s v="20LA23.00"/>
    <x v="3"/>
    <x v="2"/>
    <m/>
    <m/>
    <m/>
  </r>
  <r>
    <s v="YK263600035"/>
    <x v="9"/>
    <x v="9"/>
    <n v="1"/>
    <x v="3"/>
    <d v="2026-09-14T11:48:50"/>
    <x v="48"/>
    <x v="28"/>
    <x v="48"/>
    <s v="20LA23.00"/>
    <x v="3"/>
    <x v="2"/>
    <m/>
    <m/>
    <m/>
  </r>
  <r>
    <s v="YK263600036"/>
    <x v="9"/>
    <x v="9"/>
    <n v="1"/>
    <x v="3"/>
    <d v="2026-09-14T11:49:17"/>
    <x v="48"/>
    <x v="28"/>
    <x v="48"/>
    <s v="20LA23.00"/>
    <x v="3"/>
    <x v="2"/>
    <m/>
    <m/>
    <m/>
  </r>
  <r>
    <s v="YK263600037"/>
    <x v="9"/>
    <x v="9"/>
    <n v="1"/>
    <x v="3"/>
    <d v="2026-09-14T11:49:35"/>
    <x v="48"/>
    <x v="28"/>
    <x v="48"/>
    <s v="20LA23.00"/>
    <x v="3"/>
    <x v="2"/>
    <m/>
    <m/>
    <m/>
  </r>
  <r>
    <s v="YK263600038"/>
    <x v="9"/>
    <x v="9"/>
    <n v="1"/>
    <x v="3"/>
    <d v="2026-09-14T11:50:02"/>
    <x v="48"/>
    <x v="28"/>
    <x v="48"/>
    <s v="20LA23.00"/>
    <x v="3"/>
    <x v="2"/>
    <m/>
    <m/>
    <m/>
  </r>
  <r>
    <s v="YK263600039"/>
    <x v="9"/>
    <x v="9"/>
    <n v="1"/>
    <x v="3"/>
    <d v="2026-09-14T11:50:23"/>
    <x v="48"/>
    <x v="28"/>
    <x v="48"/>
    <s v="20LA23.00"/>
    <x v="3"/>
    <x v="2"/>
    <m/>
    <m/>
    <m/>
  </r>
  <r>
    <s v="YK263600040"/>
    <x v="9"/>
    <x v="9"/>
    <n v="1"/>
    <x v="3"/>
    <d v="2026-09-14T11:50:46"/>
    <x v="48"/>
    <x v="28"/>
    <x v="48"/>
    <s v="20LA23.00"/>
    <x v="3"/>
    <x v="2"/>
    <m/>
    <m/>
    <m/>
  </r>
  <r>
    <s v="YK263600041"/>
    <x v="9"/>
    <x v="9"/>
    <n v="1"/>
    <x v="3"/>
    <d v="2026-09-14T11:54:50"/>
    <x v="48"/>
    <x v="28"/>
    <x v="48"/>
    <s v="20LA23.00"/>
    <x v="3"/>
    <x v="2"/>
    <m/>
    <m/>
    <m/>
  </r>
  <r>
    <s v="YK263600042"/>
    <x v="9"/>
    <x v="9"/>
    <n v="1"/>
    <x v="3"/>
    <d v="2026-09-14T11:55:12"/>
    <x v="48"/>
    <x v="28"/>
    <x v="48"/>
    <s v="20LA23.00"/>
    <x v="3"/>
    <x v="2"/>
    <m/>
    <m/>
    <m/>
  </r>
  <r>
    <s v="YK263600043"/>
    <x v="9"/>
    <x v="9"/>
    <n v="1"/>
    <x v="3"/>
    <d v="2026-09-14T11:55:35"/>
    <x v="48"/>
    <x v="28"/>
    <x v="48"/>
    <s v="20LA23.00"/>
    <x v="3"/>
    <x v="2"/>
    <m/>
    <m/>
    <m/>
  </r>
  <r>
    <s v="YK263600044"/>
    <x v="9"/>
    <x v="9"/>
    <n v="1"/>
    <x v="3"/>
    <d v="2026-09-14T11:56:12"/>
    <x v="48"/>
    <x v="28"/>
    <x v="48"/>
    <s v="20LA23.00"/>
    <x v="3"/>
    <x v="2"/>
    <m/>
    <m/>
    <m/>
  </r>
  <r>
    <s v="YK263600045"/>
    <x v="9"/>
    <x v="9"/>
    <n v="1"/>
    <x v="3"/>
    <d v="2026-09-14T11:56:25"/>
    <x v="48"/>
    <x v="28"/>
    <x v="48"/>
    <s v="20LA23.00"/>
    <x v="3"/>
    <x v="2"/>
    <m/>
    <m/>
    <m/>
  </r>
  <r>
    <s v="YK263600046"/>
    <x v="11"/>
    <x v="11"/>
    <n v="1"/>
    <x v="5"/>
    <d v="2026-09-17T05:37:08"/>
    <x v="48"/>
    <x v="28"/>
    <x v="48"/>
    <s v="20LA23.00"/>
    <x v="3"/>
    <x v="2"/>
    <m/>
    <m/>
    <m/>
  </r>
  <r>
    <s v="YK263600047"/>
    <x v="9"/>
    <x v="9"/>
    <n v="1"/>
    <x v="3"/>
    <d v="2026-09-14T11:57:17"/>
    <x v="48"/>
    <x v="28"/>
    <x v="48"/>
    <s v="20LA23.00"/>
    <x v="3"/>
    <x v="2"/>
    <m/>
    <m/>
    <m/>
  </r>
  <r>
    <s v="YK263600048"/>
    <x v="9"/>
    <x v="9"/>
    <n v="1"/>
    <x v="3"/>
    <d v="2026-09-14T11:57:41"/>
    <x v="48"/>
    <x v="28"/>
    <x v="48"/>
    <s v="20LA23.00"/>
    <x v="3"/>
    <x v="2"/>
    <m/>
    <m/>
    <m/>
  </r>
  <r>
    <s v="YK263600049"/>
    <x v="9"/>
    <x v="9"/>
    <n v="1"/>
    <x v="3"/>
    <d v="2026-09-14T11:58:07"/>
    <x v="48"/>
    <x v="28"/>
    <x v="48"/>
    <s v="20LA23.00"/>
    <x v="3"/>
    <x v="2"/>
    <m/>
    <m/>
    <m/>
  </r>
  <r>
    <s v="YK263600050"/>
    <x v="9"/>
    <x v="9"/>
    <n v="1"/>
    <x v="3"/>
    <d v="2026-09-14T11:58:22"/>
    <x v="48"/>
    <x v="28"/>
    <x v="48"/>
    <s v="20LA23.00"/>
    <x v="3"/>
    <x v="2"/>
    <m/>
    <m/>
    <m/>
  </r>
  <r>
    <s v="YK263600051"/>
    <x v="9"/>
    <x v="9"/>
    <n v="1"/>
    <x v="3"/>
    <d v="2026-09-14T12:19:29"/>
    <x v="48"/>
    <x v="28"/>
    <x v="48"/>
    <s v="20LA23.00"/>
    <x v="3"/>
    <x v="2"/>
    <m/>
    <m/>
    <m/>
  </r>
  <r>
    <s v="YK263404044"/>
    <x v="1"/>
    <x v="1"/>
    <n v="1"/>
    <x v="2"/>
    <d v="2026-09-04T08:43:02"/>
    <x v="49"/>
    <x v="28"/>
    <x v="49"/>
    <s v="20LA23.10"/>
    <x v="3"/>
    <x v="2"/>
    <m/>
    <m/>
    <m/>
  </r>
  <r>
    <s v="YK263404045"/>
    <x v="0"/>
    <x v="0"/>
    <n v="1"/>
    <x v="1"/>
    <d v="2026-09-14T07:39:42"/>
    <x v="49"/>
    <x v="28"/>
    <x v="49"/>
    <s v="20LA23.10"/>
    <x v="3"/>
    <x v="2"/>
    <m/>
    <m/>
    <m/>
  </r>
  <r>
    <s v="YK263404046"/>
    <x v="1"/>
    <x v="1"/>
    <n v="1"/>
    <x v="2"/>
    <d v="2026-09-04T08:45:22"/>
    <x v="49"/>
    <x v="28"/>
    <x v="49"/>
    <s v="20LA23.10"/>
    <x v="3"/>
    <x v="2"/>
    <m/>
    <m/>
    <m/>
  </r>
  <r>
    <s v="YK263404047"/>
    <x v="7"/>
    <x v="7"/>
    <n v="1"/>
    <x v="3"/>
    <d v="2026-09-09T11:50:41"/>
    <x v="49"/>
    <x v="28"/>
    <x v="49"/>
    <s v="20LA23.10"/>
    <x v="3"/>
    <x v="2"/>
    <m/>
    <m/>
    <m/>
  </r>
  <r>
    <s v="YK263404048"/>
    <x v="4"/>
    <x v="4"/>
    <n v="1"/>
    <x v="5"/>
    <d v="2026-09-11T09:18:47"/>
    <x v="49"/>
    <x v="28"/>
    <x v="49"/>
    <s v="20LA23.10"/>
    <x v="3"/>
    <x v="2"/>
    <m/>
    <m/>
    <m/>
  </r>
  <r>
    <s v="YK263404049"/>
    <x v="0"/>
    <x v="0"/>
    <n v="1"/>
    <x v="1"/>
    <d v="2026-09-14T07:40:30"/>
    <x v="49"/>
    <x v="28"/>
    <x v="49"/>
    <s v="20LA23.10"/>
    <x v="3"/>
    <x v="2"/>
    <m/>
    <m/>
    <m/>
  </r>
  <r>
    <s v="YK263404050"/>
    <x v="7"/>
    <x v="7"/>
    <n v="1"/>
    <x v="3"/>
    <d v="2026-09-09T14:29:05"/>
    <x v="49"/>
    <x v="28"/>
    <x v="49"/>
    <s v="20LA23.10"/>
    <x v="3"/>
    <x v="2"/>
    <m/>
    <m/>
    <m/>
  </r>
  <r>
    <s v="YK263404051"/>
    <x v="3"/>
    <x v="3"/>
    <n v="1"/>
    <x v="4"/>
    <d v="2026-09-16T17:20:16"/>
    <x v="49"/>
    <x v="28"/>
    <x v="49"/>
    <s v="20LA23.10"/>
    <x v="3"/>
    <x v="2"/>
    <m/>
    <m/>
    <m/>
  </r>
  <r>
    <s v="YK263404052"/>
    <x v="4"/>
    <x v="4"/>
    <n v="1"/>
    <x v="5"/>
    <d v="2026-09-09T18:04:56"/>
    <x v="49"/>
    <x v="28"/>
    <x v="49"/>
    <s v="20LA23.10"/>
    <x v="3"/>
    <x v="2"/>
    <m/>
    <m/>
    <m/>
  </r>
  <r>
    <s v="YK263404053"/>
    <x v="3"/>
    <x v="3"/>
    <n v="1"/>
    <x v="4"/>
    <d v="2026-09-16T18:01:01"/>
    <x v="49"/>
    <x v="28"/>
    <x v="49"/>
    <s v="20LA23.10"/>
    <x v="3"/>
    <x v="2"/>
    <m/>
    <m/>
    <m/>
  </r>
  <r>
    <s v="YK262500727"/>
    <x v="1"/>
    <x v="1"/>
    <n v="1"/>
    <x v="2"/>
    <d v="2026-07-14T07:18:10"/>
    <x v="50"/>
    <x v="29"/>
    <x v="50"/>
    <s v="20LA41.00"/>
    <x v="3"/>
    <x v="4"/>
    <m/>
    <m/>
    <m/>
  </r>
  <r>
    <s v="YK262500728"/>
    <x v="1"/>
    <x v="1"/>
    <n v="1"/>
    <x v="2"/>
    <d v="2026-07-08T09:45:46"/>
    <x v="50"/>
    <x v="29"/>
    <x v="50"/>
    <s v="20LA41.00"/>
    <x v="3"/>
    <x v="4"/>
    <m/>
    <m/>
    <m/>
  </r>
  <r>
    <s v="YK262500729"/>
    <x v="1"/>
    <x v="1"/>
    <n v="1"/>
    <x v="2"/>
    <d v="2026-07-18T09:47:03"/>
    <x v="50"/>
    <x v="29"/>
    <x v="50"/>
    <s v="20LA41.00"/>
    <x v="3"/>
    <x v="4"/>
    <m/>
    <m/>
    <m/>
  </r>
  <r>
    <s v="YK262500730"/>
    <x v="1"/>
    <x v="1"/>
    <n v="1"/>
    <x v="2"/>
    <d v="2026-07-15T14:04:05"/>
    <x v="50"/>
    <x v="29"/>
    <x v="50"/>
    <s v="20LA41.00"/>
    <x v="3"/>
    <x v="4"/>
    <m/>
    <m/>
    <m/>
  </r>
  <r>
    <s v="YK262500731"/>
    <x v="1"/>
    <x v="1"/>
    <n v="1"/>
    <x v="2"/>
    <d v="2026-07-15T14:04:58"/>
    <x v="50"/>
    <x v="29"/>
    <x v="50"/>
    <s v="20LA41.00"/>
    <x v="3"/>
    <x v="4"/>
    <m/>
    <m/>
    <m/>
  </r>
  <r>
    <s v="YK262500732"/>
    <x v="1"/>
    <x v="1"/>
    <n v="1"/>
    <x v="2"/>
    <d v="2026-07-15T14:05:21"/>
    <x v="50"/>
    <x v="29"/>
    <x v="50"/>
    <s v="20LA41.00"/>
    <x v="3"/>
    <x v="4"/>
    <m/>
    <m/>
    <m/>
  </r>
  <r>
    <s v="YK262500733"/>
    <x v="1"/>
    <x v="1"/>
    <n v="1"/>
    <x v="2"/>
    <d v="2026-07-15T14:05:45"/>
    <x v="50"/>
    <x v="29"/>
    <x v="50"/>
    <s v="20LA41.00"/>
    <x v="3"/>
    <x v="4"/>
    <m/>
    <m/>
    <m/>
  </r>
  <r>
    <s v="YK262500734"/>
    <x v="1"/>
    <x v="1"/>
    <n v="1"/>
    <x v="2"/>
    <d v="2026-07-15T14:06:30"/>
    <x v="50"/>
    <x v="29"/>
    <x v="50"/>
    <s v="20LA41.00"/>
    <x v="3"/>
    <x v="4"/>
    <m/>
    <m/>
    <m/>
  </r>
  <r>
    <s v="YK263700001"/>
    <x v="27"/>
    <x v="27"/>
    <n v="1"/>
    <x v="8"/>
    <d v="2026-09-11T19:07:51"/>
    <x v="51"/>
    <x v="29"/>
    <x v="51"/>
    <s v="20LA42.00"/>
    <x v="3"/>
    <x v="4"/>
    <m/>
    <m/>
    <m/>
  </r>
  <r>
    <s v="YK263700002"/>
    <x v="19"/>
    <x v="19"/>
    <n v="1"/>
    <x v="3"/>
    <d v="2026-09-17T07:23:34"/>
    <x v="51"/>
    <x v="29"/>
    <x v="51"/>
    <s v="20LA42.00"/>
    <x v="3"/>
    <x v="4"/>
    <m/>
    <m/>
    <m/>
  </r>
  <r>
    <s v="YK263700003"/>
    <x v="28"/>
    <x v="28"/>
    <n v="1"/>
    <x v="3"/>
    <d v="2026-09-16T14:19:41"/>
    <x v="51"/>
    <x v="29"/>
    <x v="51"/>
    <s v="20LA42.00"/>
    <x v="3"/>
    <x v="4"/>
    <m/>
    <m/>
    <m/>
  </r>
  <r>
    <s v="YK263700004"/>
    <x v="24"/>
    <x v="24"/>
    <n v="1"/>
    <x v="8"/>
    <d v="2026-09-15T09:17:37"/>
    <x v="51"/>
    <x v="29"/>
    <x v="51"/>
    <s v="20LA42.00"/>
    <x v="3"/>
    <x v="4"/>
    <m/>
    <m/>
    <m/>
  </r>
  <r>
    <s v="YK263700005"/>
    <x v="0"/>
    <x v="0"/>
    <n v="1"/>
    <x v="0"/>
    <d v="2026-09-08T09:23:40"/>
    <x v="51"/>
    <x v="29"/>
    <x v="51"/>
    <s v="20LA42.00"/>
    <x v="3"/>
    <x v="4"/>
    <m/>
    <m/>
    <m/>
  </r>
  <r>
    <s v="YK263700006"/>
    <x v="0"/>
    <x v="0"/>
    <n v="1"/>
    <x v="0"/>
    <d v="2026-09-08T09:23:40"/>
    <x v="51"/>
    <x v="29"/>
    <x v="51"/>
    <s v="20LA42.00"/>
    <x v="3"/>
    <x v="4"/>
    <m/>
    <m/>
    <m/>
  </r>
  <r>
    <s v="YK263700007"/>
    <x v="0"/>
    <x v="0"/>
    <n v="1"/>
    <x v="0"/>
    <d v="2026-09-08T09:23:40"/>
    <x v="51"/>
    <x v="29"/>
    <x v="51"/>
    <s v="20LA42.00"/>
    <x v="3"/>
    <x v="4"/>
    <m/>
    <m/>
    <m/>
  </r>
  <r>
    <s v="YK263700008"/>
    <x v="0"/>
    <x v="0"/>
    <n v="1"/>
    <x v="0"/>
    <d v="2026-09-08T09:23:40"/>
    <x v="51"/>
    <x v="29"/>
    <x v="51"/>
    <s v="20LA42.00"/>
    <x v="3"/>
    <x v="4"/>
    <m/>
    <m/>
    <m/>
  </r>
  <r>
    <s v="YK263700009"/>
    <x v="0"/>
    <x v="0"/>
    <n v="1"/>
    <x v="0"/>
    <d v="2026-09-08T09:23:40"/>
    <x v="51"/>
    <x v="29"/>
    <x v="51"/>
    <s v="20LA42.00"/>
    <x v="3"/>
    <x v="4"/>
    <m/>
    <m/>
    <m/>
  </r>
  <r>
    <s v="YK263700010"/>
    <x v="0"/>
    <x v="0"/>
    <n v="1"/>
    <x v="0"/>
    <d v="2026-09-08T09:23:40"/>
    <x v="51"/>
    <x v="29"/>
    <x v="51"/>
    <s v="20LA42.00"/>
    <x v="3"/>
    <x v="4"/>
    <m/>
    <m/>
    <m/>
  </r>
  <r>
    <s v="YK263700011"/>
    <x v="0"/>
    <x v="0"/>
    <n v="1"/>
    <x v="0"/>
    <d v="2026-09-08T09:23:40"/>
    <x v="51"/>
    <x v="29"/>
    <x v="51"/>
    <s v="20LA42.00"/>
    <x v="3"/>
    <x v="4"/>
    <m/>
    <m/>
    <m/>
  </r>
  <r>
    <s v="YK263700012"/>
    <x v="0"/>
    <x v="0"/>
    <n v="1"/>
    <x v="0"/>
    <d v="2026-09-08T09:23:40"/>
    <x v="51"/>
    <x v="29"/>
    <x v="51"/>
    <s v="20LA42.00"/>
    <x v="3"/>
    <x v="4"/>
    <m/>
    <m/>
    <m/>
  </r>
  <r>
    <s v="YK263700013"/>
    <x v="0"/>
    <x v="0"/>
    <n v="1"/>
    <x v="0"/>
    <d v="2026-09-08T09:23:40"/>
    <x v="51"/>
    <x v="29"/>
    <x v="51"/>
    <s v="20LA42.00"/>
    <x v="3"/>
    <x v="4"/>
    <m/>
    <m/>
    <m/>
  </r>
  <r>
    <s v="YK263700014"/>
    <x v="0"/>
    <x v="0"/>
    <n v="1"/>
    <x v="0"/>
    <d v="2026-09-08T09:23:40"/>
    <x v="51"/>
    <x v="29"/>
    <x v="51"/>
    <s v="20LA42.00"/>
    <x v="3"/>
    <x v="4"/>
    <m/>
    <m/>
    <m/>
  </r>
  <r>
    <s v="YK263700015"/>
    <x v="0"/>
    <x v="0"/>
    <n v="1"/>
    <x v="0"/>
    <d v="2026-09-08T09:23:40"/>
    <x v="51"/>
    <x v="29"/>
    <x v="51"/>
    <s v="20LA42.00"/>
    <x v="3"/>
    <x v="4"/>
    <m/>
    <m/>
    <m/>
  </r>
  <r>
    <s v="YK263700016"/>
    <x v="0"/>
    <x v="0"/>
    <n v="1"/>
    <x v="0"/>
    <d v="2026-09-08T09:23:40"/>
    <x v="51"/>
    <x v="29"/>
    <x v="51"/>
    <s v="20LA42.00"/>
    <x v="3"/>
    <x v="4"/>
    <m/>
    <m/>
    <m/>
  </r>
  <r>
    <s v="YK263700017"/>
    <x v="0"/>
    <x v="0"/>
    <n v="1"/>
    <x v="0"/>
    <d v="2026-09-08T09:23:40"/>
    <x v="51"/>
    <x v="29"/>
    <x v="51"/>
    <s v="20LA42.00"/>
    <x v="3"/>
    <x v="4"/>
    <m/>
    <m/>
    <m/>
  </r>
  <r>
    <s v="YK263700018"/>
    <x v="0"/>
    <x v="0"/>
    <n v="1"/>
    <x v="0"/>
    <d v="2026-09-08T09:23:40"/>
    <x v="51"/>
    <x v="29"/>
    <x v="51"/>
    <s v="20LA42.00"/>
    <x v="3"/>
    <x v="4"/>
    <m/>
    <m/>
    <m/>
  </r>
  <r>
    <s v="YK263700019"/>
    <x v="0"/>
    <x v="0"/>
    <n v="1"/>
    <x v="0"/>
    <d v="2026-09-08T09:23:40"/>
    <x v="51"/>
    <x v="29"/>
    <x v="51"/>
    <s v="20LA42.00"/>
    <x v="3"/>
    <x v="4"/>
    <m/>
    <m/>
    <m/>
  </r>
  <r>
    <s v="YK263700020"/>
    <x v="0"/>
    <x v="0"/>
    <n v="1"/>
    <x v="0"/>
    <d v="2026-09-08T09:23:40"/>
    <x v="51"/>
    <x v="29"/>
    <x v="51"/>
    <s v="20LA42.00"/>
    <x v="3"/>
    <x v="4"/>
    <m/>
    <m/>
    <m/>
  </r>
  <r>
    <s v="YK263700021"/>
    <x v="0"/>
    <x v="0"/>
    <n v="1"/>
    <x v="0"/>
    <d v="2026-09-08T09:23:40"/>
    <x v="51"/>
    <x v="29"/>
    <x v="51"/>
    <s v="20LA42.00"/>
    <x v="3"/>
    <x v="4"/>
    <m/>
    <m/>
    <m/>
  </r>
  <r>
    <s v="YK263700022"/>
    <x v="0"/>
    <x v="0"/>
    <n v="1"/>
    <x v="0"/>
    <d v="2026-09-08T09:23:40"/>
    <x v="51"/>
    <x v="29"/>
    <x v="51"/>
    <s v="20LA42.00"/>
    <x v="3"/>
    <x v="4"/>
    <m/>
    <m/>
    <m/>
  </r>
  <r>
    <s v="YK263700023"/>
    <x v="0"/>
    <x v="0"/>
    <n v="1"/>
    <x v="0"/>
    <d v="2026-09-08T09:23:40"/>
    <x v="51"/>
    <x v="29"/>
    <x v="51"/>
    <s v="20LA42.00"/>
    <x v="3"/>
    <x v="4"/>
    <m/>
    <m/>
    <m/>
  </r>
  <r>
    <s v="YK263700024"/>
    <x v="0"/>
    <x v="0"/>
    <n v="1"/>
    <x v="0"/>
    <d v="2026-09-08T09:23:40"/>
    <x v="51"/>
    <x v="29"/>
    <x v="51"/>
    <s v="20LA42.00"/>
    <x v="3"/>
    <x v="4"/>
    <m/>
    <m/>
    <m/>
  </r>
  <r>
    <s v="YK263700025"/>
    <x v="0"/>
    <x v="0"/>
    <n v="1"/>
    <x v="0"/>
    <d v="2026-09-08T09:23:40"/>
    <x v="51"/>
    <x v="29"/>
    <x v="51"/>
    <s v="20LA42.00"/>
    <x v="3"/>
    <x v="4"/>
    <m/>
    <m/>
    <m/>
  </r>
  <r>
    <s v="YK263700026"/>
    <x v="0"/>
    <x v="0"/>
    <n v="1"/>
    <x v="0"/>
    <d v="2026-09-08T09:23:40"/>
    <x v="51"/>
    <x v="29"/>
    <x v="51"/>
    <s v="20LA42.00"/>
    <x v="3"/>
    <x v="4"/>
    <m/>
    <m/>
    <m/>
  </r>
  <r>
    <s v="YK263700027"/>
    <x v="0"/>
    <x v="0"/>
    <n v="1"/>
    <x v="0"/>
    <d v="2026-09-08T09:23:40"/>
    <x v="51"/>
    <x v="29"/>
    <x v="51"/>
    <s v="20LA42.00"/>
    <x v="3"/>
    <x v="4"/>
    <m/>
    <m/>
    <m/>
  </r>
  <r>
    <s v="YK263700028"/>
    <x v="0"/>
    <x v="0"/>
    <n v="1"/>
    <x v="0"/>
    <d v="2026-09-08T09:23:40"/>
    <x v="51"/>
    <x v="29"/>
    <x v="51"/>
    <s v="20LA42.00"/>
    <x v="3"/>
    <x v="4"/>
    <m/>
    <m/>
    <m/>
  </r>
  <r>
    <s v="YK263700029"/>
    <x v="0"/>
    <x v="0"/>
    <n v="1"/>
    <x v="0"/>
    <d v="2026-09-08T09:23:40"/>
    <x v="51"/>
    <x v="29"/>
    <x v="51"/>
    <s v="20LA42.00"/>
    <x v="3"/>
    <x v="4"/>
    <m/>
    <m/>
    <m/>
  </r>
  <r>
    <s v="YK263700030"/>
    <x v="0"/>
    <x v="0"/>
    <n v="1"/>
    <x v="0"/>
    <d v="2026-09-08T09:23:40"/>
    <x v="51"/>
    <x v="29"/>
    <x v="51"/>
    <s v="20LA42.00"/>
    <x v="3"/>
    <x v="4"/>
    <m/>
    <m/>
    <m/>
  </r>
  <r>
    <s v="YK263700031"/>
    <x v="0"/>
    <x v="0"/>
    <n v="1"/>
    <x v="0"/>
    <d v="2026-09-08T09:23:40"/>
    <x v="51"/>
    <x v="29"/>
    <x v="51"/>
    <s v="20LA42.00"/>
    <x v="3"/>
    <x v="4"/>
    <m/>
    <m/>
    <m/>
  </r>
  <r>
    <s v="YK263700032"/>
    <x v="0"/>
    <x v="0"/>
    <n v="1"/>
    <x v="0"/>
    <d v="2026-09-08T09:23:40"/>
    <x v="51"/>
    <x v="29"/>
    <x v="51"/>
    <s v="20LA42.00"/>
    <x v="3"/>
    <x v="4"/>
    <m/>
    <m/>
    <m/>
  </r>
  <r>
    <s v="YK263700033"/>
    <x v="0"/>
    <x v="0"/>
    <n v="1"/>
    <x v="0"/>
    <d v="2026-09-08T09:23:40"/>
    <x v="51"/>
    <x v="29"/>
    <x v="51"/>
    <s v="20LA42.00"/>
    <x v="3"/>
    <x v="4"/>
    <m/>
    <m/>
    <m/>
  </r>
  <r>
    <s v="YK263700034"/>
    <x v="0"/>
    <x v="0"/>
    <n v="1"/>
    <x v="0"/>
    <d v="2026-09-08T09:23:40"/>
    <x v="51"/>
    <x v="29"/>
    <x v="51"/>
    <s v="20LA42.00"/>
    <x v="3"/>
    <x v="4"/>
    <m/>
    <m/>
    <m/>
  </r>
  <r>
    <s v="YK263700035"/>
    <x v="0"/>
    <x v="0"/>
    <n v="1"/>
    <x v="0"/>
    <d v="2026-09-08T09:23:40"/>
    <x v="51"/>
    <x v="29"/>
    <x v="51"/>
    <s v="20LA42.00"/>
    <x v="3"/>
    <x v="4"/>
    <m/>
    <m/>
    <m/>
  </r>
  <r>
    <s v="YK263700036"/>
    <x v="0"/>
    <x v="0"/>
    <n v="1"/>
    <x v="0"/>
    <d v="2026-09-08T09:23:40"/>
    <x v="51"/>
    <x v="29"/>
    <x v="51"/>
    <s v="20LA42.00"/>
    <x v="3"/>
    <x v="4"/>
    <m/>
    <m/>
    <m/>
  </r>
  <r>
    <s v="YK263700037"/>
    <x v="0"/>
    <x v="0"/>
    <n v="1"/>
    <x v="0"/>
    <d v="2026-09-08T09:23:40"/>
    <x v="51"/>
    <x v="29"/>
    <x v="51"/>
    <s v="20LA42.00"/>
    <x v="3"/>
    <x v="4"/>
    <m/>
    <m/>
    <m/>
  </r>
  <r>
    <s v="YK263700038"/>
    <x v="0"/>
    <x v="0"/>
    <n v="1"/>
    <x v="0"/>
    <d v="2026-09-08T09:23:40"/>
    <x v="51"/>
    <x v="29"/>
    <x v="51"/>
    <s v="20LA42.00"/>
    <x v="3"/>
    <x v="4"/>
    <m/>
    <m/>
    <m/>
  </r>
  <r>
    <s v="YK263700039"/>
    <x v="0"/>
    <x v="0"/>
    <n v="1"/>
    <x v="0"/>
    <d v="2026-09-08T09:23:40"/>
    <x v="51"/>
    <x v="29"/>
    <x v="51"/>
    <s v="20LA42.00"/>
    <x v="3"/>
    <x v="4"/>
    <m/>
    <m/>
    <m/>
  </r>
  <r>
    <s v="YK263700040"/>
    <x v="0"/>
    <x v="0"/>
    <n v="1"/>
    <x v="0"/>
    <d v="2026-09-08T09:23:40"/>
    <x v="51"/>
    <x v="29"/>
    <x v="51"/>
    <s v="20LA42.00"/>
    <x v="3"/>
    <x v="4"/>
    <m/>
    <m/>
    <m/>
  </r>
  <r>
    <s v="YK263700041"/>
    <x v="0"/>
    <x v="0"/>
    <n v="1"/>
    <x v="0"/>
    <d v="2026-09-08T09:23:40"/>
    <x v="51"/>
    <x v="29"/>
    <x v="51"/>
    <s v="20LA42.00"/>
    <x v="3"/>
    <x v="4"/>
    <m/>
    <m/>
    <m/>
  </r>
  <r>
    <s v="YK263700042"/>
    <x v="0"/>
    <x v="0"/>
    <n v="1"/>
    <x v="0"/>
    <d v="2026-09-08T09:23:40"/>
    <x v="51"/>
    <x v="29"/>
    <x v="51"/>
    <s v="20LA42.00"/>
    <x v="3"/>
    <x v="4"/>
    <m/>
    <m/>
    <m/>
  </r>
  <r>
    <s v="YK263700043"/>
    <x v="0"/>
    <x v="0"/>
    <n v="1"/>
    <x v="0"/>
    <d v="2026-09-08T09:23:40"/>
    <x v="51"/>
    <x v="29"/>
    <x v="51"/>
    <s v="20LA42.00"/>
    <x v="3"/>
    <x v="4"/>
    <m/>
    <m/>
    <m/>
  </r>
  <r>
    <s v="YK263700044"/>
    <x v="0"/>
    <x v="0"/>
    <n v="1"/>
    <x v="0"/>
    <d v="2026-09-08T09:23:40"/>
    <x v="51"/>
    <x v="29"/>
    <x v="51"/>
    <s v="20LA42.00"/>
    <x v="3"/>
    <x v="4"/>
    <m/>
    <m/>
    <m/>
  </r>
  <r>
    <s v="YK263700045"/>
    <x v="0"/>
    <x v="0"/>
    <n v="1"/>
    <x v="0"/>
    <d v="2026-09-08T09:23:40"/>
    <x v="51"/>
    <x v="29"/>
    <x v="51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41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32">
        <item x="20"/>
        <item x="7"/>
        <item x="6"/>
        <item x="9"/>
        <item x="15"/>
        <item x="10"/>
        <item x="16"/>
        <item x="24"/>
        <item x="3"/>
        <item x="4"/>
        <item x="12"/>
        <item x="2"/>
        <item x="0"/>
        <item x="17"/>
        <item x="11"/>
        <item x="8"/>
        <item x="18"/>
        <item x="1"/>
        <item x="14"/>
        <item x="13"/>
        <item x="25"/>
        <item x="27"/>
        <item h="1" m="1" x="30"/>
        <item h="1" x="5"/>
        <item h="1" x="26"/>
        <item h="1" x="23"/>
        <item h="1" x="28"/>
        <item h="1" m="1" x="29"/>
        <item h="1" x="19"/>
        <item h="1" x="21"/>
        <item h="1" x="22"/>
        <item t="default"/>
      </items>
    </pivotField>
    <pivotField axis="axisPage" multipleItemSelectionAllowed="1" showAll="0">
      <items count="33">
        <item x="7"/>
        <item x="15"/>
        <item x="9"/>
        <item x="10"/>
        <item x="16"/>
        <item h="1" x="3"/>
        <item h="1" x="20"/>
        <item h="1" x="12"/>
        <item h="1" x="2"/>
        <item h="1" x="14"/>
        <item h="1" x="0"/>
        <item h="1" x="17"/>
        <item h="1" x="8"/>
        <item h="1" x="13"/>
        <item x="6"/>
        <item h="1" x="11"/>
        <item h="1" x="18"/>
        <item h="1" x="1"/>
        <item h="1" x="4"/>
        <item h="1" x="24"/>
        <item h="1" x="25"/>
        <item h="1" x="27"/>
        <item h="1" x="23"/>
        <item h="1" x="5"/>
        <item h="1" x="26"/>
        <item h="1" m="1" x="31"/>
        <item h="1" x="22"/>
        <item h="1" x="28"/>
        <item h="1" m="1" x="30"/>
        <item h="1" m="1" x="29"/>
        <item h="1" x="19"/>
        <item h="1" x="21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41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F120" firstHeaderRow="1" firstDataRow="1" firstDataCol="5" rowPageCount="2" colPageCount="1"/>
  <pivotFields count="15">
    <pivotField showAll="0"/>
    <pivotField showAll="0"/>
    <pivotField axis="axisRow" outline="0" showAll="0" defaultSubtotal="0">
      <items count="32">
        <item x="3"/>
        <item x="2"/>
        <item x="0"/>
        <item x="1"/>
        <item x="4"/>
        <item x="13"/>
        <item x="8"/>
        <item x="17"/>
        <item x="9"/>
        <item x="7"/>
        <item x="20"/>
        <item x="12"/>
        <item x="18"/>
        <item x="24"/>
        <item x="10"/>
        <item x="6"/>
        <item x="14"/>
        <item x="15"/>
        <item x="16"/>
        <item x="11"/>
        <item x="25"/>
        <item x="27"/>
        <item x="23"/>
        <item x="5"/>
        <item x="26"/>
        <item m="1" x="31"/>
        <item x="22"/>
        <item x="28"/>
        <item m="1" x="30"/>
        <item m="1" x="29"/>
        <item x="19"/>
        <item x="21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axis="axisPage" showAll="0" defaultSubtotal="0">
      <items count="5">
        <item x="1"/>
        <item x="4"/>
        <item x="2"/>
        <item x="0"/>
        <item x="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6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3"/>
      <x v="6"/>
    </i>
    <i r="3">
      <x v="10"/>
      <x v="1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42"/>
      <x v="28"/>
      <x v="25"/>
      <x v="2"/>
      <x v="7"/>
    </i>
    <i r="3">
      <x v="3"/>
      <x v="6"/>
    </i>
    <i r="3">
      <x v="6"/>
      <x v="1"/>
    </i>
    <i r="3">
      <x v="10"/>
      <x v="1"/>
    </i>
    <i r="3">
      <x v="13"/>
      <x v="4"/>
    </i>
    <i r="3">
      <x v="22"/>
      <x v="4"/>
    </i>
    <i r="3">
      <x v="26"/>
      <x v="4"/>
    </i>
    <i r="3">
      <x v="30"/>
      <x v="3"/>
    </i>
    <i r="3">
      <x v="31"/>
      <x v="3"/>
    </i>
    <i>
      <x v="45"/>
      <x v="11"/>
      <x v="17"/>
      <x v="1"/>
      <x v="3"/>
    </i>
    <i r="3">
      <x v="4"/>
      <x v="2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9"/>
      <x v="3"/>
    </i>
    <i r="3">
      <x v="14"/>
      <x v="1"/>
    </i>
    <i r="3">
      <x v="19"/>
      <x v="2"/>
    </i>
    <i>
      <x v="48"/>
      <x v="23"/>
      <x v="15"/>
      <x v="1"/>
      <x v="3"/>
    </i>
    <i r="3">
      <x v="7"/>
      <x v="3"/>
    </i>
    <i r="3">
      <x v="8"/>
      <x v="3"/>
    </i>
    <i r="3">
      <x v="9"/>
      <x v="3"/>
    </i>
    <i r="3">
      <x v="15"/>
      <x v="1"/>
    </i>
    <i r="3">
      <x v="16"/>
      <x v="3"/>
    </i>
    <i r="3">
      <x v="17"/>
      <x v="3"/>
    </i>
    <i r="3">
      <x v="18"/>
      <x v="1"/>
    </i>
    <i t="grand">
      <x/>
    </i>
  </rowItems>
  <colItems count="1">
    <i/>
  </colItems>
  <pageFields count="2">
    <pageField fld="10" hier="-1"/>
    <pageField fld="11" hier="-1"/>
  </pageFields>
  <dataFields count="1">
    <dataField name="Count of Qty" fld="3" subtotal="count" baseField="0" baseItem="0"/>
  </dataFields>
  <formats count="141">
    <format dxfId="112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126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12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124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123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112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21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2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1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8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7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6">
      <pivotArea dataOnly="0" labelOnly="1" fieldPosition="0">
        <references count="1">
          <reference field="8" count="1">
            <x v="13"/>
          </reference>
        </references>
      </pivotArea>
    </format>
    <format dxfId="1115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1114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13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2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10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0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3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2">
      <pivotArea dataOnly="0" labelOnly="1" fieldPosition="0">
        <references count="1">
          <reference field="8" count="1">
            <x v="21"/>
          </reference>
        </references>
      </pivotArea>
    </format>
    <format dxfId="1101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1100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99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4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2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9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8">
      <pivotArea dataOnly="0" labelOnly="1" fieldPosition="0">
        <references count="1">
          <reference field="8" count="1">
            <x v="22"/>
          </reference>
        </references>
      </pivotArea>
    </format>
    <format dxfId="1087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1086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1085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3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8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80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4">
      <pivotArea dataOnly="0" labelOnly="1" fieldPosition="0">
        <references count="1">
          <reference field="8" count="1">
            <x v="23"/>
          </reference>
        </references>
      </pivotArea>
    </format>
    <format dxfId="1073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1072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071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7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9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7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0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7">
      <pivotArea dataOnly="0" labelOnly="1" fieldPosition="0">
        <references count="1">
          <reference field="8" count="1">
            <x v="26"/>
          </reference>
        </references>
      </pivotArea>
    </format>
    <format dxfId="1056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1055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054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49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48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0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2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9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8">
      <pivotArea dataOnly="0" labelOnly="1" fieldPosition="0">
        <references count="1">
          <reference field="8" count="1">
            <x v="27"/>
          </reference>
        </references>
      </pivotArea>
    </format>
    <format dxfId="1037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1036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035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2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2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2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9">
      <pivotArea dataOnly="0" labelOnly="1" fieldPosition="0">
        <references count="1">
          <reference field="8" count="1">
            <x v="28"/>
          </reference>
        </references>
      </pivotArea>
    </format>
    <format dxfId="1018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1017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016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0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08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0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05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1004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003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0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00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999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998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9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9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9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94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9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99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91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90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8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88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87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M12" sqref="M12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1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1" t="s">
        <v>4094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1" t="s">
        <v>1172</v>
      </c>
      <c r="U4" s="11" t="s">
        <v>3960</v>
      </c>
    </row>
    <row r="5" spans="1:21" x14ac:dyDescent="0.25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3958</v>
      </c>
    </row>
    <row r="6" spans="1:21" x14ac:dyDescent="0.25">
      <c r="A6" s="3" t="s">
        <v>954</v>
      </c>
      <c r="B6" s="4">
        <v>325</v>
      </c>
      <c r="C6" s="4">
        <v>6</v>
      </c>
      <c r="D6" s="4">
        <v>331</v>
      </c>
      <c r="E6"/>
      <c r="F6" s="4"/>
      <c r="G6" s="4"/>
      <c r="H6" s="4"/>
      <c r="I6" s="4"/>
      <c r="K6" t="s">
        <v>3503</v>
      </c>
      <c r="L6">
        <v>14</v>
      </c>
      <c r="T6" s="11" t="s">
        <v>3959</v>
      </c>
      <c r="U6" s="11" t="s">
        <v>3957</v>
      </c>
    </row>
    <row r="7" spans="1:21" x14ac:dyDescent="0.25">
      <c r="A7" s="3" t="s">
        <v>2684</v>
      </c>
      <c r="B7" s="4">
        <v>23</v>
      </c>
      <c r="C7" s="4">
        <v>5</v>
      </c>
      <c r="D7" s="4">
        <v>28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3961</v>
      </c>
    </row>
    <row r="8" spans="1:21" x14ac:dyDescent="0.25">
      <c r="A8" s="3" t="s">
        <v>956</v>
      </c>
      <c r="B8" s="4">
        <v>186</v>
      </c>
      <c r="C8" s="4">
        <v>93</v>
      </c>
      <c r="D8" s="4">
        <v>279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10</v>
      </c>
      <c r="D9" s="4">
        <v>10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90</v>
      </c>
      <c r="C10" s="4">
        <v>1</v>
      </c>
      <c r="D10" s="4">
        <v>91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8</v>
      </c>
      <c r="D11" s="4">
        <v>8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624</v>
      </c>
      <c r="C12" s="4">
        <v>123</v>
      </c>
      <c r="D12" s="4">
        <v>747</v>
      </c>
      <c r="E12"/>
      <c r="F12" s="4"/>
      <c r="G12" s="4"/>
      <c r="H12" s="4"/>
      <c r="I12" s="4"/>
    </row>
    <row r="19" spans="1:4" x14ac:dyDescent="0.25">
      <c r="A19" s="51" t="s">
        <v>3811</v>
      </c>
      <c r="B19" s="51" t="s">
        <v>3956</v>
      </c>
      <c r="C19" s="51"/>
      <c r="D19" s="51"/>
    </row>
    <row r="20" spans="1:4" x14ac:dyDescent="0.25">
      <c r="A20" s="52" t="s">
        <v>73</v>
      </c>
      <c r="B20" s="52" t="s">
        <v>1436</v>
      </c>
      <c r="C20" s="52" t="s">
        <v>2157</v>
      </c>
      <c r="D20" s="52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53" t="s">
        <v>74</v>
      </c>
      <c r="B27" s="54">
        <v>214</v>
      </c>
      <c r="C27" s="54">
        <v>45</v>
      </c>
      <c r="D27" s="54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workbookViewId="0">
      <pane ySplit="1" topLeftCell="A2" activePane="bottomLeft" state="frozen"/>
      <selection pane="bottomLeft" activeCell="M17" sqref="M17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30.85546875" customWidth="1"/>
    <col min="14" max="14" width="23.42578125" style="57" customWidth="1"/>
    <col min="15" max="35" width="23.42578125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4036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 x14ac:dyDescent="0.25">
      <c r="A2" s="11" t="s">
        <v>4041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3807</v>
      </c>
      <c r="H2" s="11" t="s">
        <v>4042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56" t="str">
        <f>IFERROR(VLOOKUP(A2,Shipped!I:J,2,)," ")</f>
        <v xml:space="preserve"> </v>
      </c>
    </row>
    <row r="3" spans="1:15" x14ac:dyDescent="0.25">
      <c r="A3" s="11" t="s">
        <v>4043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3807</v>
      </c>
      <c r="H3" s="11" t="s">
        <v>4042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56" t="str">
        <f>IFERROR(VLOOKUP(A3,Shipped!I:J,2,)," ")</f>
        <v xml:space="preserve"> </v>
      </c>
    </row>
    <row r="4" spans="1:15" x14ac:dyDescent="0.25">
      <c r="A4" s="11" t="s">
        <v>4044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3807</v>
      </c>
      <c r="H4" s="11" t="s">
        <v>4042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56" t="str">
        <f>IFERROR(VLOOKUP(A4,Shipped!I:J,2,)," ")</f>
        <v xml:space="preserve"> </v>
      </c>
    </row>
    <row r="5" spans="1:15" x14ac:dyDescent="0.25">
      <c r="A5" s="11" t="s">
        <v>4045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3807</v>
      </c>
      <c r="H5" s="11" t="s">
        <v>4042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56" t="str">
        <f>IFERROR(VLOOKUP(A5,Shipped!I:J,2,)," ")</f>
        <v xml:space="preserve"> </v>
      </c>
    </row>
    <row r="6" spans="1:15" x14ac:dyDescent="0.25">
      <c r="A6" s="11" t="s">
        <v>4046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3807</v>
      </c>
      <c r="H6" s="11" t="s">
        <v>4042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56" t="str">
        <f>IFERROR(VLOOKUP(A6,Shipped!I:J,2,)," ")</f>
        <v xml:space="preserve"> </v>
      </c>
    </row>
    <row r="7" spans="1:15" x14ac:dyDescent="0.25">
      <c r="A7" s="11" t="s">
        <v>4047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3807</v>
      </c>
      <c r="H7" s="11" t="s">
        <v>4042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56" t="str">
        <f>IFERROR(VLOOKUP(A7,Shipped!I:J,2,)," ")</f>
        <v xml:space="preserve"> </v>
      </c>
    </row>
    <row r="8" spans="1:15" x14ac:dyDescent="0.25">
      <c r="A8" s="11" t="s">
        <v>4048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3807</v>
      </c>
      <c r="H8" s="11" t="s">
        <v>4042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56" t="str">
        <f>IFERROR(VLOOKUP(A8,Shipped!I:J,2,)," ")</f>
        <v xml:space="preserve"> </v>
      </c>
    </row>
    <row r="9" spans="1:15" x14ac:dyDescent="0.25">
      <c r="A9" s="11" t="s">
        <v>4049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3807</v>
      </c>
      <c r="H9" s="11" t="s">
        <v>4042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56" t="str">
        <f>IFERROR(VLOOKUP(A9,Shipped!I:J,2,)," ")</f>
        <v xml:space="preserve"> </v>
      </c>
    </row>
    <row r="10" spans="1:15" x14ac:dyDescent="0.25">
      <c r="A10" s="11" t="s">
        <v>4050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3807</v>
      </c>
      <c r="H10" s="11" t="s">
        <v>4042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56" t="str">
        <f>IFERROR(VLOOKUP(A10,Shipped!I:J,2,)," ")</f>
        <v xml:space="preserve"> </v>
      </c>
    </row>
    <row r="11" spans="1:15" x14ac:dyDescent="0.25">
      <c r="A11" s="11" t="s">
        <v>4051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3807</v>
      </c>
      <c r="H11" s="11" t="s">
        <v>4042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56" t="str">
        <f>IFERROR(VLOOKUP(A11,Shipped!I:J,2,)," ")</f>
        <v xml:space="preserve"> </v>
      </c>
    </row>
    <row r="12" spans="1:15" x14ac:dyDescent="0.25">
      <c r="A12" s="11" t="s">
        <v>4052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3807</v>
      </c>
      <c r="H12" s="11" t="s">
        <v>4042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56" t="str">
        <f>IFERROR(VLOOKUP(A12,Shipped!I:J,2,)," ")</f>
        <v xml:space="preserve"> </v>
      </c>
    </row>
    <row r="13" spans="1:15" x14ac:dyDescent="0.25">
      <c r="A13" s="11" t="s">
        <v>4053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3807</v>
      </c>
      <c r="H13" s="11" t="s">
        <v>4042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56" t="str">
        <f>IFERROR(VLOOKUP(A13,Shipped!I:J,2,)," ")</f>
        <v xml:space="preserve"> </v>
      </c>
    </row>
    <row r="14" spans="1:15" x14ac:dyDescent="0.25">
      <c r="A14" s="11" t="s">
        <v>4054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3807</v>
      </c>
      <c r="H14" s="11" t="s">
        <v>4042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56" t="str">
        <f>IFERROR(VLOOKUP(A14,Shipped!I:J,2,)," ")</f>
        <v xml:space="preserve"> </v>
      </c>
    </row>
    <row r="15" spans="1:15" x14ac:dyDescent="0.25">
      <c r="A15" s="11" t="s">
        <v>4055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3807</v>
      </c>
      <c r="H15" s="11" t="s">
        <v>4042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56" t="str">
        <f>IFERROR(VLOOKUP(A15,Shipped!I:J,2,)," ")</f>
        <v xml:space="preserve"> </v>
      </c>
    </row>
    <row r="16" spans="1:15" x14ac:dyDescent="0.25">
      <c r="A16" s="11" t="s">
        <v>4056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3807</v>
      </c>
      <c r="H16" s="11" t="s">
        <v>4042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56" t="str">
        <f>IFERROR(VLOOKUP(A16,Shipped!I:J,2,)," ")</f>
        <v xml:space="preserve"> </v>
      </c>
    </row>
    <row r="17" spans="1:14" x14ac:dyDescent="0.25">
      <c r="A17" s="11" t="s">
        <v>4057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3807</v>
      </c>
      <c r="H17" s="11" t="s">
        <v>4042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56" t="str">
        <f>IFERROR(VLOOKUP(A17,Shipped!I:J,2,)," ")</f>
        <v xml:space="preserve"> </v>
      </c>
    </row>
    <row r="18" spans="1:14" x14ac:dyDescent="0.25">
      <c r="A18" s="11" t="s">
        <v>4058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3807</v>
      </c>
      <c r="H18" s="11" t="s">
        <v>4042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56" t="str">
        <f>IFERROR(VLOOKUP(A18,Shipped!I:J,2,)," ")</f>
        <v xml:space="preserve"> </v>
      </c>
    </row>
    <row r="19" spans="1:14" x14ac:dyDescent="0.25">
      <c r="A19" s="11" t="s">
        <v>4059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3807</v>
      </c>
      <c r="H19" s="11" t="s">
        <v>4042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56" t="str">
        <f>IFERROR(VLOOKUP(A19,Shipped!I:J,2,)," ")</f>
        <v xml:space="preserve"> </v>
      </c>
    </row>
    <row r="20" spans="1:14" x14ac:dyDescent="0.25">
      <c r="A20" s="11" t="s">
        <v>4060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3807</v>
      </c>
      <c r="H20" s="11" t="s">
        <v>4042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56" t="str">
        <f>IFERROR(VLOOKUP(A20,Shipped!I:J,2,)," ")</f>
        <v xml:space="preserve"> </v>
      </c>
    </row>
    <row r="21" spans="1:14" x14ac:dyDescent="0.25">
      <c r="A21" s="11" t="s">
        <v>4061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3807</v>
      </c>
      <c r="H21" s="11" t="s">
        <v>4042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56" t="str">
        <f>IFERROR(VLOOKUP(A21,Shipped!I:J,2,)," ")</f>
        <v xml:space="preserve"> </v>
      </c>
    </row>
    <row r="22" spans="1:14" x14ac:dyDescent="0.25">
      <c r="A22" s="11" t="s">
        <v>4062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3807</v>
      </c>
      <c r="H22" s="11" t="s">
        <v>4042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56" t="str">
        <f>IFERROR(VLOOKUP(A22,Shipped!I:J,2,)," ")</f>
        <v xml:space="preserve"> </v>
      </c>
    </row>
    <row r="23" spans="1:14" x14ac:dyDescent="0.25">
      <c r="A23" s="11" t="s">
        <v>4063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3807</v>
      </c>
      <c r="H23" s="11" t="s">
        <v>4042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56" t="str">
        <f>IFERROR(VLOOKUP(A23,Shipped!I:J,2,)," ")</f>
        <v xml:space="preserve"> </v>
      </c>
    </row>
    <row r="24" spans="1:14" x14ac:dyDescent="0.25">
      <c r="A24" s="11" t="s">
        <v>4064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3807</v>
      </c>
      <c r="H24" s="11" t="s">
        <v>4042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56" t="str">
        <f>IFERROR(VLOOKUP(A24,Shipped!I:J,2,)," ")</f>
        <v xml:space="preserve"> </v>
      </c>
    </row>
    <row r="25" spans="1:14" x14ac:dyDescent="0.25">
      <c r="A25" s="11" t="s">
        <v>4065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3807</v>
      </c>
      <c r="H25" s="11" t="s">
        <v>4042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56" t="str">
        <f>IFERROR(VLOOKUP(A25,Shipped!I:J,2,)," ")</f>
        <v xml:space="preserve"> </v>
      </c>
    </row>
    <row r="26" spans="1:14" x14ac:dyDescent="0.25">
      <c r="A26" s="11" t="s">
        <v>4066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3807</v>
      </c>
      <c r="H26" s="11" t="s">
        <v>4042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56" t="str">
        <f>IFERROR(VLOOKUP(A26,Shipped!I:J,2,)," ")</f>
        <v xml:space="preserve"> </v>
      </c>
    </row>
    <row r="27" spans="1:14" x14ac:dyDescent="0.25">
      <c r="A27" s="11" t="s">
        <v>4067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3807</v>
      </c>
      <c r="H27" s="11" t="s">
        <v>4042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56" t="str">
        <f>IFERROR(VLOOKUP(A27,Shipped!I:J,2,)," ")</f>
        <v xml:space="preserve"> </v>
      </c>
    </row>
    <row r="28" spans="1:14" x14ac:dyDescent="0.25">
      <c r="A28" s="11" t="s">
        <v>4068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3807</v>
      </c>
      <c r="H28" s="11" t="s">
        <v>4042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56" t="str">
        <f>IFERROR(VLOOKUP(A28,Shipped!I:J,2,)," ")</f>
        <v xml:space="preserve"> </v>
      </c>
    </row>
    <row r="29" spans="1:14" x14ac:dyDescent="0.25">
      <c r="A29" s="11" t="s">
        <v>4069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3807</v>
      </c>
      <c r="H29" s="11" t="s">
        <v>4042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56" t="str">
        <f>IFERROR(VLOOKUP(A29,Shipped!I:J,2,)," ")</f>
        <v xml:space="preserve"> </v>
      </c>
    </row>
    <row r="30" spans="1:14" x14ac:dyDescent="0.25">
      <c r="A30" s="11" t="s">
        <v>4070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3807</v>
      </c>
      <c r="H30" s="11" t="s">
        <v>4042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56" t="str">
        <f>IFERROR(VLOOKUP(A30,Shipped!I:J,2,)," ")</f>
        <v xml:space="preserve"> </v>
      </c>
    </row>
    <row r="31" spans="1:14" x14ac:dyDescent="0.25">
      <c r="A31" s="11" t="s">
        <v>4071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3807</v>
      </c>
      <c r="H31" s="11" t="s">
        <v>4042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56" t="str">
        <f>IFERROR(VLOOKUP(A31,Shipped!I:J,2,)," ")</f>
        <v xml:space="preserve"> </v>
      </c>
    </row>
    <row r="32" spans="1:14" x14ac:dyDescent="0.25">
      <c r="A32" s="11" t="s">
        <v>4072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3807</v>
      </c>
      <c r="H32" s="11" t="s">
        <v>4042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56" t="str">
        <f>IFERROR(VLOOKUP(A32,Shipped!I:J,2,)," ")</f>
        <v xml:space="preserve"> </v>
      </c>
    </row>
    <row r="33" spans="1:14" x14ac:dyDescent="0.25">
      <c r="A33" s="11" t="s">
        <v>4073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3807</v>
      </c>
      <c r="H33" s="11" t="s">
        <v>4042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56" t="str">
        <f>IFERROR(VLOOKUP(A33,Shipped!I:J,2,)," ")</f>
        <v xml:space="preserve"> </v>
      </c>
    </row>
    <row r="34" spans="1:14" x14ac:dyDescent="0.25">
      <c r="A34" s="11" t="s">
        <v>4074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3807</v>
      </c>
      <c r="H34" s="11" t="s">
        <v>4042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56" t="str">
        <f>IFERROR(VLOOKUP(A34,Shipped!I:J,2,)," ")</f>
        <v xml:space="preserve"> </v>
      </c>
    </row>
    <row r="35" spans="1:14" x14ac:dyDescent="0.25">
      <c r="A35" s="11" t="s">
        <v>4075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3807</v>
      </c>
      <c r="H35" s="11" t="s">
        <v>4042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56" t="str">
        <f>IFERROR(VLOOKUP(A35,Shipped!I:J,2,)," ")</f>
        <v xml:space="preserve"> </v>
      </c>
    </row>
    <row r="36" spans="1:14" x14ac:dyDescent="0.25">
      <c r="A36" s="11" t="s">
        <v>4076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3807</v>
      </c>
      <c r="H36" s="11" t="s">
        <v>4042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56" t="str">
        <f>IFERROR(VLOOKUP(A36,Shipped!I:J,2,)," ")</f>
        <v xml:space="preserve"> </v>
      </c>
    </row>
    <row r="37" spans="1:14" x14ac:dyDescent="0.25">
      <c r="A37" s="11" t="s">
        <v>4077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3807</v>
      </c>
      <c r="H37" s="11" t="s">
        <v>4042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56" t="str">
        <f>IFERROR(VLOOKUP(A37,Shipped!I:J,2,)," ")</f>
        <v xml:space="preserve"> </v>
      </c>
    </row>
    <row r="38" spans="1:14" x14ac:dyDescent="0.25">
      <c r="A38" s="11" t="s">
        <v>4078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3807</v>
      </c>
      <c r="H38" s="11" t="s">
        <v>4042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56" t="str">
        <f>IFERROR(VLOOKUP(A38,Shipped!I:J,2,)," ")</f>
        <v xml:space="preserve"> </v>
      </c>
    </row>
    <row r="39" spans="1:14" x14ac:dyDescent="0.25">
      <c r="A39" s="11" t="s">
        <v>4079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3807</v>
      </c>
      <c r="H39" s="11" t="s">
        <v>4042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56" t="str">
        <f>IFERROR(VLOOKUP(A39,Shipped!I:J,2,)," ")</f>
        <v xml:space="preserve"> </v>
      </c>
    </row>
    <row r="40" spans="1:14" x14ac:dyDescent="0.25">
      <c r="A40" s="11" t="s">
        <v>4080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3807</v>
      </c>
      <c r="H40" s="11" t="s">
        <v>4042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56" t="str">
        <f>IFERROR(VLOOKUP(A40,Shipped!I:J,2,)," ")</f>
        <v xml:space="preserve"> </v>
      </c>
    </row>
    <row r="41" spans="1:14" x14ac:dyDescent="0.25">
      <c r="A41" s="11" t="s">
        <v>4081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3807</v>
      </c>
      <c r="H41" s="11" t="s">
        <v>4042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56" t="str">
        <f>IFERROR(VLOOKUP(A41,Shipped!I:J,2,)," ")</f>
        <v xml:space="preserve"> </v>
      </c>
    </row>
    <row r="42" spans="1:14" x14ac:dyDescent="0.25">
      <c r="A42" s="11" t="s">
        <v>4082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3807</v>
      </c>
      <c r="H42" s="11" t="s">
        <v>4042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56" t="str">
        <f>IFERROR(VLOOKUP(A42,Shipped!I:J,2,)," ")</f>
        <v xml:space="preserve"> </v>
      </c>
    </row>
    <row r="43" spans="1:14" x14ac:dyDescent="0.25">
      <c r="A43" s="11" t="s">
        <v>4083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3807</v>
      </c>
      <c r="H43" s="11" t="s">
        <v>4042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56" t="str">
        <f>IFERROR(VLOOKUP(A43,Shipped!I:J,2,)," ")</f>
        <v xml:space="preserve"> </v>
      </c>
    </row>
    <row r="44" spans="1:14" x14ac:dyDescent="0.25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56" t="str">
        <f>IFERROR(VLOOKUP(A44,Shipped!I:J,2,)," ")</f>
        <v xml:space="preserve"> </v>
      </c>
    </row>
    <row r="45" spans="1:14" x14ac:dyDescent="0.25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56" t="str">
        <f>IFERROR(VLOOKUP(A45,Shipped!I:J,2,)," ")</f>
        <v xml:space="preserve"> </v>
      </c>
    </row>
    <row r="46" spans="1:14" x14ac:dyDescent="0.25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56" t="str">
        <f>IFERROR(VLOOKUP(A46,Shipped!I:J,2,)," ")</f>
        <v xml:space="preserve"> </v>
      </c>
    </row>
    <row r="47" spans="1:14" x14ac:dyDescent="0.25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56" t="str">
        <f>IFERROR(VLOOKUP(A47,Shipped!I:J,2,)," ")</f>
        <v xml:space="preserve"> </v>
      </c>
    </row>
    <row r="48" spans="1:14" x14ac:dyDescent="0.25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56" t="str">
        <f>IFERROR(VLOOKUP(A48,Shipped!I:J,2,)," ")</f>
        <v xml:space="preserve"> </v>
      </c>
    </row>
    <row r="49" spans="1:14" x14ac:dyDescent="0.25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56" t="str">
        <f>IFERROR(VLOOKUP(A49,Shipped!I:J,2,)," ")</f>
        <v xml:space="preserve"> </v>
      </c>
    </row>
    <row r="50" spans="1:14" x14ac:dyDescent="0.25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56" t="str">
        <f>IFERROR(VLOOKUP(A50,Shipped!I:J,2,)," ")</f>
        <v xml:space="preserve"> </v>
      </c>
    </row>
    <row r="51" spans="1:14" x14ac:dyDescent="0.25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56" t="str">
        <f>IFERROR(VLOOKUP(A51,Shipped!I:J,2,)," ")</f>
        <v xml:space="preserve"> </v>
      </c>
    </row>
    <row r="52" spans="1:14" x14ac:dyDescent="0.25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56" t="str">
        <f>IFERROR(VLOOKUP(A52,Shipped!I:J,2,)," ")</f>
        <v xml:space="preserve"> </v>
      </c>
    </row>
    <row r="53" spans="1:14" x14ac:dyDescent="0.25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56" t="str">
        <f>IFERROR(VLOOKUP(A53,Shipped!I:J,2,)," ")</f>
        <v xml:space="preserve"> </v>
      </c>
    </row>
    <row r="54" spans="1:14" x14ac:dyDescent="0.25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56" t="str">
        <f>IFERROR(VLOOKUP(A54,Shipped!I:J,2,)," ")</f>
        <v xml:space="preserve"> </v>
      </c>
    </row>
    <row r="55" spans="1:14" x14ac:dyDescent="0.25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56" t="str">
        <f>IFERROR(VLOOKUP(A55,Shipped!I:J,2,)," ")</f>
        <v xml:space="preserve"> </v>
      </c>
    </row>
    <row r="56" spans="1:14" x14ac:dyDescent="0.25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56" t="str">
        <f>IFERROR(VLOOKUP(A56,Shipped!I:J,2,)," ")</f>
        <v xml:space="preserve"> </v>
      </c>
    </row>
    <row r="57" spans="1:14" x14ac:dyDescent="0.25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56" t="str">
        <f>IFERROR(VLOOKUP(A57,Shipped!I:J,2,)," ")</f>
        <v xml:space="preserve"> </v>
      </c>
    </row>
    <row r="58" spans="1:14" x14ac:dyDescent="0.25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56" t="str">
        <f>IFERROR(VLOOKUP(A58,Shipped!I:J,2,)," ")</f>
        <v xml:space="preserve"> </v>
      </c>
    </row>
    <row r="59" spans="1:14" x14ac:dyDescent="0.25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56" t="str">
        <f>IFERROR(VLOOKUP(A59,Shipped!I:J,2,)," ")</f>
        <v xml:space="preserve"> </v>
      </c>
    </row>
    <row r="60" spans="1:14" x14ac:dyDescent="0.25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56" t="str">
        <f>IFERROR(VLOOKUP(A60,Shipped!I:J,2,)," ")</f>
        <v xml:space="preserve"> </v>
      </c>
    </row>
    <row r="61" spans="1:14" x14ac:dyDescent="0.25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56" t="str">
        <f>IFERROR(VLOOKUP(A61,Shipped!I:J,2,)," ")</f>
        <v xml:space="preserve"> </v>
      </c>
    </row>
    <row r="62" spans="1:14" x14ac:dyDescent="0.25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56" t="str">
        <f>IFERROR(VLOOKUP(A62,Shipped!I:J,2,)," ")</f>
        <v xml:space="preserve"> </v>
      </c>
    </row>
    <row r="63" spans="1:14" x14ac:dyDescent="0.25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56" t="str">
        <f>IFERROR(VLOOKUP(A63,Shipped!I:J,2,)," ")</f>
        <v xml:space="preserve"> </v>
      </c>
    </row>
    <row r="64" spans="1:14" x14ac:dyDescent="0.25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56" t="str">
        <f>IFERROR(VLOOKUP(A64,Shipped!I:J,2,)," ")</f>
        <v xml:space="preserve"> </v>
      </c>
    </row>
    <row r="65" spans="1:14" x14ac:dyDescent="0.25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56" t="str">
        <f>IFERROR(VLOOKUP(A65,Shipped!I:J,2,)," ")</f>
        <v xml:space="preserve"> </v>
      </c>
    </row>
    <row r="66" spans="1:14" x14ac:dyDescent="0.25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56" t="str">
        <f>IFERROR(VLOOKUP(A66,Shipped!I:J,2,)," ")</f>
        <v xml:space="preserve"> </v>
      </c>
    </row>
    <row r="67" spans="1:14" x14ac:dyDescent="0.25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56" t="str">
        <f>IFERROR(VLOOKUP(A67,Shipped!I:J,2,)," ")</f>
        <v xml:space="preserve"> </v>
      </c>
    </row>
    <row r="68" spans="1:14" x14ac:dyDescent="0.25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56" t="str">
        <f>IFERROR(VLOOKUP(A68,Shipped!I:J,2,)," ")</f>
        <v xml:space="preserve"> </v>
      </c>
    </row>
    <row r="69" spans="1:14" x14ac:dyDescent="0.25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56" t="str">
        <f>IFERROR(VLOOKUP(A69,Shipped!I:J,2,)," ")</f>
        <v xml:space="preserve"> </v>
      </c>
    </row>
    <row r="70" spans="1:14" x14ac:dyDescent="0.25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56" t="str">
        <f>IFERROR(VLOOKUP(A70,Shipped!I:J,2,)," ")</f>
        <v xml:space="preserve"> </v>
      </c>
    </row>
    <row r="71" spans="1:14" x14ac:dyDescent="0.25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56" t="str">
        <f>IFERROR(VLOOKUP(A71,Shipped!I:J,2,)," ")</f>
        <v xml:space="preserve"> </v>
      </c>
    </row>
    <row r="72" spans="1:14" x14ac:dyDescent="0.25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56" t="str">
        <f>IFERROR(VLOOKUP(A72,Shipped!I:J,2,)," ")</f>
        <v xml:space="preserve"> </v>
      </c>
    </row>
    <row r="73" spans="1:14" x14ac:dyDescent="0.25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56" t="str">
        <f>IFERROR(VLOOKUP(A73,Shipped!I:J,2,)," ")</f>
        <v xml:space="preserve"> </v>
      </c>
    </row>
    <row r="74" spans="1:14" x14ac:dyDescent="0.25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56" t="str">
        <f>IFERROR(VLOOKUP(A74,Shipped!I:J,2,)," ")</f>
        <v xml:space="preserve"> </v>
      </c>
    </row>
    <row r="75" spans="1:14" x14ac:dyDescent="0.25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56" t="str">
        <f>IFERROR(VLOOKUP(A75,Shipped!I:J,2,)," ")</f>
        <v xml:space="preserve"> </v>
      </c>
    </row>
    <row r="76" spans="1:14" x14ac:dyDescent="0.25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56" t="str">
        <f>IFERROR(VLOOKUP(A76,Shipped!I:J,2,)," ")</f>
        <v xml:space="preserve"> </v>
      </c>
    </row>
    <row r="77" spans="1:14" x14ac:dyDescent="0.25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56" t="str">
        <f>IFERROR(VLOOKUP(A77,Shipped!I:J,2,)," ")</f>
        <v xml:space="preserve"> </v>
      </c>
    </row>
    <row r="78" spans="1:14" x14ac:dyDescent="0.25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56" t="str">
        <f>IFERROR(VLOOKUP(A78,Shipped!I:J,2,)," ")</f>
        <v xml:space="preserve"> </v>
      </c>
    </row>
    <row r="79" spans="1:14" x14ac:dyDescent="0.25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56" t="str">
        <f>IFERROR(VLOOKUP(A79,Shipped!I:J,2,)," ")</f>
        <v xml:space="preserve"> </v>
      </c>
    </row>
    <row r="80" spans="1:14" x14ac:dyDescent="0.25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56" t="str">
        <f>IFERROR(VLOOKUP(A80,Shipped!I:J,2,)," ")</f>
        <v xml:space="preserve"> </v>
      </c>
    </row>
    <row r="81" spans="1:14" x14ac:dyDescent="0.25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56" t="str">
        <f>IFERROR(VLOOKUP(A81,Shipped!I:J,2,)," ")</f>
        <v xml:space="preserve"> </v>
      </c>
    </row>
    <row r="82" spans="1:14" x14ac:dyDescent="0.25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56" t="str">
        <f>IFERROR(VLOOKUP(A82,Shipped!I:J,2,)," ")</f>
        <v xml:space="preserve"> </v>
      </c>
    </row>
    <row r="83" spans="1:14" x14ac:dyDescent="0.25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56" t="str">
        <f>IFERROR(VLOOKUP(A83,Shipped!I:J,2,)," ")</f>
        <v xml:space="preserve"> </v>
      </c>
    </row>
    <row r="84" spans="1:14" x14ac:dyDescent="0.25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56" t="str">
        <f>IFERROR(VLOOKUP(A84,Shipped!I:J,2,)," ")</f>
        <v xml:space="preserve"> </v>
      </c>
    </row>
    <row r="85" spans="1:14" x14ac:dyDescent="0.25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56" t="str">
        <f>IFERROR(VLOOKUP(A85,Shipped!I:J,2,)," ")</f>
        <v xml:space="preserve"> </v>
      </c>
    </row>
    <row r="86" spans="1:14" x14ac:dyDescent="0.25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56" t="str">
        <f>IFERROR(VLOOKUP(A86,Shipped!I:J,2,)," ")</f>
        <v xml:space="preserve"> </v>
      </c>
    </row>
    <row r="87" spans="1:14" x14ac:dyDescent="0.25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56" t="str">
        <f>IFERROR(VLOOKUP(A87,Shipped!I:J,2,)," ")</f>
        <v xml:space="preserve"> </v>
      </c>
    </row>
    <row r="88" spans="1:14" x14ac:dyDescent="0.25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56" t="str">
        <f>IFERROR(VLOOKUP(A88,Shipped!I:J,2,)," ")</f>
        <v xml:space="preserve"> </v>
      </c>
    </row>
    <row r="89" spans="1:14" x14ac:dyDescent="0.25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56" t="str">
        <f>IFERROR(VLOOKUP(A89,Shipped!I:J,2,)," ")</f>
        <v xml:space="preserve"> </v>
      </c>
    </row>
    <row r="90" spans="1:14" x14ac:dyDescent="0.25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56" t="str">
        <f>IFERROR(VLOOKUP(A90,Shipped!I:J,2,)," ")</f>
        <v xml:space="preserve"> </v>
      </c>
    </row>
    <row r="91" spans="1:14" x14ac:dyDescent="0.25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56" t="str">
        <f>IFERROR(VLOOKUP(A91,Shipped!I:J,2,)," ")</f>
        <v xml:space="preserve"> </v>
      </c>
    </row>
    <row r="92" spans="1:14" x14ac:dyDescent="0.25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56" t="str">
        <f>IFERROR(VLOOKUP(A92,Shipped!I:J,2,)," ")</f>
        <v xml:space="preserve"> </v>
      </c>
    </row>
    <row r="93" spans="1:14" x14ac:dyDescent="0.25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56" t="str">
        <f>IFERROR(VLOOKUP(A93,Shipped!I:J,2,)," ")</f>
        <v xml:space="preserve"> </v>
      </c>
    </row>
    <row r="94" spans="1:14" x14ac:dyDescent="0.25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56" t="str">
        <f>IFERROR(VLOOKUP(A94,Shipped!I:J,2,)," ")</f>
        <v xml:space="preserve"> </v>
      </c>
    </row>
    <row r="95" spans="1:14" x14ac:dyDescent="0.25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56" t="str">
        <f>IFERROR(VLOOKUP(A95,Shipped!I:J,2,)," ")</f>
        <v xml:space="preserve"> </v>
      </c>
    </row>
    <row r="96" spans="1:14" x14ac:dyDescent="0.25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56" t="str">
        <f>IFERROR(VLOOKUP(A96,Shipped!I:J,2,)," ")</f>
        <v xml:space="preserve"> </v>
      </c>
    </row>
    <row r="97" spans="1:14" x14ac:dyDescent="0.25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56" t="str">
        <f>IFERROR(VLOOKUP(A97,Shipped!I:J,2,)," ")</f>
        <v xml:space="preserve"> </v>
      </c>
    </row>
    <row r="98" spans="1:14" x14ac:dyDescent="0.25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56" t="str">
        <f>IFERROR(VLOOKUP(A98,Shipped!I:J,2,)," ")</f>
        <v xml:space="preserve"> </v>
      </c>
    </row>
    <row r="99" spans="1:14" x14ac:dyDescent="0.25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56" t="str">
        <f>IFERROR(VLOOKUP(A99,Shipped!I:J,2,)," ")</f>
        <v xml:space="preserve"> </v>
      </c>
    </row>
    <row r="100" spans="1:14" x14ac:dyDescent="0.25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56" t="str">
        <f>IFERROR(VLOOKUP(A100,Shipped!I:J,2,)," ")</f>
        <v xml:space="preserve"> </v>
      </c>
    </row>
    <row r="101" spans="1:14" x14ac:dyDescent="0.25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56" t="str">
        <f>IFERROR(VLOOKUP(A101,Shipped!I:J,2,)," ")</f>
        <v xml:space="preserve"> </v>
      </c>
    </row>
    <row r="102" spans="1:14" x14ac:dyDescent="0.25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56" t="str">
        <f>IFERROR(VLOOKUP(A102,Shipped!I:J,2,)," ")</f>
        <v xml:space="preserve"> </v>
      </c>
    </row>
    <row r="103" spans="1:14" x14ac:dyDescent="0.25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56" t="str">
        <f>IFERROR(VLOOKUP(A103,Shipped!I:J,2,)," ")</f>
        <v xml:space="preserve"> </v>
      </c>
    </row>
    <row r="104" spans="1:14" x14ac:dyDescent="0.25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56" t="str">
        <f>IFERROR(VLOOKUP(A104,Shipped!I:J,2,)," ")</f>
        <v xml:space="preserve"> </v>
      </c>
    </row>
    <row r="105" spans="1:14" x14ac:dyDescent="0.25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56" t="str">
        <f>IFERROR(VLOOKUP(A105,Shipped!I:J,2,)," ")</f>
        <v xml:space="preserve"> </v>
      </c>
    </row>
    <row r="106" spans="1:14" x14ac:dyDescent="0.25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56" t="str">
        <f>IFERROR(VLOOKUP(A106,Shipped!I:J,2,)," ")</f>
        <v xml:space="preserve"> </v>
      </c>
    </row>
    <row r="107" spans="1:14" x14ac:dyDescent="0.25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56" t="str">
        <f>IFERROR(VLOOKUP(A107,Shipped!I:J,2,)," ")</f>
        <v xml:space="preserve"> </v>
      </c>
    </row>
    <row r="108" spans="1:14" x14ac:dyDescent="0.25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56" t="str">
        <f>IFERROR(VLOOKUP(A108,Shipped!I:J,2,)," ")</f>
        <v xml:space="preserve"> </v>
      </c>
    </row>
    <row r="109" spans="1:14" x14ac:dyDescent="0.25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56" t="str">
        <f>IFERROR(VLOOKUP(A109,Shipped!I:J,2,)," ")</f>
        <v xml:space="preserve"> </v>
      </c>
    </row>
    <row r="110" spans="1:14" x14ac:dyDescent="0.25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56" t="str">
        <f>IFERROR(VLOOKUP(A110,Shipped!I:J,2,)," ")</f>
        <v xml:space="preserve"> </v>
      </c>
    </row>
    <row r="111" spans="1:14" x14ac:dyDescent="0.25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56" t="str">
        <f>IFERROR(VLOOKUP(A111,Shipped!I:J,2,)," ")</f>
        <v xml:space="preserve"> </v>
      </c>
    </row>
    <row r="112" spans="1:14" x14ac:dyDescent="0.25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56" t="str">
        <f>IFERROR(VLOOKUP(A112,Shipped!I:J,2,)," ")</f>
        <v xml:space="preserve"> </v>
      </c>
    </row>
    <row r="113" spans="1:14" x14ac:dyDescent="0.25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56" t="str">
        <f>IFERROR(VLOOKUP(A113,Shipped!I:J,2,)," ")</f>
        <v xml:space="preserve"> </v>
      </c>
    </row>
    <row r="114" spans="1:14" x14ac:dyDescent="0.25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56" t="str">
        <f>IFERROR(VLOOKUP(A114,Shipped!I:J,2,)," ")</f>
        <v xml:space="preserve"> </v>
      </c>
    </row>
    <row r="115" spans="1:14" x14ac:dyDescent="0.25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56" t="str">
        <f>IFERROR(VLOOKUP(A115,Shipped!I:J,2,)," ")</f>
        <v xml:space="preserve"> </v>
      </c>
    </row>
    <row r="116" spans="1:14" x14ac:dyDescent="0.25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56" t="str">
        <f>IFERROR(VLOOKUP(A116,Shipped!I:J,2,)," ")</f>
        <v xml:space="preserve"> </v>
      </c>
    </row>
    <row r="117" spans="1:14" x14ac:dyDescent="0.25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56" t="str">
        <f>IFERROR(VLOOKUP(A117,Shipped!I:J,2,)," ")</f>
        <v xml:space="preserve"> </v>
      </c>
    </row>
    <row r="118" spans="1:14" x14ac:dyDescent="0.25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56" t="str">
        <f>IFERROR(VLOOKUP(A118,Shipped!I:J,2,)," ")</f>
        <v xml:space="preserve"> </v>
      </c>
    </row>
    <row r="119" spans="1:14" x14ac:dyDescent="0.25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56" t="str">
        <f>IFERROR(VLOOKUP(A119,Shipped!I:J,2,)," ")</f>
        <v xml:space="preserve"> </v>
      </c>
    </row>
    <row r="120" spans="1:14" x14ac:dyDescent="0.25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56" t="str">
        <f>IFERROR(VLOOKUP(A120,Shipped!I:J,2,)," ")</f>
        <v xml:space="preserve"> </v>
      </c>
    </row>
    <row r="121" spans="1:14" x14ac:dyDescent="0.25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56" t="str">
        <f>IFERROR(VLOOKUP(A121,Shipped!I:J,2,)," ")</f>
        <v xml:space="preserve"> </v>
      </c>
    </row>
    <row r="122" spans="1:14" x14ac:dyDescent="0.25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56" t="str">
        <f>IFERROR(VLOOKUP(A122,Shipped!I:J,2,)," ")</f>
        <v xml:space="preserve"> </v>
      </c>
    </row>
    <row r="123" spans="1:14" x14ac:dyDescent="0.25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56" t="str">
        <f>IFERROR(VLOOKUP(A123,Shipped!I:J,2,)," ")</f>
        <v xml:space="preserve"> </v>
      </c>
    </row>
    <row r="124" spans="1:14" x14ac:dyDescent="0.25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56" t="str">
        <f>IFERROR(VLOOKUP(A124,Shipped!I:J,2,)," ")</f>
        <v xml:space="preserve"> </v>
      </c>
    </row>
    <row r="125" spans="1:14" x14ac:dyDescent="0.25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56" t="str">
        <f>IFERROR(VLOOKUP(A125,Shipped!I:J,2,)," ")</f>
        <v xml:space="preserve"> </v>
      </c>
    </row>
    <row r="126" spans="1:14" x14ac:dyDescent="0.25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56" t="str">
        <f>IFERROR(VLOOKUP(A126,Shipped!I:J,2,)," ")</f>
        <v xml:space="preserve"> </v>
      </c>
    </row>
    <row r="127" spans="1:14" x14ac:dyDescent="0.25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56" t="str">
        <f>IFERROR(VLOOKUP(A127,Shipped!I:J,2,)," ")</f>
        <v xml:space="preserve"> </v>
      </c>
    </row>
    <row r="128" spans="1:14" x14ac:dyDescent="0.25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56" t="str">
        <f>IFERROR(VLOOKUP(A128,Shipped!I:J,2,)," ")</f>
        <v xml:space="preserve"> </v>
      </c>
    </row>
    <row r="129" spans="1:14" x14ac:dyDescent="0.25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56" t="str">
        <f>IFERROR(VLOOKUP(A129,Shipped!I:J,2,)," ")</f>
        <v xml:space="preserve"> </v>
      </c>
    </row>
    <row r="130" spans="1:14" x14ac:dyDescent="0.25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56" t="str">
        <f>IFERROR(VLOOKUP(A130,Shipped!I:J,2,)," ")</f>
        <v xml:space="preserve"> </v>
      </c>
    </row>
    <row r="131" spans="1:14" x14ac:dyDescent="0.25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56" t="str">
        <f>IFERROR(VLOOKUP(A131,Shipped!I:J,2,)," ")</f>
        <v xml:space="preserve"> </v>
      </c>
    </row>
    <row r="132" spans="1:14" x14ac:dyDescent="0.25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56" t="str">
        <f>IFERROR(VLOOKUP(A132,Shipped!I:J,2,)," ")</f>
        <v xml:space="preserve"> </v>
      </c>
    </row>
    <row r="133" spans="1:14" x14ac:dyDescent="0.25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56" t="str">
        <f>IFERROR(VLOOKUP(A133,Shipped!I:J,2,)," ")</f>
        <v xml:space="preserve"> </v>
      </c>
    </row>
    <row r="134" spans="1:14" x14ac:dyDescent="0.25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56" t="str">
        <f>IFERROR(VLOOKUP(A134,Shipped!I:J,2,)," ")</f>
        <v xml:space="preserve"> </v>
      </c>
    </row>
    <row r="135" spans="1:14" x14ac:dyDescent="0.25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56" t="str">
        <f>IFERROR(VLOOKUP(A135,Shipped!I:J,2,)," ")</f>
        <v xml:space="preserve"> </v>
      </c>
    </row>
    <row r="136" spans="1:14" x14ac:dyDescent="0.25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56" t="str">
        <f>IFERROR(VLOOKUP(A136,Shipped!I:J,2,)," ")</f>
        <v xml:space="preserve"> </v>
      </c>
    </row>
    <row r="137" spans="1:14" x14ac:dyDescent="0.25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56" t="str">
        <f>IFERROR(VLOOKUP(A137,Shipped!I:J,2,)," ")</f>
        <v xml:space="preserve"> </v>
      </c>
    </row>
    <row r="138" spans="1:14" x14ac:dyDescent="0.25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56" t="str">
        <f>IFERROR(VLOOKUP(A138,Shipped!I:J,2,)," ")</f>
        <v xml:space="preserve"> </v>
      </c>
    </row>
    <row r="139" spans="1:14" x14ac:dyDescent="0.25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56" t="str">
        <f>IFERROR(VLOOKUP(A139,Shipped!I:J,2,)," ")</f>
        <v xml:space="preserve"> </v>
      </c>
    </row>
    <row r="140" spans="1:14" x14ac:dyDescent="0.25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56" t="str">
        <f>IFERROR(VLOOKUP(A140,Shipped!I:J,2,)," ")</f>
        <v xml:space="preserve"> </v>
      </c>
    </row>
    <row r="141" spans="1:14" x14ac:dyDescent="0.25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56" t="str">
        <f>IFERROR(VLOOKUP(A141,Shipped!I:J,2,)," ")</f>
        <v xml:space="preserve"> </v>
      </c>
    </row>
    <row r="142" spans="1:14" x14ac:dyDescent="0.25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56" t="str">
        <f>IFERROR(VLOOKUP(A142,Shipped!I:J,2,)," ")</f>
        <v xml:space="preserve"> </v>
      </c>
    </row>
    <row r="143" spans="1:14" x14ac:dyDescent="0.25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56" t="str">
        <f>IFERROR(VLOOKUP(A143,Shipped!I:J,2,)," ")</f>
        <v xml:space="preserve"> </v>
      </c>
    </row>
    <row r="144" spans="1:14" x14ac:dyDescent="0.25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56" t="str">
        <f>IFERROR(VLOOKUP(A144,Shipped!I:J,2,)," ")</f>
        <v xml:space="preserve"> </v>
      </c>
    </row>
    <row r="145" spans="1:16" x14ac:dyDescent="0.25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56" t="str">
        <f>IFERROR(VLOOKUP(A145,Shipped!I:J,2,)," ")</f>
        <v xml:space="preserve"> </v>
      </c>
    </row>
    <row r="146" spans="1:16" x14ac:dyDescent="0.25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56" t="str">
        <f>IFERROR(VLOOKUP(A146,Shipped!I:J,2,)," ")</f>
        <v xml:space="preserve"> </v>
      </c>
    </row>
    <row r="147" spans="1:16" x14ac:dyDescent="0.25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56" t="str">
        <f>IFERROR(VLOOKUP(A147,Shipped!I:J,2,)," ")</f>
        <v xml:space="preserve"> </v>
      </c>
    </row>
    <row r="148" spans="1:16" x14ac:dyDescent="0.25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56" t="str">
        <f>IFERROR(VLOOKUP(A148,Shipped!I:J,2,)," ")</f>
        <v xml:space="preserve"> </v>
      </c>
    </row>
    <row r="149" spans="1:16" x14ac:dyDescent="0.25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56" t="str">
        <f>IFERROR(VLOOKUP(A149,Shipped!I:J,2,)," ")</f>
        <v xml:space="preserve"> </v>
      </c>
    </row>
    <row r="150" spans="1:16" x14ac:dyDescent="0.25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56" t="str">
        <f>IFERROR(VLOOKUP(A150,Shipped!I:J,2,)," ")</f>
        <v xml:space="preserve"> </v>
      </c>
    </row>
    <row r="151" spans="1:16" x14ac:dyDescent="0.25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56" t="str">
        <f>IFERROR(VLOOKUP(A151,Shipped!I:J,2,)," ")</f>
        <v xml:space="preserve"> </v>
      </c>
    </row>
    <row r="152" spans="1:16" x14ac:dyDescent="0.25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56" t="str">
        <f>IFERROR(VLOOKUP(A152,Shipped!I:J,2,)," ")</f>
        <v xml:space="preserve"> </v>
      </c>
      <c r="P152" s="5"/>
    </row>
    <row r="153" spans="1:16" x14ac:dyDescent="0.25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56" t="str">
        <f>IFERROR(VLOOKUP(A153,Shipped!I:J,2,)," ")</f>
        <v xml:space="preserve"> </v>
      </c>
    </row>
    <row r="154" spans="1:16" x14ac:dyDescent="0.25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56" t="str">
        <f>IFERROR(VLOOKUP(A154,Shipped!I:J,2,)," ")</f>
        <v xml:space="preserve"> </v>
      </c>
    </row>
    <row r="155" spans="1:16" x14ac:dyDescent="0.25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56" t="str">
        <f>IFERROR(VLOOKUP(A155,Shipped!I:J,2,)," ")</f>
        <v xml:space="preserve"> </v>
      </c>
    </row>
    <row r="156" spans="1:16" x14ac:dyDescent="0.25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56" t="str">
        <f>IFERROR(VLOOKUP(A156,Shipped!I:J,2,)," ")</f>
        <v xml:space="preserve"> </v>
      </c>
    </row>
    <row r="157" spans="1:16" x14ac:dyDescent="0.25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56" t="str">
        <f>IFERROR(VLOOKUP(A157,Shipped!I:J,2,)," ")</f>
        <v xml:space="preserve"> </v>
      </c>
    </row>
    <row r="158" spans="1:16" x14ac:dyDescent="0.25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56" t="str">
        <f>IFERROR(VLOOKUP(A158,Shipped!I:J,2,)," ")</f>
        <v xml:space="preserve"> </v>
      </c>
    </row>
    <row r="159" spans="1:16" x14ac:dyDescent="0.25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56" t="str">
        <f>IFERROR(VLOOKUP(A159,Shipped!I:J,2,)," ")</f>
        <v xml:space="preserve"> </v>
      </c>
    </row>
    <row r="160" spans="1:16" x14ac:dyDescent="0.25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56" t="str">
        <f>IFERROR(VLOOKUP(A160,Shipped!I:J,2,)," ")</f>
        <v xml:space="preserve"> </v>
      </c>
    </row>
    <row r="161" spans="1:14" x14ac:dyDescent="0.25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56" t="str">
        <f>IFERROR(VLOOKUP(A161,Shipped!I:J,2,)," ")</f>
        <v xml:space="preserve"> </v>
      </c>
    </row>
    <row r="162" spans="1:14" x14ac:dyDescent="0.25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56" t="str">
        <f>IFERROR(VLOOKUP(A162,Shipped!I:J,2,)," ")</f>
        <v xml:space="preserve"> </v>
      </c>
    </row>
    <row r="163" spans="1:14" x14ac:dyDescent="0.25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56" t="str">
        <f>IFERROR(VLOOKUP(A163,Shipped!I:J,2,)," ")</f>
        <v xml:space="preserve"> </v>
      </c>
    </row>
    <row r="164" spans="1:14" x14ac:dyDescent="0.25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56" t="str">
        <f>IFERROR(VLOOKUP(A164,Shipped!I:J,2,)," ")</f>
        <v xml:space="preserve"> </v>
      </c>
    </row>
    <row r="165" spans="1:14" x14ac:dyDescent="0.25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56" t="str">
        <f>IFERROR(VLOOKUP(A165,Shipped!I:J,2,)," ")</f>
        <v xml:space="preserve"> </v>
      </c>
    </row>
    <row r="166" spans="1:14" x14ac:dyDescent="0.25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56" t="str">
        <f>IFERROR(VLOOKUP(A166,Shipped!I:J,2,)," ")</f>
        <v xml:space="preserve"> </v>
      </c>
    </row>
    <row r="167" spans="1:14" x14ac:dyDescent="0.25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56" t="str">
        <f>IFERROR(VLOOKUP(A167,Shipped!I:J,2,)," ")</f>
        <v xml:space="preserve"> </v>
      </c>
    </row>
    <row r="168" spans="1:14" x14ac:dyDescent="0.25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56" t="str">
        <f>IFERROR(VLOOKUP(A168,Shipped!I:J,2,)," ")</f>
        <v xml:space="preserve"> </v>
      </c>
    </row>
    <row r="169" spans="1:14" x14ac:dyDescent="0.25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56" t="str">
        <f>IFERROR(VLOOKUP(A169,Shipped!I:J,2,)," ")</f>
        <v xml:space="preserve"> </v>
      </c>
    </row>
    <row r="170" spans="1:14" x14ac:dyDescent="0.25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56" t="str">
        <f>IFERROR(VLOOKUP(A170,Shipped!I:J,2,)," ")</f>
        <v xml:space="preserve"> </v>
      </c>
    </row>
    <row r="171" spans="1:14" x14ac:dyDescent="0.25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56" t="str">
        <f>IFERROR(VLOOKUP(A171,Shipped!I:J,2,)," ")</f>
        <v xml:space="preserve"> </v>
      </c>
    </row>
    <row r="172" spans="1:14" x14ac:dyDescent="0.25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56" t="str">
        <f>IFERROR(VLOOKUP(A172,Shipped!I:J,2,)," ")</f>
        <v xml:space="preserve"> </v>
      </c>
    </row>
    <row r="173" spans="1:14" x14ac:dyDescent="0.25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56" t="str">
        <f>IFERROR(VLOOKUP(A173,Shipped!I:J,2,)," ")</f>
        <v xml:space="preserve"> </v>
      </c>
    </row>
    <row r="174" spans="1:14" x14ac:dyDescent="0.25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56" t="str">
        <f>IFERROR(VLOOKUP(A174,Shipped!I:J,2,)," ")</f>
        <v xml:space="preserve"> </v>
      </c>
    </row>
    <row r="175" spans="1:14" x14ac:dyDescent="0.25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56" t="str">
        <f>IFERROR(VLOOKUP(A175,Shipped!I:J,2,)," ")</f>
        <v xml:space="preserve"> </v>
      </c>
    </row>
    <row r="176" spans="1:14" x14ac:dyDescent="0.25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56" t="str">
        <f>IFERROR(VLOOKUP(A176,Shipped!I:J,2,)," ")</f>
        <v xml:space="preserve"> </v>
      </c>
    </row>
    <row r="177" spans="1:14" x14ac:dyDescent="0.25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56" t="str">
        <f>IFERROR(VLOOKUP(A177,Shipped!I:J,2,)," ")</f>
        <v xml:space="preserve"> </v>
      </c>
    </row>
    <row r="178" spans="1:14" x14ac:dyDescent="0.25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56" t="str">
        <f>IFERROR(VLOOKUP(A178,Shipped!I:J,2,)," ")</f>
        <v xml:space="preserve"> </v>
      </c>
    </row>
    <row r="179" spans="1:14" x14ac:dyDescent="0.25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56" t="str">
        <f>IFERROR(VLOOKUP(A179,Shipped!I:J,2,)," ")</f>
        <v xml:space="preserve"> </v>
      </c>
    </row>
    <row r="180" spans="1:14" x14ac:dyDescent="0.25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56" t="str">
        <f>IFERROR(VLOOKUP(A180,Shipped!I:J,2,)," ")</f>
        <v xml:space="preserve"> </v>
      </c>
    </row>
    <row r="181" spans="1:14" x14ac:dyDescent="0.25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56" t="str">
        <f>IFERROR(VLOOKUP(A181,Shipped!I:J,2,)," ")</f>
        <v xml:space="preserve"> </v>
      </c>
    </row>
    <row r="182" spans="1:14" x14ac:dyDescent="0.25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56" t="str">
        <f>IFERROR(VLOOKUP(A182,Shipped!I:J,2,)," ")</f>
        <v xml:space="preserve"> </v>
      </c>
    </row>
    <row r="183" spans="1:14" x14ac:dyDescent="0.25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56" t="str">
        <f>IFERROR(VLOOKUP(A183,Shipped!I:J,2,)," ")</f>
        <v xml:space="preserve"> </v>
      </c>
    </row>
    <row r="184" spans="1:14" x14ac:dyDescent="0.25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56" t="str">
        <f>IFERROR(VLOOKUP(A184,Shipped!I:J,2,)," ")</f>
        <v xml:space="preserve"> </v>
      </c>
    </row>
    <row r="185" spans="1:14" x14ac:dyDescent="0.25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56" t="str">
        <f>IFERROR(VLOOKUP(A185,Shipped!I:J,2,)," ")</f>
        <v xml:space="preserve"> </v>
      </c>
    </row>
    <row r="186" spans="1:14" x14ac:dyDescent="0.25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56" t="str">
        <f>IFERROR(VLOOKUP(A186,Shipped!I:J,2,)," ")</f>
        <v xml:space="preserve"> </v>
      </c>
    </row>
    <row r="187" spans="1:14" x14ac:dyDescent="0.25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56" t="str">
        <f>IFERROR(VLOOKUP(A187,Shipped!I:J,2,)," ")</f>
        <v xml:space="preserve"> </v>
      </c>
    </row>
    <row r="188" spans="1:14" x14ac:dyDescent="0.25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56" t="str">
        <f>IFERROR(VLOOKUP(A188,Shipped!I:J,2,)," ")</f>
        <v xml:space="preserve"> </v>
      </c>
    </row>
    <row r="189" spans="1:14" x14ac:dyDescent="0.25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56" t="str">
        <f>IFERROR(VLOOKUP(A189,Shipped!I:J,2,)," ")</f>
        <v xml:space="preserve"> </v>
      </c>
    </row>
    <row r="190" spans="1:14" x14ac:dyDescent="0.25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56" t="str">
        <f>IFERROR(VLOOKUP(A190,Shipped!I:J,2,)," ")</f>
        <v xml:space="preserve"> </v>
      </c>
    </row>
    <row r="191" spans="1:14" x14ac:dyDescent="0.25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56" t="str">
        <f>IFERROR(VLOOKUP(A191,Shipped!I:J,2,)," ")</f>
        <v xml:space="preserve"> </v>
      </c>
    </row>
    <row r="192" spans="1:14" x14ac:dyDescent="0.25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56" t="str">
        <f>IFERROR(VLOOKUP(A192,Shipped!I:J,2,)," ")</f>
        <v xml:space="preserve"> </v>
      </c>
    </row>
    <row r="193" spans="1:14" x14ac:dyDescent="0.25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56" t="str">
        <f>IFERROR(VLOOKUP(A193,Shipped!I:J,2,)," ")</f>
        <v xml:space="preserve"> </v>
      </c>
    </row>
    <row r="194" spans="1:14" x14ac:dyDescent="0.25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56" t="str">
        <f>IFERROR(VLOOKUP(A194,Shipped!I:J,2,)," ")</f>
        <v xml:space="preserve"> </v>
      </c>
    </row>
    <row r="195" spans="1:14" x14ac:dyDescent="0.25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56" t="str">
        <f>IFERROR(VLOOKUP(A195,Shipped!I:J,2,)," ")</f>
        <v xml:space="preserve"> </v>
      </c>
    </row>
    <row r="196" spans="1:14" x14ac:dyDescent="0.25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56">
        <f>IFERROR(VLOOKUP(A196,Shipped!I:J,2,)," ")</f>
        <v>46248</v>
      </c>
    </row>
    <row r="197" spans="1:14" x14ac:dyDescent="0.25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56" t="str">
        <f>IFERROR(VLOOKUP(A197,Shipped!I:J,2,)," ")</f>
        <v xml:space="preserve"> </v>
      </c>
    </row>
    <row r="198" spans="1:14" x14ac:dyDescent="0.25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56" t="str">
        <f>IFERROR(VLOOKUP(A198,Shipped!I:J,2,)," ")</f>
        <v xml:space="preserve"> </v>
      </c>
    </row>
    <row r="199" spans="1:14" x14ac:dyDescent="0.25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56">
        <f>IFERROR(VLOOKUP(A199,Shipped!I:J,2,)," ")</f>
        <v>46248</v>
      </c>
    </row>
    <row r="200" spans="1:14" x14ac:dyDescent="0.25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56" t="str">
        <f>IFERROR(VLOOKUP(A200,Shipped!I:J,2,)," ")</f>
        <v xml:space="preserve"> </v>
      </c>
    </row>
    <row r="201" spans="1:14" x14ac:dyDescent="0.25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56">
        <f>IFERROR(VLOOKUP(A201,Shipped!I:J,2,)," ")</f>
        <v>46105</v>
      </c>
    </row>
    <row r="202" spans="1:14" x14ac:dyDescent="0.25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56">
        <f>IFERROR(VLOOKUP(A202,Shipped!I:J,2,)," ")</f>
        <v>46105</v>
      </c>
    </row>
    <row r="203" spans="1:14" x14ac:dyDescent="0.25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56">
        <f>IFERROR(VLOOKUP(A203,Shipped!I:J,2,)," ")</f>
        <v>46248</v>
      </c>
    </row>
    <row r="204" spans="1:14" x14ac:dyDescent="0.25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56">
        <f>IFERROR(VLOOKUP(A204,Shipped!I:J,2,)," ")</f>
        <v>46105</v>
      </c>
    </row>
    <row r="205" spans="1:14" x14ac:dyDescent="0.25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56">
        <f>IFERROR(VLOOKUP(A205,Shipped!I:J,2,)," ")</f>
        <v>46156</v>
      </c>
    </row>
    <row r="206" spans="1:14" x14ac:dyDescent="0.25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56" t="str">
        <f>IFERROR(VLOOKUP(A206,Shipped!I:J,2,)," ")</f>
        <v xml:space="preserve"> </v>
      </c>
    </row>
    <row r="207" spans="1:14" x14ac:dyDescent="0.25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56" t="str">
        <f>IFERROR(VLOOKUP(A207,Shipped!I:J,2,)," ")</f>
        <v xml:space="preserve"> </v>
      </c>
    </row>
    <row r="208" spans="1:14" x14ac:dyDescent="0.25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56">
        <f>IFERROR(VLOOKUP(A208,Shipped!I:J,2,)," ")</f>
        <v>46248</v>
      </c>
    </row>
    <row r="209" spans="1:14" x14ac:dyDescent="0.25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56" t="str">
        <f>IFERROR(VLOOKUP(A209,Shipped!I:J,2,)," ")</f>
        <v xml:space="preserve"> </v>
      </c>
    </row>
    <row r="210" spans="1:14" x14ac:dyDescent="0.25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56" t="str">
        <f>IFERROR(VLOOKUP(A210,Shipped!I:J,2,)," ")</f>
        <v xml:space="preserve"> </v>
      </c>
    </row>
    <row r="211" spans="1:14" x14ac:dyDescent="0.25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56">
        <f>IFERROR(VLOOKUP(A211,Shipped!I:J,2,)," ")</f>
        <v>46097</v>
      </c>
    </row>
    <row r="212" spans="1:14" x14ac:dyDescent="0.25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56">
        <f>IFERROR(VLOOKUP(A212,Shipped!I:J,2,)," ")</f>
        <v>46248</v>
      </c>
    </row>
    <row r="213" spans="1:14" x14ac:dyDescent="0.25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56" t="str">
        <f>IFERROR(VLOOKUP(A213,Shipped!I:J,2,)," ")</f>
        <v xml:space="preserve"> </v>
      </c>
    </row>
    <row r="214" spans="1:14" x14ac:dyDescent="0.25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56" t="str">
        <f>IFERROR(VLOOKUP(A214,Shipped!I:J,2,)," ")</f>
        <v xml:space="preserve"> </v>
      </c>
    </row>
    <row r="215" spans="1:14" x14ac:dyDescent="0.25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56">
        <f>IFERROR(VLOOKUP(A215,Shipped!I:J,2,)," ")</f>
        <v>46128</v>
      </c>
    </row>
    <row r="216" spans="1:14" x14ac:dyDescent="0.25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56">
        <f>IFERROR(VLOOKUP(A216,Shipped!I:J,2,)," ")</f>
        <v>46248</v>
      </c>
    </row>
    <row r="217" spans="1:14" x14ac:dyDescent="0.25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56">
        <f>IFERROR(VLOOKUP(A217,Shipped!I:J,2,)," ")</f>
        <v>46248</v>
      </c>
    </row>
    <row r="218" spans="1:14" x14ac:dyDescent="0.25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56">
        <f>IFERROR(VLOOKUP(A218,Shipped!I:J,2,)," ")</f>
        <v>46248</v>
      </c>
    </row>
    <row r="219" spans="1:14" x14ac:dyDescent="0.25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56">
        <f>IFERROR(VLOOKUP(A219,Shipped!I:J,2,)," ")</f>
        <v>46248</v>
      </c>
    </row>
    <row r="220" spans="1:14" x14ac:dyDescent="0.25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56" t="str">
        <f>IFERROR(VLOOKUP(A220,Shipped!I:J,2,)," ")</f>
        <v xml:space="preserve"> </v>
      </c>
    </row>
    <row r="221" spans="1:14" x14ac:dyDescent="0.25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56">
        <f>IFERROR(VLOOKUP(A221,Shipped!I:J,2,)," ")</f>
        <v>46248</v>
      </c>
    </row>
    <row r="222" spans="1:14" x14ac:dyDescent="0.25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56">
        <f>IFERROR(VLOOKUP(A222,Shipped!I:J,2,)," ")</f>
        <v>46097</v>
      </c>
    </row>
    <row r="223" spans="1:14" x14ac:dyDescent="0.25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56">
        <f>IFERROR(VLOOKUP(A223,Shipped!I:J,2,)," ")</f>
        <v>46105</v>
      </c>
    </row>
    <row r="224" spans="1:14" x14ac:dyDescent="0.25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56">
        <f>IFERROR(VLOOKUP(A224,Shipped!I:J,2,)," ")</f>
        <v>46112</v>
      </c>
    </row>
    <row r="225" spans="1:14" x14ac:dyDescent="0.25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56" t="str">
        <f>IFERROR(VLOOKUP(A225,Shipped!I:J,2,)," ")</f>
        <v xml:space="preserve"> </v>
      </c>
    </row>
    <row r="226" spans="1:14" x14ac:dyDescent="0.25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56">
        <f>IFERROR(VLOOKUP(A226,Shipped!I:J,2,)," ")</f>
        <v>46248</v>
      </c>
    </row>
    <row r="227" spans="1:14" x14ac:dyDescent="0.25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56">
        <f>IFERROR(VLOOKUP(A227,Shipped!I:J,2,)," ")</f>
        <v>46105</v>
      </c>
    </row>
    <row r="228" spans="1:14" x14ac:dyDescent="0.25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56">
        <f>IFERROR(VLOOKUP(A228,Shipped!I:J,2,)," ")</f>
        <v>46248</v>
      </c>
    </row>
    <row r="229" spans="1:14" x14ac:dyDescent="0.25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56">
        <f>IFERROR(VLOOKUP(A229,Shipped!I:J,2,)," ")</f>
        <v>46248</v>
      </c>
    </row>
    <row r="230" spans="1:14" x14ac:dyDescent="0.25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56" t="str">
        <f>IFERROR(VLOOKUP(A230,Shipped!I:J,2,)," ")</f>
        <v xml:space="preserve"> </v>
      </c>
    </row>
    <row r="231" spans="1:14" x14ac:dyDescent="0.25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56">
        <f>IFERROR(VLOOKUP(A231,Shipped!I:J,2,)," ")</f>
        <v>46097</v>
      </c>
    </row>
    <row r="232" spans="1:14" x14ac:dyDescent="0.25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56" t="str">
        <f>IFERROR(VLOOKUP(A232,Shipped!I:J,2,)," ")</f>
        <v xml:space="preserve"> </v>
      </c>
    </row>
    <row r="233" spans="1:14" x14ac:dyDescent="0.25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56" t="str">
        <f>IFERROR(VLOOKUP(A233,Shipped!I:J,2,)," ")</f>
        <v xml:space="preserve"> </v>
      </c>
    </row>
    <row r="234" spans="1:14" x14ac:dyDescent="0.25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56" t="str">
        <f>IFERROR(VLOOKUP(A234,Shipped!I:J,2,)," ")</f>
        <v xml:space="preserve"> </v>
      </c>
    </row>
    <row r="235" spans="1:14" x14ac:dyDescent="0.25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56" t="str">
        <f>IFERROR(VLOOKUP(A235,Shipped!I:J,2,)," ")</f>
        <v xml:space="preserve"> </v>
      </c>
    </row>
    <row r="236" spans="1:14" x14ac:dyDescent="0.25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56" t="str">
        <f>IFERROR(VLOOKUP(A236,Shipped!I:J,2,)," ")</f>
        <v xml:space="preserve"> </v>
      </c>
    </row>
    <row r="237" spans="1:14" x14ac:dyDescent="0.25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56" t="str">
        <f>IFERROR(VLOOKUP(A237,Shipped!I:J,2,)," ")</f>
        <v xml:space="preserve"> </v>
      </c>
    </row>
    <row r="238" spans="1:14" x14ac:dyDescent="0.25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56" t="str">
        <f>IFERROR(VLOOKUP(A238,Shipped!I:J,2,)," ")</f>
        <v xml:space="preserve"> </v>
      </c>
    </row>
    <row r="239" spans="1:14" x14ac:dyDescent="0.25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56" t="str">
        <f>IFERROR(VLOOKUP(A239,Shipped!I:J,2,)," ")</f>
        <v xml:space="preserve"> </v>
      </c>
    </row>
    <row r="240" spans="1:14" x14ac:dyDescent="0.25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56">
        <f>IFERROR(VLOOKUP(A240,Shipped!I:J,2,)," ")</f>
        <v>46112</v>
      </c>
    </row>
    <row r="241" spans="1:14" x14ac:dyDescent="0.25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56" t="str">
        <f>IFERROR(VLOOKUP(A241,Shipped!I:J,2,)," ")</f>
        <v xml:space="preserve"> </v>
      </c>
    </row>
    <row r="242" spans="1:14" x14ac:dyDescent="0.25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56" t="str">
        <f>IFERROR(VLOOKUP(A242,Shipped!I:J,2,)," ")</f>
        <v xml:space="preserve"> </v>
      </c>
    </row>
    <row r="243" spans="1:14" x14ac:dyDescent="0.25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56" t="str">
        <f>IFERROR(VLOOKUP(A243,Shipped!I:J,2,)," ")</f>
        <v xml:space="preserve"> </v>
      </c>
    </row>
    <row r="244" spans="1:14" x14ac:dyDescent="0.25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56">
        <f>IFERROR(VLOOKUP(A244,Shipped!I:J,2,)," ")</f>
        <v>46112</v>
      </c>
    </row>
    <row r="245" spans="1:14" x14ac:dyDescent="0.25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56">
        <f>IFERROR(VLOOKUP(A245,Shipped!I:J,2,)," ")</f>
        <v>46248</v>
      </c>
    </row>
    <row r="246" spans="1:14" x14ac:dyDescent="0.25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56" t="str">
        <f>IFERROR(VLOOKUP(A246,Shipped!I:J,2,)," ")</f>
        <v xml:space="preserve"> </v>
      </c>
    </row>
    <row r="247" spans="1:14" x14ac:dyDescent="0.25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56">
        <f>IFERROR(VLOOKUP(A247,Shipped!I:J,2,)," ")</f>
        <v>46248</v>
      </c>
    </row>
    <row r="248" spans="1:14" x14ac:dyDescent="0.25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56">
        <f>IFERROR(VLOOKUP(A248,Shipped!I:J,2,)," ")</f>
        <v>46248</v>
      </c>
    </row>
    <row r="249" spans="1:14" x14ac:dyDescent="0.25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56" t="str">
        <f>IFERROR(VLOOKUP(A249,Shipped!I:J,2,)," ")</f>
        <v xml:space="preserve"> </v>
      </c>
    </row>
    <row r="250" spans="1:14" x14ac:dyDescent="0.25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56" t="str">
        <f>IFERROR(VLOOKUP(A250,Shipped!I:J,2,)," ")</f>
        <v xml:space="preserve"> </v>
      </c>
    </row>
    <row r="251" spans="1:14" x14ac:dyDescent="0.25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56" t="str">
        <f>IFERROR(VLOOKUP(A251,Shipped!I:J,2,)," ")</f>
        <v xml:space="preserve"> </v>
      </c>
    </row>
    <row r="252" spans="1:14" x14ac:dyDescent="0.25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56" t="str">
        <f>IFERROR(VLOOKUP(A252,Shipped!I:J,2,)," ")</f>
        <v xml:space="preserve"> </v>
      </c>
    </row>
    <row r="253" spans="1:14" x14ac:dyDescent="0.25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56" t="str">
        <f>IFERROR(VLOOKUP(A253,Shipped!I:J,2,)," ")</f>
        <v xml:space="preserve"> </v>
      </c>
    </row>
    <row r="254" spans="1:14" x14ac:dyDescent="0.25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56" t="str">
        <f>IFERROR(VLOOKUP(A254,Shipped!I:J,2,)," ")</f>
        <v xml:space="preserve"> </v>
      </c>
    </row>
    <row r="255" spans="1:14" x14ac:dyDescent="0.25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56">
        <f>IFERROR(VLOOKUP(A255,Shipped!I:J,2,)," ")</f>
        <v>46097</v>
      </c>
    </row>
    <row r="256" spans="1:14" x14ac:dyDescent="0.25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56">
        <f>IFERROR(VLOOKUP(A256,Shipped!I:J,2,)," ")</f>
        <v>46112</v>
      </c>
    </row>
    <row r="257" spans="1:14" x14ac:dyDescent="0.25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56" t="str">
        <f>IFERROR(VLOOKUP(A257,Shipped!I:J,2,)," ")</f>
        <v xml:space="preserve"> </v>
      </c>
    </row>
    <row r="258" spans="1:14" x14ac:dyDescent="0.25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56" t="str">
        <f>IFERROR(VLOOKUP(A258,Shipped!I:J,2,)," ")</f>
        <v xml:space="preserve"> </v>
      </c>
    </row>
    <row r="259" spans="1:14" x14ac:dyDescent="0.25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56" t="str">
        <f>IFERROR(VLOOKUP(A259,Shipped!I:J,2,)," ")</f>
        <v xml:space="preserve"> </v>
      </c>
    </row>
    <row r="260" spans="1:14" x14ac:dyDescent="0.25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56">
        <f>IFERROR(VLOOKUP(A260,Shipped!I:J,2,)," ")</f>
        <v>46128</v>
      </c>
    </row>
    <row r="261" spans="1:14" x14ac:dyDescent="0.25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56" t="str">
        <f>IFERROR(VLOOKUP(A261,Shipped!I:J,2,)," ")</f>
        <v xml:space="preserve"> </v>
      </c>
    </row>
    <row r="262" spans="1:14" x14ac:dyDescent="0.25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56" t="str">
        <f>IFERROR(VLOOKUP(A262,Shipped!I:J,2,)," ")</f>
        <v xml:space="preserve"> </v>
      </c>
    </row>
    <row r="263" spans="1:14" x14ac:dyDescent="0.25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56" t="str">
        <f>IFERROR(VLOOKUP(A263,Shipped!I:J,2,)," ")</f>
        <v xml:space="preserve"> </v>
      </c>
    </row>
    <row r="264" spans="1:14" x14ac:dyDescent="0.25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56" t="str">
        <f>IFERROR(VLOOKUP(A264,Shipped!I:J,2,)," ")</f>
        <v xml:space="preserve"> </v>
      </c>
    </row>
    <row r="265" spans="1:14" x14ac:dyDescent="0.25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56">
        <f>IFERROR(VLOOKUP(A265,Shipped!I:J,2,)," ")</f>
        <v>46248</v>
      </c>
    </row>
    <row r="266" spans="1:14" x14ac:dyDescent="0.25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56" t="str">
        <f>IFERROR(VLOOKUP(A266,Shipped!I:J,2,)," ")</f>
        <v xml:space="preserve"> </v>
      </c>
    </row>
    <row r="267" spans="1:14" x14ac:dyDescent="0.25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56" t="str">
        <f>IFERROR(VLOOKUP(A267,Shipped!I:J,2,)," ")</f>
        <v xml:space="preserve"> </v>
      </c>
    </row>
    <row r="268" spans="1:14" x14ac:dyDescent="0.25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56" t="str">
        <f>IFERROR(VLOOKUP(A268,Shipped!I:J,2,)," ")</f>
        <v xml:space="preserve"> </v>
      </c>
    </row>
    <row r="269" spans="1:14" x14ac:dyDescent="0.25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56">
        <f>IFERROR(VLOOKUP(A269,Shipped!I:J,2,)," ")</f>
        <v>46248</v>
      </c>
    </row>
    <row r="270" spans="1:14" x14ac:dyDescent="0.25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56">
        <f>IFERROR(VLOOKUP(A270,Shipped!I:J,2,)," ")</f>
        <v>46248</v>
      </c>
    </row>
    <row r="271" spans="1:14" x14ac:dyDescent="0.25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56" t="str">
        <f>IFERROR(VLOOKUP(A271,Shipped!I:J,2,)," ")</f>
        <v xml:space="preserve"> </v>
      </c>
    </row>
    <row r="272" spans="1:14" x14ac:dyDescent="0.25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56">
        <f>IFERROR(VLOOKUP(A272,Shipped!I:J,2,)," ")</f>
        <v>46248</v>
      </c>
    </row>
    <row r="273" spans="1:14" x14ac:dyDescent="0.25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56">
        <f>IFERROR(VLOOKUP(A273,Shipped!I:J,2,)," ")</f>
        <v>46248</v>
      </c>
    </row>
    <row r="274" spans="1:14" x14ac:dyDescent="0.25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56" t="str">
        <f>IFERROR(VLOOKUP(A274,Shipped!I:J,2,)," ")</f>
        <v xml:space="preserve"> </v>
      </c>
    </row>
    <row r="275" spans="1:14" x14ac:dyDescent="0.25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56">
        <f>IFERROR(VLOOKUP(A275,Shipped!I:J,2,)," ")</f>
        <v>46248</v>
      </c>
    </row>
    <row r="276" spans="1:14" x14ac:dyDescent="0.25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56" t="str">
        <f>IFERROR(VLOOKUP(A276,Shipped!I:J,2,)," ")</f>
        <v xml:space="preserve"> </v>
      </c>
    </row>
    <row r="277" spans="1:14" x14ac:dyDescent="0.25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56" t="str">
        <f>IFERROR(VLOOKUP(A277,Shipped!I:J,2,)," ")</f>
        <v xml:space="preserve"> </v>
      </c>
    </row>
    <row r="278" spans="1:14" x14ac:dyDescent="0.25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56" t="str">
        <f>IFERROR(VLOOKUP(A278,Shipped!I:J,2,)," ")</f>
        <v xml:space="preserve"> </v>
      </c>
    </row>
    <row r="279" spans="1:14" x14ac:dyDescent="0.25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56" t="str">
        <f>IFERROR(VLOOKUP(A279,Shipped!I:J,2,)," ")</f>
        <v xml:space="preserve"> </v>
      </c>
    </row>
    <row r="280" spans="1:14" x14ac:dyDescent="0.25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56">
        <f>IFERROR(VLOOKUP(A280,Shipped!I:J,2,)," ")</f>
        <v>46097</v>
      </c>
    </row>
    <row r="281" spans="1:14" x14ac:dyDescent="0.25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56" t="str">
        <f>IFERROR(VLOOKUP(A281,Shipped!I:J,2,)," ")</f>
        <v xml:space="preserve"> </v>
      </c>
    </row>
    <row r="282" spans="1:14" x14ac:dyDescent="0.25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56">
        <f>IFERROR(VLOOKUP(A282,Shipped!I:J,2,)," ")</f>
        <v>46097</v>
      </c>
    </row>
    <row r="283" spans="1:14" x14ac:dyDescent="0.25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56">
        <f>IFERROR(VLOOKUP(A283,Shipped!I:J,2,)," ")</f>
        <v>46097</v>
      </c>
    </row>
    <row r="284" spans="1:14" x14ac:dyDescent="0.25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56">
        <f>IFERROR(VLOOKUP(A284,Shipped!I:J,2,)," ")</f>
        <v>46169</v>
      </c>
    </row>
    <row r="285" spans="1:14" x14ac:dyDescent="0.25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56">
        <f>IFERROR(VLOOKUP(A285,Shipped!I:J,2,)," ")</f>
        <v>46248</v>
      </c>
    </row>
    <row r="286" spans="1:14" x14ac:dyDescent="0.25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56" t="str">
        <f>IFERROR(VLOOKUP(A286,Shipped!I:J,2,)," ")</f>
        <v xml:space="preserve"> </v>
      </c>
    </row>
    <row r="287" spans="1:14" x14ac:dyDescent="0.25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56">
        <f>IFERROR(VLOOKUP(A287,Shipped!I:J,2,)," ")</f>
        <v>46248</v>
      </c>
    </row>
    <row r="288" spans="1:14" x14ac:dyDescent="0.25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56">
        <f>IFERROR(VLOOKUP(A288,Shipped!I:J,2,)," ")</f>
        <v>46248</v>
      </c>
    </row>
    <row r="289" spans="1:14" x14ac:dyDescent="0.25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56" t="str">
        <f>IFERROR(VLOOKUP(A289,Shipped!I:J,2,)," ")</f>
        <v xml:space="preserve"> </v>
      </c>
    </row>
    <row r="290" spans="1:14" x14ac:dyDescent="0.25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56">
        <f>IFERROR(VLOOKUP(A290,Shipped!I:J,2,)," ")</f>
        <v>46248</v>
      </c>
    </row>
    <row r="291" spans="1:14" x14ac:dyDescent="0.25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56" t="str">
        <f>IFERROR(VLOOKUP(A291,Shipped!I:J,2,)," ")</f>
        <v xml:space="preserve"> </v>
      </c>
    </row>
    <row r="292" spans="1:14" x14ac:dyDescent="0.25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56">
        <f>IFERROR(VLOOKUP(A292,Shipped!I:J,2,)," ")</f>
        <v>46097</v>
      </c>
    </row>
    <row r="293" spans="1:14" x14ac:dyDescent="0.25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56">
        <f>IFERROR(VLOOKUP(A293,Shipped!I:J,2,)," ")</f>
        <v>46097</v>
      </c>
    </row>
    <row r="294" spans="1:14" x14ac:dyDescent="0.25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56">
        <f>IFERROR(VLOOKUP(A294,Shipped!I:J,2,)," ")</f>
        <v>46248</v>
      </c>
    </row>
    <row r="295" spans="1:14" x14ac:dyDescent="0.25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56">
        <f>IFERROR(VLOOKUP(A295,Shipped!I:J,2,)," ")</f>
        <v>46248</v>
      </c>
    </row>
    <row r="296" spans="1:14" x14ac:dyDescent="0.25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56">
        <f>IFERROR(VLOOKUP(A296,Shipped!I:J,2,)," ")</f>
        <v>46248</v>
      </c>
    </row>
    <row r="297" spans="1:14" x14ac:dyDescent="0.25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56">
        <f>IFERROR(VLOOKUP(A297,Shipped!I:J,2,)," ")</f>
        <v>46169</v>
      </c>
    </row>
    <row r="298" spans="1:14" x14ac:dyDescent="0.25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56" t="str">
        <f>IFERROR(VLOOKUP(A298,Shipped!I:J,2,)," ")</f>
        <v xml:space="preserve"> </v>
      </c>
    </row>
    <row r="299" spans="1:14" x14ac:dyDescent="0.25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56">
        <f>IFERROR(VLOOKUP(A299,Shipped!I:J,2,)," ")</f>
        <v>46248</v>
      </c>
    </row>
    <row r="300" spans="1:14" x14ac:dyDescent="0.25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56">
        <f>IFERROR(VLOOKUP(A300,Shipped!I:J,2,)," ")</f>
        <v>46248</v>
      </c>
    </row>
    <row r="301" spans="1:14" x14ac:dyDescent="0.25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56" t="str">
        <f>IFERROR(VLOOKUP(A301,Shipped!I:J,2,)," ")</f>
        <v xml:space="preserve"> </v>
      </c>
    </row>
    <row r="302" spans="1:14" x14ac:dyDescent="0.25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56">
        <f>IFERROR(VLOOKUP(A302,Shipped!I:J,2,)," ")</f>
        <v>46248</v>
      </c>
    </row>
    <row r="303" spans="1:14" x14ac:dyDescent="0.25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56" t="str">
        <f>IFERROR(VLOOKUP(A303,Shipped!I:J,2,)," ")</f>
        <v xml:space="preserve"> </v>
      </c>
    </row>
    <row r="304" spans="1:14" x14ac:dyDescent="0.25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56">
        <f>IFERROR(VLOOKUP(A304,Shipped!I:J,2,)," ")</f>
        <v>46169</v>
      </c>
    </row>
    <row r="305" spans="1:14" x14ac:dyDescent="0.25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56">
        <f>IFERROR(VLOOKUP(A305,Shipped!I:J,2,)," ")</f>
        <v>46248</v>
      </c>
    </row>
    <row r="306" spans="1:14" x14ac:dyDescent="0.25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56">
        <f>IFERROR(VLOOKUP(A306,Shipped!I:J,2,)," ")</f>
        <v>46248</v>
      </c>
    </row>
    <row r="307" spans="1:14" x14ac:dyDescent="0.25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56">
        <f>IFERROR(VLOOKUP(A307,Shipped!I:J,2,)," ")</f>
        <v>46156</v>
      </c>
    </row>
    <row r="308" spans="1:14" x14ac:dyDescent="0.25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56" t="str">
        <f>IFERROR(VLOOKUP(A308,Shipped!I:J,2,)," ")</f>
        <v xml:space="preserve"> </v>
      </c>
    </row>
    <row r="309" spans="1:14" x14ac:dyDescent="0.25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56" t="str">
        <f>IFERROR(VLOOKUP(A309,Shipped!I:J,2,)," ")</f>
        <v xml:space="preserve"> </v>
      </c>
    </row>
    <row r="310" spans="1:14" x14ac:dyDescent="0.25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56" t="str">
        <f>IFERROR(VLOOKUP(A310,Shipped!I:J,2,)," ")</f>
        <v xml:space="preserve"> </v>
      </c>
    </row>
    <row r="311" spans="1:14" x14ac:dyDescent="0.25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56" t="str">
        <f>IFERROR(VLOOKUP(A311,Shipped!I:J,2,)," ")</f>
        <v xml:space="preserve"> </v>
      </c>
    </row>
    <row r="312" spans="1:14" x14ac:dyDescent="0.25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56">
        <f>IFERROR(VLOOKUP(A312,Shipped!I:J,2,)," ")</f>
        <v>46248</v>
      </c>
    </row>
    <row r="313" spans="1:14" x14ac:dyDescent="0.25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56" t="str">
        <f>IFERROR(VLOOKUP(A313,Shipped!I:J,2,)," ")</f>
        <v xml:space="preserve"> </v>
      </c>
    </row>
    <row r="314" spans="1:14" x14ac:dyDescent="0.25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56" t="str">
        <f>IFERROR(VLOOKUP(A314,Shipped!I:J,2,)," ")</f>
        <v xml:space="preserve"> </v>
      </c>
    </row>
    <row r="315" spans="1:14" x14ac:dyDescent="0.25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56">
        <f>IFERROR(VLOOKUP(A315,Shipped!I:J,2,)," ")</f>
        <v>46248</v>
      </c>
    </row>
    <row r="316" spans="1:14" x14ac:dyDescent="0.25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56">
        <f>IFERROR(VLOOKUP(A316,Shipped!I:J,2,)," ")</f>
        <v>46248</v>
      </c>
    </row>
    <row r="317" spans="1:14" x14ac:dyDescent="0.25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56" t="str">
        <f>IFERROR(VLOOKUP(A317,Shipped!I:J,2,)," ")</f>
        <v xml:space="preserve"> </v>
      </c>
    </row>
    <row r="318" spans="1:14" x14ac:dyDescent="0.25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56">
        <f>IFERROR(VLOOKUP(A318,Shipped!I:J,2,)," ")</f>
        <v>46248</v>
      </c>
    </row>
    <row r="319" spans="1:14" x14ac:dyDescent="0.25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56">
        <f>IFERROR(VLOOKUP(A319,Shipped!I:J,2,)," ")</f>
        <v>46248</v>
      </c>
    </row>
    <row r="320" spans="1:14" x14ac:dyDescent="0.25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56" t="str">
        <f>IFERROR(VLOOKUP(A320,Shipped!I:J,2,)," ")</f>
        <v xml:space="preserve"> </v>
      </c>
    </row>
    <row r="321" spans="1:14" x14ac:dyDescent="0.25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56">
        <f>IFERROR(VLOOKUP(A321,Shipped!I:J,2,)," ")</f>
        <v>46112</v>
      </c>
    </row>
    <row r="322" spans="1:14" x14ac:dyDescent="0.25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56">
        <f>IFERROR(VLOOKUP(A322,Shipped!I:J,2,)," ")</f>
        <v>46248</v>
      </c>
    </row>
    <row r="323" spans="1:14" x14ac:dyDescent="0.25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56" t="str">
        <f>IFERROR(VLOOKUP(A323,Shipped!I:J,2,)," ")</f>
        <v xml:space="preserve"> </v>
      </c>
    </row>
    <row r="324" spans="1:14" x14ac:dyDescent="0.25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56" t="str">
        <f>IFERROR(VLOOKUP(A324,Shipped!I:J,2,)," ")</f>
        <v xml:space="preserve"> </v>
      </c>
    </row>
    <row r="325" spans="1:14" x14ac:dyDescent="0.25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56">
        <f>IFERROR(VLOOKUP(A325,Shipped!I:J,2,)," ")</f>
        <v>46112</v>
      </c>
    </row>
    <row r="326" spans="1:14" x14ac:dyDescent="0.25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56" t="str">
        <f>IFERROR(VLOOKUP(A326,Shipped!I:J,2,)," ")</f>
        <v xml:space="preserve"> </v>
      </c>
    </row>
    <row r="327" spans="1:14" x14ac:dyDescent="0.25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56">
        <f>IFERROR(VLOOKUP(A327,Shipped!I:J,2,)," ")</f>
        <v>46169</v>
      </c>
    </row>
    <row r="328" spans="1:14" x14ac:dyDescent="0.25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56">
        <f>IFERROR(VLOOKUP(A328,Shipped!I:J,2,)," ")</f>
        <v>46254</v>
      </c>
    </row>
    <row r="329" spans="1:14" x14ac:dyDescent="0.25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56">
        <f>IFERROR(VLOOKUP(A329,Shipped!I:J,2,)," ")</f>
        <v>46248</v>
      </c>
    </row>
    <row r="330" spans="1:14" x14ac:dyDescent="0.25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56">
        <f>IFERROR(VLOOKUP(A330,Shipped!I:J,2,)," ")</f>
        <v>46248</v>
      </c>
    </row>
    <row r="331" spans="1:14" x14ac:dyDescent="0.25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56">
        <f>IFERROR(VLOOKUP(A331,Shipped!I:J,2,)," ")</f>
        <v>46248</v>
      </c>
    </row>
    <row r="332" spans="1:14" x14ac:dyDescent="0.25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56" t="str">
        <f>IFERROR(VLOOKUP(A332,Shipped!I:J,2,)," ")</f>
        <v xml:space="preserve"> </v>
      </c>
    </row>
    <row r="333" spans="1:14" x14ac:dyDescent="0.25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56">
        <f>IFERROR(VLOOKUP(A333,Shipped!I:J,2,)," ")</f>
        <v>46169</v>
      </c>
    </row>
    <row r="334" spans="1:14" x14ac:dyDescent="0.25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56" t="str">
        <f>IFERROR(VLOOKUP(A334,Shipped!I:J,2,)," ")</f>
        <v xml:space="preserve"> </v>
      </c>
    </row>
    <row r="335" spans="1:14" x14ac:dyDescent="0.25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56">
        <f>IFERROR(VLOOKUP(A335,Shipped!I:J,2,)," ")</f>
        <v>46112</v>
      </c>
    </row>
    <row r="336" spans="1:14" x14ac:dyDescent="0.25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56">
        <f>IFERROR(VLOOKUP(A336,Shipped!I:J,2,)," ")</f>
        <v>46248</v>
      </c>
    </row>
    <row r="337" spans="1:14" x14ac:dyDescent="0.25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56">
        <f>IFERROR(VLOOKUP(A337,Shipped!I:J,2,)," ")</f>
        <v>46156</v>
      </c>
    </row>
    <row r="338" spans="1:14" x14ac:dyDescent="0.25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56">
        <f>IFERROR(VLOOKUP(A338,Shipped!I:J,2,)," ")</f>
        <v>46112</v>
      </c>
    </row>
    <row r="339" spans="1:14" x14ac:dyDescent="0.25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56">
        <f>IFERROR(VLOOKUP(A339,Shipped!I:J,2,)," ")</f>
        <v>46248</v>
      </c>
    </row>
    <row r="340" spans="1:14" x14ac:dyDescent="0.25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56">
        <f>IFERROR(VLOOKUP(A340,Shipped!I:J,2,)," ")</f>
        <v>46248</v>
      </c>
    </row>
    <row r="341" spans="1:14" x14ac:dyDescent="0.25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56" t="str">
        <f>IFERROR(VLOOKUP(A341,Shipped!I:J,2,)," ")</f>
        <v xml:space="preserve"> </v>
      </c>
    </row>
    <row r="342" spans="1:14" x14ac:dyDescent="0.25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56">
        <f>IFERROR(VLOOKUP(A342,Shipped!I:J,2,)," ")</f>
        <v>46254</v>
      </c>
    </row>
    <row r="343" spans="1:14" x14ac:dyDescent="0.25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56" t="str">
        <f>IFERROR(VLOOKUP(A343,Shipped!I:J,2,)," ")</f>
        <v xml:space="preserve"> </v>
      </c>
    </row>
    <row r="344" spans="1:14" x14ac:dyDescent="0.25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56" t="str">
        <f>IFERROR(VLOOKUP(A344,Shipped!I:J,2,)," ")</f>
        <v xml:space="preserve"> </v>
      </c>
    </row>
    <row r="345" spans="1:14" x14ac:dyDescent="0.25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56" t="str">
        <f>IFERROR(VLOOKUP(A345,Shipped!I:J,2,)," ")</f>
        <v xml:space="preserve"> </v>
      </c>
    </row>
    <row r="346" spans="1:14" x14ac:dyDescent="0.25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56" t="str">
        <f>IFERROR(VLOOKUP(A346,Shipped!I:J,2,)," ")</f>
        <v xml:space="preserve"> </v>
      </c>
    </row>
    <row r="347" spans="1:14" x14ac:dyDescent="0.25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56">
        <f>IFERROR(VLOOKUP(A347,Shipped!I:J,2,)," ")</f>
        <v>46254</v>
      </c>
    </row>
    <row r="348" spans="1:14" x14ac:dyDescent="0.25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56">
        <f>IFERROR(VLOOKUP(A348,Shipped!I:J,2,)," ")</f>
        <v>46254</v>
      </c>
    </row>
    <row r="349" spans="1:14" x14ac:dyDescent="0.25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56" t="str">
        <f>IFERROR(VLOOKUP(A349,Shipped!I:J,2,)," ")</f>
        <v xml:space="preserve"> </v>
      </c>
    </row>
    <row r="350" spans="1:14" x14ac:dyDescent="0.25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56" t="str">
        <f>IFERROR(VLOOKUP(A350,Shipped!I:J,2,)," ")</f>
        <v xml:space="preserve"> </v>
      </c>
    </row>
    <row r="351" spans="1:14" x14ac:dyDescent="0.25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56" t="str">
        <f>IFERROR(VLOOKUP(A351,Shipped!I:J,2,)," ")</f>
        <v xml:space="preserve"> </v>
      </c>
    </row>
    <row r="352" spans="1:14" x14ac:dyDescent="0.25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56" t="str">
        <f>IFERROR(VLOOKUP(A352,Shipped!I:J,2,)," ")</f>
        <v xml:space="preserve"> </v>
      </c>
    </row>
    <row r="353" spans="1:14" x14ac:dyDescent="0.25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56">
        <f>IFERROR(VLOOKUP(A353,Shipped!I:J,2,)," ")</f>
        <v>46248</v>
      </c>
    </row>
    <row r="354" spans="1:14" x14ac:dyDescent="0.25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56">
        <f>IFERROR(VLOOKUP(A354,Shipped!I:J,2,)," ")</f>
        <v>46248</v>
      </c>
    </row>
    <row r="355" spans="1:14" x14ac:dyDescent="0.25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56">
        <f>IFERROR(VLOOKUP(A355,Shipped!I:J,2,)," ")</f>
        <v>46248</v>
      </c>
    </row>
    <row r="356" spans="1:14" x14ac:dyDescent="0.25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56" t="str">
        <f>IFERROR(VLOOKUP(A356,Shipped!I:J,2,)," ")</f>
        <v xml:space="preserve"> </v>
      </c>
    </row>
    <row r="357" spans="1:14" x14ac:dyDescent="0.25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56" t="str">
        <f>IFERROR(VLOOKUP(A357,Shipped!I:J,2,)," ")</f>
        <v xml:space="preserve"> </v>
      </c>
    </row>
    <row r="358" spans="1:14" x14ac:dyDescent="0.25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56">
        <f>IFERROR(VLOOKUP(A358,Shipped!I:J,2,)," ")</f>
        <v>46254</v>
      </c>
    </row>
    <row r="359" spans="1:14" x14ac:dyDescent="0.25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56" t="str">
        <f>IFERROR(VLOOKUP(A359,Shipped!I:J,2,)," ")</f>
        <v xml:space="preserve"> </v>
      </c>
    </row>
    <row r="360" spans="1:14" x14ac:dyDescent="0.25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56">
        <f>IFERROR(VLOOKUP(A360,Shipped!I:J,2,)," ")</f>
        <v>46254</v>
      </c>
    </row>
    <row r="361" spans="1:14" x14ac:dyDescent="0.25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56">
        <f>IFERROR(VLOOKUP(A361,Shipped!I:J,2,)," ")</f>
        <v>46254</v>
      </c>
    </row>
    <row r="362" spans="1:14" x14ac:dyDescent="0.25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56">
        <f>IFERROR(VLOOKUP(A362,Shipped!I:J,2,)," ")</f>
        <v>46248</v>
      </c>
    </row>
    <row r="363" spans="1:14" x14ac:dyDescent="0.25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56">
        <f>IFERROR(VLOOKUP(A363,Shipped!I:J,2,)," ")</f>
        <v>46156</v>
      </c>
    </row>
    <row r="364" spans="1:14" x14ac:dyDescent="0.25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56">
        <f>IFERROR(VLOOKUP(A364,Shipped!I:J,2,)," ")</f>
        <v>46248</v>
      </c>
    </row>
    <row r="365" spans="1:14" x14ac:dyDescent="0.25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56">
        <f>IFERROR(VLOOKUP(A365,Shipped!I:J,2,)," ")</f>
        <v>46248</v>
      </c>
    </row>
    <row r="366" spans="1:14" x14ac:dyDescent="0.25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56">
        <f>IFERROR(VLOOKUP(A366,Shipped!I:J,2,)," ")</f>
        <v>46248</v>
      </c>
    </row>
    <row r="367" spans="1:14" x14ac:dyDescent="0.25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56">
        <f>IFERROR(VLOOKUP(A367,Shipped!I:J,2,)," ")</f>
        <v>46248</v>
      </c>
    </row>
    <row r="368" spans="1:14" x14ac:dyDescent="0.25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56">
        <f>IFERROR(VLOOKUP(A368,Shipped!I:J,2,)," ")</f>
        <v>46248</v>
      </c>
    </row>
    <row r="369" spans="1:14" x14ac:dyDescent="0.25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56" t="str">
        <f>IFERROR(VLOOKUP(A369,Shipped!I:J,2,)," ")</f>
        <v xml:space="preserve"> </v>
      </c>
    </row>
    <row r="370" spans="1:14" x14ac:dyDescent="0.25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56">
        <f>IFERROR(VLOOKUP(A370,Shipped!I:J,2,)," ")</f>
        <v>46248</v>
      </c>
    </row>
    <row r="371" spans="1:14" x14ac:dyDescent="0.25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56">
        <f>IFERROR(VLOOKUP(A371,Shipped!I:J,2,)," ")</f>
        <v>46248</v>
      </c>
    </row>
    <row r="372" spans="1:14" x14ac:dyDescent="0.25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56">
        <f>IFERROR(VLOOKUP(A372,Shipped!I:J,2,)," ")</f>
        <v>46254</v>
      </c>
    </row>
    <row r="373" spans="1:14" x14ac:dyDescent="0.25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56">
        <f>IFERROR(VLOOKUP(A373,Shipped!I:J,2,)," ")</f>
        <v>46248</v>
      </c>
    </row>
    <row r="374" spans="1:14" x14ac:dyDescent="0.25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56">
        <f>IFERROR(VLOOKUP(A374,Shipped!I:J,2,)," ")</f>
        <v>46248</v>
      </c>
    </row>
    <row r="375" spans="1:14" x14ac:dyDescent="0.25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56">
        <f>IFERROR(VLOOKUP(A375,Shipped!I:J,2,)," ")</f>
        <v>46248</v>
      </c>
    </row>
    <row r="376" spans="1:14" x14ac:dyDescent="0.25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56">
        <f>IFERROR(VLOOKUP(A376,Shipped!I:J,2,)," ")</f>
        <v>46248</v>
      </c>
    </row>
    <row r="377" spans="1:14" x14ac:dyDescent="0.25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56">
        <f>IFERROR(VLOOKUP(A377,Shipped!I:J,2,)," ")</f>
        <v>46248</v>
      </c>
    </row>
    <row r="378" spans="1:14" x14ac:dyDescent="0.25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56">
        <f>IFERROR(VLOOKUP(A378,Shipped!I:J,2,)," ")</f>
        <v>46248</v>
      </c>
    </row>
    <row r="379" spans="1:14" x14ac:dyDescent="0.25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56" t="str">
        <f>IFERROR(VLOOKUP(A379,Shipped!I:J,2,)," ")</f>
        <v xml:space="preserve"> </v>
      </c>
    </row>
    <row r="380" spans="1:14" x14ac:dyDescent="0.25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56" t="str">
        <f>IFERROR(VLOOKUP(A380,Shipped!I:J,2,)," ")</f>
        <v xml:space="preserve"> </v>
      </c>
    </row>
    <row r="381" spans="1:14" x14ac:dyDescent="0.25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56" t="str">
        <f>IFERROR(VLOOKUP(A381,Shipped!I:J,2,)," ")</f>
        <v xml:space="preserve"> </v>
      </c>
    </row>
    <row r="382" spans="1:14" x14ac:dyDescent="0.25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56">
        <f>IFERROR(VLOOKUP(A382,Shipped!I:J,2,)," ")</f>
        <v>46169</v>
      </c>
    </row>
    <row r="383" spans="1:14" x14ac:dyDescent="0.25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56">
        <f>IFERROR(VLOOKUP(A383,Shipped!I:J,2,)," ")</f>
        <v>46248</v>
      </c>
    </row>
    <row r="384" spans="1:14" x14ac:dyDescent="0.25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56">
        <f>IFERROR(VLOOKUP(A384,Shipped!I:J,2,)," ")</f>
        <v>46248</v>
      </c>
    </row>
    <row r="385" spans="1:14" x14ac:dyDescent="0.25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56">
        <f>IFERROR(VLOOKUP(A385,Shipped!I:J,2,)," ")</f>
        <v>46248</v>
      </c>
    </row>
    <row r="386" spans="1:14" x14ac:dyDescent="0.25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56">
        <f>IFERROR(VLOOKUP(A386,Shipped!I:J,2,)," ")</f>
        <v>46248</v>
      </c>
    </row>
    <row r="387" spans="1:14" x14ac:dyDescent="0.25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56">
        <f>IFERROR(VLOOKUP(A387,Shipped!I:J,2,)," ")</f>
        <v>46248</v>
      </c>
    </row>
    <row r="388" spans="1:14" x14ac:dyDescent="0.25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56">
        <f>IFERROR(VLOOKUP(A388,Shipped!I:J,2,)," ")</f>
        <v>46248</v>
      </c>
    </row>
    <row r="389" spans="1:14" x14ac:dyDescent="0.25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56">
        <f>IFERROR(VLOOKUP(A389,Shipped!I:J,2,)," ")</f>
        <v>46248</v>
      </c>
    </row>
    <row r="390" spans="1:14" x14ac:dyDescent="0.25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56">
        <f>IFERROR(VLOOKUP(A390,Shipped!I:J,2,)," ")</f>
        <v>46248</v>
      </c>
    </row>
    <row r="391" spans="1:14" x14ac:dyDescent="0.25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56">
        <f>IFERROR(VLOOKUP(A391,Shipped!I:J,2,)," ")</f>
        <v>46248</v>
      </c>
    </row>
    <row r="392" spans="1:14" x14ac:dyDescent="0.25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56">
        <f>IFERROR(VLOOKUP(A392,Shipped!I:J,2,)," ")</f>
        <v>46248</v>
      </c>
    </row>
    <row r="393" spans="1:14" x14ac:dyDescent="0.25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56" t="str">
        <f>IFERROR(VLOOKUP(A393,Shipped!I:J,2,)," ")</f>
        <v xml:space="preserve"> </v>
      </c>
    </row>
    <row r="394" spans="1:14" x14ac:dyDescent="0.25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56">
        <f>IFERROR(VLOOKUP(A394,Shipped!I:J,2,)," ")</f>
        <v>46248</v>
      </c>
    </row>
    <row r="395" spans="1:14" x14ac:dyDescent="0.25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56">
        <f>IFERROR(VLOOKUP(A395,Shipped!I:J,2,)," ")</f>
        <v>46248</v>
      </c>
    </row>
    <row r="396" spans="1:14" x14ac:dyDescent="0.25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56">
        <f>IFERROR(VLOOKUP(A396,Shipped!I:J,2,)," ")</f>
        <v>46248</v>
      </c>
    </row>
    <row r="397" spans="1:14" x14ac:dyDescent="0.25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56" t="str">
        <f>IFERROR(VLOOKUP(A397,Shipped!I:J,2,)," ")</f>
        <v xml:space="preserve"> </v>
      </c>
    </row>
    <row r="398" spans="1:14" x14ac:dyDescent="0.25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56">
        <f>IFERROR(VLOOKUP(A398,Shipped!I:J,2,)," ")</f>
        <v>46248</v>
      </c>
    </row>
    <row r="399" spans="1:14" x14ac:dyDescent="0.25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56" t="str">
        <f>IFERROR(VLOOKUP(A399,Shipped!I:J,2,)," ")</f>
        <v xml:space="preserve"> </v>
      </c>
    </row>
    <row r="400" spans="1:14" x14ac:dyDescent="0.25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56">
        <f>IFERROR(VLOOKUP(A400,Shipped!I:J,2,)," ")</f>
        <v>46248</v>
      </c>
    </row>
    <row r="401" spans="1:14" x14ac:dyDescent="0.25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56">
        <f>IFERROR(VLOOKUP(A401,Shipped!I:J,2,)," ")</f>
        <v>46254</v>
      </c>
    </row>
    <row r="402" spans="1:14" x14ac:dyDescent="0.25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56">
        <f>IFERROR(VLOOKUP(A402,Shipped!I:J,2,)," ")</f>
        <v>46248</v>
      </c>
    </row>
    <row r="403" spans="1:14" x14ac:dyDescent="0.25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56" t="str">
        <f>IFERROR(VLOOKUP(A403,Shipped!I:J,2,)," ")</f>
        <v xml:space="preserve"> </v>
      </c>
    </row>
    <row r="404" spans="1:14" x14ac:dyDescent="0.25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56">
        <f>IFERROR(VLOOKUP(A404,Shipped!I:J,2,)," ")</f>
        <v>46248</v>
      </c>
    </row>
    <row r="405" spans="1:14" x14ac:dyDescent="0.25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56" t="str">
        <f>IFERROR(VLOOKUP(A405,Shipped!I:J,2,)," ")</f>
        <v xml:space="preserve"> </v>
      </c>
    </row>
    <row r="406" spans="1:14" x14ac:dyDescent="0.25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56">
        <f>IFERROR(VLOOKUP(A406,Shipped!I:J,2,)," ")</f>
        <v>46254</v>
      </c>
    </row>
    <row r="407" spans="1:14" x14ac:dyDescent="0.25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56">
        <f>IFERROR(VLOOKUP(A407,Shipped!I:J,2,)," ")</f>
        <v>46254</v>
      </c>
    </row>
    <row r="408" spans="1:14" x14ac:dyDescent="0.25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56" t="str">
        <f>IFERROR(VLOOKUP(A408,Shipped!I:J,2,)," ")</f>
        <v xml:space="preserve"> </v>
      </c>
    </row>
    <row r="409" spans="1:14" x14ac:dyDescent="0.25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56" t="str">
        <f>IFERROR(VLOOKUP(A409,Shipped!I:J,2,)," ")</f>
        <v xml:space="preserve"> </v>
      </c>
    </row>
    <row r="410" spans="1:14" x14ac:dyDescent="0.25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56">
        <f>IFERROR(VLOOKUP(A410,Shipped!I:J,2,)," ")</f>
        <v>46248</v>
      </c>
    </row>
    <row r="411" spans="1:14" x14ac:dyDescent="0.25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56">
        <f>IFERROR(VLOOKUP(A411,Shipped!I:J,2,)," ")</f>
        <v>46248</v>
      </c>
    </row>
    <row r="412" spans="1:14" x14ac:dyDescent="0.25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56">
        <f>IFERROR(VLOOKUP(A412,Shipped!I:J,2,)," ")</f>
        <v>46248</v>
      </c>
    </row>
    <row r="413" spans="1:14" x14ac:dyDescent="0.25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56">
        <f>IFERROR(VLOOKUP(A413,Shipped!I:J,2,)," ")</f>
        <v>46248</v>
      </c>
    </row>
    <row r="414" spans="1:14" x14ac:dyDescent="0.25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56">
        <f>IFERROR(VLOOKUP(A414,Shipped!I:J,2,)," ")</f>
        <v>46254</v>
      </c>
    </row>
    <row r="415" spans="1:14" x14ac:dyDescent="0.25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56" t="str">
        <f>IFERROR(VLOOKUP(A415,Shipped!I:J,2,)," ")</f>
        <v xml:space="preserve"> </v>
      </c>
    </row>
    <row r="416" spans="1:14" x14ac:dyDescent="0.25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56">
        <f>IFERROR(VLOOKUP(A416,Shipped!I:J,2,)," ")</f>
        <v>46254</v>
      </c>
    </row>
    <row r="417" spans="1:14" x14ac:dyDescent="0.25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56">
        <f>IFERROR(VLOOKUP(A417,Shipped!I:J,2,)," ")</f>
        <v>46248</v>
      </c>
    </row>
    <row r="418" spans="1:14" x14ac:dyDescent="0.25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56">
        <f>IFERROR(VLOOKUP(A418,Shipped!I:J,2,)," ")</f>
        <v>46254</v>
      </c>
    </row>
    <row r="419" spans="1:14" x14ac:dyDescent="0.25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56">
        <f>IFERROR(VLOOKUP(A419,Shipped!I:J,2,)," ")</f>
        <v>46248</v>
      </c>
    </row>
    <row r="420" spans="1:14" x14ac:dyDescent="0.25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56">
        <f>IFERROR(VLOOKUP(A420,Shipped!I:J,2,)," ")</f>
        <v>46248</v>
      </c>
    </row>
    <row r="421" spans="1:14" x14ac:dyDescent="0.25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56">
        <f>IFERROR(VLOOKUP(A421,Shipped!I:J,2,)," ")</f>
        <v>46248</v>
      </c>
    </row>
    <row r="422" spans="1:14" x14ac:dyDescent="0.25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56">
        <f>IFERROR(VLOOKUP(A422,Shipped!I:J,2,)," ")</f>
        <v>46169</v>
      </c>
    </row>
    <row r="423" spans="1:14" x14ac:dyDescent="0.25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56">
        <f>IFERROR(VLOOKUP(A423,Shipped!I:J,2,)," ")</f>
        <v>46248</v>
      </c>
    </row>
    <row r="424" spans="1:14" x14ac:dyDescent="0.25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56">
        <f>IFERROR(VLOOKUP(A424,Shipped!I:J,2,)," ")</f>
        <v>46248</v>
      </c>
    </row>
    <row r="425" spans="1:14" x14ac:dyDescent="0.25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56">
        <f>IFERROR(VLOOKUP(A425,Shipped!I:J,2,)," ")</f>
        <v>46248</v>
      </c>
    </row>
    <row r="426" spans="1:14" x14ac:dyDescent="0.25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56" t="str">
        <f>IFERROR(VLOOKUP(A426,Shipped!I:J,2,)," ")</f>
        <v xml:space="preserve"> </v>
      </c>
    </row>
    <row r="427" spans="1:14" x14ac:dyDescent="0.25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56">
        <f>IFERROR(VLOOKUP(A427,Shipped!I:J,2,)," ")</f>
        <v>46169</v>
      </c>
    </row>
    <row r="428" spans="1:14" x14ac:dyDescent="0.25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56">
        <f>IFERROR(VLOOKUP(A428,Shipped!I:J,2,)," ")</f>
        <v>46254</v>
      </c>
    </row>
    <row r="429" spans="1:14" x14ac:dyDescent="0.25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56" t="str">
        <f>IFERROR(VLOOKUP(A429,Shipped!I:J,2,)," ")</f>
        <v xml:space="preserve"> </v>
      </c>
    </row>
    <row r="430" spans="1:14" x14ac:dyDescent="0.25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56">
        <f>IFERROR(VLOOKUP(A430,Shipped!I:J,2,)," ")</f>
        <v>46248</v>
      </c>
    </row>
    <row r="431" spans="1:14" x14ac:dyDescent="0.25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56">
        <f>IFERROR(VLOOKUP(A431,Shipped!I:J,2,)," ")</f>
        <v>46254</v>
      </c>
    </row>
    <row r="432" spans="1:14" x14ac:dyDescent="0.25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56">
        <f>IFERROR(VLOOKUP(A432,Shipped!I:J,2,)," ")</f>
        <v>46254</v>
      </c>
    </row>
    <row r="433" spans="1:14" x14ac:dyDescent="0.25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56">
        <f>IFERROR(VLOOKUP(A433,Shipped!I:J,2,)," ")</f>
        <v>46248</v>
      </c>
    </row>
    <row r="434" spans="1:14" x14ac:dyDescent="0.25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56">
        <f>IFERROR(VLOOKUP(A434,Shipped!I:J,2,)," ")</f>
        <v>46254</v>
      </c>
    </row>
    <row r="435" spans="1:14" x14ac:dyDescent="0.25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56">
        <f>IFERROR(VLOOKUP(A435,Shipped!I:J,2,)," ")</f>
        <v>46248</v>
      </c>
    </row>
    <row r="436" spans="1:14" x14ac:dyDescent="0.25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56">
        <f>IFERROR(VLOOKUP(A436,Shipped!I:J,2,)," ")</f>
        <v>46248</v>
      </c>
    </row>
    <row r="437" spans="1:14" x14ac:dyDescent="0.25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56" t="str">
        <f>IFERROR(VLOOKUP(A437,Shipped!I:J,2,)," ")</f>
        <v xml:space="preserve"> </v>
      </c>
    </row>
    <row r="438" spans="1:14" x14ac:dyDescent="0.25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56">
        <f>IFERROR(VLOOKUP(A438,Shipped!I:J,2,)," ")</f>
        <v>46248</v>
      </c>
    </row>
    <row r="439" spans="1:14" x14ac:dyDescent="0.25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56">
        <f>IFERROR(VLOOKUP(A439,Shipped!I:J,2,)," ")</f>
        <v>46248</v>
      </c>
    </row>
    <row r="440" spans="1:14" x14ac:dyDescent="0.25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56">
        <f>IFERROR(VLOOKUP(A440,Shipped!I:J,2,)," ")</f>
        <v>46248</v>
      </c>
    </row>
    <row r="441" spans="1:14" x14ac:dyDescent="0.25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56" t="str">
        <f>IFERROR(VLOOKUP(A441,Shipped!I:J,2,)," ")</f>
        <v xml:space="preserve"> </v>
      </c>
    </row>
    <row r="442" spans="1:14" x14ac:dyDescent="0.25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56">
        <f>IFERROR(VLOOKUP(A442,Shipped!I:J,2,)," ")</f>
        <v>46248</v>
      </c>
    </row>
    <row r="443" spans="1:14" x14ac:dyDescent="0.25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56">
        <f>IFERROR(VLOOKUP(A443,Shipped!I:J,2,)," ")</f>
        <v>46248</v>
      </c>
    </row>
    <row r="444" spans="1:14" x14ac:dyDescent="0.25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56">
        <f>IFERROR(VLOOKUP(A444,Shipped!I:J,2,)," ")</f>
        <v>46248</v>
      </c>
    </row>
    <row r="445" spans="1:14" x14ac:dyDescent="0.25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56">
        <f>IFERROR(VLOOKUP(A445,Shipped!I:J,2,)," ")</f>
        <v>46248</v>
      </c>
    </row>
    <row r="446" spans="1:14" x14ac:dyDescent="0.25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56">
        <f>IFERROR(VLOOKUP(A446,Shipped!I:J,2,)," ")</f>
        <v>46248</v>
      </c>
    </row>
    <row r="447" spans="1:14" x14ac:dyDescent="0.25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56">
        <f>IFERROR(VLOOKUP(A447,Shipped!I:J,2,)," ")</f>
        <v>46248</v>
      </c>
    </row>
    <row r="448" spans="1:14" x14ac:dyDescent="0.25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56">
        <f>IFERROR(VLOOKUP(A448,Shipped!I:J,2,)," ")</f>
        <v>46248</v>
      </c>
    </row>
    <row r="449" spans="1:14" x14ac:dyDescent="0.25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56">
        <f>IFERROR(VLOOKUP(A449,Shipped!I:J,2,)," ")</f>
        <v>46169</v>
      </c>
    </row>
    <row r="450" spans="1:14" x14ac:dyDescent="0.25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56" t="str">
        <f>IFERROR(VLOOKUP(A450,Shipped!I:J,2,)," ")</f>
        <v xml:space="preserve"> </v>
      </c>
    </row>
    <row r="451" spans="1:14" x14ac:dyDescent="0.25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56">
        <f>IFERROR(VLOOKUP(A451,Shipped!I:J,2,)," ")</f>
        <v>46248</v>
      </c>
    </row>
    <row r="452" spans="1:14" x14ac:dyDescent="0.25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56" t="str">
        <f>IFERROR(VLOOKUP(A452,Shipped!I:J,2,)," ")</f>
        <v xml:space="preserve"> </v>
      </c>
    </row>
    <row r="453" spans="1:14" x14ac:dyDescent="0.25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56">
        <f>IFERROR(VLOOKUP(A453,Shipped!I:J,2,)," ")</f>
        <v>46248</v>
      </c>
    </row>
    <row r="454" spans="1:14" x14ac:dyDescent="0.25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56">
        <f>IFERROR(VLOOKUP(A454,Shipped!I:J,2,)," ")</f>
        <v>46248</v>
      </c>
    </row>
    <row r="455" spans="1:14" x14ac:dyDescent="0.25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56">
        <f>IFERROR(VLOOKUP(A455,Shipped!I:J,2,)," ")</f>
        <v>46248</v>
      </c>
    </row>
    <row r="456" spans="1:14" x14ac:dyDescent="0.25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56">
        <f>IFERROR(VLOOKUP(A456,Shipped!I:J,2,)," ")</f>
        <v>46254</v>
      </c>
    </row>
    <row r="457" spans="1:14" x14ac:dyDescent="0.25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56" t="str">
        <f>IFERROR(VLOOKUP(A457,Shipped!I:J,2,)," ")</f>
        <v xml:space="preserve"> </v>
      </c>
    </row>
    <row r="458" spans="1:14" x14ac:dyDescent="0.25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56">
        <f>IFERROR(VLOOKUP(A458,Shipped!I:J,2,)," ")</f>
        <v>46248</v>
      </c>
    </row>
    <row r="459" spans="1:14" x14ac:dyDescent="0.25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56">
        <f>IFERROR(VLOOKUP(A459,Shipped!I:J,2,)," ")</f>
        <v>46248</v>
      </c>
    </row>
    <row r="460" spans="1:14" x14ac:dyDescent="0.25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56">
        <f>IFERROR(VLOOKUP(A460,Shipped!I:J,2,)," ")</f>
        <v>46248</v>
      </c>
    </row>
    <row r="461" spans="1:14" x14ac:dyDescent="0.25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56">
        <f>IFERROR(VLOOKUP(A461,Shipped!I:J,2,)," ")</f>
        <v>46248</v>
      </c>
    </row>
    <row r="462" spans="1:14" x14ac:dyDescent="0.25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56">
        <f>IFERROR(VLOOKUP(A462,Shipped!I:J,2,)," ")</f>
        <v>46248</v>
      </c>
    </row>
    <row r="463" spans="1:14" x14ac:dyDescent="0.25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56">
        <f>IFERROR(VLOOKUP(A463,Shipped!I:J,2,)," ")</f>
        <v>46248</v>
      </c>
    </row>
    <row r="464" spans="1:14" x14ac:dyDescent="0.25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56">
        <f>IFERROR(VLOOKUP(A464,Shipped!I:J,2,)," ")</f>
        <v>46248</v>
      </c>
    </row>
    <row r="465" spans="1:14" x14ac:dyDescent="0.25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56">
        <f>IFERROR(VLOOKUP(A465,Shipped!I:J,2,)," ")</f>
        <v>46248</v>
      </c>
    </row>
    <row r="466" spans="1:14" x14ac:dyDescent="0.25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56" t="str">
        <f>IFERROR(VLOOKUP(A466,Shipped!I:J,2,)," ")</f>
        <v xml:space="preserve"> </v>
      </c>
    </row>
    <row r="467" spans="1:14" x14ac:dyDescent="0.25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56">
        <f>IFERROR(VLOOKUP(A467,Shipped!I:J,2,)," ")</f>
        <v>46254</v>
      </c>
    </row>
    <row r="468" spans="1:14" x14ac:dyDescent="0.25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56">
        <f>IFERROR(VLOOKUP(A468,Shipped!I:J,2,)," ")</f>
        <v>46248</v>
      </c>
    </row>
    <row r="469" spans="1:14" x14ac:dyDescent="0.25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56" t="str">
        <f>IFERROR(VLOOKUP(A469,Shipped!I:J,2,)," ")</f>
        <v xml:space="preserve"> </v>
      </c>
    </row>
    <row r="470" spans="1:14" x14ac:dyDescent="0.25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56">
        <f>IFERROR(VLOOKUP(A470,Shipped!I:J,2,)," ")</f>
        <v>46248</v>
      </c>
    </row>
    <row r="471" spans="1:14" x14ac:dyDescent="0.25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56">
        <f>IFERROR(VLOOKUP(A471,Shipped!I:J,2,)," ")</f>
        <v>46248</v>
      </c>
    </row>
    <row r="472" spans="1:14" x14ac:dyDescent="0.25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56">
        <f>IFERROR(VLOOKUP(A472,Shipped!I:J,2,)," ")</f>
        <v>46248</v>
      </c>
    </row>
    <row r="473" spans="1:14" x14ac:dyDescent="0.25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56">
        <f>IFERROR(VLOOKUP(A473,Shipped!I:J,2,)," ")</f>
        <v>46248</v>
      </c>
    </row>
    <row r="474" spans="1:14" x14ac:dyDescent="0.25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56">
        <f>IFERROR(VLOOKUP(A474,Shipped!I:J,2,)," ")</f>
        <v>46248</v>
      </c>
    </row>
    <row r="475" spans="1:14" x14ac:dyDescent="0.25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56">
        <f>IFERROR(VLOOKUP(A475,Shipped!I:J,2,)," ")</f>
        <v>46119</v>
      </c>
    </row>
    <row r="476" spans="1:14" x14ac:dyDescent="0.25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56">
        <f>IFERROR(VLOOKUP(A476,Shipped!I:J,2,)," ")</f>
        <v>46248</v>
      </c>
    </row>
    <row r="477" spans="1:14" x14ac:dyDescent="0.25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56">
        <f>IFERROR(VLOOKUP(A477,Shipped!I:J,2,)," ")</f>
        <v>46248</v>
      </c>
    </row>
    <row r="478" spans="1:14" x14ac:dyDescent="0.25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56" t="str">
        <f>IFERROR(VLOOKUP(A478,Shipped!I:J,2,)," ")</f>
        <v xml:space="preserve"> </v>
      </c>
    </row>
    <row r="479" spans="1:14" x14ac:dyDescent="0.25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56">
        <f>IFERROR(VLOOKUP(A479,Shipped!I:J,2,)," ")</f>
        <v>46248</v>
      </c>
    </row>
    <row r="480" spans="1:14" x14ac:dyDescent="0.25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56">
        <f>IFERROR(VLOOKUP(A480,Shipped!I:J,2,)," ")</f>
        <v>46248</v>
      </c>
    </row>
    <row r="481" spans="1:14" x14ac:dyDescent="0.25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56">
        <f>IFERROR(VLOOKUP(A481,Shipped!I:J,2,)," ")</f>
        <v>46248</v>
      </c>
    </row>
    <row r="482" spans="1:14" x14ac:dyDescent="0.25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56">
        <f>IFERROR(VLOOKUP(A482,Shipped!I:J,2,)," ")</f>
        <v>46119</v>
      </c>
    </row>
    <row r="483" spans="1:14" x14ac:dyDescent="0.25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56" t="str">
        <f>IFERROR(VLOOKUP(A483,Shipped!I:J,2,)," ")</f>
        <v xml:space="preserve"> </v>
      </c>
    </row>
    <row r="484" spans="1:14" x14ac:dyDescent="0.25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56" t="str">
        <f>IFERROR(VLOOKUP(A484,Shipped!I:J,2,)," ")</f>
        <v xml:space="preserve"> </v>
      </c>
    </row>
    <row r="485" spans="1:14" x14ac:dyDescent="0.25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56">
        <f>IFERROR(VLOOKUP(A485,Shipped!I:J,2,)," ")</f>
        <v>46119</v>
      </c>
    </row>
    <row r="486" spans="1:14" x14ac:dyDescent="0.25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56">
        <f>IFERROR(VLOOKUP(A486,Shipped!I:J,2,)," ")</f>
        <v>46248</v>
      </c>
    </row>
    <row r="487" spans="1:14" x14ac:dyDescent="0.25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56" t="str">
        <f>IFERROR(VLOOKUP(A487,Shipped!I:J,2,)," ")</f>
        <v xml:space="preserve"> </v>
      </c>
    </row>
    <row r="488" spans="1:14" x14ac:dyDescent="0.25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56">
        <f>IFERROR(VLOOKUP(A488,Shipped!I:J,2,)," ")</f>
        <v>46248</v>
      </c>
    </row>
    <row r="489" spans="1:14" x14ac:dyDescent="0.25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56" t="str">
        <f>IFERROR(VLOOKUP(A489,Shipped!I:J,2,)," ")</f>
        <v xml:space="preserve"> </v>
      </c>
    </row>
    <row r="490" spans="1:14" x14ac:dyDescent="0.25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56">
        <f>IFERROR(VLOOKUP(A490,Shipped!I:J,2,)," ")</f>
        <v>46254</v>
      </c>
    </row>
    <row r="491" spans="1:14" x14ac:dyDescent="0.25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56">
        <f>IFERROR(VLOOKUP(A491,Shipped!I:J,2,)," ")</f>
        <v>46248</v>
      </c>
    </row>
    <row r="492" spans="1:14" x14ac:dyDescent="0.25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56">
        <f>IFERROR(VLOOKUP(A492,Shipped!I:J,2,)," ")</f>
        <v>46254</v>
      </c>
    </row>
    <row r="493" spans="1:14" x14ac:dyDescent="0.25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56">
        <f>IFERROR(VLOOKUP(A493,Shipped!I:J,2,)," ")</f>
        <v>46254</v>
      </c>
    </row>
    <row r="494" spans="1:14" x14ac:dyDescent="0.25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56" t="str">
        <f>IFERROR(VLOOKUP(A494,Shipped!I:J,2,)," ")</f>
        <v xml:space="preserve"> </v>
      </c>
    </row>
    <row r="495" spans="1:14" x14ac:dyDescent="0.25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56">
        <f>IFERROR(VLOOKUP(A495,Shipped!I:J,2,)," ")</f>
        <v>46119</v>
      </c>
    </row>
    <row r="496" spans="1:14" x14ac:dyDescent="0.25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56">
        <f>IFERROR(VLOOKUP(A496,Shipped!I:J,2,)," ")</f>
        <v>46248</v>
      </c>
    </row>
    <row r="497" spans="1:14" x14ac:dyDescent="0.25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56" t="str">
        <f>IFERROR(VLOOKUP(A497,Shipped!I:J,2,)," ")</f>
        <v xml:space="preserve"> </v>
      </c>
    </row>
    <row r="498" spans="1:14" x14ac:dyDescent="0.25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56">
        <f>IFERROR(VLOOKUP(A498,Shipped!I:J,2,)," ")</f>
        <v>46248</v>
      </c>
    </row>
    <row r="499" spans="1:14" x14ac:dyDescent="0.25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56">
        <f>IFERROR(VLOOKUP(A499,Shipped!I:J,2,)," ")</f>
        <v>46248</v>
      </c>
    </row>
    <row r="500" spans="1:14" x14ac:dyDescent="0.25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56">
        <f>IFERROR(VLOOKUP(A500,Shipped!I:J,2,)," ")</f>
        <v>46248</v>
      </c>
    </row>
    <row r="501" spans="1:14" x14ac:dyDescent="0.25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56">
        <f>IFERROR(VLOOKUP(A501,Shipped!I:J,2,)," ")</f>
        <v>46119</v>
      </c>
    </row>
    <row r="502" spans="1:14" x14ac:dyDescent="0.25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56" t="str">
        <f>IFERROR(VLOOKUP(A502,Shipped!I:J,2,)," ")</f>
        <v xml:space="preserve"> </v>
      </c>
    </row>
    <row r="503" spans="1:14" x14ac:dyDescent="0.25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56" t="str">
        <f>IFERROR(VLOOKUP(A503,Shipped!I:J,2,)," ")</f>
        <v xml:space="preserve"> </v>
      </c>
    </row>
    <row r="504" spans="1:14" x14ac:dyDescent="0.25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56">
        <f>IFERROR(VLOOKUP(A504,Shipped!I:J,2,)," ")</f>
        <v>46248</v>
      </c>
    </row>
    <row r="505" spans="1:14" x14ac:dyDescent="0.25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56" t="str">
        <f>IFERROR(VLOOKUP(A505,Shipped!I:J,2,)," ")</f>
        <v xml:space="preserve"> </v>
      </c>
    </row>
    <row r="506" spans="1:14" x14ac:dyDescent="0.25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56">
        <f>IFERROR(VLOOKUP(A506,Shipped!I:J,2,)," ")</f>
        <v>46169</v>
      </c>
    </row>
    <row r="507" spans="1:14" x14ac:dyDescent="0.25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56" t="str">
        <f>IFERROR(VLOOKUP(A507,Shipped!I:J,2,)," ")</f>
        <v xml:space="preserve"> </v>
      </c>
    </row>
    <row r="508" spans="1:14" x14ac:dyDescent="0.25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56">
        <f>IFERROR(VLOOKUP(A508,Shipped!I:J,2,)," ")</f>
        <v>46248</v>
      </c>
    </row>
    <row r="509" spans="1:14" x14ac:dyDescent="0.25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56" t="str">
        <f>IFERROR(VLOOKUP(A509,Shipped!I:J,2,)," ")</f>
        <v xml:space="preserve"> </v>
      </c>
    </row>
    <row r="510" spans="1:14" x14ac:dyDescent="0.25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56" t="str">
        <f>IFERROR(VLOOKUP(A510,Shipped!I:J,2,)," ")</f>
        <v xml:space="preserve"> </v>
      </c>
    </row>
    <row r="511" spans="1:14" x14ac:dyDescent="0.25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56" t="str">
        <f>IFERROR(VLOOKUP(A511,Shipped!I:J,2,)," ")</f>
        <v xml:space="preserve"> </v>
      </c>
    </row>
    <row r="512" spans="1:14" x14ac:dyDescent="0.25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56">
        <f>IFERROR(VLOOKUP(A512,Shipped!I:J,2,)," ")</f>
        <v>46248</v>
      </c>
    </row>
    <row r="513" spans="1:14" x14ac:dyDescent="0.25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56">
        <f>IFERROR(VLOOKUP(A513,Shipped!I:J,2,)," ")</f>
        <v>46248</v>
      </c>
    </row>
    <row r="514" spans="1:14" x14ac:dyDescent="0.25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56">
        <f>IFERROR(VLOOKUP(A514,Shipped!I:J,2,)," ")</f>
        <v>46248</v>
      </c>
    </row>
    <row r="515" spans="1:14" x14ac:dyDescent="0.25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56" t="str">
        <f>IFERROR(VLOOKUP(A515,Shipped!I:J,2,)," ")</f>
        <v xml:space="preserve"> </v>
      </c>
    </row>
    <row r="516" spans="1:14" x14ac:dyDescent="0.25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56" t="str">
        <f>IFERROR(VLOOKUP(A516,Shipped!I:J,2,)," ")</f>
        <v xml:space="preserve"> </v>
      </c>
    </row>
    <row r="517" spans="1:14" x14ac:dyDescent="0.25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56" t="str">
        <f>IFERROR(VLOOKUP(A517,Shipped!I:J,2,)," ")</f>
        <v xml:space="preserve"> </v>
      </c>
    </row>
    <row r="518" spans="1:14" x14ac:dyDescent="0.25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56">
        <f>IFERROR(VLOOKUP(A518,Shipped!I:J,2,)," ")</f>
        <v>46248</v>
      </c>
    </row>
    <row r="519" spans="1:14" x14ac:dyDescent="0.25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56">
        <f>IFERROR(VLOOKUP(A519,Shipped!I:J,2,)," ")</f>
        <v>46248</v>
      </c>
    </row>
    <row r="520" spans="1:14" x14ac:dyDescent="0.25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56">
        <f>IFERROR(VLOOKUP(A520,Shipped!I:J,2,)," ")</f>
        <v>46254</v>
      </c>
    </row>
    <row r="521" spans="1:14" x14ac:dyDescent="0.25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56" t="str">
        <f>IFERROR(VLOOKUP(A521,Shipped!I:J,2,)," ")</f>
        <v xml:space="preserve"> </v>
      </c>
    </row>
    <row r="522" spans="1:14" x14ac:dyDescent="0.25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56" t="str">
        <f>IFERROR(VLOOKUP(A522,Shipped!I:J,2,)," ")</f>
        <v xml:space="preserve"> </v>
      </c>
    </row>
    <row r="523" spans="1:14" x14ac:dyDescent="0.25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56">
        <f>IFERROR(VLOOKUP(A523,Shipped!I:J,2,)," ")</f>
        <v>46254</v>
      </c>
    </row>
    <row r="524" spans="1:14" x14ac:dyDescent="0.25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56" t="str">
        <f>IFERROR(VLOOKUP(A524,Shipped!I:J,2,)," ")</f>
        <v xml:space="preserve"> </v>
      </c>
    </row>
    <row r="525" spans="1:14" x14ac:dyDescent="0.25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56">
        <f>IFERROR(VLOOKUP(A525,Shipped!I:J,2,)," ")</f>
        <v>46254</v>
      </c>
    </row>
    <row r="526" spans="1:14" x14ac:dyDescent="0.25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56" t="str">
        <f>IFERROR(VLOOKUP(A526,Shipped!I:J,2,)," ")</f>
        <v xml:space="preserve"> </v>
      </c>
    </row>
    <row r="527" spans="1:14" x14ac:dyDescent="0.25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56">
        <f>IFERROR(VLOOKUP(A527,Shipped!I:J,2,)," ")</f>
        <v>46248</v>
      </c>
    </row>
    <row r="528" spans="1:14" x14ac:dyDescent="0.25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56" t="str">
        <f>IFERROR(VLOOKUP(A528,Shipped!I:J,2,)," ")</f>
        <v xml:space="preserve"> </v>
      </c>
    </row>
    <row r="529" spans="1:14" x14ac:dyDescent="0.25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56">
        <f>IFERROR(VLOOKUP(A529,Shipped!I:J,2,)," ")</f>
        <v>46254</v>
      </c>
    </row>
    <row r="530" spans="1:14" x14ac:dyDescent="0.25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56" t="str">
        <f>IFERROR(VLOOKUP(A530,Shipped!I:J,2,)," ")</f>
        <v xml:space="preserve"> </v>
      </c>
    </row>
    <row r="531" spans="1:14" x14ac:dyDescent="0.25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56" t="str">
        <f>IFERROR(VLOOKUP(A531,Shipped!I:J,2,)," ")</f>
        <v xml:space="preserve"> </v>
      </c>
    </row>
    <row r="532" spans="1:14" x14ac:dyDescent="0.25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56">
        <f>IFERROR(VLOOKUP(A532,Shipped!I:J,2,)," ")</f>
        <v>46254</v>
      </c>
    </row>
    <row r="533" spans="1:14" x14ac:dyDescent="0.25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56" t="str">
        <f>IFERROR(VLOOKUP(A533,Shipped!I:J,2,)," ")</f>
        <v xml:space="preserve"> </v>
      </c>
    </row>
    <row r="534" spans="1:14" x14ac:dyDescent="0.25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56" t="str">
        <f>IFERROR(VLOOKUP(A534,Shipped!I:J,2,)," ")</f>
        <v xml:space="preserve"> </v>
      </c>
    </row>
    <row r="535" spans="1:14" x14ac:dyDescent="0.25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56" t="str">
        <f>IFERROR(VLOOKUP(A535,Shipped!I:J,2,)," ")</f>
        <v xml:space="preserve"> </v>
      </c>
    </row>
    <row r="536" spans="1:14" x14ac:dyDescent="0.25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56" t="str">
        <f>IFERROR(VLOOKUP(A536,Shipped!I:J,2,)," ")</f>
        <v xml:space="preserve"> </v>
      </c>
    </row>
    <row r="537" spans="1:14" x14ac:dyDescent="0.25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56">
        <f>IFERROR(VLOOKUP(A537,Shipped!I:J,2,)," ")</f>
        <v>46248</v>
      </c>
    </row>
    <row r="538" spans="1:14" x14ac:dyDescent="0.25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56" t="str">
        <f>IFERROR(VLOOKUP(A538,Shipped!I:J,2,)," ")</f>
        <v xml:space="preserve"> </v>
      </c>
    </row>
    <row r="539" spans="1:14" x14ac:dyDescent="0.25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56" t="str">
        <f>IFERROR(VLOOKUP(A539,Shipped!I:J,2,)," ")</f>
        <v xml:space="preserve"> </v>
      </c>
    </row>
    <row r="540" spans="1:14" x14ac:dyDescent="0.25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56" t="str">
        <f>IFERROR(VLOOKUP(A540,Shipped!I:J,2,)," ")</f>
        <v xml:space="preserve"> </v>
      </c>
    </row>
    <row r="541" spans="1:14" x14ac:dyDescent="0.25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56" t="str">
        <f>IFERROR(VLOOKUP(A541,Shipped!I:J,2,)," ")</f>
        <v xml:space="preserve"> </v>
      </c>
    </row>
    <row r="542" spans="1:14" x14ac:dyDescent="0.25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56" t="str">
        <f>IFERROR(VLOOKUP(A542,Shipped!I:J,2,)," ")</f>
        <v xml:space="preserve"> </v>
      </c>
    </row>
    <row r="543" spans="1:14" x14ac:dyDescent="0.25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56" t="str">
        <f>IFERROR(VLOOKUP(A543,Shipped!I:J,2,)," ")</f>
        <v xml:space="preserve"> </v>
      </c>
    </row>
    <row r="544" spans="1:14" x14ac:dyDescent="0.25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56" t="str">
        <f>IFERROR(VLOOKUP(A544,Shipped!I:J,2,)," ")</f>
        <v xml:space="preserve"> </v>
      </c>
    </row>
    <row r="545" spans="1:14" x14ac:dyDescent="0.25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56" t="str">
        <f>IFERROR(VLOOKUP(A545,Shipped!I:J,2,)," ")</f>
        <v xml:space="preserve"> </v>
      </c>
    </row>
    <row r="546" spans="1:14" x14ac:dyDescent="0.25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56" t="str">
        <f>IFERROR(VLOOKUP(A546,Shipped!I:J,2,)," ")</f>
        <v xml:space="preserve"> </v>
      </c>
    </row>
    <row r="547" spans="1:14" x14ac:dyDescent="0.25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56">
        <f>IFERROR(VLOOKUP(A547,Shipped!I:J,2,)," ")</f>
        <v>46248</v>
      </c>
    </row>
    <row r="548" spans="1:14" x14ac:dyDescent="0.25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56" t="str">
        <f>IFERROR(VLOOKUP(A548,Shipped!I:J,2,)," ")</f>
        <v xml:space="preserve"> </v>
      </c>
    </row>
    <row r="549" spans="1:14" x14ac:dyDescent="0.25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56">
        <f>IFERROR(VLOOKUP(A549,Shipped!I:J,2,)," ")</f>
        <v>46248</v>
      </c>
    </row>
    <row r="550" spans="1:14" x14ac:dyDescent="0.25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56">
        <f>IFERROR(VLOOKUP(A550,Shipped!I:J,2,)," ")</f>
        <v>46248</v>
      </c>
    </row>
    <row r="551" spans="1:14" x14ac:dyDescent="0.25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56">
        <f>IFERROR(VLOOKUP(A551,Shipped!I:J,2,)," ")</f>
        <v>46254</v>
      </c>
    </row>
    <row r="552" spans="1:14" x14ac:dyDescent="0.25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56" t="str">
        <f>IFERROR(VLOOKUP(A552,Shipped!I:J,2,)," ")</f>
        <v xml:space="preserve"> </v>
      </c>
    </row>
    <row r="553" spans="1:14" x14ac:dyDescent="0.25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56">
        <f>IFERROR(VLOOKUP(A553,Shipped!I:J,2,)," ")</f>
        <v>46248</v>
      </c>
    </row>
    <row r="554" spans="1:14" x14ac:dyDescent="0.25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56">
        <f>IFERROR(VLOOKUP(A554,Shipped!I:J,2,)," ")</f>
        <v>46254</v>
      </c>
    </row>
    <row r="555" spans="1:14" x14ac:dyDescent="0.25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56">
        <f>IFERROR(VLOOKUP(A555,Shipped!I:J,2,)," ")</f>
        <v>46254</v>
      </c>
    </row>
    <row r="556" spans="1:14" x14ac:dyDescent="0.25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56" t="str">
        <f>IFERROR(VLOOKUP(A556,Shipped!I:J,2,)," ")</f>
        <v xml:space="preserve"> </v>
      </c>
    </row>
    <row r="557" spans="1:14" x14ac:dyDescent="0.25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56" t="str">
        <f>IFERROR(VLOOKUP(A557,Shipped!I:J,2,)," ")</f>
        <v xml:space="preserve"> </v>
      </c>
    </row>
    <row r="558" spans="1:14" x14ac:dyDescent="0.25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56">
        <f>IFERROR(VLOOKUP(A558,Shipped!I:J,2,)," ")</f>
        <v>46254</v>
      </c>
    </row>
    <row r="559" spans="1:14" x14ac:dyDescent="0.25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56" t="str">
        <f>IFERROR(VLOOKUP(A559,Shipped!I:J,2,)," ")</f>
        <v xml:space="preserve"> </v>
      </c>
    </row>
    <row r="560" spans="1:14" x14ac:dyDescent="0.25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56">
        <f>IFERROR(VLOOKUP(A560,Shipped!I:J,2,)," ")</f>
        <v>46248</v>
      </c>
    </row>
    <row r="561" spans="1:14" x14ac:dyDescent="0.25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56">
        <f>IFERROR(VLOOKUP(A561,Shipped!I:J,2,)," ")</f>
        <v>46254</v>
      </c>
    </row>
    <row r="562" spans="1:14" x14ac:dyDescent="0.25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56">
        <f>IFERROR(VLOOKUP(A562,Shipped!I:J,2,)," ")</f>
        <v>46254</v>
      </c>
    </row>
    <row r="563" spans="1:14" x14ac:dyDescent="0.25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56" t="str">
        <f>IFERROR(VLOOKUP(A563,Shipped!I:J,2,)," ")</f>
        <v xml:space="preserve"> </v>
      </c>
    </row>
    <row r="564" spans="1:14" x14ac:dyDescent="0.25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56">
        <f>IFERROR(VLOOKUP(A564,Shipped!I:J,2,)," ")</f>
        <v>46254</v>
      </c>
    </row>
    <row r="565" spans="1:14" x14ac:dyDescent="0.25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56">
        <f>IFERROR(VLOOKUP(A565,Shipped!I:J,2,)," ")</f>
        <v>46248</v>
      </c>
    </row>
    <row r="566" spans="1:14" x14ac:dyDescent="0.25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56" t="str">
        <f>IFERROR(VLOOKUP(A566,Shipped!I:J,2,)," ")</f>
        <v xml:space="preserve"> </v>
      </c>
    </row>
    <row r="567" spans="1:14" x14ac:dyDescent="0.25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56">
        <f>IFERROR(VLOOKUP(A567,Shipped!I:J,2,)," ")</f>
        <v>46248</v>
      </c>
    </row>
    <row r="568" spans="1:14" x14ac:dyDescent="0.25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56" t="str">
        <f>IFERROR(VLOOKUP(A568,Shipped!I:J,2,)," ")</f>
        <v xml:space="preserve"> </v>
      </c>
    </row>
    <row r="569" spans="1:14" x14ac:dyDescent="0.25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56">
        <f>IFERROR(VLOOKUP(A569,Shipped!I:J,2,)," ")</f>
        <v>46248</v>
      </c>
    </row>
    <row r="570" spans="1:14" x14ac:dyDescent="0.25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56">
        <f>IFERROR(VLOOKUP(A570,Shipped!I:J,2,)," ")</f>
        <v>46169</v>
      </c>
    </row>
    <row r="571" spans="1:14" x14ac:dyDescent="0.25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56">
        <f>IFERROR(VLOOKUP(A571,Shipped!I:J,2,)," ")</f>
        <v>46248</v>
      </c>
    </row>
    <row r="572" spans="1:14" x14ac:dyDescent="0.25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56">
        <f>IFERROR(VLOOKUP(A572,Shipped!I:J,2,)," ")</f>
        <v>46248</v>
      </c>
    </row>
    <row r="573" spans="1:14" x14ac:dyDescent="0.25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56">
        <f>IFERROR(VLOOKUP(A573,Shipped!I:J,2,)," ")</f>
        <v>46248</v>
      </c>
    </row>
    <row r="574" spans="1:14" x14ac:dyDescent="0.25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56">
        <f>IFERROR(VLOOKUP(A574,Shipped!I:J,2,)," ")</f>
        <v>46169</v>
      </c>
    </row>
    <row r="575" spans="1:14" x14ac:dyDescent="0.25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56">
        <f>IFERROR(VLOOKUP(A575,Shipped!I:J,2,)," ")</f>
        <v>46254</v>
      </c>
    </row>
    <row r="576" spans="1:14" x14ac:dyDescent="0.25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56">
        <f>IFERROR(VLOOKUP(A576,Shipped!I:J,2,)," ")</f>
        <v>46254</v>
      </c>
    </row>
    <row r="577" spans="1:14" x14ac:dyDescent="0.25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56">
        <f>IFERROR(VLOOKUP(A577,Shipped!I:J,2,)," ")</f>
        <v>46248</v>
      </c>
    </row>
    <row r="578" spans="1:14" x14ac:dyDescent="0.25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56">
        <f>IFERROR(VLOOKUP(A578,Shipped!I:J,2,)," ")</f>
        <v>46254</v>
      </c>
    </row>
    <row r="579" spans="1:14" x14ac:dyDescent="0.25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56" t="str">
        <f>IFERROR(VLOOKUP(A579,Shipped!I:J,2,)," ")</f>
        <v xml:space="preserve"> </v>
      </c>
    </row>
    <row r="580" spans="1:14" x14ac:dyDescent="0.25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56">
        <f>IFERROR(VLOOKUP(A580,Shipped!I:J,2,)," ")</f>
        <v>46248</v>
      </c>
    </row>
    <row r="581" spans="1:14" x14ac:dyDescent="0.25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56">
        <f>IFERROR(VLOOKUP(A581,Shipped!I:J,2,)," ")</f>
        <v>46248</v>
      </c>
    </row>
    <row r="582" spans="1:14" x14ac:dyDescent="0.25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56">
        <f>IFERROR(VLOOKUP(A582,Shipped!I:J,2,)," ")</f>
        <v>46248</v>
      </c>
    </row>
    <row r="583" spans="1:14" x14ac:dyDescent="0.25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56">
        <f>IFERROR(VLOOKUP(A583,Shipped!I:J,2,)," ")</f>
        <v>46248</v>
      </c>
    </row>
    <row r="584" spans="1:14" x14ac:dyDescent="0.25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56">
        <f>IFERROR(VLOOKUP(A584,Shipped!I:J,2,)," ")</f>
        <v>46248</v>
      </c>
    </row>
    <row r="585" spans="1:14" x14ac:dyDescent="0.25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56">
        <f>IFERROR(VLOOKUP(A585,Shipped!I:J,2,)," ")</f>
        <v>46248</v>
      </c>
    </row>
    <row r="586" spans="1:14" x14ac:dyDescent="0.25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56">
        <f>IFERROR(VLOOKUP(A586,Shipped!I:J,2,)," ")</f>
        <v>46248</v>
      </c>
    </row>
    <row r="587" spans="1:14" x14ac:dyDescent="0.25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56">
        <f>IFERROR(VLOOKUP(A587,Shipped!I:J,2,)," ")</f>
        <v>46248</v>
      </c>
    </row>
    <row r="588" spans="1:14" x14ac:dyDescent="0.25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56">
        <f>IFERROR(VLOOKUP(A588,Shipped!I:J,2,)," ")</f>
        <v>46248</v>
      </c>
    </row>
    <row r="589" spans="1:14" x14ac:dyDescent="0.25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56">
        <f>IFERROR(VLOOKUP(A589,Shipped!I:J,2,)," ")</f>
        <v>46248</v>
      </c>
    </row>
    <row r="590" spans="1:14" x14ac:dyDescent="0.25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56">
        <f>IFERROR(VLOOKUP(A590,Shipped!I:J,2,)," ")</f>
        <v>46248</v>
      </c>
    </row>
    <row r="591" spans="1:14" x14ac:dyDescent="0.25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56">
        <f>IFERROR(VLOOKUP(A591,Shipped!I:J,2,)," ")</f>
        <v>46248</v>
      </c>
    </row>
    <row r="592" spans="1:14" x14ac:dyDescent="0.25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56">
        <f>IFERROR(VLOOKUP(A592,Shipped!I:J,2,)," ")</f>
        <v>46248</v>
      </c>
    </row>
    <row r="593" spans="1:14" x14ac:dyDescent="0.25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56">
        <f>IFERROR(VLOOKUP(A593,Shipped!I:J,2,)," ")</f>
        <v>46248</v>
      </c>
    </row>
    <row r="594" spans="1:14" x14ac:dyDescent="0.25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56">
        <f>IFERROR(VLOOKUP(A594,Shipped!I:J,2,)," ")</f>
        <v>46169</v>
      </c>
    </row>
    <row r="595" spans="1:14" x14ac:dyDescent="0.25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56">
        <f>IFERROR(VLOOKUP(A595,Shipped!I:J,2,)," ")</f>
        <v>46248</v>
      </c>
    </row>
    <row r="596" spans="1:14" x14ac:dyDescent="0.25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56">
        <f>IFERROR(VLOOKUP(A596,Shipped!I:J,2,)," ")</f>
        <v>46254</v>
      </c>
    </row>
    <row r="597" spans="1:14" x14ac:dyDescent="0.25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56">
        <f>IFERROR(VLOOKUP(A597,Shipped!I:J,2,)," ")</f>
        <v>46248</v>
      </c>
    </row>
    <row r="598" spans="1:14" x14ac:dyDescent="0.25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56">
        <f>IFERROR(VLOOKUP(A598,Shipped!I:J,2,)," ")</f>
        <v>46248</v>
      </c>
    </row>
    <row r="599" spans="1:14" x14ac:dyDescent="0.25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56">
        <f>IFERROR(VLOOKUP(A599,Shipped!I:J,2,)," ")</f>
        <v>46248</v>
      </c>
    </row>
    <row r="600" spans="1:14" x14ac:dyDescent="0.25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56">
        <f>IFERROR(VLOOKUP(A600,Shipped!I:J,2,)," ")</f>
        <v>46248</v>
      </c>
    </row>
    <row r="601" spans="1:14" x14ac:dyDescent="0.25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56">
        <f>IFERROR(VLOOKUP(A601,Shipped!I:J,2,)," ")</f>
        <v>46248</v>
      </c>
    </row>
    <row r="602" spans="1:14" x14ac:dyDescent="0.25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56">
        <f>IFERROR(VLOOKUP(A602,Shipped!I:J,2,)," ")</f>
        <v>46248</v>
      </c>
    </row>
    <row r="603" spans="1:14" x14ac:dyDescent="0.25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56">
        <f>IFERROR(VLOOKUP(A603,Shipped!I:J,2,)," ")</f>
        <v>46248</v>
      </c>
    </row>
    <row r="604" spans="1:14" x14ac:dyDescent="0.25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56">
        <f>IFERROR(VLOOKUP(A604,Shipped!I:J,2,)," ")</f>
        <v>46254</v>
      </c>
    </row>
    <row r="605" spans="1:14" x14ac:dyDescent="0.25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56">
        <f>IFERROR(VLOOKUP(A605,Shipped!I:J,2,)," ")</f>
        <v>46248</v>
      </c>
    </row>
    <row r="606" spans="1:14" x14ac:dyDescent="0.25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56" t="str">
        <f>IFERROR(VLOOKUP(A606,Shipped!I:J,2,)," ")</f>
        <v xml:space="preserve"> </v>
      </c>
    </row>
    <row r="607" spans="1:14" x14ac:dyDescent="0.25">
      <c r="A607" s="11" t="s">
        <v>1273</v>
      </c>
      <c r="B607" s="11" t="s">
        <v>6</v>
      </c>
      <c r="C607" s="11" t="s">
        <v>6</v>
      </c>
      <c r="D607" s="11">
        <v>1</v>
      </c>
      <c r="E607" s="11" t="s">
        <v>7</v>
      </c>
      <c r="F607" s="20">
        <v>46281.482662037037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56" t="str">
        <f>IFERROR(VLOOKUP(A607,Shipped!I:J,2,)," ")</f>
        <v xml:space="preserve"> </v>
      </c>
    </row>
    <row r="608" spans="1:14" x14ac:dyDescent="0.25">
      <c r="A608" s="11" t="s">
        <v>1274</v>
      </c>
      <c r="B608" s="11" t="s">
        <v>3951</v>
      </c>
      <c r="C608" s="11" t="s">
        <v>3952</v>
      </c>
      <c r="D608" s="11">
        <v>1</v>
      </c>
      <c r="E608" s="11" t="s">
        <v>3953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56" t="str">
        <f>IFERROR(VLOOKUP(A608,Shipped!I:J,2,)," ")</f>
        <v xml:space="preserve"> </v>
      </c>
    </row>
    <row r="609" spans="1:14" x14ac:dyDescent="0.25">
      <c r="A609" s="11" t="s">
        <v>1275</v>
      </c>
      <c r="B609" s="11" t="s">
        <v>6</v>
      </c>
      <c r="C609" s="11" t="s">
        <v>6</v>
      </c>
      <c r="D609" s="11">
        <v>1</v>
      </c>
      <c r="E609" s="11" t="s">
        <v>7</v>
      </c>
      <c r="F609" s="20">
        <v>46280.409756944442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56" t="str">
        <f>IFERROR(VLOOKUP(A609,Shipped!I:J,2,)," ")</f>
        <v xml:space="preserve"> </v>
      </c>
    </row>
    <row r="610" spans="1:14" x14ac:dyDescent="0.25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56" t="str">
        <f>IFERROR(VLOOKUP(A610,Shipped!I:J,2,)," ")</f>
        <v xml:space="preserve"> </v>
      </c>
    </row>
    <row r="611" spans="1:14" x14ac:dyDescent="0.25">
      <c r="A611" s="11" t="s">
        <v>1277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46276.443923611114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56" t="str">
        <f>IFERROR(VLOOKUP(A611,Shipped!I:J,2,)," ")</f>
        <v xml:space="preserve"> </v>
      </c>
    </row>
    <row r="612" spans="1:14" x14ac:dyDescent="0.25">
      <c r="A612" s="11" t="s">
        <v>1278</v>
      </c>
      <c r="B612" s="11" t="s">
        <v>6</v>
      </c>
      <c r="C612" s="11" t="s">
        <v>6</v>
      </c>
      <c r="D612" s="11">
        <v>1</v>
      </c>
      <c r="E612" s="11" t="s">
        <v>7</v>
      </c>
      <c r="F612" s="20">
        <v>46280.409745370373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56" t="str">
        <f>IFERROR(VLOOKUP(A612,Shipped!I:J,2,)," ")</f>
        <v xml:space="preserve"> </v>
      </c>
    </row>
    <row r="613" spans="1:14" x14ac:dyDescent="0.25">
      <c r="A613" s="11" t="s">
        <v>1279</v>
      </c>
      <c r="B613" s="11" t="s">
        <v>6</v>
      </c>
      <c r="C613" s="11" t="s">
        <v>6</v>
      </c>
      <c r="D613" s="11">
        <v>1</v>
      </c>
      <c r="E613" s="11" t="s">
        <v>7</v>
      </c>
      <c r="F613" s="20">
        <v>46281.483402777776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56" t="str">
        <f>IFERROR(VLOOKUP(A613,Shipped!I:J,2,)," ")</f>
        <v xml:space="preserve"> </v>
      </c>
    </row>
    <row r="614" spans="1:14" x14ac:dyDescent="0.25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56" t="str">
        <f>IFERROR(VLOOKUP(A614,Shipped!I:J,2,)," ")</f>
        <v xml:space="preserve"> </v>
      </c>
    </row>
    <row r="615" spans="1:14" x14ac:dyDescent="0.25">
      <c r="A615" s="11" t="s">
        <v>1281</v>
      </c>
      <c r="B615" s="11" t="s">
        <v>6</v>
      </c>
      <c r="C615" s="11" t="s">
        <v>6</v>
      </c>
      <c r="D615" s="11">
        <v>1</v>
      </c>
      <c r="E615" s="11" t="s">
        <v>7</v>
      </c>
      <c r="F615" s="20">
        <v>46281.482743055552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56" t="str">
        <f>IFERROR(VLOOKUP(A615,Shipped!I:J,2,)," ")</f>
        <v xml:space="preserve"> </v>
      </c>
    </row>
    <row r="616" spans="1:14" x14ac:dyDescent="0.25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56" t="str">
        <f>IFERROR(VLOOKUP(A616,Shipped!I:J,2,)," ")</f>
        <v xml:space="preserve"> </v>
      </c>
    </row>
    <row r="617" spans="1:14" x14ac:dyDescent="0.25">
      <c r="A617" s="11" t="s">
        <v>1283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46281.482824074075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56" t="str">
        <f>IFERROR(VLOOKUP(A617,Shipped!I:J,2,)," ")</f>
        <v xml:space="preserve"> </v>
      </c>
    </row>
    <row r="618" spans="1:14" x14ac:dyDescent="0.25">
      <c r="A618" s="11" t="s">
        <v>1284</v>
      </c>
      <c r="B618" s="11" t="s">
        <v>6</v>
      </c>
      <c r="C618" s="11" t="s">
        <v>6</v>
      </c>
      <c r="D618" s="11">
        <v>1</v>
      </c>
      <c r="E618" s="11" t="s">
        <v>7</v>
      </c>
      <c r="F618" s="20">
        <v>46281.483472222222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56" t="str">
        <f>IFERROR(VLOOKUP(A618,Shipped!I:J,2,)," ")</f>
        <v xml:space="preserve"> </v>
      </c>
    </row>
    <row r="619" spans="1:14" x14ac:dyDescent="0.25">
      <c r="A619" s="11" t="s">
        <v>1285</v>
      </c>
      <c r="B619" s="11" t="s">
        <v>6</v>
      </c>
      <c r="C619" s="11" t="s">
        <v>6</v>
      </c>
      <c r="D619" s="11">
        <v>1</v>
      </c>
      <c r="E619" s="11" t="s">
        <v>7</v>
      </c>
      <c r="F619" s="20">
        <v>46281.483553240738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56" t="str">
        <f>IFERROR(VLOOKUP(A619,Shipped!I:J,2,)," ")</f>
        <v xml:space="preserve"> </v>
      </c>
    </row>
    <row r="620" spans="1:14" x14ac:dyDescent="0.25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56" t="str">
        <f>IFERROR(VLOOKUP(A620,Shipped!I:J,2,)," ")</f>
        <v xml:space="preserve"> </v>
      </c>
    </row>
    <row r="621" spans="1:14" x14ac:dyDescent="0.25">
      <c r="A621" s="11" t="s">
        <v>1287</v>
      </c>
      <c r="B621" s="11" t="s">
        <v>6</v>
      </c>
      <c r="C621" s="11" t="s">
        <v>6</v>
      </c>
      <c r="D621" s="11">
        <v>1</v>
      </c>
      <c r="E621" s="11" t="s">
        <v>7</v>
      </c>
      <c r="F621" s="20">
        <v>46276.443379629629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56" t="str">
        <f>IFERROR(VLOOKUP(A621,Shipped!I:J,2,)," ")</f>
        <v xml:space="preserve"> </v>
      </c>
    </row>
    <row r="622" spans="1:14" x14ac:dyDescent="0.25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56" t="str">
        <f>IFERROR(VLOOKUP(A622,Shipped!I:J,2,)," ")</f>
        <v xml:space="preserve"> </v>
      </c>
    </row>
    <row r="623" spans="1:14" x14ac:dyDescent="0.25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56" t="str">
        <f>IFERROR(VLOOKUP(A623,Shipped!I:J,2,)," ")</f>
        <v xml:space="preserve"> </v>
      </c>
    </row>
    <row r="624" spans="1:14" x14ac:dyDescent="0.25">
      <c r="A624" s="11" t="s">
        <v>1290</v>
      </c>
      <c r="B624" s="11" t="s">
        <v>6</v>
      </c>
      <c r="C624" s="11" t="s">
        <v>6</v>
      </c>
      <c r="D624" s="11">
        <v>1</v>
      </c>
      <c r="E624" s="11" t="s">
        <v>7</v>
      </c>
      <c r="F624" s="20">
        <v>46276.443425925929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56" t="str">
        <f>IFERROR(VLOOKUP(A624,Shipped!I:J,2,)," ")</f>
        <v xml:space="preserve"> </v>
      </c>
    </row>
    <row r="625" spans="1:14" x14ac:dyDescent="0.25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56" t="str">
        <f>IFERROR(VLOOKUP(A625,Shipped!I:J,2,)," ")</f>
        <v xml:space="preserve"> </v>
      </c>
    </row>
    <row r="626" spans="1:14" x14ac:dyDescent="0.25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56" t="str">
        <f>IFERROR(VLOOKUP(A626,Shipped!I:J,2,)," ")</f>
        <v xml:space="preserve"> </v>
      </c>
    </row>
    <row r="627" spans="1:14" x14ac:dyDescent="0.25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56" t="str">
        <f>IFERROR(VLOOKUP(A627,Shipped!I:J,2,)," ")</f>
        <v xml:space="preserve"> </v>
      </c>
    </row>
    <row r="628" spans="1:14" x14ac:dyDescent="0.25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56" t="str">
        <f>IFERROR(VLOOKUP(A628,Shipped!I:J,2,)," ")</f>
        <v xml:space="preserve"> </v>
      </c>
    </row>
    <row r="629" spans="1:14" x14ac:dyDescent="0.25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56" t="str">
        <f>IFERROR(VLOOKUP(A629,Shipped!I:J,2,)," ")</f>
        <v xml:space="preserve"> </v>
      </c>
    </row>
    <row r="630" spans="1:14" x14ac:dyDescent="0.25">
      <c r="A630" s="11" t="s">
        <v>1296</v>
      </c>
      <c r="B630" s="11" t="s">
        <v>6</v>
      </c>
      <c r="C630" s="11" t="s">
        <v>6</v>
      </c>
      <c r="D630" s="11">
        <v>1</v>
      </c>
      <c r="E630" s="11" t="s">
        <v>7</v>
      </c>
      <c r="F630" s="20">
        <v>46281.482604166667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56" t="str">
        <f>IFERROR(VLOOKUP(A630,Shipped!I:J,2,)," ")</f>
        <v xml:space="preserve"> </v>
      </c>
    </row>
    <row r="631" spans="1:14" x14ac:dyDescent="0.25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56" t="str">
        <f>IFERROR(VLOOKUP(A631,Shipped!I:J,2,)," ")</f>
        <v xml:space="preserve"> </v>
      </c>
    </row>
    <row r="632" spans="1:14" x14ac:dyDescent="0.25">
      <c r="A632" s="11" t="s">
        <v>1298</v>
      </c>
      <c r="B632" s="11" t="s">
        <v>6</v>
      </c>
      <c r="C632" s="11" t="s">
        <v>6</v>
      </c>
      <c r="D632" s="11">
        <v>1</v>
      </c>
      <c r="E632" s="11" t="s">
        <v>7</v>
      </c>
      <c r="F632" s="20">
        <v>46281.68677083333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56" t="str">
        <f>IFERROR(VLOOKUP(A632,Shipped!I:J,2,)," ")</f>
        <v xml:space="preserve"> </v>
      </c>
    </row>
    <row r="633" spans="1:14" x14ac:dyDescent="0.25">
      <c r="A633" s="11" t="s">
        <v>1299</v>
      </c>
      <c r="B633" s="11" t="s">
        <v>6</v>
      </c>
      <c r="C633" s="11" t="s">
        <v>6</v>
      </c>
      <c r="D633" s="11">
        <v>1</v>
      </c>
      <c r="E633" s="11" t="s">
        <v>7</v>
      </c>
      <c r="F633" s="20">
        <v>46280.409803240742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56" t="str">
        <f>IFERROR(VLOOKUP(A633,Shipped!I:J,2,)," ")</f>
        <v xml:space="preserve"> </v>
      </c>
    </row>
    <row r="634" spans="1:14" x14ac:dyDescent="0.25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56">
        <f>IFERROR(VLOOKUP(A634,Shipped!I:J,2,)," ")</f>
        <v>46241</v>
      </c>
    </row>
    <row r="635" spans="1:14" x14ac:dyDescent="0.25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56">
        <f>IFERROR(VLOOKUP(A635,Shipped!I:J,2,)," ")</f>
        <v>46241</v>
      </c>
    </row>
    <row r="636" spans="1:14" x14ac:dyDescent="0.25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56">
        <f>IFERROR(VLOOKUP(A636,Shipped!I:J,2,)," ")</f>
        <v>46241</v>
      </c>
    </row>
    <row r="637" spans="1:14" x14ac:dyDescent="0.25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56" t="str">
        <f>IFERROR(VLOOKUP(A637,Shipped!I:J,2,)," ")</f>
        <v xml:space="preserve"> </v>
      </c>
    </row>
    <row r="638" spans="1:14" x14ac:dyDescent="0.25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56">
        <f>IFERROR(VLOOKUP(A638,Shipped!I:J,2,)," ")</f>
        <v>46241</v>
      </c>
    </row>
    <row r="639" spans="1:14" x14ac:dyDescent="0.25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56">
        <f>IFERROR(VLOOKUP(A639,Shipped!I:J,2,)," ")</f>
        <v>46241</v>
      </c>
    </row>
    <row r="640" spans="1:14" x14ac:dyDescent="0.25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56">
        <f>IFERROR(VLOOKUP(A640,Shipped!I:J,2,)," ")</f>
        <v>46241</v>
      </c>
    </row>
    <row r="641" spans="1:14" x14ac:dyDescent="0.25">
      <c r="A641" s="11" t="s">
        <v>1307</v>
      </c>
      <c r="B641" s="11" t="s">
        <v>6</v>
      </c>
      <c r="C641" s="11" t="s">
        <v>6</v>
      </c>
      <c r="D641" s="11">
        <v>1</v>
      </c>
      <c r="E641" s="11" t="s">
        <v>7</v>
      </c>
      <c r="F641" s="20">
        <v>46280.409710648149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56" t="str">
        <f>IFERROR(VLOOKUP(A641,Shipped!I:J,2,)," ")</f>
        <v xml:space="preserve"> </v>
      </c>
    </row>
    <row r="642" spans="1:14" x14ac:dyDescent="0.25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56" t="str">
        <f>IFERROR(VLOOKUP(A642,Shipped!I:J,2,)," ")</f>
        <v xml:space="preserve"> </v>
      </c>
    </row>
    <row r="643" spans="1:14" x14ac:dyDescent="0.25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56" t="str">
        <f>IFERROR(VLOOKUP(A643,Shipped!I:J,2,)," ")</f>
        <v xml:space="preserve"> </v>
      </c>
    </row>
    <row r="644" spans="1:14" x14ac:dyDescent="0.25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56" t="str">
        <f>IFERROR(VLOOKUP(A644,Shipped!I:J,2,)," ")</f>
        <v xml:space="preserve"> </v>
      </c>
    </row>
    <row r="645" spans="1:14" x14ac:dyDescent="0.25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56" t="str">
        <f>IFERROR(VLOOKUP(A645,Shipped!I:J,2,)," ")</f>
        <v xml:space="preserve"> </v>
      </c>
    </row>
    <row r="646" spans="1:14" x14ac:dyDescent="0.25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56" t="str">
        <f>IFERROR(VLOOKUP(A646,Shipped!I:J,2,)," ")</f>
        <v xml:space="preserve"> </v>
      </c>
    </row>
    <row r="647" spans="1:14" x14ac:dyDescent="0.25">
      <c r="A647" s="11" t="s">
        <v>1313</v>
      </c>
      <c r="B647" s="11" t="s">
        <v>6</v>
      </c>
      <c r="C647" s="11" t="s">
        <v>6</v>
      </c>
      <c r="D647" s="11">
        <v>1</v>
      </c>
      <c r="E647" s="11" t="s">
        <v>7</v>
      </c>
      <c r="F647" s="20">
        <v>46276.444490740738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56" t="str">
        <f>IFERROR(VLOOKUP(A647,Shipped!I:J,2,)," ")</f>
        <v xml:space="preserve"> </v>
      </c>
    </row>
    <row r="648" spans="1:14" x14ac:dyDescent="0.25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56" t="str">
        <f>IFERROR(VLOOKUP(A648,Shipped!I:J,2,)," ")</f>
        <v xml:space="preserve"> </v>
      </c>
    </row>
    <row r="649" spans="1:14" x14ac:dyDescent="0.25">
      <c r="A649" s="11" t="s">
        <v>1315</v>
      </c>
      <c r="B649" s="11" t="s">
        <v>6</v>
      </c>
      <c r="C649" s="11" t="s">
        <v>6</v>
      </c>
      <c r="D649" s="11">
        <v>1</v>
      </c>
      <c r="E649" s="11" t="s">
        <v>7</v>
      </c>
      <c r="F649" s="20">
        <v>46276.444444444445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56" t="str">
        <f>IFERROR(VLOOKUP(A649,Shipped!I:J,2,)," ")</f>
        <v xml:space="preserve"> </v>
      </c>
    </row>
    <row r="650" spans="1:14" x14ac:dyDescent="0.25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56">
        <f>IFERROR(VLOOKUP(A650,Shipped!I:J,2,)," ")</f>
        <v>46241</v>
      </c>
    </row>
    <row r="651" spans="1:14" x14ac:dyDescent="0.25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56">
        <f>IFERROR(VLOOKUP(A651,Shipped!I:J,2,)," ")</f>
        <v>46241</v>
      </c>
    </row>
    <row r="652" spans="1:14" x14ac:dyDescent="0.25">
      <c r="A652" s="11" t="s">
        <v>1318</v>
      </c>
      <c r="B652" s="11" t="s">
        <v>6</v>
      </c>
      <c r="C652" s="11" t="s">
        <v>6</v>
      </c>
      <c r="D652" s="11">
        <v>1</v>
      </c>
      <c r="E652" s="11" t="s">
        <v>7</v>
      </c>
      <c r="F652" s="20">
        <v>46276.443715277775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56" t="str">
        <f>IFERROR(VLOOKUP(A652,Shipped!I:J,2,)," ")</f>
        <v xml:space="preserve"> </v>
      </c>
    </row>
    <row r="653" spans="1:14" x14ac:dyDescent="0.25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56" t="str">
        <f>IFERROR(VLOOKUP(A653,Shipped!I:J,2,)," ")</f>
        <v xml:space="preserve"> </v>
      </c>
    </row>
    <row r="654" spans="1:14" x14ac:dyDescent="0.25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56" t="str">
        <f>IFERROR(VLOOKUP(A654,Shipped!I:J,2,)," ")</f>
        <v xml:space="preserve"> </v>
      </c>
    </row>
    <row r="655" spans="1:14" x14ac:dyDescent="0.25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56" t="str">
        <f>IFERROR(VLOOKUP(A655,Shipped!I:J,2,)," ")</f>
        <v xml:space="preserve"> </v>
      </c>
    </row>
    <row r="656" spans="1:14" x14ac:dyDescent="0.25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56" t="str">
        <f>IFERROR(VLOOKUP(A656,Shipped!I:J,2,)," ")</f>
        <v xml:space="preserve"> </v>
      </c>
    </row>
    <row r="657" spans="1:14" x14ac:dyDescent="0.25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56" t="str">
        <f>IFERROR(VLOOKUP(A657,Shipped!I:J,2,)," ")</f>
        <v xml:space="preserve"> </v>
      </c>
    </row>
    <row r="658" spans="1:14" x14ac:dyDescent="0.25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56" t="str">
        <f>IFERROR(VLOOKUP(A658,Shipped!I:J,2,)," ")</f>
        <v xml:space="preserve"> </v>
      </c>
    </row>
    <row r="659" spans="1:14" x14ac:dyDescent="0.25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56" t="str">
        <f>IFERROR(VLOOKUP(A659,Shipped!I:J,2,)," ")</f>
        <v xml:space="preserve"> </v>
      </c>
    </row>
    <row r="660" spans="1:14" x14ac:dyDescent="0.25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56" t="str">
        <f>IFERROR(VLOOKUP(A660,Shipped!I:J,2,)," ")</f>
        <v xml:space="preserve"> </v>
      </c>
    </row>
    <row r="661" spans="1:14" x14ac:dyDescent="0.25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56" t="str">
        <f>IFERROR(VLOOKUP(A661,Shipped!I:J,2,)," ")</f>
        <v xml:space="preserve"> </v>
      </c>
    </row>
    <row r="662" spans="1:14" x14ac:dyDescent="0.25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56" t="str">
        <f>IFERROR(VLOOKUP(A662,Shipped!I:J,2,)," ")</f>
        <v xml:space="preserve"> </v>
      </c>
    </row>
    <row r="663" spans="1:14" x14ac:dyDescent="0.25">
      <c r="A663" s="11" t="s">
        <v>1329</v>
      </c>
      <c r="B663" s="11" t="s">
        <v>6</v>
      </c>
      <c r="C663" s="11" t="s">
        <v>6</v>
      </c>
      <c r="D663" s="11">
        <v>1</v>
      </c>
      <c r="E663" s="11" t="s">
        <v>7</v>
      </c>
      <c r="F663" s="20">
        <v>46281.483599537038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56" t="str">
        <f>IFERROR(VLOOKUP(A663,Shipped!I:J,2,)," ")</f>
        <v xml:space="preserve"> </v>
      </c>
    </row>
    <row r="664" spans="1:14" x14ac:dyDescent="0.25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56" t="str">
        <f>IFERROR(VLOOKUP(A664,Shipped!I:J,2,)," ")</f>
        <v xml:space="preserve"> </v>
      </c>
    </row>
    <row r="665" spans="1:14" x14ac:dyDescent="0.25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56">
        <f>IFERROR(VLOOKUP(A665,Shipped!I:J,2,)," ")</f>
        <v>46241</v>
      </c>
    </row>
    <row r="666" spans="1:14" x14ac:dyDescent="0.25">
      <c r="A666" s="11" t="s">
        <v>1332</v>
      </c>
      <c r="B666" s="11" t="s">
        <v>6</v>
      </c>
      <c r="C666" s="11" t="s">
        <v>6</v>
      </c>
      <c r="D666" s="11">
        <v>1</v>
      </c>
      <c r="E666" s="11" t="s">
        <v>7</v>
      </c>
      <c r="F666" s="20">
        <v>46281.686805555553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56" t="str">
        <f>IFERROR(VLOOKUP(A666,Shipped!I:J,2,)," ")</f>
        <v xml:space="preserve"> </v>
      </c>
    </row>
    <row r="667" spans="1:14" x14ac:dyDescent="0.25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56">
        <f>IFERROR(VLOOKUP(A667,Shipped!I:J,2,)," ")</f>
        <v>46241</v>
      </c>
    </row>
    <row r="668" spans="1:14" x14ac:dyDescent="0.25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56" t="str">
        <f>IFERROR(VLOOKUP(A668,Shipped!I:J,2,)," ")</f>
        <v xml:space="preserve"> </v>
      </c>
    </row>
    <row r="669" spans="1:14" x14ac:dyDescent="0.25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56" t="str">
        <f>IFERROR(VLOOKUP(A669,Shipped!I:J,2,)," ")</f>
        <v xml:space="preserve"> </v>
      </c>
    </row>
    <row r="670" spans="1:14" x14ac:dyDescent="0.25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56" t="str">
        <f>IFERROR(VLOOKUP(A670,Shipped!I:J,2,)," ")</f>
        <v xml:space="preserve"> </v>
      </c>
    </row>
    <row r="671" spans="1:14" x14ac:dyDescent="0.25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56" t="str">
        <f>IFERROR(VLOOKUP(A671,Shipped!I:J,2,)," ")</f>
        <v xml:space="preserve"> </v>
      </c>
    </row>
    <row r="672" spans="1:14" x14ac:dyDescent="0.25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56" t="str">
        <f>IFERROR(VLOOKUP(A672,Shipped!I:J,2,)," ")</f>
        <v xml:space="preserve"> </v>
      </c>
    </row>
    <row r="673" spans="1:14" x14ac:dyDescent="0.25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56" t="str">
        <f>IFERROR(VLOOKUP(A673,Shipped!I:J,2,)," ")</f>
        <v xml:space="preserve"> </v>
      </c>
    </row>
    <row r="674" spans="1:14" x14ac:dyDescent="0.25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56" t="str">
        <f>IFERROR(VLOOKUP(A674,Shipped!I:J,2,)," ")</f>
        <v xml:space="preserve"> </v>
      </c>
    </row>
    <row r="675" spans="1:14" x14ac:dyDescent="0.25">
      <c r="A675" s="11" t="s">
        <v>1341</v>
      </c>
      <c r="B675" s="11" t="s">
        <v>6</v>
      </c>
      <c r="C675" s="11" t="s">
        <v>6</v>
      </c>
      <c r="D675" s="11">
        <v>1</v>
      </c>
      <c r="E675" s="11" t="s">
        <v>7</v>
      </c>
      <c r="F675" s="20">
        <v>46276.444571759261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56" t="str">
        <f>IFERROR(VLOOKUP(A675,Shipped!I:J,2,)," ")</f>
        <v xml:space="preserve"> </v>
      </c>
    </row>
    <row r="676" spans="1:14" x14ac:dyDescent="0.25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56" t="str">
        <f>IFERROR(VLOOKUP(A676,Shipped!I:J,2,)," ")</f>
        <v xml:space="preserve"> </v>
      </c>
    </row>
    <row r="677" spans="1:14" x14ac:dyDescent="0.25">
      <c r="A677" s="11" t="s">
        <v>1343</v>
      </c>
      <c r="B677" s="11" t="s">
        <v>6</v>
      </c>
      <c r="C677" s="11" t="s">
        <v>6</v>
      </c>
      <c r="D677" s="11">
        <v>1</v>
      </c>
      <c r="E677" s="11" t="s">
        <v>7</v>
      </c>
      <c r="F677" s="20">
        <v>46276.444351851853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56" t="str">
        <f>IFERROR(VLOOKUP(A677,Shipped!I:J,2,)," ")</f>
        <v xml:space="preserve"> </v>
      </c>
    </row>
    <row r="678" spans="1:14" x14ac:dyDescent="0.25">
      <c r="A678" s="11" t="s">
        <v>1344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46281.686840277776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56" t="str">
        <f>IFERROR(VLOOKUP(A678,Shipped!I:J,2,)," ")</f>
        <v xml:space="preserve"> </v>
      </c>
    </row>
    <row r="679" spans="1:14" x14ac:dyDescent="0.25">
      <c r="A679" s="11" t="s">
        <v>1345</v>
      </c>
      <c r="B679" s="11" t="s">
        <v>6</v>
      </c>
      <c r="C679" s="11" t="s">
        <v>6</v>
      </c>
      <c r="D679" s="11">
        <v>1</v>
      </c>
      <c r="E679" s="11" t="s">
        <v>7</v>
      </c>
      <c r="F679" s="20">
        <v>46281.686724537038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56" t="str">
        <f>IFERROR(VLOOKUP(A679,Shipped!I:J,2,)," ")</f>
        <v xml:space="preserve"> </v>
      </c>
    </row>
    <row r="680" spans="1:14" x14ac:dyDescent="0.25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56" t="str">
        <f>IFERROR(VLOOKUP(A680,Shipped!I:J,2,)," ")</f>
        <v xml:space="preserve"> </v>
      </c>
    </row>
    <row r="681" spans="1:14" x14ac:dyDescent="0.25">
      <c r="A681" s="11" t="s">
        <v>1349</v>
      </c>
      <c r="B681" s="11" t="s">
        <v>155</v>
      </c>
      <c r="C681" s="11" t="s">
        <v>156</v>
      </c>
      <c r="D681" s="11">
        <v>1</v>
      </c>
      <c r="E681" s="11" t="s">
        <v>151</v>
      </c>
      <c r="F681" s="20">
        <v>46280.392569444448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56" t="str">
        <f>IFERROR(VLOOKUP(A681,Shipped!I:J,2,)," ")</f>
        <v xml:space="preserve"> </v>
      </c>
    </row>
    <row r="682" spans="1:14" x14ac:dyDescent="0.25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56">
        <f>IFERROR(VLOOKUP(A682,Shipped!I:J,2,)," ")</f>
        <v>46234</v>
      </c>
    </row>
    <row r="683" spans="1:14" x14ac:dyDescent="0.25">
      <c r="A683" s="11" t="s">
        <v>1351</v>
      </c>
      <c r="B683" s="11" t="s">
        <v>6</v>
      </c>
      <c r="C683" s="11" t="s">
        <v>6</v>
      </c>
      <c r="D683" s="11">
        <v>1</v>
      </c>
      <c r="E683" s="11" t="s">
        <v>7</v>
      </c>
      <c r="F683" s="20">
        <v>46276.440046296295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56" t="str">
        <f>IFERROR(VLOOKUP(A683,Shipped!I:J,2,)," ")</f>
        <v xml:space="preserve"> </v>
      </c>
    </row>
    <row r="684" spans="1:14" x14ac:dyDescent="0.25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56" t="str">
        <f>IFERROR(VLOOKUP(A684,Shipped!I:J,2,)," ")</f>
        <v xml:space="preserve"> </v>
      </c>
    </row>
    <row r="685" spans="1:14" x14ac:dyDescent="0.25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56" t="str">
        <f>IFERROR(VLOOKUP(A685,Shipped!I:J,2,)," ")</f>
        <v xml:space="preserve"> </v>
      </c>
    </row>
    <row r="686" spans="1:14" x14ac:dyDescent="0.25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56">
        <f>IFERROR(VLOOKUP(A686,Shipped!I:J,2,)," ")</f>
        <v>46234</v>
      </c>
    </row>
    <row r="687" spans="1:14" x14ac:dyDescent="0.25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56" t="str">
        <f>IFERROR(VLOOKUP(A687,Shipped!I:J,2,)," ")</f>
        <v xml:space="preserve"> </v>
      </c>
    </row>
    <row r="688" spans="1:14" x14ac:dyDescent="0.25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56" t="str">
        <f>IFERROR(VLOOKUP(A688,Shipped!I:J,2,)," ")</f>
        <v xml:space="preserve"> </v>
      </c>
    </row>
    <row r="689" spans="1:14" x14ac:dyDescent="0.25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56">
        <f>IFERROR(VLOOKUP(A689,Shipped!I:J,2,)," ")</f>
        <v>46234</v>
      </c>
    </row>
    <row r="690" spans="1:14" x14ac:dyDescent="0.25">
      <c r="A690" s="11" t="s">
        <v>1358</v>
      </c>
      <c r="B690" s="11" t="s">
        <v>6</v>
      </c>
      <c r="C690" s="11" t="s">
        <v>6</v>
      </c>
      <c r="D690" s="11">
        <v>1</v>
      </c>
      <c r="E690" s="11" t="s">
        <v>7</v>
      </c>
      <c r="F690" s="20">
        <v>46276.439965277779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56" t="str">
        <f>IFERROR(VLOOKUP(A690,Shipped!I:J,2,)," ")</f>
        <v xml:space="preserve"> </v>
      </c>
    </row>
    <row r="691" spans="1:14" x14ac:dyDescent="0.25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56" t="str">
        <f>IFERROR(VLOOKUP(A691,Shipped!I:J,2,)," ")</f>
        <v xml:space="preserve"> </v>
      </c>
    </row>
    <row r="692" spans="1:14" x14ac:dyDescent="0.25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56" t="str">
        <f>IFERROR(VLOOKUP(A692,Shipped!I:J,2,)," ")</f>
        <v xml:space="preserve"> </v>
      </c>
    </row>
    <row r="693" spans="1:14" x14ac:dyDescent="0.25">
      <c r="A693" s="11" t="s">
        <v>1361</v>
      </c>
      <c r="B693" s="11" t="s">
        <v>6</v>
      </c>
      <c r="C693" s="11" t="s">
        <v>6</v>
      </c>
      <c r="D693" s="11">
        <v>1</v>
      </c>
      <c r="E693" s="11" t="s">
        <v>7</v>
      </c>
      <c r="F693" s="20">
        <v>46281.686863425923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56" t="str">
        <f>IFERROR(VLOOKUP(A693,Shipped!I:J,2,)," ")</f>
        <v xml:space="preserve"> </v>
      </c>
    </row>
    <row r="694" spans="1:14" x14ac:dyDescent="0.25">
      <c r="A694" s="11" t="s">
        <v>1362</v>
      </c>
      <c r="B694" s="11" t="s">
        <v>6</v>
      </c>
      <c r="C694" s="11" t="s">
        <v>6</v>
      </c>
      <c r="D694" s="11">
        <v>1</v>
      </c>
      <c r="E694" s="11" t="s">
        <v>7</v>
      </c>
      <c r="F694" s="20">
        <v>46281.483842592592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56" t="str">
        <f>IFERROR(VLOOKUP(A694,Shipped!I:J,2,)," ")</f>
        <v xml:space="preserve"> </v>
      </c>
    </row>
    <row r="695" spans="1:14" x14ac:dyDescent="0.25">
      <c r="A695" s="11" t="s">
        <v>1363</v>
      </c>
      <c r="B695" s="11" t="s">
        <v>6</v>
      </c>
      <c r="C695" s="11" t="s">
        <v>6</v>
      </c>
      <c r="D695" s="11">
        <v>1</v>
      </c>
      <c r="E695" s="11" t="s">
        <v>7</v>
      </c>
      <c r="F695" s="20">
        <v>46281.482881944445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56" t="str">
        <f>IFERROR(VLOOKUP(A695,Shipped!I:J,2,)," ")</f>
        <v xml:space="preserve"> </v>
      </c>
    </row>
    <row r="696" spans="1:14" x14ac:dyDescent="0.25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56">
        <f>IFERROR(VLOOKUP(A696,Shipped!I:J,2,)," ")</f>
        <v>46234</v>
      </c>
    </row>
    <row r="697" spans="1:14" x14ac:dyDescent="0.25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56" t="str">
        <f>IFERROR(VLOOKUP(A697,Shipped!I:J,2,)," ")</f>
        <v xml:space="preserve"> </v>
      </c>
    </row>
    <row r="698" spans="1:14" x14ac:dyDescent="0.25">
      <c r="A698" s="11" t="s">
        <v>1366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46281.483310185184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56" t="str">
        <f>IFERROR(VLOOKUP(A698,Shipped!I:J,2,)," ")</f>
        <v xml:space="preserve"> </v>
      </c>
    </row>
    <row r="699" spans="1:14" x14ac:dyDescent="0.25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56">
        <f>IFERROR(VLOOKUP(A699,Shipped!I:J,2,)," ")</f>
        <v>46234</v>
      </c>
    </row>
    <row r="700" spans="1:14" x14ac:dyDescent="0.25">
      <c r="A700" s="11" t="s">
        <v>1368</v>
      </c>
      <c r="B700" s="11" t="s">
        <v>155</v>
      </c>
      <c r="C700" s="11" t="s">
        <v>156</v>
      </c>
      <c r="D700" s="11">
        <v>1</v>
      </c>
      <c r="E700" s="11" t="s">
        <v>151</v>
      </c>
      <c r="F700" s="20">
        <v>46281.412256944444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56" t="str">
        <f>IFERROR(VLOOKUP(A700,Shipped!I:J,2,)," ")</f>
        <v xml:space="preserve"> </v>
      </c>
    </row>
    <row r="701" spans="1:14" x14ac:dyDescent="0.25">
      <c r="A701" s="11" t="s">
        <v>1369</v>
      </c>
      <c r="B701" s="11" t="s">
        <v>6</v>
      </c>
      <c r="C701" s="11" t="s">
        <v>6</v>
      </c>
      <c r="D701" s="11">
        <v>1</v>
      </c>
      <c r="E701" s="11" t="s">
        <v>7</v>
      </c>
      <c r="F701" s="20">
        <v>46280.409849537034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56" t="str">
        <f>IFERROR(VLOOKUP(A701,Shipped!I:J,2,)," ")</f>
        <v xml:space="preserve"> </v>
      </c>
    </row>
    <row r="702" spans="1:14" x14ac:dyDescent="0.25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56" t="str">
        <f>IFERROR(VLOOKUP(A702,Shipped!I:J,2,)," ")</f>
        <v xml:space="preserve"> </v>
      </c>
    </row>
    <row r="703" spans="1:14" x14ac:dyDescent="0.25">
      <c r="A703" s="11" t="s">
        <v>1371</v>
      </c>
      <c r="B703" s="11" t="s">
        <v>6</v>
      </c>
      <c r="C703" s="11" t="s">
        <v>6</v>
      </c>
      <c r="D703" s="11">
        <v>1</v>
      </c>
      <c r="E703" s="11" t="s">
        <v>7</v>
      </c>
      <c r="F703" s="20">
        <v>46281.482951388891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56" t="str">
        <f>IFERROR(VLOOKUP(A703,Shipped!I:J,2,)," ")</f>
        <v xml:space="preserve"> </v>
      </c>
    </row>
    <row r="704" spans="1:14" x14ac:dyDescent="0.25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56" t="str">
        <f>IFERROR(VLOOKUP(A704,Shipped!I:J,2,)," ")</f>
        <v xml:space="preserve"> </v>
      </c>
    </row>
    <row r="705" spans="1:14" x14ac:dyDescent="0.25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56">
        <f>IFERROR(VLOOKUP(A705,Shipped!I:J,2,)," ")</f>
        <v>46261</v>
      </c>
    </row>
    <row r="706" spans="1:14" x14ac:dyDescent="0.25">
      <c r="A706" s="11" t="s">
        <v>1374</v>
      </c>
      <c r="B706" s="11" t="s">
        <v>6</v>
      </c>
      <c r="C706" s="11" t="s">
        <v>6</v>
      </c>
      <c r="D706" s="11">
        <v>1</v>
      </c>
      <c r="E706" s="11" t="s">
        <v>7</v>
      </c>
      <c r="F706" s="20">
        <v>46281.686655092592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56" t="str">
        <f>IFERROR(VLOOKUP(A706,Shipped!I:J,2,)," ")</f>
        <v xml:space="preserve"> </v>
      </c>
    </row>
    <row r="707" spans="1:14" x14ac:dyDescent="0.25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56" t="str">
        <f>IFERROR(VLOOKUP(A707,Shipped!I:J,2,)," ")</f>
        <v xml:space="preserve"> </v>
      </c>
    </row>
    <row r="708" spans="1:14" x14ac:dyDescent="0.25">
      <c r="A708" s="11" t="s">
        <v>1376</v>
      </c>
      <c r="B708" s="11" t="s">
        <v>6</v>
      </c>
      <c r="C708" s="11" t="s">
        <v>6</v>
      </c>
      <c r="D708" s="11">
        <v>1</v>
      </c>
      <c r="E708" s="11" t="s">
        <v>7</v>
      </c>
      <c r="F708" s="20">
        <v>46276.439895833333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56" t="str">
        <f>IFERROR(VLOOKUP(A708,Shipped!I:J,2,)," ")</f>
        <v xml:space="preserve"> </v>
      </c>
    </row>
    <row r="709" spans="1:14" x14ac:dyDescent="0.25">
      <c r="A709" s="11" t="s">
        <v>1377</v>
      </c>
      <c r="B709" s="11" t="s">
        <v>6</v>
      </c>
      <c r="C709" s="11" t="s">
        <v>6</v>
      </c>
      <c r="D709" s="11">
        <v>1</v>
      </c>
      <c r="E709" s="11" t="s">
        <v>7</v>
      </c>
      <c r="F709" s="20">
        <v>46281.48364583333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56" t="str">
        <f>IFERROR(VLOOKUP(A709,Shipped!I:J,2,)," ")</f>
        <v xml:space="preserve"> </v>
      </c>
    </row>
    <row r="710" spans="1:14" x14ac:dyDescent="0.25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56" t="str">
        <f>IFERROR(VLOOKUP(A710,Shipped!I:J,2,)," ")</f>
        <v xml:space="preserve"> </v>
      </c>
    </row>
    <row r="711" spans="1:14" x14ac:dyDescent="0.25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56" t="str">
        <f>IFERROR(VLOOKUP(A711,Shipped!I:J,2,)," ")</f>
        <v xml:space="preserve"> </v>
      </c>
    </row>
    <row r="712" spans="1:14" x14ac:dyDescent="0.25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56" t="str">
        <f>IFERROR(VLOOKUP(A712,Shipped!I:J,2,)," ")</f>
        <v xml:space="preserve"> </v>
      </c>
    </row>
    <row r="713" spans="1:14" x14ac:dyDescent="0.25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56" t="str">
        <f>IFERROR(VLOOKUP(A713,Shipped!I:J,2,)," ")</f>
        <v xml:space="preserve"> </v>
      </c>
    </row>
    <row r="714" spans="1:14" x14ac:dyDescent="0.25">
      <c r="A714" s="11" t="s">
        <v>1382</v>
      </c>
      <c r="B714" s="11" t="s">
        <v>6</v>
      </c>
      <c r="C714" s="11" t="s">
        <v>6</v>
      </c>
      <c r="D714" s="11">
        <v>1</v>
      </c>
      <c r="E714" s="11" t="s">
        <v>7</v>
      </c>
      <c r="F714" s="20">
        <v>46276.440312500003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56" t="str">
        <f>IFERROR(VLOOKUP(A714,Shipped!I:J,2,)," ")</f>
        <v xml:space="preserve"> </v>
      </c>
    </row>
    <row r="715" spans="1:14" x14ac:dyDescent="0.25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56" t="str">
        <f>IFERROR(VLOOKUP(A715,Shipped!I:J,2,)," ")</f>
        <v xml:space="preserve"> </v>
      </c>
    </row>
    <row r="716" spans="1:14" x14ac:dyDescent="0.25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56">
        <f>IFERROR(VLOOKUP(A716,Shipped!I:J,2,)," ")</f>
        <v>46261</v>
      </c>
    </row>
    <row r="717" spans="1:14" x14ac:dyDescent="0.25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56" t="str">
        <f>IFERROR(VLOOKUP(A717,Shipped!I:J,2,)," ")</f>
        <v xml:space="preserve"> </v>
      </c>
    </row>
    <row r="718" spans="1:14" x14ac:dyDescent="0.25">
      <c r="A718" s="11" t="s">
        <v>1386</v>
      </c>
      <c r="B718" s="11" t="s">
        <v>6</v>
      </c>
      <c r="C718" s="11" t="s">
        <v>6</v>
      </c>
      <c r="D718" s="11">
        <v>1</v>
      </c>
      <c r="E718" s="11" t="s">
        <v>7</v>
      </c>
      <c r="F718" s="20">
        <v>46280.40966435185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56" t="str">
        <f>IFERROR(VLOOKUP(A718,Shipped!I:J,2,)," ")</f>
        <v xml:space="preserve"> </v>
      </c>
    </row>
    <row r="719" spans="1:14" x14ac:dyDescent="0.25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56" t="str">
        <f>IFERROR(VLOOKUP(A719,Shipped!I:J,2,)," ")</f>
        <v xml:space="preserve"> </v>
      </c>
    </row>
    <row r="720" spans="1:14" x14ac:dyDescent="0.25">
      <c r="A720" s="11" t="s">
        <v>1388</v>
      </c>
      <c r="B720" s="11" t="s">
        <v>6</v>
      </c>
      <c r="C720" s="11" t="s">
        <v>6</v>
      </c>
      <c r="D720" s="11">
        <v>1</v>
      </c>
      <c r="E720" s="11" t="s">
        <v>7</v>
      </c>
      <c r="F720" s="20">
        <v>46281.686909722222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56" t="str">
        <f>IFERROR(VLOOKUP(A720,Shipped!I:J,2,)," ")</f>
        <v xml:space="preserve"> </v>
      </c>
    </row>
    <row r="721" spans="1:14" x14ac:dyDescent="0.25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56" t="str">
        <f>IFERROR(VLOOKUP(A721,Shipped!I:J,2,)," ")</f>
        <v xml:space="preserve"> </v>
      </c>
    </row>
    <row r="722" spans="1:14" x14ac:dyDescent="0.25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56">
        <f>IFERROR(VLOOKUP(A722,Shipped!I:J,2,)," ")</f>
        <v>46261</v>
      </c>
    </row>
    <row r="723" spans="1:14" x14ac:dyDescent="0.25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56">
        <f>IFERROR(VLOOKUP(A723,Shipped!I:J,2,)," ")</f>
        <v>46234</v>
      </c>
    </row>
    <row r="724" spans="1:14" x14ac:dyDescent="0.25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56">
        <f>IFERROR(VLOOKUP(A724,Shipped!I:J,2,)," ")</f>
        <v>46234</v>
      </c>
    </row>
    <row r="725" spans="1:14" x14ac:dyDescent="0.25">
      <c r="A725" s="11" t="s">
        <v>1393</v>
      </c>
      <c r="B725" s="11" t="s">
        <v>6</v>
      </c>
      <c r="C725" s="11" t="s">
        <v>6</v>
      </c>
      <c r="D725" s="11">
        <v>1</v>
      </c>
      <c r="E725" s="11" t="s">
        <v>7</v>
      </c>
      <c r="F725" s="20">
        <v>46276.440358796295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56" t="str">
        <f>IFERROR(VLOOKUP(A725,Shipped!I:J,2,)," ")</f>
        <v xml:space="preserve"> </v>
      </c>
    </row>
    <row r="726" spans="1:14" x14ac:dyDescent="0.25">
      <c r="A726" s="11" t="s">
        <v>1394</v>
      </c>
      <c r="B726" s="11" t="s">
        <v>6</v>
      </c>
      <c r="C726" s="11" t="s">
        <v>6</v>
      </c>
      <c r="D726" s="11">
        <v>1</v>
      </c>
      <c r="E726" s="11" t="s">
        <v>7</v>
      </c>
      <c r="F726" s="20">
        <v>46276.440289351849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56" t="str">
        <f>IFERROR(VLOOKUP(A726,Shipped!I:J,2,)," ")</f>
        <v xml:space="preserve"> </v>
      </c>
    </row>
    <row r="727" spans="1:14" x14ac:dyDescent="0.25">
      <c r="A727" s="11" t="s">
        <v>1395</v>
      </c>
      <c r="B727" s="11" t="s">
        <v>6</v>
      </c>
      <c r="C727" s="11" t="s">
        <v>6</v>
      </c>
      <c r="D727" s="11">
        <v>1</v>
      </c>
      <c r="E727" s="11" t="s">
        <v>7</v>
      </c>
      <c r="F727" s="20">
        <v>46280.409618055557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56" t="str">
        <f>IFERROR(VLOOKUP(A727,Shipped!I:J,2,)," ")</f>
        <v xml:space="preserve"> </v>
      </c>
    </row>
    <row r="728" spans="1:14" x14ac:dyDescent="0.25">
      <c r="A728" s="11" t="s">
        <v>1396</v>
      </c>
      <c r="B728" s="11" t="s">
        <v>6</v>
      </c>
      <c r="C728" s="11" t="s">
        <v>6</v>
      </c>
      <c r="D728" s="11">
        <v>1</v>
      </c>
      <c r="E728" s="11" t="s">
        <v>7</v>
      </c>
      <c r="F728" s="20">
        <v>46281.483356481483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56" t="str">
        <f>IFERROR(VLOOKUP(A728,Shipped!I:J,2,)," ")</f>
        <v xml:space="preserve"> </v>
      </c>
    </row>
    <row r="729" spans="1:14" x14ac:dyDescent="0.25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56" t="str">
        <f>IFERROR(VLOOKUP(A729,Shipped!I:J,2,)," ")</f>
        <v xml:space="preserve"> </v>
      </c>
    </row>
    <row r="730" spans="1:14" x14ac:dyDescent="0.25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56" t="str">
        <f>IFERROR(VLOOKUP(A730,Shipped!I:J,2,)," ")</f>
        <v xml:space="preserve"> </v>
      </c>
    </row>
    <row r="731" spans="1:14" x14ac:dyDescent="0.25">
      <c r="A731" s="11" t="s">
        <v>1399</v>
      </c>
      <c r="B731" s="11" t="s">
        <v>6</v>
      </c>
      <c r="C731" s="11" t="s">
        <v>6</v>
      </c>
      <c r="D731" s="11">
        <v>1</v>
      </c>
      <c r="E731" s="11" t="s">
        <v>7</v>
      </c>
      <c r="F731" s="20">
        <v>46276.452789351853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56" t="str">
        <f>IFERROR(VLOOKUP(A731,Shipped!I:J,2,)," ")</f>
        <v xml:space="preserve"> </v>
      </c>
    </row>
    <row r="732" spans="1:14" x14ac:dyDescent="0.25">
      <c r="A732" s="11" t="s">
        <v>1400</v>
      </c>
      <c r="B732" s="11" t="s">
        <v>6</v>
      </c>
      <c r="C732" s="11" t="s">
        <v>6</v>
      </c>
      <c r="D732" s="11">
        <v>1</v>
      </c>
      <c r="E732" s="11" t="s">
        <v>7</v>
      </c>
      <c r="F732" s="20">
        <v>46276.44027777778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56" t="str">
        <f>IFERROR(VLOOKUP(A732,Shipped!I:J,2,)," ")</f>
        <v xml:space="preserve"> </v>
      </c>
    </row>
    <row r="733" spans="1:14" x14ac:dyDescent="0.25">
      <c r="A733" s="11" t="s">
        <v>1401</v>
      </c>
      <c r="B733" s="11" t="s">
        <v>6</v>
      </c>
      <c r="C733" s="11" t="s">
        <v>6</v>
      </c>
      <c r="D733" s="11">
        <v>1</v>
      </c>
      <c r="E733" s="11" t="s">
        <v>7</v>
      </c>
      <c r="F733" s="20">
        <v>46280.409884259258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56" t="str">
        <f>IFERROR(VLOOKUP(A733,Shipped!I:J,2,)," ")</f>
        <v xml:space="preserve"> </v>
      </c>
    </row>
    <row r="734" spans="1:14" x14ac:dyDescent="0.25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56" t="str">
        <f>IFERROR(VLOOKUP(A734,Shipped!I:J,2,)," ")</f>
        <v xml:space="preserve"> </v>
      </c>
    </row>
    <row r="735" spans="1:14" x14ac:dyDescent="0.25">
      <c r="A735" s="11" t="s">
        <v>1403</v>
      </c>
      <c r="B735" s="11" t="s">
        <v>6</v>
      </c>
      <c r="C735" s="11" t="s">
        <v>6</v>
      </c>
      <c r="D735" s="11">
        <v>1</v>
      </c>
      <c r="E735" s="11" t="s">
        <v>7</v>
      </c>
      <c r="F735" s="20">
        <v>46276.440023148149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56" t="str">
        <f>IFERROR(VLOOKUP(A735,Shipped!I:J,2,)," ")</f>
        <v xml:space="preserve"> </v>
      </c>
    </row>
    <row r="736" spans="1:14" x14ac:dyDescent="0.25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56" t="str">
        <f>IFERROR(VLOOKUP(A736,Shipped!I:J,2,)," ")</f>
        <v xml:space="preserve"> </v>
      </c>
    </row>
    <row r="737" spans="1:14" x14ac:dyDescent="0.25">
      <c r="A737" s="11" t="s">
        <v>1405</v>
      </c>
      <c r="B737" s="11" t="s">
        <v>6</v>
      </c>
      <c r="C737" s="11" t="s">
        <v>6</v>
      </c>
      <c r="D737" s="11">
        <v>1</v>
      </c>
      <c r="E737" s="11" t="s">
        <v>7</v>
      </c>
      <c r="F737" s="20">
        <v>46281.482557870368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56" t="str">
        <f>IFERROR(VLOOKUP(A737,Shipped!I:J,2,)," ")</f>
        <v xml:space="preserve"> </v>
      </c>
    </row>
    <row r="738" spans="1:14" x14ac:dyDescent="0.25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56">
        <f>IFERROR(VLOOKUP(A738,Shipped!I:J,2,)," ")</f>
        <v>46234</v>
      </c>
    </row>
    <row r="739" spans="1:14" x14ac:dyDescent="0.25">
      <c r="A739" s="11" t="s">
        <v>1407</v>
      </c>
      <c r="B739" s="11" t="s">
        <v>6</v>
      </c>
      <c r="C739" s="11" t="s">
        <v>6</v>
      </c>
      <c r="D739" s="11">
        <v>1</v>
      </c>
      <c r="E739" s="11" t="s">
        <v>7</v>
      </c>
      <c r="F739" s="20">
        <v>46276.453738425924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56" t="str">
        <f>IFERROR(VLOOKUP(A739,Shipped!I:J,2,)," ")</f>
        <v xml:space="preserve"> </v>
      </c>
    </row>
    <row r="740" spans="1:14" x14ac:dyDescent="0.25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56" t="str">
        <f>IFERROR(VLOOKUP(A740,Shipped!I:J,2,)," ")</f>
        <v xml:space="preserve"> </v>
      </c>
    </row>
    <row r="741" spans="1:14" x14ac:dyDescent="0.25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56" t="str">
        <f>IFERROR(VLOOKUP(A741,Shipped!I:J,2,)," ")</f>
        <v xml:space="preserve"> </v>
      </c>
    </row>
    <row r="742" spans="1:14" x14ac:dyDescent="0.25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56" t="str">
        <f>IFERROR(VLOOKUP(A742,Shipped!I:J,2,)," ")</f>
        <v xml:space="preserve"> </v>
      </c>
    </row>
    <row r="743" spans="1:14" x14ac:dyDescent="0.25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56">
        <f>IFERROR(VLOOKUP(A743,Shipped!I:J,2,)," ")</f>
        <v>46234</v>
      </c>
    </row>
    <row r="744" spans="1:14" x14ac:dyDescent="0.25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56">
        <f>IFERROR(VLOOKUP(A744,Shipped!I:J,2,)," ")</f>
        <v>46234</v>
      </c>
    </row>
    <row r="745" spans="1:14" x14ac:dyDescent="0.25">
      <c r="A745" s="11" t="s">
        <v>1413</v>
      </c>
      <c r="B745" s="11" t="s">
        <v>155</v>
      </c>
      <c r="C745" s="11" t="s">
        <v>156</v>
      </c>
      <c r="D745" s="11">
        <v>1</v>
      </c>
      <c r="E745" s="11" t="s">
        <v>151</v>
      </c>
      <c r="F745" s="20">
        <v>46276.417870370373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56" t="str">
        <f>IFERROR(VLOOKUP(A745,Shipped!I:J,2,)," ")</f>
        <v xml:space="preserve"> </v>
      </c>
    </row>
    <row r="746" spans="1:14" x14ac:dyDescent="0.25">
      <c r="A746" s="11" t="s">
        <v>1414</v>
      </c>
      <c r="B746" s="11" t="s">
        <v>6</v>
      </c>
      <c r="C746" s="11" t="s">
        <v>6</v>
      </c>
      <c r="D746" s="11">
        <v>1</v>
      </c>
      <c r="E746" s="11" t="s">
        <v>7</v>
      </c>
      <c r="F746" s="20">
        <v>46281.482499999998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56" t="str">
        <f>IFERROR(VLOOKUP(A746,Shipped!I:J,2,)," ")</f>
        <v xml:space="preserve"> </v>
      </c>
    </row>
    <row r="747" spans="1:14" x14ac:dyDescent="0.25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56" t="str">
        <f>IFERROR(VLOOKUP(A747,Shipped!I:J,2,)," ")</f>
        <v xml:space="preserve"> </v>
      </c>
    </row>
    <row r="748" spans="1:14" x14ac:dyDescent="0.25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56" t="str">
        <f>IFERROR(VLOOKUP(A748,Shipped!I:J,2,)," ")</f>
        <v xml:space="preserve"> </v>
      </c>
    </row>
    <row r="749" spans="1:14" x14ac:dyDescent="0.25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56" t="str">
        <f>IFERROR(VLOOKUP(A749,Shipped!I:J,2,)," ")</f>
        <v xml:space="preserve"> </v>
      </c>
    </row>
    <row r="750" spans="1:14" x14ac:dyDescent="0.25">
      <c r="A750" s="11" t="s">
        <v>1418</v>
      </c>
      <c r="B750" s="11" t="s">
        <v>6</v>
      </c>
      <c r="C750" s="11" t="s">
        <v>6</v>
      </c>
      <c r="D750" s="11">
        <v>1</v>
      </c>
      <c r="E750" s="11" t="s">
        <v>7</v>
      </c>
      <c r="F750" s="20">
        <v>46281.686701388891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56" t="str">
        <f>IFERROR(VLOOKUP(A750,Shipped!I:J,2,)," ")</f>
        <v xml:space="preserve"> </v>
      </c>
    </row>
    <row r="751" spans="1:14" x14ac:dyDescent="0.25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56" t="str">
        <f>IFERROR(VLOOKUP(A751,Shipped!I:J,2,)," ")</f>
        <v xml:space="preserve"> </v>
      </c>
    </row>
    <row r="752" spans="1:14" x14ac:dyDescent="0.25">
      <c r="A752" s="11" t="s">
        <v>1420</v>
      </c>
      <c r="B752" s="11" t="s">
        <v>6</v>
      </c>
      <c r="C752" s="11" t="s">
        <v>6</v>
      </c>
      <c r="D752" s="11">
        <v>1</v>
      </c>
      <c r="E752" s="11" t="s">
        <v>7</v>
      </c>
      <c r="F752" s="20">
        <v>46276.453657407408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56" t="str">
        <f>IFERROR(VLOOKUP(A752,Shipped!I:J,2,)," ")</f>
        <v xml:space="preserve"> </v>
      </c>
    </row>
    <row r="753" spans="1:14" x14ac:dyDescent="0.25">
      <c r="A753" s="11" t="s">
        <v>1421</v>
      </c>
      <c r="B753" s="11" t="s">
        <v>6</v>
      </c>
      <c r="C753" s="11" t="s">
        <v>6</v>
      </c>
      <c r="D753" s="11">
        <v>1</v>
      </c>
      <c r="E753" s="11" t="s">
        <v>7</v>
      </c>
      <c r="F753" s="20">
        <v>46276.4528587963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56" t="str">
        <f>IFERROR(VLOOKUP(A753,Shipped!I:J,2,)," ")</f>
        <v xml:space="preserve"> </v>
      </c>
    </row>
    <row r="754" spans="1:14" x14ac:dyDescent="0.25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56" t="str">
        <f>IFERROR(VLOOKUP(A754,Shipped!I:J,2,)," ")</f>
        <v xml:space="preserve"> </v>
      </c>
    </row>
    <row r="755" spans="1:14" x14ac:dyDescent="0.25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56" t="str">
        <f>IFERROR(VLOOKUP(A755,Shipped!I:J,2,)," ")</f>
        <v xml:space="preserve"> </v>
      </c>
    </row>
    <row r="756" spans="1:14" x14ac:dyDescent="0.25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56" t="str">
        <f>IFERROR(VLOOKUP(A756,Shipped!I:J,2,)," ")</f>
        <v xml:space="preserve"> </v>
      </c>
    </row>
    <row r="757" spans="1:14" x14ac:dyDescent="0.25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56" t="str">
        <f>IFERROR(VLOOKUP(A757,Shipped!I:J,2,)," ")</f>
        <v xml:space="preserve"> </v>
      </c>
    </row>
    <row r="758" spans="1:14" x14ac:dyDescent="0.25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56" t="str">
        <f>IFERROR(VLOOKUP(A758,Shipped!I:J,2,)," ")</f>
        <v xml:space="preserve"> </v>
      </c>
    </row>
    <row r="759" spans="1:14" x14ac:dyDescent="0.25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56" t="str">
        <f>IFERROR(VLOOKUP(A759,Shipped!I:J,2,)," ")</f>
        <v xml:space="preserve"> </v>
      </c>
    </row>
    <row r="760" spans="1:14" x14ac:dyDescent="0.25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56" t="str">
        <f>IFERROR(VLOOKUP(A760,Shipped!I:J,2,)," ")</f>
        <v xml:space="preserve"> </v>
      </c>
    </row>
    <row r="761" spans="1:14" x14ac:dyDescent="0.25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56" t="str">
        <f>IFERROR(VLOOKUP(A761,Shipped!I:J,2,)," ")</f>
        <v xml:space="preserve"> </v>
      </c>
    </row>
    <row r="762" spans="1:14" x14ac:dyDescent="0.25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56" t="str">
        <f>IFERROR(VLOOKUP(A762,Shipped!I:J,2,)," ")</f>
        <v xml:space="preserve"> </v>
      </c>
    </row>
    <row r="763" spans="1:14" x14ac:dyDescent="0.25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56" t="str">
        <f>IFERROR(VLOOKUP(A763,Shipped!I:J,2,)," ")</f>
        <v xml:space="preserve"> </v>
      </c>
    </row>
    <row r="764" spans="1:14" x14ac:dyDescent="0.25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56" t="str">
        <f>IFERROR(VLOOKUP(A764,Shipped!I:J,2,)," ")</f>
        <v xml:space="preserve"> </v>
      </c>
    </row>
    <row r="765" spans="1:14" x14ac:dyDescent="0.25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56" t="str">
        <f>IFERROR(VLOOKUP(A765,Shipped!I:J,2,)," ")</f>
        <v xml:space="preserve"> </v>
      </c>
    </row>
    <row r="766" spans="1:14" x14ac:dyDescent="0.25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56" t="str">
        <f>IFERROR(VLOOKUP(A766,Shipped!I:J,2,)," ")</f>
        <v xml:space="preserve"> </v>
      </c>
    </row>
    <row r="767" spans="1:14" x14ac:dyDescent="0.25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56" t="str">
        <f>IFERROR(VLOOKUP(A767,Shipped!I:J,2,)," ")</f>
        <v xml:space="preserve"> </v>
      </c>
    </row>
    <row r="768" spans="1:14" x14ac:dyDescent="0.25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56" t="str">
        <f>IFERROR(VLOOKUP(A768,Shipped!I:J,2,)," ")</f>
        <v xml:space="preserve"> </v>
      </c>
    </row>
    <row r="769" spans="1:14" x14ac:dyDescent="0.25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56" t="str">
        <f>IFERROR(VLOOKUP(A769,Shipped!I:J,2,)," ")</f>
        <v xml:space="preserve"> </v>
      </c>
    </row>
    <row r="770" spans="1:14" x14ac:dyDescent="0.25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56" t="str">
        <f>IFERROR(VLOOKUP(A770,Shipped!I:J,2,)," ")</f>
        <v xml:space="preserve"> </v>
      </c>
    </row>
    <row r="771" spans="1:14" x14ac:dyDescent="0.25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56" t="str">
        <f>IFERROR(VLOOKUP(A771,Shipped!I:J,2,)," ")</f>
        <v xml:space="preserve"> </v>
      </c>
    </row>
    <row r="772" spans="1:14" x14ac:dyDescent="0.25">
      <c r="A772" s="11" t="s">
        <v>3532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46280.490937499999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56" t="str">
        <f>IFERROR(VLOOKUP(A772,Shipped!I:J,2,)," ")</f>
        <v xml:space="preserve"> </v>
      </c>
    </row>
    <row r="773" spans="1:14" x14ac:dyDescent="0.25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56" t="str">
        <f>IFERROR(VLOOKUP(A773,Shipped!I:J,2,)," ")</f>
        <v xml:space="preserve"> </v>
      </c>
    </row>
    <row r="774" spans="1:14" x14ac:dyDescent="0.25">
      <c r="A774" s="11" t="s">
        <v>3534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46276.601701388892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56" t="str">
        <f>IFERROR(VLOOKUP(A774,Shipped!I:J,2,)," ")</f>
        <v xml:space="preserve"> </v>
      </c>
    </row>
    <row r="775" spans="1:14" x14ac:dyDescent="0.25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56" t="str">
        <f>IFERROR(VLOOKUP(A775,Shipped!I:J,2,)," ")</f>
        <v xml:space="preserve"> </v>
      </c>
    </row>
    <row r="776" spans="1:14" x14ac:dyDescent="0.25">
      <c r="A776" s="11" t="s">
        <v>3536</v>
      </c>
      <c r="B776" s="11" t="s">
        <v>954</v>
      </c>
      <c r="C776" s="11" t="s">
        <v>955</v>
      </c>
      <c r="D776" s="11">
        <v>1</v>
      </c>
      <c r="E776" s="11" t="s">
        <v>13</v>
      </c>
      <c r="F776" s="20">
        <v>46277.230555555558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56" t="str">
        <f>IFERROR(VLOOKUP(A776,Shipped!I:J,2,)," ")</f>
        <v xml:space="preserve"> </v>
      </c>
    </row>
    <row r="777" spans="1:14" x14ac:dyDescent="0.25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56" t="str">
        <f>IFERROR(VLOOKUP(A777,Shipped!I:J,2,)," ")</f>
        <v xml:space="preserve"> </v>
      </c>
    </row>
    <row r="778" spans="1:14" x14ac:dyDescent="0.25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56" t="str">
        <f>IFERROR(VLOOKUP(A778,Shipped!I:J,2,)," ")</f>
        <v xml:space="preserve"> </v>
      </c>
    </row>
    <row r="779" spans="1:14" x14ac:dyDescent="0.25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56" t="str">
        <f>IFERROR(VLOOKUP(A779,Shipped!I:J,2,)," ")</f>
        <v xml:space="preserve"> </v>
      </c>
    </row>
    <row r="780" spans="1:14" x14ac:dyDescent="0.25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56" t="str">
        <f>IFERROR(VLOOKUP(A780,Shipped!I:J,2,)," ")</f>
        <v xml:space="preserve"> </v>
      </c>
    </row>
    <row r="781" spans="1:14" x14ac:dyDescent="0.25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56" t="str">
        <f>IFERROR(VLOOKUP(A781,Shipped!I:J,2,)," ")</f>
        <v xml:space="preserve"> </v>
      </c>
    </row>
    <row r="782" spans="1:14" x14ac:dyDescent="0.25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56" t="str">
        <f>IFERROR(VLOOKUP(A782,Shipped!I:J,2,)," ")</f>
        <v xml:space="preserve"> </v>
      </c>
    </row>
    <row r="783" spans="1:14" x14ac:dyDescent="0.25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56" t="str">
        <f>IFERROR(VLOOKUP(A783,Shipped!I:J,2,)," ")</f>
        <v xml:space="preserve"> </v>
      </c>
    </row>
    <row r="784" spans="1:14" x14ac:dyDescent="0.25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56" t="str">
        <f>IFERROR(VLOOKUP(A784,Shipped!I:J,2,)," ")</f>
        <v xml:space="preserve"> </v>
      </c>
    </row>
    <row r="785" spans="1:14" x14ac:dyDescent="0.25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56" t="str">
        <f>IFERROR(VLOOKUP(A785,Shipped!I:J,2,)," ")</f>
        <v xml:space="preserve"> </v>
      </c>
    </row>
    <row r="786" spans="1:14" x14ac:dyDescent="0.25">
      <c r="A786" s="11" t="s">
        <v>3546</v>
      </c>
      <c r="B786" s="11" t="s">
        <v>11</v>
      </c>
      <c r="C786" s="11" t="s">
        <v>12</v>
      </c>
      <c r="D786" s="11">
        <v>1</v>
      </c>
      <c r="E786" s="11" t="s">
        <v>13</v>
      </c>
      <c r="F786" s="20">
        <v>46276.714965277781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56" t="str">
        <f>IFERROR(VLOOKUP(A786,Shipped!I:J,2,)," ")</f>
        <v xml:space="preserve"> </v>
      </c>
    </row>
    <row r="787" spans="1:14" x14ac:dyDescent="0.25">
      <c r="A787" s="11" t="s">
        <v>3547</v>
      </c>
      <c r="B787" s="11" t="s">
        <v>11</v>
      </c>
      <c r="C787" s="11" t="s">
        <v>12</v>
      </c>
      <c r="D787" s="11">
        <v>1</v>
      </c>
      <c r="E787" s="11" t="s">
        <v>13</v>
      </c>
      <c r="F787" s="20">
        <v>46276.713159722225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56" t="str">
        <f>IFERROR(VLOOKUP(A787,Shipped!I:J,2,)," ")</f>
        <v xml:space="preserve"> </v>
      </c>
    </row>
    <row r="788" spans="1:14" x14ac:dyDescent="0.25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56" t="str">
        <f>IFERROR(VLOOKUP(A788,Shipped!I:J,2,)," ")</f>
        <v xml:space="preserve"> </v>
      </c>
    </row>
    <row r="789" spans="1:14" x14ac:dyDescent="0.25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56" t="str">
        <f>IFERROR(VLOOKUP(A789,Shipped!I:J,2,)," ")</f>
        <v xml:space="preserve"> </v>
      </c>
    </row>
    <row r="790" spans="1:14" x14ac:dyDescent="0.25">
      <c r="A790" s="11" t="s">
        <v>3550</v>
      </c>
      <c r="B790" s="11" t="s">
        <v>11</v>
      </c>
      <c r="C790" s="11" t="s">
        <v>12</v>
      </c>
      <c r="D790" s="11">
        <v>1</v>
      </c>
      <c r="E790" s="11" t="s">
        <v>13</v>
      </c>
      <c r="F790" s="20">
        <v>46276.692488425928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56" t="str">
        <f>IFERROR(VLOOKUP(A790,Shipped!I:J,2,)," ")</f>
        <v xml:space="preserve"> </v>
      </c>
    </row>
    <row r="791" spans="1:14" x14ac:dyDescent="0.25">
      <c r="A791" s="11" t="s">
        <v>3551</v>
      </c>
      <c r="B791" s="11" t="s">
        <v>11</v>
      </c>
      <c r="C791" s="11" t="s">
        <v>12</v>
      </c>
      <c r="D791" s="11">
        <v>1</v>
      </c>
      <c r="E791" s="11" t="s">
        <v>13</v>
      </c>
      <c r="F791" s="20">
        <v>46276.716631944444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56" t="str">
        <f>IFERROR(VLOOKUP(A791,Shipped!I:J,2,)," ")</f>
        <v xml:space="preserve"> </v>
      </c>
    </row>
    <row r="792" spans="1:14" x14ac:dyDescent="0.25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56" t="str">
        <f>IFERROR(VLOOKUP(A792,Shipped!I:J,2,)," ")</f>
        <v xml:space="preserve"> </v>
      </c>
    </row>
    <row r="793" spans="1:14" x14ac:dyDescent="0.25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56" t="str">
        <f>IFERROR(VLOOKUP(A793,Shipped!I:J,2,)," ")</f>
        <v xml:space="preserve"> </v>
      </c>
    </row>
    <row r="794" spans="1:14" x14ac:dyDescent="0.25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56" t="str">
        <f>IFERROR(VLOOKUP(A794,Shipped!I:J,2,)," ")</f>
        <v xml:space="preserve"> </v>
      </c>
    </row>
    <row r="795" spans="1:14" x14ac:dyDescent="0.25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56" t="str">
        <f>IFERROR(VLOOKUP(A795,Shipped!I:J,2,)," ")</f>
        <v xml:space="preserve"> </v>
      </c>
    </row>
    <row r="796" spans="1:14" x14ac:dyDescent="0.25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56" t="str">
        <f>IFERROR(VLOOKUP(A796,Shipped!I:J,2,)," ")</f>
        <v xml:space="preserve"> </v>
      </c>
    </row>
    <row r="797" spans="1:14" x14ac:dyDescent="0.25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56" t="str">
        <f>IFERROR(VLOOKUP(A797,Shipped!I:J,2,)," ")</f>
        <v xml:space="preserve"> </v>
      </c>
    </row>
    <row r="798" spans="1:14" x14ac:dyDescent="0.25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56" t="str">
        <f>IFERROR(VLOOKUP(A798,Shipped!I:J,2,)," ")</f>
        <v xml:space="preserve"> </v>
      </c>
    </row>
    <row r="799" spans="1:14" x14ac:dyDescent="0.25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56" t="str">
        <f>IFERROR(VLOOKUP(A799,Shipped!I:J,2,)," ")</f>
        <v xml:space="preserve"> </v>
      </c>
    </row>
    <row r="800" spans="1:14" x14ac:dyDescent="0.25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56" t="str">
        <f>IFERROR(VLOOKUP(A800,Shipped!I:J,2,)," ")</f>
        <v xml:space="preserve"> </v>
      </c>
    </row>
    <row r="801" spans="1:14" x14ac:dyDescent="0.25">
      <c r="A801" s="11" t="s">
        <v>3561</v>
      </c>
      <c r="B801" s="11" t="s">
        <v>11</v>
      </c>
      <c r="C801" s="11" t="s">
        <v>12</v>
      </c>
      <c r="D801" s="11">
        <v>1</v>
      </c>
      <c r="E801" s="11" t="s">
        <v>13</v>
      </c>
      <c r="F801" s="20">
        <v>46280.80060185185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56" t="str">
        <f>IFERROR(VLOOKUP(A801,Shipped!I:J,2,)," ")</f>
        <v xml:space="preserve"> </v>
      </c>
    </row>
    <row r="802" spans="1:14" x14ac:dyDescent="0.25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56" t="str">
        <f>IFERROR(VLOOKUP(A802,Shipped!I:J,2,)," ")</f>
        <v xml:space="preserve"> </v>
      </c>
    </row>
    <row r="803" spans="1:14" x14ac:dyDescent="0.25">
      <c r="A803" s="11" t="s">
        <v>3563</v>
      </c>
      <c r="B803" s="11" t="s">
        <v>2226</v>
      </c>
      <c r="C803" s="11" t="s">
        <v>2227</v>
      </c>
      <c r="D803" s="11">
        <v>1</v>
      </c>
      <c r="E803" s="11" t="s">
        <v>151</v>
      </c>
      <c r="F803" s="20">
        <v>46277.263148148151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56" t="str">
        <f>IFERROR(VLOOKUP(A803,Shipped!I:J,2,)," ")</f>
        <v xml:space="preserve"> </v>
      </c>
    </row>
    <row r="804" spans="1:14" x14ac:dyDescent="0.25">
      <c r="A804" s="11" t="s">
        <v>3564</v>
      </c>
      <c r="B804" s="11" t="s">
        <v>2226</v>
      </c>
      <c r="C804" s="11" t="s">
        <v>2227</v>
      </c>
      <c r="D804" s="11">
        <v>1</v>
      </c>
      <c r="E804" s="11" t="s">
        <v>151</v>
      </c>
      <c r="F804" s="20">
        <v>46277.261354166665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56" t="str">
        <f>IFERROR(VLOOKUP(A804,Shipped!I:J,2,)," ")</f>
        <v xml:space="preserve"> </v>
      </c>
    </row>
    <row r="805" spans="1:14" x14ac:dyDescent="0.25">
      <c r="A805" s="11" t="s">
        <v>3565</v>
      </c>
      <c r="B805" s="11" t="s">
        <v>11</v>
      </c>
      <c r="C805" s="11" t="s">
        <v>12</v>
      </c>
      <c r="D805" s="11">
        <v>1</v>
      </c>
      <c r="E805" s="11" t="s">
        <v>13</v>
      </c>
      <c r="F805" s="20">
        <v>46276.69189814815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56" t="str">
        <f>IFERROR(VLOOKUP(A805,Shipped!I:J,2,)," ")</f>
        <v xml:space="preserve"> </v>
      </c>
    </row>
    <row r="806" spans="1:14" x14ac:dyDescent="0.25">
      <c r="A806" s="11" t="s">
        <v>3566</v>
      </c>
      <c r="B806" s="11" t="s">
        <v>2226</v>
      </c>
      <c r="C806" s="11" t="s">
        <v>2227</v>
      </c>
      <c r="D806" s="11">
        <v>1</v>
      </c>
      <c r="E806" s="11" t="s">
        <v>151</v>
      </c>
      <c r="F806" s="20">
        <v>46277.260659722226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56" t="str">
        <f>IFERROR(VLOOKUP(A806,Shipped!I:J,2,)," ")</f>
        <v xml:space="preserve"> </v>
      </c>
    </row>
    <row r="807" spans="1:14" x14ac:dyDescent="0.25">
      <c r="A807" s="11" t="s">
        <v>3567</v>
      </c>
      <c r="B807" s="11" t="s">
        <v>11</v>
      </c>
      <c r="C807" s="11" t="s">
        <v>12</v>
      </c>
      <c r="D807" s="11">
        <v>1</v>
      </c>
      <c r="E807" s="11" t="s">
        <v>13</v>
      </c>
      <c r="F807" s="20">
        <v>46276.690717592595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56" t="str">
        <f>IFERROR(VLOOKUP(A807,Shipped!I:J,2,)," ")</f>
        <v xml:space="preserve"> </v>
      </c>
    </row>
    <row r="808" spans="1:14" x14ac:dyDescent="0.25">
      <c r="A808" s="11" t="s">
        <v>3568</v>
      </c>
      <c r="B808" s="11" t="s">
        <v>11</v>
      </c>
      <c r="C808" s="11" t="s">
        <v>12</v>
      </c>
      <c r="D808" s="11">
        <v>1</v>
      </c>
      <c r="E808" s="11" t="s">
        <v>13</v>
      </c>
      <c r="F808" s="20">
        <v>46276.690416666665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56" t="str">
        <f>IFERROR(VLOOKUP(A808,Shipped!I:J,2,)," ")</f>
        <v xml:space="preserve"> </v>
      </c>
    </row>
    <row r="809" spans="1:14" x14ac:dyDescent="0.25">
      <c r="A809" s="11" t="s">
        <v>3569</v>
      </c>
      <c r="B809" s="11" t="s">
        <v>11</v>
      </c>
      <c r="C809" s="11" t="s">
        <v>12</v>
      </c>
      <c r="D809" s="11">
        <v>1</v>
      </c>
      <c r="E809" s="11" t="s">
        <v>13</v>
      </c>
      <c r="F809" s="20">
        <v>46280.800428240742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56" t="str">
        <f>IFERROR(VLOOKUP(A809,Shipped!I:J,2,)," ")</f>
        <v xml:space="preserve"> </v>
      </c>
    </row>
    <row r="810" spans="1:14" x14ac:dyDescent="0.25">
      <c r="A810" s="11" t="s">
        <v>3570</v>
      </c>
      <c r="B810" s="11" t="s">
        <v>11</v>
      </c>
      <c r="C810" s="11" t="s">
        <v>12</v>
      </c>
      <c r="D810" s="11">
        <v>1</v>
      </c>
      <c r="E810" s="11" t="s">
        <v>13</v>
      </c>
      <c r="F810" s="20">
        <v>46276.716909722221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56" t="str">
        <f>IFERROR(VLOOKUP(A810,Shipped!I:J,2,)," ")</f>
        <v xml:space="preserve"> </v>
      </c>
    </row>
    <row r="811" spans="1:14" x14ac:dyDescent="0.25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56" t="str">
        <f>IFERROR(VLOOKUP(A811,Shipped!I:J,2,)," ")</f>
        <v xml:space="preserve"> </v>
      </c>
    </row>
    <row r="812" spans="1:14" x14ac:dyDescent="0.25">
      <c r="A812" s="11" t="s">
        <v>3572</v>
      </c>
      <c r="B812" s="11" t="s">
        <v>11</v>
      </c>
      <c r="C812" s="11" t="s">
        <v>12</v>
      </c>
      <c r="D812" s="11">
        <v>1</v>
      </c>
      <c r="E812" s="11" t="s">
        <v>13</v>
      </c>
      <c r="F812" s="20">
        <v>46276.692858796298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56" t="str">
        <f>IFERROR(VLOOKUP(A812,Shipped!I:J,2,)," ")</f>
        <v xml:space="preserve"> </v>
      </c>
    </row>
    <row r="813" spans="1:14" x14ac:dyDescent="0.25">
      <c r="A813" s="11" t="s">
        <v>3573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46276.714502314811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56" t="str">
        <f>IFERROR(VLOOKUP(A813,Shipped!I:J,2,)," ")</f>
        <v xml:space="preserve"> </v>
      </c>
    </row>
    <row r="814" spans="1:14" x14ac:dyDescent="0.25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56" t="str">
        <f>IFERROR(VLOOKUP(A814,Shipped!I:J,2,)," ")</f>
        <v xml:space="preserve"> </v>
      </c>
    </row>
    <row r="815" spans="1:14" x14ac:dyDescent="0.25">
      <c r="A815" s="11" t="s">
        <v>3575</v>
      </c>
      <c r="B815" s="11" t="s">
        <v>2226</v>
      </c>
      <c r="C815" s="11" t="s">
        <v>2227</v>
      </c>
      <c r="D815" s="11">
        <v>1</v>
      </c>
      <c r="E815" s="11" t="s">
        <v>151</v>
      </c>
      <c r="F815" s="20">
        <v>46277.265428240738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56" t="str">
        <f>IFERROR(VLOOKUP(A815,Shipped!I:J,2,)," ")</f>
        <v xml:space="preserve"> </v>
      </c>
    </row>
    <row r="816" spans="1:14" x14ac:dyDescent="0.25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56" t="str">
        <f>IFERROR(VLOOKUP(A816,Shipped!I:J,2,)," ")</f>
        <v xml:space="preserve"> </v>
      </c>
    </row>
    <row r="817" spans="1:14" x14ac:dyDescent="0.25">
      <c r="A817" s="11" t="s">
        <v>3577</v>
      </c>
      <c r="B817" s="11" t="s">
        <v>11</v>
      </c>
      <c r="C817" s="11" t="s">
        <v>12</v>
      </c>
      <c r="D817" s="11">
        <v>1</v>
      </c>
      <c r="E817" s="11" t="s">
        <v>13</v>
      </c>
      <c r="F817" s="20">
        <v>46276.689444444448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56" t="str">
        <f>IFERROR(VLOOKUP(A817,Shipped!I:J,2,)," ")</f>
        <v xml:space="preserve"> </v>
      </c>
    </row>
    <row r="818" spans="1:14" x14ac:dyDescent="0.25">
      <c r="A818" s="11" t="s">
        <v>3578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46280.470381944448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56" t="str">
        <f>IFERROR(VLOOKUP(A818,Shipped!I:J,2,)," ")</f>
        <v xml:space="preserve"> </v>
      </c>
    </row>
    <row r="819" spans="1:14" x14ac:dyDescent="0.25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56" t="str">
        <f>IFERROR(VLOOKUP(A819,Shipped!I:J,2,)," ")</f>
        <v xml:space="preserve"> </v>
      </c>
    </row>
    <row r="820" spans="1:14" x14ac:dyDescent="0.25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56" t="str">
        <f>IFERROR(VLOOKUP(A820,Shipped!I:J,2,)," ")</f>
        <v xml:space="preserve"> </v>
      </c>
    </row>
    <row r="821" spans="1:14" x14ac:dyDescent="0.25">
      <c r="A821" s="11" t="s">
        <v>3581</v>
      </c>
      <c r="B821" s="11" t="s">
        <v>2226</v>
      </c>
      <c r="C821" s="11" t="s">
        <v>2227</v>
      </c>
      <c r="D821" s="11">
        <v>1</v>
      </c>
      <c r="E821" s="11" t="s">
        <v>151</v>
      </c>
      <c r="F821" s="20">
        <v>46277.253518518519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56" t="str">
        <f>IFERROR(VLOOKUP(A821,Shipped!I:J,2,)," ")</f>
        <v xml:space="preserve"> </v>
      </c>
    </row>
    <row r="822" spans="1:14" x14ac:dyDescent="0.25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56" t="str">
        <f>IFERROR(VLOOKUP(A822,Shipped!I:J,2,)," ")</f>
        <v xml:space="preserve"> </v>
      </c>
    </row>
    <row r="823" spans="1:14" x14ac:dyDescent="0.25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56" t="str">
        <f>IFERROR(VLOOKUP(A823,Shipped!I:J,2,)," ")</f>
        <v xml:space="preserve"> </v>
      </c>
    </row>
    <row r="824" spans="1:14" x14ac:dyDescent="0.25">
      <c r="A824" s="11" t="s">
        <v>3584</v>
      </c>
      <c r="B824" s="11" t="s">
        <v>11</v>
      </c>
      <c r="C824" s="11" t="s">
        <v>12</v>
      </c>
      <c r="D824" s="11">
        <v>1</v>
      </c>
      <c r="E824" s="11" t="s">
        <v>13</v>
      </c>
      <c r="F824" s="20">
        <v>46276.689872685187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56" t="str">
        <f>IFERROR(VLOOKUP(A824,Shipped!I:J,2,)," ")</f>
        <v xml:space="preserve"> </v>
      </c>
    </row>
    <row r="825" spans="1:14" x14ac:dyDescent="0.25">
      <c r="A825" s="11" t="s">
        <v>3585</v>
      </c>
      <c r="B825" s="11" t="s">
        <v>2684</v>
      </c>
      <c r="C825" s="11" t="s">
        <v>2685</v>
      </c>
      <c r="D825" s="11">
        <v>1</v>
      </c>
      <c r="E825" s="11" t="s">
        <v>151</v>
      </c>
      <c r="F825" s="20">
        <v>46276.603043981479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56" t="str">
        <f>IFERROR(VLOOKUP(A825,Shipped!I:J,2,)," ")</f>
        <v xml:space="preserve"> </v>
      </c>
    </row>
    <row r="826" spans="1:14" x14ac:dyDescent="0.25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56" t="str">
        <f>IFERROR(VLOOKUP(A826,Shipped!I:J,2,)," ")</f>
        <v xml:space="preserve"> </v>
      </c>
    </row>
    <row r="827" spans="1:14" x14ac:dyDescent="0.25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56" t="str">
        <f>IFERROR(VLOOKUP(A827,Shipped!I:J,2,)," ")</f>
        <v xml:space="preserve"> </v>
      </c>
    </row>
    <row r="828" spans="1:14" x14ac:dyDescent="0.25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56" t="str">
        <f>IFERROR(VLOOKUP(A828,Shipped!I:J,2,)," ")</f>
        <v xml:space="preserve"> </v>
      </c>
    </row>
    <row r="829" spans="1:14" x14ac:dyDescent="0.25">
      <c r="A829" s="11" t="s">
        <v>3589</v>
      </c>
      <c r="B829" s="11" t="s">
        <v>11</v>
      </c>
      <c r="C829" s="11" t="s">
        <v>12</v>
      </c>
      <c r="D829" s="11">
        <v>1</v>
      </c>
      <c r="E829" s="11" t="s">
        <v>13</v>
      </c>
      <c r="F829" s="20">
        <v>46276.713726851849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56" t="str">
        <f>IFERROR(VLOOKUP(A829,Shipped!I:J,2,)," ")</f>
        <v xml:space="preserve"> </v>
      </c>
    </row>
    <row r="830" spans="1:14" x14ac:dyDescent="0.25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56" t="str">
        <f>IFERROR(VLOOKUP(A830,Shipped!I:J,2,)," ")</f>
        <v xml:space="preserve"> </v>
      </c>
    </row>
    <row r="831" spans="1:14" x14ac:dyDescent="0.25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56" t="str">
        <f>IFERROR(VLOOKUP(A831,Shipped!I:J,2,)," ")</f>
        <v xml:space="preserve"> </v>
      </c>
    </row>
    <row r="832" spans="1:14" x14ac:dyDescent="0.25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56" t="str">
        <f>IFERROR(VLOOKUP(A832,Shipped!I:J,2,)," ")</f>
        <v xml:space="preserve"> </v>
      </c>
    </row>
    <row r="833" spans="1:14" x14ac:dyDescent="0.25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56" t="str">
        <f>IFERROR(VLOOKUP(A833,Shipped!I:J,2,)," ")</f>
        <v xml:space="preserve"> </v>
      </c>
    </row>
    <row r="834" spans="1:14" x14ac:dyDescent="0.25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56" t="str">
        <f>IFERROR(VLOOKUP(A834,Shipped!I:J,2,)," ")</f>
        <v xml:space="preserve"> </v>
      </c>
    </row>
    <row r="835" spans="1:14" x14ac:dyDescent="0.25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56" t="str">
        <f>IFERROR(VLOOKUP(A835,Shipped!I:J,2,)," ")</f>
        <v xml:space="preserve"> </v>
      </c>
    </row>
    <row r="836" spans="1:14" x14ac:dyDescent="0.25">
      <c r="A836" s="11" t="s">
        <v>3596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46280.475810185184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56" t="str">
        <f>IFERROR(VLOOKUP(A836,Shipped!I:J,2,)," ")</f>
        <v xml:space="preserve"> </v>
      </c>
    </row>
    <row r="837" spans="1:14" x14ac:dyDescent="0.25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56" t="str">
        <f>IFERROR(VLOOKUP(A837,Shipped!I:J,2,)," ")</f>
        <v xml:space="preserve"> </v>
      </c>
    </row>
    <row r="838" spans="1:14" x14ac:dyDescent="0.25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56" t="str">
        <f>IFERROR(VLOOKUP(A838,Shipped!I:J,2,)," ")</f>
        <v xml:space="preserve"> </v>
      </c>
    </row>
    <row r="839" spans="1:14" x14ac:dyDescent="0.25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56" t="str">
        <f>IFERROR(VLOOKUP(A839,Shipped!I:J,2,)," ")</f>
        <v xml:space="preserve"> </v>
      </c>
    </row>
    <row r="840" spans="1:14" x14ac:dyDescent="0.25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56" t="str">
        <f>IFERROR(VLOOKUP(A840,Shipped!I:J,2,)," ")</f>
        <v xml:space="preserve"> </v>
      </c>
    </row>
    <row r="841" spans="1:14" x14ac:dyDescent="0.25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56" t="str">
        <f>IFERROR(VLOOKUP(A841,Shipped!I:J,2,)," ")</f>
        <v xml:space="preserve"> </v>
      </c>
    </row>
    <row r="842" spans="1:14" x14ac:dyDescent="0.25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56" t="str">
        <f>IFERROR(VLOOKUP(A842,Shipped!I:J,2,)," ")</f>
        <v xml:space="preserve"> </v>
      </c>
    </row>
    <row r="843" spans="1:14" x14ac:dyDescent="0.25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56" t="str">
        <f>IFERROR(VLOOKUP(A843,Shipped!I:J,2,)," ")</f>
        <v xml:space="preserve"> </v>
      </c>
    </row>
    <row r="844" spans="1:14" x14ac:dyDescent="0.25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56" t="str">
        <f>IFERROR(VLOOKUP(A844,Shipped!I:J,2,)," ")</f>
        <v xml:space="preserve"> </v>
      </c>
    </row>
    <row r="845" spans="1:14" x14ac:dyDescent="0.25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56" t="str">
        <f>IFERROR(VLOOKUP(A845,Shipped!I:J,2,)," ")</f>
        <v xml:space="preserve"> </v>
      </c>
    </row>
    <row r="846" spans="1:14" x14ac:dyDescent="0.25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56" t="str">
        <f>IFERROR(VLOOKUP(A846,Shipped!I:J,2,)," ")</f>
        <v xml:space="preserve"> </v>
      </c>
    </row>
    <row r="847" spans="1:14" x14ac:dyDescent="0.25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56" t="str">
        <f>IFERROR(VLOOKUP(A847,Shipped!I:J,2,)," ")</f>
        <v xml:space="preserve"> </v>
      </c>
    </row>
    <row r="848" spans="1:14" x14ac:dyDescent="0.25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56" t="str">
        <f>IFERROR(VLOOKUP(A848,Shipped!I:J,2,)," ")</f>
        <v xml:space="preserve"> </v>
      </c>
    </row>
    <row r="849" spans="1:14" x14ac:dyDescent="0.25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56" t="str">
        <f>IFERROR(VLOOKUP(A849,Shipped!I:J,2,)," ")</f>
        <v xml:space="preserve"> </v>
      </c>
    </row>
    <row r="850" spans="1:14" x14ac:dyDescent="0.25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56" t="str">
        <f>IFERROR(VLOOKUP(A850,Shipped!I:J,2,)," ")</f>
        <v xml:space="preserve"> </v>
      </c>
    </row>
    <row r="851" spans="1:14" x14ac:dyDescent="0.25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56" t="str">
        <f>IFERROR(VLOOKUP(A851,Shipped!I:J,2,)," ")</f>
        <v xml:space="preserve"> </v>
      </c>
    </row>
    <row r="852" spans="1:14" x14ac:dyDescent="0.25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56" t="str">
        <f>IFERROR(VLOOKUP(A852,Shipped!I:J,2,)," ")</f>
        <v xml:space="preserve"> </v>
      </c>
    </row>
    <row r="853" spans="1:14" x14ac:dyDescent="0.25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56" t="str">
        <f>IFERROR(VLOOKUP(A853,Shipped!I:J,2,)," ")</f>
        <v xml:space="preserve"> </v>
      </c>
    </row>
    <row r="854" spans="1:14" x14ac:dyDescent="0.25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56" t="str">
        <f>IFERROR(VLOOKUP(A854,Shipped!I:J,2,)," ")</f>
        <v xml:space="preserve"> </v>
      </c>
    </row>
    <row r="855" spans="1:14" x14ac:dyDescent="0.25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56" t="str">
        <f>IFERROR(VLOOKUP(A855,Shipped!I:J,2,)," ")</f>
        <v xml:space="preserve"> </v>
      </c>
    </row>
    <row r="856" spans="1:14" x14ac:dyDescent="0.25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56" t="str">
        <f>IFERROR(VLOOKUP(A856,Shipped!I:J,2,)," ")</f>
        <v xml:space="preserve"> </v>
      </c>
    </row>
    <row r="857" spans="1:14" x14ac:dyDescent="0.25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56" t="str">
        <f>IFERROR(VLOOKUP(A857,Shipped!I:J,2,)," ")</f>
        <v xml:space="preserve"> </v>
      </c>
    </row>
    <row r="858" spans="1:14" x14ac:dyDescent="0.25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56" t="str">
        <f>IFERROR(VLOOKUP(A858,Shipped!I:J,2,)," ")</f>
        <v xml:space="preserve"> </v>
      </c>
    </row>
    <row r="859" spans="1:14" x14ac:dyDescent="0.25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56" t="str">
        <f>IFERROR(VLOOKUP(A859,Shipped!I:J,2,)," ")</f>
        <v xml:space="preserve"> </v>
      </c>
    </row>
    <row r="860" spans="1:14" x14ac:dyDescent="0.25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56" t="str">
        <f>IFERROR(VLOOKUP(A860,Shipped!I:J,2,)," ")</f>
        <v xml:space="preserve"> </v>
      </c>
    </row>
    <row r="861" spans="1:14" x14ac:dyDescent="0.25">
      <c r="A861" s="11" t="s">
        <v>3621</v>
      </c>
      <c r="B861" s="11" t="s">
        <v>2226</v>
      </c>
      <c r="C861" s="11" t="s">
        <v>2227</v>
      </c>
      <c r="D861" s="11">
        <v>1</v>
      </c>
      <c r="E861" s="11" t="s">
        <v>151</v>
      </c>
      <c r="F861" s="20">
        <v>46277.257627314815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56" t="str">
        <f>IFERROR(VLOOKUP(A861,Shipped!I:J,2,)," ")</f>
        <v xml:space="preserve"> </v>
      </c>
    </row>
    <row r="862" spans="1:14" x14ac:dyDescent="0.25">
      <c r="A862" s="11" t="s">
        <v>3622</v>
      </c>
      <c r="B862" s="11" t="s">
        <v>956</v>
      </c>
      <c r="C862" s="11" t="s">
        <v>957</v>
      </c>
      <c r="D862" s="11">
        <v>1</v>
      </c>
      <c r="E862" s="11" t="s">
        <v>13</v>
      </c>
      <c r="F862" s="20">
        <v>46280.476817129631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56" t="str">
        <f>IFERROR(VLOOKUP(A862,Shipped!I:J,2,)," ")</f>
        <v xml:space="preserve"> </v>
      </c>
    </row>
    <row r="863" spans="1:14" x14ac:dyDescent="0.25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56" t="str">
        <f>IFERROR(VLOOKUP(A863,Shipped!I:J,2,)," ")</f>
        <v xml:space="preserve"> </v>
      </c>
    </row>
    <row r="864" spans="1:14" x14ac:dyDescent="0.25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56" t="str">
        <f>IFERROR(VLOOKUP(A864,Shipped!I:J,2,)," ")</f>
        <v xml:space="preserve"> </v>
      </c>
    </row>
    <row r="865" spans="1:14" x14ac:dyDescent="0.25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56" t="str">
        <f>IFERROR(VLOOKUP(A865,Shipped!I:J,2,)," ")</f>
        <v xml:space="preserve"> </v>
      </c>
    </row>
    <row r="866" spans="1:14" x14ac:dyDescent="0.25">
      <c r="A866" s="11" t="s">
        <v>3626</v>
      </c>
      <c r="B866" s="11" t="s">
        <v>956</v>
      </c>
      <c r="C866" s="11" t="s">
        <v>957</v>
      </c>
      <c r="D866" s="11">
        <v>1</v>
      </c>
      <c r="E866" s="11" t="s">
        <v>13</v>
      </c>
      <c r="F866" s="20">
        <v>46280.49255787037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56" t="str">
        <f>IFERROR(VLOOKUP(A866,Shipped!I:J,2,)," ")</f>
        <v xml:space="preserve"> </v>
      </c>
    </row>
    <row r="867" spans="1:14" x14ac:dyDescent="0.25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56" t="str">
        <f>IFERROR(VLOOKUP(A867,Shipped!I:J,2,)," ")</f>
        <v xml:space="preserve"> </v>
      </c>
    </row>
    <row r="868" spans="1:14" x14ac:dyDescent="0.25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56" t="str">
        <f>IFERROR(VLOOKUP(A868,Shipped!I:J,2,)," ")</f>
        <v xml:space="preserve"> </v>
      </c>
    </row>
    <row r="869" spans="1:14" x14ac:dyDescent="0.25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56" t="str">
        <f>IFERROR(VLOOKUP(A869,Shipped!I:J,2,)," ")</f>
        <v xml:space="preserve"> </v>
      </c>
    </row>
    <row r="870" spans="1:14" x14ac:dyDescent="0.25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56" t="str">
        <f>IFERROR(VLOOKUP(A870,Shipped!I:J,2,)," ")</f>
        <v xml:space="preserve"> </v>
      </c>
    </row>
    <row r="871" spans="1:14" x14ac:dyDescent="0.25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56" t="str">
        <f>IFERROR(VLOOKUP(A871,Shipped!I:J,2,)," ")</f>
        <v xml:space="preserve"> </v>
      </c>
    </row>
    <row r="872" spans="1:14" x14ac:dyDescent="0.25">
      <c r="A872" s="11" t="s">
        <v>3632</v>
      </c>
      <c r="B872" s="11" t="s">
        <v>956</v>
      </c>
      <c r="C872" s="11" t="s">
        <v>957</v>
      </c>
      <c r="D872" s="11">
        <v>1</v>
      </c>
      <c r="E872" s="11" t="s">
        <v>13</v>
      </c>
      <c r="F872" s="20">
        <v>46280.467800925922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56" t="str">
        <f>IFERROR(VLOOKUP(A872,Shipped!I:J,2,)," ")</f>
        <v xml:space="preserve"> </v>
      </c>
    </row>
    <row r="873" spans="1:14" x14ac:dyDescent="0.25">
      <c r="A873" s="11" t="s">
        <v>3633</v>
      </c>
      <c r="B873" s="11" t="s">
        <v>2226</v>
      </c>
      <c r="C873" s="11" t="s">
        <v>2227</v>
      </c>
      <c r="D873" s="11">
        <v>1</v>
      </c>
      <c r="E873" s="11" t="s">
        <v>151</v>
      </c>
      <c r="F873" s="20">
        <v>46277.254826388889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56" t="str">
        <f>IFERROR(VLOOKUP(A873,Shipped!I:J,2,)," ")</f>
        <v xml:space="preserve"> </v>
      </c>
    </row>
    <row r="874" spans="1:14" x14ac:dyDescent="0.25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56" t="str">
        <f>IFERROR(VLOOKUP(A874,Shipped!I:J,2,)," ")</f>
        <v xml:space="preserve"> </v>
      </c>
    </row>
    <row r="875" spans="1:14" x14ac:dyDescent="0.25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56" t="str">
        <f>IFERROR(VLOOKUP(A875,Shipped!I:J,2,)," ")</f>
        <v xml:space="preserve"> </v>
      </c>
    </row>
    <row r="876" spans="1:14" x14ac:dyDescent="0.25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56" t="str">
        <f>IFERROR(VLOOKUP(A876,Shipped!I:J,2,)," ")</f>
        <v xml:space="preserve"> </v>
      </c>
    </row>
    <row r="877" spans="1:14" x14ac:dyDescent="0.25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56" t="str">
        <f>IFERROR(VLOOKUP(A877,Shipped!I:J,2,)," ")</f>
        <v xml:space="preserve"> </v>
      </c>
    </row>
    <row r="878" spans="1:14" x14ac:dyDescent="0.25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56" t="str">
        <f>IFERROR(VLOOKUP(A878,Shipped!I:J,2,)," ")</f>
        <v xml:space="preserve"> </v>
      </c>
    </row>
    <row r="879" spans="1:14" x14ac:dyDescent="0.25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56" t="str">
        <f>IFERROR(VLOOKUP(A879,Shipped!I:J,2,)," ")</f>
        <v xml:space="preserve"> </v>
      </c>
    </row>
    <row r="880" spans="1:14" x14ac:dyDescent="0.25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56" t="str">
        <f>IFERROR(VLOOKUP(A880,Shipped!I:J,2,)," ")</f>
        <v xml:space="preserve"> </v>
      </c>
    </row>
    <row r="881" spans="1:14" x14ac:dyDescent="0.25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56" t="str">
        <f>IFERROR(VLOOKUP(A881,Shipped!I:J,2,)," ")</f>
        <v xml:space="preserve"> </v>
      </c>
    </row>
    <row r="882" spans="1:14" x14ac:dyDescent="0.25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56" t="str">
        <f>IFERROR(VLOOKUP(A882,Shipped!I:J,2,)," ")</f>
        <v xml:space="preserve"> </v>
      </c>
    </row>
    <row r="883" spans="1:14" x14ac:dyDescent="0.25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56" t="str">
        <f>IFERROR(VLOOKUP(A883,Shipped!I:J,2,)," ")</f>
        <v xml:space="preserve"> </v>
      </c>
    </row>
    <row r="884" spans="1:14" x14ac:dyDescent="0.25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56" t="str">
        <f>IFERROR(VLOOKUP(A884,Shipped!I:J,2,)," ")</f>
        <v xml:space="preserve"> </v>
      </c>
    </row>
    <row r="885" spans="1:14" x14ac:dyDescent="0.25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56" t="str">
        <f>IFERROR(VLOOKUP(A885,Shipped!I:J,2,)," ")</f>
        <v xml:space="preserve"> </v>
      </c>
    </row>
    <row r="886" spans="1:14" x14ac:dyDescent="0.25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56" t="str">
        <f>IFERROR(VLOOKUP(A886,Shipped!I:J,2,)," ")</f>
        <v xml:space="preserve"> </v>
      </c>
    </row>
    <row r="887" spans="1:14" x14ac:dyDescent="0.25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56" t="str">
        <f>IFERROR(VLOOKUP(A887,Shipped!I:J,2,)," ")</f>
        <v xml:space="preserve"> </v>
      </c>
    </row>
    <row r="888" spans="1:14" x14ac:dyDescent="0.25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56" t="str">
        <f>IFERROR(VLOOKUP(A888,Shipped!I:J,2,)," ")</f>
        <v xml:space="preserve"> </v>
      </c>
    </row>
    <row r="889" spans="1:14" x14ac:dyDescent="0.25">
      <c r="A889" s="11" t="s">
        <v>3649</v>
      </c>
      <c r="B889" s="11" t="s">
        <v>2684</v>
      </c>
      <c r="C889" s="11" t="s">
        <v>2685</v>
      </c>
      <c r="D889" s="11">
        <v>1</v>
      </c>
      <c r="E889" s="11" t="s">
        <v>151</v>
      </c>
      <c r="F889" s="20">
        <v>46276.647233796299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56" t="str">
        <f>IFERROR(VLOOKUP(A889,Shipped!I:J,2,)," ")</f>
        <v xml:space="preserve"> </v>
      </c>
    </row>
    <row r="890" spans="1:14" x14ac:dyDescent="0.25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56" t="str">
        <f>IFERROR(VLOOKUP(A890,Shipped!I:J,2,)," ")</f>
        <v xml:space="preserve"> </v>
      </c>
    </row>
    <row r="891" spans="1:14" x14ac:dyDescent="0.25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56" t="str">
        <f>IFERROR(VLOOKUP(A891,Shipped!I:J,2,)," ")</f>
        <v xml:space="preserve"> </v>
      </c>
    </row>
    <row r="892" spans="1:14" x14ac:dyDescent="0.25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56" t="str">
        <f>IFERROR(VLOOKUP(A892,Shipped!I:J,2,)," ")</f>
        <v xml:space="preserve"> </v>
      </c>
    </row>
    <row r="893" spans="1:14" x14ac:dyDescent="0.25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56" t="str">
        <f>IFERROR(VLOOKUP(A893,Shipped!I:J,2,)," ")</f>
        <v xml:space="preserve"> </v>
      </c>
    </row>
    <row r="894" spans="1:14" x14ac:dyDescent="0.25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56" t="str">
        <f>IFERROR(VLOOKUP(A894,Shipped!I:J,2,)," ")</f>
        <v xml:space="preserve"> </v>
      </c>
    </row>
    <row r="895" spans="1:14" x14ac:dyDescent="0.25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56" t="str">
        <f>IFERROR(VLOOKUP(A895,Shipped!I:J,2,)," ")</f>
        <v xml:space="preserve"> </v>
      </c>
    </row>
    <row r="896" spans="1:14" x14ac:dyDescent="0.25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56" t="str">
        <f>IFERROR(VLOOKUP(A896,Shipped!I:J,2,)," ")</f>
        <v xml:space="preserve"> </v>
      </c>
    </row>
    <row r="897" spans="1:14" x14ac:dyDescent="0.25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56" t="str">
        <f>IFERROR(VLOOKUP(A897,Shipped!I:J,2,)," ")</f>
        <v xml:space="preserve"> </v>
      </c>
    </row>
    <row r="898" spans="1:14" x14ac:dyDescent="0.25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56" t="str">
        <f>IFERROR(VLOOKUP(A898,Shipped!I:J,2,)," ")</f>
        <v xml:space="preserve"> </v>
      </c>
    </row>
    <row r="899" spans="1:14" x14ac:dyDescent="0.25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56" t="str">
        <f>IFERROR(VLOOKUP(A899,Shipped!I:J,2,)," ")</f>
        <v xml:space="preserve"> </v>
      </c>
    </row>
    <row r="900" spans="1:14" x14ac:dyDescent="0.25">
      <c r="A900" s="11" t="s">
        <v>3660</v>
      </c>
      <c r="B900" s="11" t="s">
        <v>11</v>
      </c>
      <c r="C900" s="11" t="s">
        <v>12</v>
      </c>
      <c r="D900" s="11">
        <v>1</v>
      </c>
      <c r="E900" s="11" t="s">
        <v>13</v>
      </c>
      <c r="F900" s="20">
        <v>46276.691631944443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56" t="str">
        <f>IFERROR(VLOOKUP(A900,Shipped!I:J,2,)," ")</f>
        <v xml:space="preserve"> </v>
      </c>
    </row>
    <row r="901" spans="1:14" x14ac:dyDescent="0.25">
      <c r="A901" s="11" t="s">
        <v>3661</v>
      </c>
      <c r="B901" s="11" t="s">
        <v>2684</v>
      </c>
      <c r="C901" s="11" t="s">
        <v>2685</v>
      </c>
      <c r="D901" s="11">
        <v>1</v>
      </c>
      <c r="E901" s="11" t="s">
        <v>151</v>
      </c>
      <c r="F901" s="20">
        <v>46276.646585648145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56" t="str">
        <f>IFERROR(VLOOKUP(A901,Shipped!I:J,2,)," ")</f>
        <v xml:space="preserve"> </v>
      </c>
    </row>
    <row r="902" spans="1:14" x14ac:dyDescent="0.25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56" t="str">
        <f>IFERROR(VLOOKUP(A902,Shipped!I:J,2,)," ")</f>
        <v xml:space="preserve"> </v>
      </c>
    </row>
    <row r="903" spans="1:14" x14ac:dyDescent="0.25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56" t="str">
        <f>IFERROR(VLOOKUP(A903,Shipped!I:J,2,)," ")</f>
        <v xml:space="preserve"> </v>
      </c>
    </row>
    <row r="904" spans="1:14" x14ac:dyDescent="0.25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56" t="str">
        <f>IFERROR(VLOOKUP(A904,Shipped!I:J,2,)," ")</f>
        <v xml:space="preserve"> </v>
      </c>
    </row>
    <row r="905" spans="1:14" x14ac:dyDescent="0.25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56" t="str">
        <f>IFERROR(VLOOKUP(A905,Shipped!I:J,2,)," ")</f>
        <v xml:space="preserve"> </v>
      </c>
    </row>
    <row r="906" spans="1:14" x14ac:dyDescent="0.25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56" t="str">
        <f>IFERROR(VLOOKUP(A906,Shipped!I:J,2,)," ")</f>
        <v xml:space="preserve"> </v>
      </c>
    </row>
    <row r="907" spans="1:14" x14ac:dyDescent="0.25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56" t="str">
        <f>IFERROR(VLOOKUP(A907,Shipped!I:J,2,)," ")</f>
        <v xml:space="preserve"> </v>
      </c>
    </row>
    <row r="908" spans="1:14" x14ac:dyDescent="0.25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56" t="str">
        <f>IFERROR(VLOOKUP(A908,Shipped!I:J,2,)," ")</f>
        <v xml:space="preserve"> </v>
      </c>
    </row>
    <row r="909" spans="1:14" x14ac:dyDescent="0.25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56" t="str">
        <f>IFERROR(VLOOKUP(A909,Shipped!I:J,2,)," ")</f>
        <v xml:space="preserve"> </v>
      </c>
    </row>
    <row r="910" spans="1:14" x14ac:dyDescent="0.25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56" t="str">
        <f>IFERROR(VLOOKUP(A910,Shipped!I:J,2,)," ")</f>
        <v xml:space="preserve"> </v>
      </c>
    </row>
    <row r="911" spans="1:14" x14ac:dyDescent="0.25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56" t="str">
        <f>IFERROR(VLOOKUP(A911,Shipped!I:J,2,)," ")</f>
        <v xml:space="preserve"> </v>
      </c>
    </row>
    <row r="912" spans="1:14" x14ac:dyDescent="0.25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56" t="str">
        <f>IFERROR(VLOOKUP(A912,Shipped!I:J,2,)," ")</f>
        <v xml:space="preserve"> </v>
      </c>
    </row>
    <row r="913" spans="1:14" x14ac:dyDescent="0.25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56" t="str">
        <f>IFERROR(VLOOKUP(A913,Shipped!I:J,2,)," ")</f>
        <v xml:space="preserve"> </v>
      </c>
    </row>
    <row r="914" spans="1:14" x14ac:dyDescent="0.25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56" t="str">
        <f>IFERROR(VLOOKUP(A914,Shipped!I:J,2,)," ")</f>
        <v xml:space="preserve"> </v>
      </c>
    </row>
    <row r="915" spans="1:14" x14ac:dyDescent="0.25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56" t="str">
        <f>IFERROR(VLOOKUP(A915,Shipped!I:J,2,)," ")</f>
        <v xml:space="preserve"> </v>
      </c>
    </row>
    <row r="916" spans="1:14" x14ac:dyDescent="0.25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56" t="str">
        <f>IFERROR(VLOOKUP(A916,Shipped!I:J,2,)," ")</f>
        <v xml:space="preserve"> </v>
      </c>
    </row>
    <row r="917" spans="1:14" x14ac:dyDescent="0.25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56" t="str">
        <f>IFERROR(VLOOKUP(A917,Shipped!I:J,2,)," ")</f>
        <v xml:space="preserve"> </v>
      </c>
    </row>
    <row r="918" spans="1:14" x14ac:dyDescent="0.25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56" t="str">
        <f>IFERROR(VLOOKUP(A918,Shipped!I:J,2,)," ")</f>
        <v xml:space="preserve"> </v>
      </c>
    </row>
    <row r="919" spans="1:14" x14ac:dyDescent="0.25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56" t="str">
        <f>IFERROR(VLOOKUP(A919,Shipped!I:J,2,)," ")</f>
        <v xml:space="preserve"> </v>
      </c>
    </row>
    <row r="920" spans="1:14" x14ac:dyDescent="0.25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56" t="str">
        <f>IFERROR(VLOOKUP(A920,Shipped!I:J,2,)," ")</f>
        <v xml:space="preserve"> </v>
      </c>
    </row>
    <row r="921" spans="1:14" x14ac:dyDescent="0.25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56" t="str">
        <f>IFERROR(VLOOKUP(A921,Shipped!I:J,2,)," ")</f>
        <v xml:space="preserve"> </v>
      </c>
    </row>
    <row r="922" spans="1:14" x14ac:dyDescent="0.25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56" t="str">
        <f>IFERROR(VLOOKUP(A922,Shipped!I:J,2,)," ")</f>
        <v xml:space="preserve"> </v>
      </c>
    </row>
    <row r="923" spans="1:14" x14ac:dyDescent="0.25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56" t="str">
        <f>IFERROR(VLOOKUP(A923,Shipped!I:J,2,)," ")</f>
        <v xml:space="preserve"> </v>
      </c>
    </row>
    <row r="924" spans="1:14" x14ac:dyDescent="0.25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56" t="str">
        <f>IFERROR(VLOOKUP(A924,Shipped!I:J,2,)," ")</f>
        <v xml:space="preserve"> </v>
      </c>
    </row>
    <row r="925" spans="1:14" x14ac:dyDescent="0.25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56" t="str">
        <f>IFERROR(VLOOKUP(A925,Shipped!I:J,2,)," ")</f>
        <v xml:space="preserve"> </v>
      </c>
    </row>
    <row r="926" spans="1:14" x14ac:dyDescent="0.25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56" t="str">
        <f>IFERROR(VLOOKUP(A926,Shipped!I:J,2,)," ")</f>
        <v xml:space="preserve"> </v>
      </c>
    </row>
    <row r="927" spans="1:14" x14ac:dyDescent="0.25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56" t="str">
        <f>IFERROR(VLOOKUP(A927,Shipped!I:J,2,)," ")</f>
        <v xml:space="preserve"> </v>
      </c>
    </row>
    <row r="928" spans="1:14" x14ac:dyDescent="0.25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56" t="str">
        <f>IFERROR(VLOOKUP(A928,Shipped!I:J,2,)," ")</f>
        <v xml:space="preserve"> </v>
      </c>
    </row>
    <row r="929" spans="1:14" x14ac:dyDescent="0.25">
      <c r="A929" s="11" t="s">
        <v>3689</v>
      </c>
      <c r="B929" s="11" t="s">
        <v>2684</v>
      </c>
      <c r="C929" s="11" t="s">
        <v>2685</v>
      </c>
      <c r="D929" s="11">
        <v>1</v>
      </c>
      <c r="E929" s="11" t="s">
        <v>151</v>
      </c>
      <c r="F929" s="20">
        <v>46276.609398148146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56" t="str">
        <f>IFERROR(VLOOKUP(A929,Shipped!I:J,2,)," ")</f>
        <v xml:space="preserve"> </v>
      </c>
    </row>
    <row r="930" spans="1:14" x14ac:dyDescent="0.25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56" t="str">
        <f>IFERROR(VLOOKUP(A930,Shipped!I:J,2,)," ")</f>
        <v xml:space="preserve"> </v>
      </c>
    </row>
    <row r="931" spans="1:14" x14ac:dyDescent="0.25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56" t="str">
        <f>IFERROR(VLOOKUP(A931,Shipped!I:J,2,)," ")</f>
        <v xml:space="preserve"> </v>
      </c>
    </row>
    <row r="932" spans="1:14" x14ac:dyDescent="0.25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56" t="str">
        <f>IFERROR(VLOOKUP(A932,Shipped!I:J,2,)," ")</f>
        <v xml:space="preserve"> </v>
      </c>
    </row>
    <row r="933" spans="1:14" x14ac:dyDescent="0.25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56" t="str">
        <f>IFERROR(VLOOKUP(A933,Shipped!I:J,2,)," ")</f>
        <v xml:space="preserve"> </v>
      </c>
    </row>
    <row r="934" spans="1:14" x14ac:dyDescent="0.25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56" t="str">
        <f>IFERROR(VLOOKUP(A934,Shipped!I:J,2,)," ")</f>
        <v xml:space="preserve"> </v>
      </c>
    </row>
    <row r="935" spans="1:14" x14ac:dyDescent="0.25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56" t="str">
        <f>IFERROR(VLOOKUP(A935,Shipped!I:J,2,)," ")</f>
        <v xml:space="preserve"> </v>
      </c>
    </row>
    <row r="936" spans="1:14" x14ac:dyDescent="0.25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56" t="str">
        <f>IFERROR(VLOOKUP(A936,Shipped!I:J,2,)," ")</f>
        <v xml:space="preserve"> </v>
      </c>
    </row>
    <row r="937" spans="1:14" x14ac:dyDescent="0.25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56" t="str">
        <f>IFERROR(VLOOKUP(A937,Shipped!I:J,2,)," ")</f>
        <v xml:space="preserve"> </v>
      </c>
    </row>
    <row r="938" spans="1:14" x14ac:dyDescent="0.25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56" t="str">
        <f>IFERROR(VLOOKUP(A938,Shipped!I:J,2,)," ")</f>
        <v xml:space="preserve"> </v>
      </c>
    </row>
    <row r="939" spans="1:14" x14ac:dyDescent="0.25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56" t="str">
        <f>IFERROR(VLOOKUP(A939,Shipped!I:J,2,)," ")</f>
        <v xml:space="preserve"> </v>
      </c>
    </row>
    <row r="940" spans="1:14" x14ac:dyDescent="0.25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56" t="str">
        <f>IFERROR(VLOOKUP(A940,Shipped!I:J,2,)," ")</f>
        <v xml:space="preserve"> </v>
      </c>
    </row>
    <row r="941" spans="1:14" x14ac:dyDescent="0.25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56" t="str">
        <f>IFERROR(VLOOKUP(A941,Shipped!I:J,2,)," ")</f>
        <v xml:space="preserve"> </v>
      </c>
    </row>
    <row r="942" spans="1:14" x14ac:dyDescent="0.25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56" t="str">
        <f>IFERROR(VLOOKUP(A942,Shipped!I:J,2,)," ")</f>
        <v xml:space="preserve"> </v>
      </c>
    </row>
    <row r="943" spans="1:14" x14ac:dyDescent="0.25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56" t="str">
        <f>IFERROR(VLOOKUP(A943,Shipped!I:J,2,)," ")</f>
        <v xml:space="preserve"> </v>
      </c>
    </row>
    <row r="944" spans="1:14" x14ac:dyDescent="0.25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56" t="str">
        <f>IFERROR(VLOOKUP(A944,Shipped!I:J,2,)," ")</f>
        <v xml:space="preserve"> </v>
      </c>
    </row>
    <row r="945" spans="1:14" x14ac:dyDescent="0.25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56" t="str">
        <f>IFERROR(VLOOKUP(A945,Shipped!I:J,2,)," ")</f>
        <v xml:space="preserve"> </v>
      </c>
    </row>
    <row r="946" spans="1:14" x14ac:dyDescent="0.25">
      <c r="A946" s="11" t="s">
        <v>3706</v>
      </c>
      <c r="B946" s="11" t="s">
        <v>954</v>
      </c>
      <c r="C946" s="11" t="s">
        <v>955</v>
      </c>
      <c r="D946" s="11">
        <v>1</v>
      </c>
      <c r="E946" s="11" t="s">
        <v>13</v>
      </c>
      <c r="F946" s="20">
        <v>46277.230902777781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56" t="str">
        <f>IFERROR(VLOOKUP(A946,Shipped!I:J,2,)," ")</f>
        <v xml:space="preserve"> </v>
      </c>
    </row>
    <row r="947" spans="1:14" x14ac:dyDescent="0.25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56" t="str">
        <f>IFERROR(VLOOKUP(A947,Shipped!I:J,2,)," ")</f>
        <v xml:space="preserve"> </v>
      </c>
    </row>
    <row r="948" spans="1:14" x14ac:dyDescent="0.25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56" t="str">
        <f>IFERROR(VLOOKUP(A948,Shipped!I:J,2,)," ")</f>
        <v xml:space="preserve"> </v>
      </c>
    </row>
    <row r="949" spans="1:14" x14ac:dyDescent="0.25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56" t="str">
        <f>IFERROR(VLOOKUP(A949,Shipped!I:J,2,)," ")</f>
        <v xml:space="preserve"> </v>
      </c>
    </row>
    <row r="950" spans="1:14" x14ac:dyDescent="0.25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56" t="str">
        <f>IFERROR(VLOOKUP(A950,Shipped!I:J,2,)," ")</f>
        <v xml:space="preserve"> </v>
      </c>
    </row>
    <row r="951" spans="1:14" x14ac:dyDescent="0.25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56" t="str">
        <f>IFERROR(VLOOKUP(A951,Shipped!I:J,2,)," ")</f>
        <v xml:space="preserve"> </v>
      </c>
    </row>
    <row r="952" spans="1:14" x14ac:dyDescent="0.25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56" t="str">
        <f>IFERROR(VLOOKUP(A952,Shipped!I:J,2,)," ")</f>
        <v xml:space="preserve"> </v>
      </c>
    </row>
    <row r="953" spans="1:14" x14ac:dyDescent="0.25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56" t="str">
        <f>IFERROR(VLOOKUP(A953,Shipped!I:J,2,)," ")</f>
        <v xml:space="preserve"> </v>
      </c>
    </row>
    <row r="954" spans="1:14" x14ac:dyDescent="0.25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56" t="str">
        <f>IFERROR(VLOOKUP(A954,Shipped!I:J,2,)," ")</f>
        <v xml:space="preserve"> </v>
      </c>
    </row>
    <row r="955" spans="1:14" x14ac:dyDescent="0.25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56" t="str">
        <f>IFERROR(VLOOKUP(A955,Shipped!I:J,2,)," ")</f>
        <v xml:space="preserve"> </v>
      </c>
    </row>
    <row r="956" spans="1:14" x14ac:dyDescent="0.25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56" t="str">
        <f>IFERROR(VLOOKUP(A956,Shipped!I:J,2,)," ")</f>
        <v xml:space="preserve"> </v>
      </c>
    </row>
    <row r="957" spans="1:14" x14ac:dyDescent="0.25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56" t="str">
        <f>IFERROR(VLOOKUP(A957,Shipped!I:J,2,)," ")</f>
        <v xml:space="preserve"> </v>
      </c>
    </row>
    <row r="958" spans="1:14" x14ac:dyDescent="0.25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56" t="str">
        <f>IFERROR(VLOOKUP(A958,Shipped!I:J,2,)," ")</f>
        <v xml:space="preserve"> </v>
      </c>
    </row>
    <row r="959" spans="1:14" x14ac:dyDescent="0.25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56" t="str">
        <f>IFERROR(VLOOKUP(A959,Shipped!I:J,2,)," ")</f>
        <v xml:space="preserve"> </v>
      </c>
    </row>
    <row r="960" spans="1:14" x14ac:dyDescent="0.25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56" t="str">
        <f>IFERROR(VLOOKUP(A960,Shipped!I:J,2,)," ")</f>
        <v xml:space="preserve"> </v>
      </c>
    </row>
    <row r="961" spans="1:14" x14ac:dyDescent="0.25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56" t="str">
        <f>IFERROR(VLOOKUP(A961,Shipped!I:J,2,)," ")</f>
        <v xml:space="preserve"> </v>
      </c>
    </row>
    <row r="962" spans="1:14" x14ac:dyDescent="0.25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56" t="str">
        <f>IFERROR(VLOOKUP(A962,Shipped!I:J,2,)," ")</f>
        <v xml:space="preserve"> </v>
      </c>
    </row>
    <row r="963" spans="1:14" x14ac:dyDescent="0.25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56" t="str">
        <f>IFERROR(VLOOKUP(A963,Shipped!I:J,2,)," ")</f>
        <v xml:space="preserve"> </v>
      </c>
    </row>
    <row r="964" spans="1:14" x14ac:dyDescent="0.25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56" t="str">
        <f>IFERROR(VLOOKUP(A964,Shipped!I:J,2,)," ")</f>
        <v xml:space="preserve"> </v>
      </c>
    </row>
    <row r="965" spans="1:14" x14ac:dyDescent="0.25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56" t="str">
        <f>IFERROR(VLOOKUP(A965,Shipped!I:J,2,)," ")</f>
        <v xml:space="preserve"> </v>
      </c>
    </row>
    <row r="966" spans="1:14" x14ac:dyDescent="0.25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56" t="str">
        <f>IFERROR(VLOOKUP(A966,Shipped!I:J,2,)," ")</f>
        <v xml:space="preserve"> </v>
      </c>
    </row>
    <row r="967" spans="1:14" x14ac:dyDescent="0.25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56" t="str">
        <f>IFERROR(VLOOKUP(A967,Shipped!I:J,2,)," ")</f>
        <v xml:space="preserve"> </v>
      </c>
    </row>
    <row r="968" spans="1:14" x14ac:dyDescent="0.25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56" t="str">
        <f>IFERROR(VLOOKUP(A968,Shipped!I:J,2,)," ")</f>
        <v xml:space="preserve"> </v>
      </c>
    </row>
    <row r="969" spans="1:14" x14ac:dyDescent="0.25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56" t="str">
        <f>IFERROR(VLOOKUP(A969,Shipped!I:J,2,)," ")</f>
        <v xml:space="preserve"> </v>
      </c>
    </row>
    <row r="970" spans="1:14" x14ac:dyDescent="0.25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56" t="str">
        <f>IFERROR(VLOOKUP(A970,Shipped!I:J,2,)," ")</f>
        <v xml:space="preserve"> </v>
      </c>
    </row>
    <row r="971" spans="1:14" x14ac:dyDescent="0.25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56" t="str">
        <f>IFERROR(VLOOKUP(A971,Shipped!I:J,2,)," ")</f>
        <v xml:space="preserve"> </v>
      </c>
    </row>
    <row r="972" spans="1:14" x14ac:dyDescent="0.25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56" t="str">
        <f>IFERROR(VLOOKUP(A972,Shipped!I:J,2,)," ")</f>
        <v xml:space="preserve"> </v>
      </c>
    </row>
    <row r="973" spans="1:14" x14ac:dyDescent="0.25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56" t="str">
        <f>IFERROR(VLOOKUP(A973,Shipped!I:J,2,)," ")</f>
        <v xml:space="preserve"> </v>
      </c>
    </row>
    <row r="974" spans="1:14" x14ac:dyDescent="0.25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56" t="str">
        <f>IFERROR(VLOOKUP(A974,Shipped!I:J,2,)," ")</f>
        <v xml:space="preserve"> </v>
      </c>
    </row>
    <row r="975" spans="1:14" x14ac:dyDescent="0.25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56" t="str">
        <f>IFERROR(VLOOKUP(A975,Shipped!I:J,2,)," ")</f>
        <v xml:space="preserve"> </v>
      </c>
    </row>
    <row r="976" spans="1:14" x14ac:dyDescent="0.25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56" t="str">
        <f>IFERROR(VLOOKUP(A976,Shipped!I:J,2,)," ")</f>
        <v xml:space="preserve"> </v>
      </c>
    </row>
    <row r="977" spans="1:14" x14ac:dyDescent="0.25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56" t="str">
        <f>IFERROR(VLOOKUP(A977,Shipped!I:J,2,)," ")</f>
        <v xml:space="preserve"> </v>
      </c>
    </row>
    <row r="978" spans="1:14" x14ac:dyDescent="0.25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56" t="str">
        <f>IFERROR(VLOOKUP(A978,Shipped!I:J,2,)," ")</f>
        <v xml:space="preserve"> </v>
      </c>
    </row>
    <row r="979" spans="1:14" x14ac:dyDescent="0.25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56" t="str">
        <f>IFERROR(VLOOKUP(A979,Shipped!I:J,2,)," ")</f>
        <v xml:space="preserve"> </v>
      </c>
    </row>
    <row r="980" spans="1:14" x14ac:dyDescent="0.25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56" t="str">
        <f>IFERROR(VLOOKUP(A980,Shipped!I:J,2,)," ")</f>
        <v xml:space="preserve"> </v>
      </c>
    </row>
    <row r="981" spans="1:14" x14ac:dyDescent="0.25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56" t="str">
        <f>IFERROR(VLOOKUP(A981,Shipped!I:J,2,)," ")</f>
        <v xml:space="preserve"> </v>
      </c>
    </row>
    <row r="982" spans="1:14" x14ac:dyDescent="0.25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56" t="str">
        <f>IFERROR(VLOOKUP(A982,Shipped!I:J,2,)," ")</f>
        <v xml:space="preserve"> </v>
      </c>
    </row>
    <row r="983" spans="1:14" x14ac:dyDescent="0.25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56" t="str">
        <f>IFERROR(VLOOKUP(A983,Shipped!I:J,2,)," ")</f>
        <v xml:space="preserve"> </v>
      </c>
    </row>
    <row r="984" spans="1:14" x14ac:dyDescent="0.25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56" t="str">
        <f>IFERROR(VLOOKUP(A984,Shipped!I:J,2,)," ")</f>
        <v xml:space="preserve"> </v>
      </c>
    </row>
    <row r="985" spans="1:14" x14ac:dyDescent="0.25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56" t="str">
        <f>IFERROR(VLOOKUP(A985,Shipped!I:J,2,)," ")</f>
        <v xml:space="preserve"> </v>
      </c>
    </row>
    <row r="986" spans="1:14" x14ac:dyDescent="0.25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56" t="str">
        <f>IFERROR(VLOOKUP(A986,Shipped!I:J,2,)," ")</f>
        <v xml:space="preserve"> </v>
      </c>
    </row>
    <row r="987" spans="1:14" x14ac:dyDescent="0.25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56" t="str">
        <f>IFERROR(VLOOKUP(A987,Shipped!I:J,2,)," ")</f>
        <v xml:space="preserve"> </v>
      </c>
    </row>
    <row r="988" spans="1:14" x14ac:dyDescent="0.25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56" t="str">
        <f>IFERROR(VLOOKUP(A988,Shipped!I:J,2,)," ")</f>
        <v xml:space="preserve"> </v>
      </c>
    </row>
    <row r="989" spans="1:14" x14ac:dyDescent="0.25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56" t="str">
        <f>IFERROR(VLOOKUP(A989,Shipped!I:J,2,)," ")</f>
        <v xml:space="preserve"> </v>
      </c>
    </row>
    <row r="990" spans="1:14" x14ac:dyDescent="0.25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56" t="str">
        <f>IFERROR(VLOOKUP(A990,Shipped!I:J,2,)," ")</f>
        <v xml:space="preserve"> </v>
      </c>
    </row>
    <row r="991" spans="1:14" x14ac:dyDescent="0.25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56" t="str">
        <f>IFERROR(VLOOKUP(A991,Shipped!I:J,2,)," ")</f>
        <v xml:space="preserve"> </v>
      </c>
    </row>
    <row r="992" spans="1:14" x14ac:dyDescent="0.25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56" t="str">
        <f>IFERROR(VLOOKUP(A992,Shipped!I:J,2,)," ")</f>
        <v xml:space="preserve"> </v>
      </c>
    </row>
    <row r="993" spans="1:14" x14ac:dyDescent="0.25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56" t="str">
        <f>IFERROR(VLOOKUP(A993,Shipped!I:J,2,)," ")</f>
        <v xml:space="preserve"> </v>
      </c>
    </row>
    <row r="994" spans="1:14" x14ac:dyDescent="0.25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56" t="str">
        <f>IFERROR(VLOOKUP(A994,Shipped!I:J,2,)," ")</f>
        <v xml:space="preserve"> </v>
      </c>
    </row>
    <row r="995" spans="1:14" x14ac:dyDescent="0.25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56" t="str">
        <f>IFERROR(VLOOKUP(A995,Shipped!I:J,2,)," ")</f>
        <v xml:space="preserve"> </v>
      </c>
    </row>
    <row r="996" spans="1:14" x14ac:dyDescent="0.25">
      <c r="A996" s="11" t="s">
        <v>3225</v>
      </c>
      <c r="B996" s="11" t="s">
        <v>954</v>
      </c>
      <c r="C996" s="11" t="s">
        <v>955</v>
      </c>
      <c r="D996" s="11">
        <v>1</v>
      </c>
      <c r="E996" s="11" t="s">
        <v>13</v>
      </c>
      <c r="F996" s="20">
        <v>46281.569062499999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56" t="str">
        <f>IFERROR(VLOOKUP(A996,Shipped!I:J,2,)," ")</f>
        <v xml:space="preserve"> </v>
      </c>
    </row>
    <row r="997" spans="1:14" x14ac:dyDescent="0.25">
      <c r="A997" s="11" t="s">
        <v>3226</v>
      </c>
      <c r="B997" s="11" t="s">
        <v>2226</v>
      </c>
      <c r="C997" s="11" t="s">
        <v>2227</v>
      </c>
      <c r="D997" s="11">
        <v>1</v>
      </c>
      <c r="E997" s="11" t="s">
        <v>151</v>
      </c>
      <c r="F997" s="20">
        <v>46281.61037037037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56" t="str">
        <f>IFERROR(VLOOKUP(A997,Shipped!I:J,2,)," ")</f>
        <v xml:space="preserve"> </v>
      </c>
    </row>
    <row r="998" spans="1:14" x14ac:dyDescent="0.25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56" t="str">
        <f>IFERROR(VLOOKUP(A998,Shipped!I:J,2,)," ")</f>
        <v xml:space="preserve"> </v>
      </c>
    </row>
    <row r="999" spans="1:14" x14ac:dyDescent="0.25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56" t="str">
        <f>IFERROR(VLOOKUP(A999,Shipped!I:J,2,)," ")</f>
        <v xml:space="preserve"> </v>
      </c>
    </row>
    <row r="1000" spans="1:14" x14ac:dyDescent="0.25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56" t="str">
        <f>IFERROR(VLOOKUP(A1000,Shipped!I:J,2,)," ")</f>
        <v xml:space="preserve"> </v>
      </c>
    </row>
    <row r="1001" spans="1:14" x14ac:dyDescent="0.25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56" t="str">
        <f>IFERROR(VLOOKUP(A1001,Shipped!I:J,2,)," ")</f>
        <v xml:space="preserve"> </v>
      </c>
    </row>
    <row r="1002" spans="1:14" x14ac:dyDescent="0.25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56" t="str">
        <f>IFERROR(VLOOKUP(A1002,Shipped!I:J,2,)," ")</f>
        <v xml:space="preserve"> </v>
      </c>
    </row>
    <row r="1003" spans="1:14" x14ac:dyDescent="0.25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56" t="str">
        <f>IFERROR(VLOOKUP(A1003,Shipped!I:J,2,)," ")</f>
        <v xml:space="preserve"> </v>
      </c>
    </row>
    <row r="1004" spans="1:14" x14ac:dyDescent="0.25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56" t="str">
        <f>IFERROR(VLOOKUP(A1004,Shipped!I:J,2,)," ")</f>
        <v xml:space="preserve"> </v>
      </c>
    </row>
    <row r="1005" spans="1:14" x14ac:dyDescent="0.25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56" t="str">
        <f>IFERROR(VLOOKUP(A1005,Shipped!I:J,2,)," ")</f>
        <v xml:space="preserve"> </v>
      </c>
    </row>
    <row r="1006" spans="1:14" x14ac:dyDescent="0.25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56" t="str">
        <f>IFERROR(VLOOKUP(A1006,Shipped!I:J,2,)," ")</f>
        <v xml:space="preserve"> </v>
      </c>
    </row>
    <row r="1007" spans="1:14" x14ac:dyDescent="0.25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56" t="str">
        <f>IFERROR(VLOOKUP(A1007,Shipped!I:J,2,)," ")</f>
        <v xml:space="preserve"> </v>
      </c>
    </row>
    <row r="1008" spans="1:14" x14ac:dyDescent="0.25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56" t="str">
        <f>IFERROR(VLOOKUP(A1008,Shipped!I:J,2,)," ")</f>
        <v xml:space="preserve"> </v>
      </c>
    </row>
    <row r="1009" spans="1:14" x14ac:dyDescent="0.25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56" t="str">
        <f>IFERROR(VLOOKUP(A1009,Shipped!I:J,2,)," ")</f>
        <v xml:space="preserve"> </v>
      </c>
    </row>
    <row r="1010" spans="1:14" x14ac:dyDescent="0.25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56" t="str">
        <f>IFERROR(VLOOKUP(A1010,Shipped!I:J,2,)," ")</f>
        <v xml:space="preserve"> </v>
      </c>
    </row>
    <row r="1011" spans="1:14" x14ac:dyDescent="0.25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56" t="str">
        <f>IFERROR(VLOOKUP(A1011,Shipped!I:J,2,)," ")</f>
        <v xml:space="preserve"> </v>
      </c>
    </row>
    <row r="1012" spans="1:14" x14ac:dyDescent="0.25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56" t="str">
        <f>IFERROR(VLOOKUP(A1012,Shipped!I:J,2,)," ")</f>
        <v xml:space="preserve"> </v>
      </c>
    </row>
    <row r="1013" spans="1:14" x14ac:dyDescent="0.25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56" t="str">
        <f>IFERROR(VLOOKUP(A1013,Shipped!I:J,2,)," ")</f>
        <v xml:space="preserve"> </v>
      </c>
    </row>
    <row r="1014" spans="1:14" x14ac:dyDescent="0.25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56" t="str">
        <f>IFERROR(VLOOKUP(A1014,Shipped!I:J,2,)," ")</f>
        <v xml:space="preserve"> </v>
      </c>
    </row>
    <row r="1015" spans="1:14" x14ac:dyDescent="0.25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56" t="str">
        <f>IFERROR(VLOOKUP(A1015,Shipped!I:J,2,)," ")</f>
        <v xml:space="preserve"> </v>
      </c>
    </row>
    <row r="1016" spans="1:14" x14ac:dyDescent="0.25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56" t="str">
        <f>IFERROR(VLOOKUP(A1016,Shipped!I:J,2,)," ")</f>
        <v xml:space="preserve"> </v>
      </c>
    </row>
    <row r="1017" spans="1:14" x14ac:dyDescent="0.25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56" t="str">
        <f>IFERROR(VLOOKUP(A1017,Shipped!I:J,2,)," ")</f>
        <v xml:space="preserve"> </v>
      </c>
    </row>
    <row r="1018" spans="1:14" x14ac:dyDescent="0.25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56" t="str">
        <f>IFERROR(VLOOKUP(A1018,Shipped!I:J,2,)," ")</f>
        <v xml:space="preserve"> </v>
      </c>
    </row>
    <row r="1019" spans="1:14" x14ac:dyDescent="0.25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56" t="str">
        <f>IFERROR(VLOOKUP(A1019,Shipped!I:J,2,)," ")</f>
        <v xml:space="preserve"> </v>
      </c>
    </row>
    <row r="1020" spans="1:14" x14ac:dyDescent="0.25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56" t="str">
        <f>IFERROR(VLOOKUP(A1020,Shipped!I:J,2,)," ")</f>
        <v xml:space="preserve"> </v>
      </c>
    </row>
    <row r="1021" spans="1:14" x14ac:dyDescent="0.25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56" t="str">
        <f>IFERROR(VLOOKUP(A1021,Shipped!I:J,2,)," ")</f>
        <v xml:space="preserve"> </v>
      </c>
    </row>
    <row r="1022" spans="1:14" x14ac:dyDescent="0.25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56" t="str">
        <f>IFERROR(VLOOKUP(A1022,Shipped!I:J,2,)," ")</f>
        <v xml:space="preserve"> </v>
      </c>
    </row>
    <row r="1023" spans="1:14" x14ac:dyDescent="0.25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56" t="str">
        <f>IFERROR(VLOOKUP(A1023,Shipped!I:J,2,)," ")</f>
        <v xml:space="preserve"> </v>
      </c>
    </row>
    <row r="1024" spans="1:14" x14ac:dyDescent="0.25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56" t="str">
        <f>IFERROR(VLOOKUP(A1024,Shipped!I:J,2,)," ")</f>
        <v xml:space="preserve"> </v>
      </c>
    </row>
    <row r="1025" spans="1:14" x14ac:dyDescent="0.25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56" t="str">
        <f>IFERROR(VLOOKUP(A1025,Shipped!I:J,2,)," ")</f>
        <v xml:space="preserve"> </v>
      </c>
    </row>
    <row r="1026" spans="1:14" x14ac:dyDescent="0.25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56" t="str">
        <f>IFERROR(VLOOKUP(A1026,Shipped!I:J,2,)," ")</f>
        <v xml:space="preserve"> </v>
      </c>
    </row>
    <row r="1027" spans="1:14" x14ac:dyDescent="0.25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56" t="str">
        <f>IFERROR(VLOOKUP(A1027,Shipped!I:J,2,)," ")</f>
        <v xml:space="preserve"> </v>
      </c>
    </row>
    <row r="1028" spans="1:14" x14ac:dyDescent="0.25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56" t="str">
        <f>IFERROR(VLOOKUP(A1028,Shipped!I:J,2,)," ")</f>
        <v xml:space="preserve"> </v>
      </c>
    </row>
    <row r="1029" spans="1:14" x14ac:dyDescent="0.25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56" t="str">
        <f>IFERROR(VLOOKUP(A1029,Shipped!I:J,2,)," ")</f>
        <v xml:space="preserve"> </v>
      </c>
    </row>
    <row r="1030" spans="1:14" x14ac:dyDescent="0.25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56" t="str">
        <f>IFERROR(VLOOKUP(A1030,Shipped!I:J,2,)," ")</f>
        <v xml:space="preserve"> </v>
      </c>
    </row>
    <row r="1031" spans="1:14" x14ac:dyDescent="0.25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56" t="str">
        <f>IFERROR(VLOOKUP(A1031,Shipped!I:J,2,)," ")</f>
        <v xml:space="preserve"> </v>
      </c>
    </row>
    <row r="1032" spans="1:14" x14ac:dyDescent="0.25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56" t="str">
        <f>IFERROR(VLOOKUP(A1032,Shipped!I:J,2,)," ")</f>
        <v xml:space="preserve"> </v>
      </c>
    </row>
    <row r="1033" spans="1:14" x14ac:dyDescent="0.25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56" t="str">
        <f>IFERROR(VLOOKUP(A1033,Shipped!I:J,2,)," ")</f>
        <v xml:space="preserve"> </v>
      </c>
    </row>
    <row r="1034" spans="1:14" x14ac:dyDescent="0.25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56" t="str">
        <f>IFERROR(VLOOKUP(A1034,Shipped!I:J,2,)," ")</f>
        <v xml:space="preserve"> </v>
      </c>
    </row>
    <row r="1035" spans="1:14" x14ac:dyDescent="0.25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56" t="str">
        <f>IFERROR(VLOOKUP(A1035,Shipped!I:J,2,)," ")</f>
        <v xml:space="preserve"> </v>
      </c>
    </row>
    <row r="1036" spans="1:14" x14ac:dyDescent="0.25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56" t="str">
        <f>IFERROR(VLOOKUP(A1036,Shipped!I:J,2,)," ")</f>
        <v xml:space="preserve"> </v>
      </c>
    </row>
    <row r="1037" spans="1:14" x14ac:dyDescent="0.25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56" t="str">
        <f>IFERROR(VLOOKUP(A1037,Shipped!I:J,2,)," ")</f>
        <v xml:space="preserve"> </v>
      </c>
    </row>
    <row r="1038" spans="1:14" x14ac:dyDescent="0.25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56" t="str">
        <f>IFERROR(VLOOKUP(A1038,Shipped!I:J,2,)," ")</f>
        <v xml:space="preserve"> </v>
      </c>
    </row>
    <row r="1039" spans="1:14" x14ac:dyDescent="0.25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56" t="str">
        <f>IFERROR(VLOOKUP(A1039,Shipped!I:J,2,)," ")</f>
        <v xml:space="preserve"> </v>
      </c>
    </row>
    <row r="1040" spans="1:14" x14ac:dyDescent="0.25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56" t="str">
        <f>IFERROR(VLOOKUP(A1040,Shipped!I:J,2,)," ")</f>
        <v xml:space="preserve"> </v>
      </c>
    </row>
    <row r="1041" spans="1:14" x14ac:dyDescent="0.25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56" t="str">
        <f>IFERROR(VLOOKUP(A1041,Shipped!I:J,2,)," ")</f>
        <v xml:space="preserve"> </v>
      </c>
    </row>
    <row r="1042" spans="1:14" x14ac:dyDescent="0.25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56" t="str">
        <f>IFERROR(VLOOKUP(A1042,Shipped!I:J,2,)," ")</f>
        <v xml:space="preserve"> </v>
      </c>
    </row>
    <row r="1043" spans="1:14" x14ac:dyDescent="0.25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56" t="str">
        <f>IFERROR(VLOOKUP(A1043,Shipped!I:J,2,)," ")</f>
        <v xml:space="preserve"> </v>
      </c>
    </row>
    <row r="1044" spans="1:14" x14ac:dyDescent="0.25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56" t="str">
        <f>IFERROR(VLOOKUP(A1044,Shipped!I:J,2,)," ")</f>
        <v xml:space="preserve"> </v>
      </c>
    </row>
    <row r="1045" spans="1:14" x14ac:dyDescent="0.25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56" t="str">
        <f>IFERROR(VLOOKUP(A1045,Shipped!I:J,2,)," ")</f>
        <v xml:space="preserve"> </v>
      </c>
    </row>
    <row r="1046" spans="1:14" x14ac:dyDescent="0.25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56" t="str">
        <f>IFERROR(VLOOKUP(A1046,Shipped!I:J,2,)," ")</f>
        <v xml:space="preserve"> </v>
      </c>
    </row>
    <row r="1047" spans="1:14" x14ac:dyDescent="0.25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56" t="str">
        <f>IFERROR(VLOOKUP(A1047,Shipped!I:J,2,)," ")</f>
        <v xml:space="preserve"> </v>
      </c>
    </row>
    <row r="1048" spans="1:14" x14ac:dyDescent="0.25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56" t="str">
        <f>IFERROR(VLOOKUP(A1048,Shipped!I:J,2,)," ")</f>
        <v xml:space="preserve"> </v>
      </c>
    </row>
    <row r="1049" spans="1:14" x14ac:dyDescent="0.25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56" t="str">
        <f>IFERROR(VLOOKUP(A1049,Shipped!I:J,2,)," ")</f>
        <v xml:space="preserve"> </v>
      </c>
    </row>
    <row r="1050" spans="1:14" x14ac:dyDescent="0.25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56" t="str">
        <f>IFERROR(VLOOKUP(A1050,Shipped!I:J,2,)," ")</f>
        <v xml:space="preserve"> </v>
      </c>
    </row>
    <row r="1051" spans="1:14" x14ac:dyDescent="0.25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56" t="str">
        <f>IFERROR(VLOOKUP(A1051,Shipped!I:J,2,)," ")</f>
        <v xml:space="preserve"> </v>
      </c>
    </row>
    <row r="1052" spans="1:14" x14ac:dyDescent="0.25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56" t="str">
        <f>IFERROR(VLOOKUP(A1052,Shipped!I:J,2,)," ")</f>
        <v xml:space="preserve"> </v>
      </c>
    </row>
    <row r="1053" spans="1:14" x14ac:dyDescent="0.25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56" t="str">
        <f>IFERROR(VLOOKUP(A1053,Shipped!I:J,2,)," ")</f>
        <v xml:space="preserve"> </v>
      </c>
    </row>
    <row r="1054" spans="1:14" x14ac:dyDescent="0.25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56" t="str">
        <f>IFERROR(VLOOKUP(A1054,Shipped!I:J,2,)," ")</f>
        <v xml:space="preserve"> </v>
      </c>
    </row>
    <row r="1055" spans="1:14" x14ac:dyDescent="0.25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56" t="str">
        <f>IFERROR(VLOOKUP(A1055,Shipped!I:J,2,)," ")</f>
        <v xml:space="preserve"> </v>
      </c>
    </row>
    <row r="1056" spans="1:14" x14ac:dyDescent="0.25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56" t="str">
        <f>IFERROR(VLOOKUP(A1056,Shipped!I:J,2,)," ")</f>
        <v xml:space="preserve"> </v>
      </c>
    </row>
    <row r="1057" spans="1:14" x14ac:dyDescent="0.25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56" t="str">
        <f>IFERROR(VLOOKUP(A1057,Shipped!I:J,2,)," ")</f>
        <v xml:space="preserve"> </v>
      </c>
    </row>
    <row r="1058" spans="1:14" x14ac:dyDescent="0.25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56" t="str">
        <f>IFERROR(VLOOKUP(A1058,Shipped!I:J,2,)," ")</f>
        <v xml:space="preserve"> </v>
      </c>
    </row>
    <row r="1059" spans="1:14" x14ac:dyDescent="0.25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56" t="str">
        <f>IFERROR(VLOOKUP(A1059,Shipped!I:J,2,)," ")</f>
        <v xml:space="preserve"> </v>
      </c>
    </row>
    <row r="1060" spans="1:14" x14ac:dyDescent="0.25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56" t="str">
        <f>IFERROR(VLOOKUP(A1060,Shipped!I:J,2,)," ")</f>
        <v xml:space="preserve"> </v>
      </c>
    </row>
    <row r="1061" spans="1:14" x14ac:dyDescent="0.25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56" t="str">
        <f>IFERROR(VLOOKUP(A1061,Shipped!I:J,2,)," ")</f>
        <v xml:space="preserve"> </v>
      </c>
    </row>
    <row r="1062" spans="1:14" x14ac:dyDescent="0.25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56" t="str">
        <f>IFERROR(VLOOKUP(A1062,Shipped!I:J,2,)," ")</f>
        <v xml:space="preserve"> </v>
      </c>
    </row>
    <row r="1063" spans="1:14" x14ac:dyDescent="0.25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56" t="str">
        <f>IFERROR(VLOOKUP(A1063,Shipped!I:J,2,)," ")</f>
        <v xml:space="preserve"> </v>
      </c>
    </row>
    <row r="1064" spans="1:14" x14ac:dyDescent="0.25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56" t="str">
        <f>IFERROR(VLOOKUP(A1064,Shipped!I:J,2,)," ")</f>
        <v xml:space="preserve"> </v>
      </c>
    </row>
    <row r="1065" spans="1:14" x14ac:dyDescent="0.25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56" t="str">
        <f>IFERROR(VLOOKUP(A1065,Shipped!I:J,2,)," ")</f>
        <v xml:space="preserve"> </v>
      </c>
    </row>
    <row r="1066" spans="1:14" x14ac:dyDescent="0.25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56" t="str">
        <f>IFERROR(VLOOKUP(A1066,Shipped!I:J,2,)," ")</f>
        <v xml:space="preserve"> </v>
      </c>
    </row>
    <row r="1067" spans="1:14" x14ac:dyDescent="0.25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56" t="str">
        <f>IFERROR(VLOOKUP(A1067,Shipped!I:J,2,)," ")</f>
        <v xml:space="preserve"> </v>
      </c>
    </row>
    <row r="1068" spans="1:14" x14ac:dyDescent="0.25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56" t="str">
        <f>IFERROR(VLOOKUP(A1068,Shipped!I:J,2,)," ")</f>
        <v xml:space="preserve"> </v>
      </c>
    </row>
    <row r="1069" spans="1:14" x14ac:dyDescent="0.25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56" t="str">
        <f>IFERROR(VLOOKUP(A1069,Shipped!I:J,2,)," ")</f>
        <v xml:space="preserve"> </v>
      </c>
    </row>
    <row r="1070" spans="1:14" x14ac:dyDescent="0.25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56" t="str">
        <f>IFERROR(VLOOKUP(A1070,Shipped!I:J,2,)," ")</f>
        <v xml:space="preserve"> </v>
      </c>
    </row>
    <row r="1071" spans="1:14" x14ac:dyDescent="0.25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56" t="str">
        <f>IFERROR(VLOOKUP(A1071,Shipped!I:J,2,)," ")</f>
        <v xml:space="preserve"> </v>
      </c>
    </row>
    <row r="1072" spans="1:14" x14ac:dyDescent="0.25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56" t="str">
        <f>IFERROR(VLOOKUP(A1072,Shipped!I:J,2,)," ")</f>
        <v xml:space="preserve"> </v>
      </c>
    </row>
    <row r="1073" spans="1:14" x14ac:dyDescent="0.25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56" t="str">
        <f>IFERROR(VLOOKUP(A1073,Shipped!I:J,2,)," ")</f>
        <v xml:space="preserve"> </v>
      </c>
    </row>
    <row r="1074" spans="1:14" x14ac:dyDescent="0.25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56" t="str">
        <f>IFERROR(VLOOKUP(A1074,Shipped!I:J,2,)," ")</f>
        <v xml:space="preserve"> </v>
      </c>
    </row>
    <row r="1075" spans="1:14" x14ac:dyDescent="0.25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56" t="str">
        <f>IFERROR(VLOOKUP(A1075,Shipped!I:J,2,)," ")</f>
        <v xml:space="preserve"> </v>
      </c>
    </row>
    <row r="1076" spans="1:14" x14ac:dyDescent="0.25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56" t="str">
        <f>IFERROR(VLOOKUP(A1076,Shipped!I:J,2,)," ")</f>
        <v xml:space="preserve"> </v>
      </c>
    </row>
    <row r="1077" spans="1:14" x14ac:dyDescent="0.25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56" t="str">
        <f>IFERROR(VLOOKUP(A1077,Shipped!I:J,2,)," ")</f>
        <v xml:space="preserve"> </v>
      </c>
    </row>
    <row r="1078" spans="1:14" x14ac:dyDescent="0.25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56" t="str">
        <f>IFERROR(VLOOKUP(A1078,Shipped!I:J,2,)," ")</f>
        <v xml:space="preserve"> </v>
      </c>
    </row>
    <row r="1079" spans="1:14" x14ac:dyDescent="0.25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56" t="str">
        <f>IFERROR(VLOOKUP(A1079,Shipped!I:J,2,)," ")</f>
        <v xml:space="preserve"> </v>
      </c>
    </row>
    <row r="1080" spans="1:14" x14ac:dyDescent="0.25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56" t="str">
        <f>IFERROR(VLOOKUP(A1080,Shipped!I:J,2,)," ")</f>
        <v xml:space="preserve"> </v>
      </c>
    </row>
    <row r="1081" spans="1:14" x14ac:dyDescent="0.25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56" t="str">
        <f>IFERROR(VLOOKUP(A1081,Shipped!I:J,2,)," ")</f>
        <v xml:space="preserve"> </v>
      </c>
    </row>
    <row r="1082" spans="1:14" x14ac:dyDescent="0.25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56" t="str">
        <f>IFERROR(VLOOKUP(A1082,Shipped!I:J,2,)," ")</f>
        <v xml:space="preserve"> </v>
      </c>
    </row>
    <row r="1083" spans="1:14" x14ac:dyDescent="0.25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56" t="str">
        <f>IFERROR(VLOOKUP(A1083,Shipped!I:J,2,)," ")</f>
        <v xml:space="preserve"> </v>
      </c>
    </row>
    <row r="1084" spans="1:14" x14ac:dyDescent="0.25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56" t="str">
        <f>IFERROR(VLOOKUP(A1084,Shipped!I:J,2,)," ")</f>
        <v xml:space="preserve"> </v>
      </c>
    </row>
    <row r="1085" spans="1:14" x14ac:dyDescent="0.25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56" t="str">
        <f>IFERROR(VLOOKUP(A1085,Shipped!I:J,2,)," ")</f>
        <v xml:space="preserve"> </v>
      </c>
    </row>
    <row r="1086" spans="1:14" x14ac:dyDescent="0.25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56" t="str">
        <f>IFERROR(VLOOKUP(A1086,Shipped!I:J,2,)," ")</f>
        <v xml:space="preserve"> </v>
      </c>
    </row>
    <row r="1087" spans="1:14" x14ac:dyDescent="0.25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56" t="str">
        <f>IFERROR(VLOOKUP(A1087,Shipped!I:J,2,)," ")</f>
        <v xml:space="preserve"> </v>
      </c>
    </row>
    <row r="1088" spans="1:14" x14ac:dyDescent="0.25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56" t="str">
        <f>IFERROR(VLOOKUP(A1088,Shipped!I:J,2,)," ")</f>
        <v xml:space="preserve"> </v>
      </c>
    </row>
    <row r="1089" spans="1:14" x14ac:dyDescent="0.25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56" t="str">
        <f>IFERROR(VLOOKUP(A1089,Shipped!I:J,2,)," ")</f>
        <v xml:space="preserve"> </v>
      </c>
    </row>
    <row r="1090" spans="1:14" x14ac:dyDescent="0.25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56" t="str">
        <f>IFERROR(VLOOKUP(A1090,Shipped!I:J,2,)," ")</f>
        <v xml:space="preserve"> </v>
      </c>
    </row>
    <row r="1091" spans="1:14" x14ac:dyDescent="0.25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56" t="str">
        <f>IFERROR(VLOOKUP(A1091,Shipped!I:J,2,)," ")</f>
        <v xml:space="preserve"> </v>
      </c>
    </row>
    <row r="1092" spans="1:14" x14ac:dyDescent="0.25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56" t="str">
        <f>IFERROR(VLOOKUP(A1092,Shipped!I:J,2,)," ")</f>
        <v xml:space="preserve"> </v>
      </c>
    </row>
    <row r="1093" spans="1:14" x14ac:dyDescent="0.25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56" t="str">
        <f>IFERROR(VLOOKUP(A1093,Shipped!I:J,2,)," ")</f>
        <v xml:space="preserve"> </v>
      </c>
    </row>
    <row r="1094" spans="1:14" x14ac:dyDescent="0.25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56" t="str">
        <f>IFERROR(VLOOKUP(A1094,Shipped!I:J,2,)," ")</f>
        <v xml:space="preserve"> </v>
      </c>
    </row>
    <row r="1095" spans="1:14" x14ac:dyDescent="0.25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56" t="str">
        <f>IFERROR(VLOOKUP(A1095,Shipped!I:J,2,)," ")</f>
        <v xml:space="preserve"> </v>
      </c>
    </row>
    <row r="1096" spans="1:14" x14ac:dyDescent="0.25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56" t="str">
        <f>IFERROR(VLOOKUP(A1096,Shipped!I:J,2,)," ")</f>
        <v xml:space="preserve"> </v>
      </c>
    </row>
    <row r="1097" spans="1:14" x14ac:dyDescent="0.25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56" t="str">
        <f>IFERROR(VLOOKUP(A1097,Shipped!I:J,2,)," ")</f>
        <v xml:space="preserve"> </v>
      </c>
    </row>
    <row r="1098" spans="1:14" x14ac:dyDescent="0.25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56" t="str">
        <f>IFERROR(VLOOKUP(A1098,Shipped!I:J,2,)," ")</f>
        <v xml:space="preserve"> </v>
      </c>
    </row>
    <row r="1099" spans="1:14" x14ac:dyDescent="0.25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56" t="str">
        <f>IFERROR(VLOOKUP(A1099,Shipped!I:J,2,)," ")</f>
        <v xml:space="preserve"> </v>
      </c>
    </row>
    <row r="1100" spans="1:14" x14ac:dyDescent="0.25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56" t="str">
        <f>IFERROR(VLOOKUP(A1100,Shipped!I:J,2,)," ")</f>
        <v xml:space="preserve"> </v>
      </c>
    </row>
    <row r="1101" spans="1:14" x14ac:dyDescent="0.25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56" t="str">
        <f>IFERROR(VLOOKUP(A1101,Shipped!I:J,2,)," ")</f>
        <v xml:space="preserve"> </v>
      </c>
    </row>
    <row r="1102" spans="1:14" x14ac:dyDescent="0.25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56" t="str">
        <f>IFERROR(VLOOKUP(A1102,Shipped!I:J,2,)," ")</f>
        <v xml:space="preserve"> </v>
      </c>
    </row>
    <row r="1103" spans="1:14" x14ac:dyDescent="0.25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56" t="str">
        <f>IFERROR(VLOOKUP(A1103,Shipped!I:J,2,)," ")</f>
        <v xml:space="preserve"> </v>
      </c>
    </row>
    <row r="1104" spans="1:14" x14ac:dyDescent="0.25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56" t="str">
        <f>IFERROR(VLOOKUP(A1104,Shipped!I:J,2,)," ")</f>
        <v xml:space="preserve"> </v>
      </c>
    </row>
    <row r="1105" spans="1:14" x14ac:dyDescent="0.25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56" t="str">
        <f>IFERROR(VLOOKUP(A1105,Shipped!I:J,2,)," ")</f>
        <v xml:space="preserve"> </v>
      </c>
    </row>
    <row r="1106" spans="1:14" x14ac:dyDescent="0.25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56" t="str">
        <f>IFERROR(VLOOKUP(A1106,Shipped!I:J,2,)," ")</f>
        <v xml:space="preserve"> </v>
      </c>
    </row>
    <row r="1107" spans="1:14" x14ac:dyDescent="0.25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56" t="str">
        <f>IFERROR(VLOOKUP(A1107,Shipped!I:J,2,)," ")</f>
        <v xml:space="preserve"> </v>
      </c>
    </row>
    <row r="1108" spans="1:14" x14ac:dyDescent="0.25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56" t="str">
        <f>IFERROR(VLOOKUP(A1108,Shipped!I:J,2,)," ")</f>
        <v xml:space="preserve"> </v>
      </c>
    </row>
    <row r="1109" spans="1:14" x14ac:dyDescent="0.25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56" t="str">
        <f>IFERROR(VLOOKUP(A1109,Shipped!I:J,2,)," ")</f>
        <v xml:space="preserve"> </v>
      </c>
    </row>
    <row r="1110" spans="1:14" x14ac:dyDescent="0.25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56" t="str">
        <f>IFERROR(VLOOKUP(A1110,Shipped!I:J,2,)," ")</f>
        <v xml:space="preserve"> </v>
      </c>
    </row>
    <row r="1111" spans="1:14" x14ac:dyDescent="0.25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56" t="str">
        <f>IFERROR(VLOOKUP(A1111,Shipped!I:J,2,)," ")</f>
        <v xml:space="preserve"> </v>
      </c>
    </row>
    <row r="1112" spans="1:14" x14ac:dyDescent="0.25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56" t="str">
        <f>IFERROR(VLOOKUP(A1112,Shipped!I:J,2,)," ")</f>
        <v xml:space="preserve"> </v>
      </c>
    </row>
    <row r="1113" spans="1:14" x14ac:dyDescent="0.25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56" t="str">
        <f>IFERROR(VLOOKUP(A1113,Shipped!I:J,2,)," ")</f>
        <v xml:space="preserve"> </v>
      </c>
    </row>
    <row r="1114" spans="1:14" x14ac:dyDescent="0.25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56" t="str">
        <f>IFERROR(VLOOKUP(A1114,Shipped!I:J,2,)," ")</f>
        <v xml:space="preserve"> </v>
      </c>
    </row>
    <row r="1115" spans="1:14" x14ac:dyDescent="0.25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56" t="str">
        <f>IFERROR(VLOOKUP(A1115,Shipped!I:J,2,)," ")</f>
        <v xml:space="preserve"> </v>
      </c>
    </row>
    <row r="1116" spans="1:14" x14ac:dyDescent="0.25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56" t="str">
        <f>IFERROR(VLOOKUP(A1116,Shipped!I:J,2,)," ")</f>
        <v xml:space="preserve"> </v>
      </c>
    </row>
    <row r="1117" spans="1:14" x14ac:dyDescent="0.25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56" t="str">
        <f>IFERROR(VLOOKUP(A1117,Shipped!I:J,2,)," ")</f>
        <v xml:space="preserve"> </v>
      </c>
    </row>
    <row r="1118" spans="1:14" x14ac:dyDescent="0.25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56" t="str">
        <f>IFERROR(VLOOKUP(A1118,Shipped!I:J,2,)," ")</f>
        <v xml:space="preserve"> </v>
      </c>
    </row>
    <row r="1119" spans="1:14" x14ac:dyDescent="0.25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56" t="str">
        <f>IFERROR(VLOOKUP(A1119,Shipped!I:J,2,)," ")</f>
        <v xml:space="preserve"> </v>
      </c>
    </row>
    <row r="1120" spans="1:14" x14ac:dyDescent="0.25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56" t="str">
        <f>IFERROR(VLOOKUP(A1120,Shipped!I:J,2,)," ")</f>
        <v xml:space="preserve"> </v>
      </c>
    </row>
    <row r="1121" spans="1:14" x14ac:dyDescent="0.25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56" t="str">
        <f>IFERROR(VLOOKUP(A1121,Shipped!I:J,2,)," ")</f>
        <v xml:space="preserve"> </v>
      </c>
    </row>
    <row r="1122" spans="1:14" x14ac:dyDescent="0.25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56" t="str">
        <f>IFERROR(VLOOKUP(A1122,Shipped!I:J,2,)," ")</f>
        <v xml:space="preserve"> </v>
      </c>
    </row>
    <row r="1123" spans="1:14" x14ac:dyDescent="0.25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56" t="str">
        <f>IFERROR(VLOOKUP(A1123,Shipped!I:J,2,)," ")</f>
        <v xml:space="preserve"> </v>
      </c>
    </row>
    <row r="1124" spans="1:14" x14ac:dyDescent="0.25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56" t="str">
        <f>IFERROR(VLOOKUP(A1124,Shipped!I:J,2,)," ")</f>
        <v xml:space="preserve"> </v>
      </c>
    </row>
    <row r="1125" spans="1:14" x14ac:dyDescent="0.25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56" t="str">
        <f>IFERROR(VLOOKUP(A1125,Shipped!I:J,2,)," ")</f>
        <v xml:space="preserve"> </v>
      </c>
    </row>
    <row r="1126" spans="1:14" x14ac:dyDescent="0.25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56" t="str">
        <f>IFERROR(VLOOKUP(A1126,Shipped!I:J,2,)," ")</f>
        <v xml:space="preserve"> </v>
      </c>
    </row>
    <row r="1127" spans="1:14" x14ac:dyDescent="0.25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56" t="str">
        <f>IFERROR(VLOOKUP(A1127,Shipped!I:J,2,)," ")</f>
        <v xml:space="preserve"> </v>
      </c>
    </row>
    <row r="1128" spans="1:14" x14ac:dyDescent="0.25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56" t="str">
        <f>IFERROR(VLOOKUP(A1128,Shipped!I:J,2,)," ")</f>
        <v xml:space="preserve"> </v>
      </c>
    </row>
    <row r="1129" spans="1:14" x14ac:dyDescent="0.25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56" t="str">
        <f>IFERROR(VLOOKUP(A1129,Shipped!I:J,2,)," ")</f>
        <v xml:space="preserve"> </v>
      </c>
    </row>
    <row r="1130" spans="1:14" x14ac:dyDescent="0.25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56" t="str">
        <f>IFERROR(VLOOKUP(A1130,Shipped!I:J,2,)," ")</f>
        <v xml:space="preserve"> </v>
      </c>
    </row>
    <row r="1131" spans="1:14" x14ac:dyDescent="0.25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56" t="str">
        <f>IFERROR(VLOOKUP(A1131,Shipped!I:J,2,)," ")</f>
        <v xml:space="preserve"> </v>
      </c>
    </row>
    <row r="1132" spans="1:14" x14ac:dyDescent="0.25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56" t="str">
        <f>IFERROR(VLOOKUP(A1132,Shipped!I:J,2,)," ")</f>
        <v xml:space="preserve"> </v>
      </c>
    </row>
    <row r="1133" spans="1:14" x14ac:dyDescent="0.25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56" t="str">
        <f>IFERROR(VLOOKUP(A1133,Shipped!I:J,2,)," ")</f>
        <v xml:space="preserve"> </v>
      </c>
    </row>
    <row r="1134" spans="1:14" x14ac:dyDescent="0.25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56" t="str">
        <f>IFERROR(VLOOKUP(A1134,Shipped!I:J,2,)," ")</f>
        <v xml:space="preserve"> </v>
      </c>
    </row>
    <row r="1135" spans="1:14" x14ac:dyDescent="0.25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56" t="str">
        <f>IFERROR(VLOOKUP(A1135,Shipped!I:J,2,)," ")</f>
        <v xml:space="preserve"> </v>
      </c>
    </row>
    <row r="1136" spans="1:14" x14ac:dyDescent="0.25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56" t="str">
        <f>IFERROR(VLOOKUP(A1136,Shipped!I:J,2,)," ")</f>
        <v xml:space="preserve"> </v>
      </c>
    </row>
    <row r="1137" spans="1:14" x14ac:dyDescent="0.25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56" t="str">
        <f>IFERROR(VLOOKUP(A1137,Shipped!I:J,2,)," ")</f>
        <v xml:space="preserve"> </v>
      </c>
    </row>
    <row r="1138" spans="1:14" x14ac:dyDescent="0.25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56" t="str">
        <f>IFERROR(VLOOKUP(A1138,Shipped!I:J,2,)," ")</f>
        <v xml:space="preserve"> </v>
      </c>
    </row>
    <row r="1139" spans="1:14" x14ac:dyDescent="0.25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56" t="str">
        <f>IFERROR(VLOOKUP(A1139,Shipped!I:J,2,)," ")</f>
        <v xml:space="preserve"> </v>
      </c>
    </row>
    <row r="1140" spans="1:14" x14ac:dyDescent="0.25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56" t="str">
        <f>IFERROR(VLOOKUP(A1140,Shipped!I:J,2,)," ")</f>
        <v xml:space="preserve"> </v>
      </c>
    </row>
    <row r="1141" spans="1:14" x14ac:dyDescent="0.25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56" t="str">
        <f>IFERROR(VLOOKUP(A1141,Shipped!I:J,2,)," ")</f>
        <v xml:space="preserve"> </v>
      </c>
    </row>
    <row r="1142" spans="1:14" x14ac:dyDescent="0.25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56" t="str">
        <f>IFERROR(VLOOKUP(A1142,Shipped!I:J,2,)," ")</f>
        <v xml:space="preserve"> </v>
      </c>
    </row>
    <row r="1143" spans="1:14" x14ac:dyDescent="0.25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56" t="str">
        <f>IFERROR(VLOOKUP(A1143,Shipped!I:J,2,)," ")</f>
        <v xml:space="preserve"> </v>
      </c>
    </row>
    <row r="1144" spans="1:14" x14ac:dyDescent="0.25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56" t="str">
        <f>IFERROR(VLOOKUP(A1144,Shipped!I:J,2,)," ")</f>
        <v xml:space="preserve"> </v>
      </c>
    </row>
    <row r="1145" spans="1:14" x14ac:dyDescent="0.25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56" t="str">
        <f>IFERROR(VLOOKUP(A1145,Shipped!I:J,2,)," ")</f>
        <v xml:space="preserve"> </v>
      </c>
    </row>
    <row r="1146" spans="1:14" x14ac:dyDescent="0.25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56" t="str">
        <f>IFERROR(VLOOKUP(A1146,Shipped!I:J,2,)," ")</f>
        <v xml:space="preserve"> </v>
      </c>
    </row>
    <row r="1147" spans="1:14" x14ac:dyDescent="0.25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56" t="str">
        <f>IFERROR(VLOOKUP(A1147,Shipped!I:J,2,)," ")</f>
        <v xml:space="preserve"> </v>
      </c>
    </row>
    <row r="1148" spans="1:14" x14ac:dyDescent="0.25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56" t="str">
        <f>IFERROR(VLOOKUP(A1148,Shipped!I:J,2,)," ")</f>
        <v xml:space="preserve"> </v>
      </c>
    </row>
    <row r="1149" spans="1:14" x14ac:dyDescent="0.25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56" t="str">
        <f>IFERROR(VLOOKUP(A1149,Shipped!I:J,2,)," ")</f>
        <v xml:space="preserve"> </v>
      </c>
    </row>
    <row r="1150" spans="1:14" x14ac:dyDescent="0.25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56" t="str">
        <f>IFERROR(VLOOKUP(A1150,Shipped!I:J,2,)," ")</f>
        <v xml:space="preserve"> </v>
      </c>
    </row>
    <row r="1151" spans="1:14" x14ac:dyDescent="0.25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56" t="str">
        <f>IFERROR(VLOOKUP(A1151,Shipped!I:J,2,)," ")</f>
        <v xml:space="preserve"> </v>
      </c>
    </row>
    <row r="1152" spans="1:14" x14ac:dyDescent="0.25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56" t="str">
        <f>IFERROR(VLOOKUP(A1152,Shipped!I:J,2,)," ")</f>
        <v xml:space="preserve"> </v>
      </c>
    </row>
    <row r="1153" spans="1:14" x14ac:dyDescent="0.25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56" t="str">
        <f>IFERROR(VLOOKUP(A1153,Shipped!I:J,2,)," ")</f>
        <v xml:space="preserve"> </v>
      </c>
    </row>
    <row r="1154" spans="1:14" x14ac:dyDescent="0.25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56" t="str">
        <f>IFERROR(VLOOKUP(A1154,Shipped!I:J,2,)," ")</f>
        <v xml:space="preserve"> </v>
      </c>
    </row>
    <row r="1155" spans="1:14" x14ac:dyDescent="0.25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56" t="str">
        <f>IFERROR(VLOOKUP(A1155,Shipped!I:J,2,)," ")</f>
        <v xml:space="preserve"> </v>
      </c>
    </row>
    <row r="1156" spans="1:14" x14ac:dyDescent="0.25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56" t="str">
        <f>IFERROR(VLOOKUP(A1156,Shipped!I:J,2,)," ")</f>
        <v xml:space="preserve"> </v>
      </c>
    </row>
    <row r="1157" spans="1:14" x14ac:dyDescent="0.25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56" t="str">
        <f>IFERROR(VLOOKUP(A1157,Shipped!I:J,2,)," ")</f>
        <v xml:space="preserve"> </v>
      </c>
    </row>
    <row r="1158" spans="1:14" x14ac:dyDescent="0.25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56" t="str">
        <f>IFERROR(VLOOKUP(A1158,Shipped!I:J,2,)," ")</f>
        <v xml:space="preserve"> </v>
      </c>
    </row>
    <row r="1159" spans="1:14" x14ac:dyDescent="0.25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56" t="str">
        <f>IFERROR(VLOOKUP(A1159,Shipped!I:J,2,)," ")</f>
        <v xml:space="preserve"> </v>
      </c>
    </row>
    <row r="1160" spans="1:14" x14ac:dyDescent="0.25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56" t="str">
        <f>IFERROR(VLOOKUP(A1160,Shipped!I:J,2,)," ")</f>
        <v xml:space="preserve"> </v>
      </c>
    </row>
    <row r="1161" spans="1:14" x14ac:dyDescent="0.25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56" t="str">
        <f>IFERROR(VLOOKUP(A1161,Shipped!I:J,2,)," ")</f>
        <v xml:space="preserve"> </v>
      </c>
    </row>
    <row r="1162" spans="1:14" x14ac:dyDescent="0.25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56" t="str">
        <f>IFERROR(VLOOKUP(A1162,Shipped!I:J,2,)," ")</f>
        <v xml:space="preserve"> </v>
      </c>
    </row>
    <row r="1163" spans="1:14" x14ac:dyDescent="0.25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56" t="str">
        <f>IFERROR(VLOOKUP(A1163,Shipped!I:J,2,)," ")</f>
        <v xml:space="preserve"> </v>
      </c>
    </row>
    <row r="1164" spans="1:14" x14ac:dyDescent="0.25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56" t="str">
        <f>IFERROR(VLOOKUP(A1164,Shipped!I:J,2,)," ")</f>
        <v xml:space="preserve"> </v>
      </c>
    </row>
    <row r="1165" spans="1:14" x14ac:dyDescent="0.25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56" t="str">
        <f>IFERROR(VLOOKUP(A1165,Shipped!I:J,2,)," ")</f>
        <v xml:space="preserve"> </v>
      </c>
    </row>
    <row r="1166" spans="1:14" x14ac:dyDescent="0.25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56" t="str">
        <f>IFERROR(VLOOKUP(A1166,Shipped!I:J,2,)," ")</f>
        <v xml:space="preserve"> </v>
      </c>
    </row>
    <row r="1167" spans="1:14" x14ac:dyDescent="0.25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56" t="str">
        <f>IFERROR(VLOOKUP(A1167,Shipped!I:J,2,)," ")</f>
        <v xml:space="preserve"> </v>
      </c>
    </row>
    <row r="1168" spans="1:14" x14ac:dyDescent="0.25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56" t="str">
        <f>IFERROR(VLOOKUP(A1168,Shipped!I:J,2,)," ")</f>
        <v xml:space="preserve"> </v>
      </c>
    </row>
    <row r="1169" spans="1:14" x14ac:dyDescent="0.25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56" t="str">
        <f>IFERROR(VLOOKUP(A1169,Shipped!I:J,2,)," ")</f>
        <v xml:space="preserve"> </v>
      </c>
    </row>
    <row r="1170" spans="1:14" x14ac:dyDescent="0.25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56" t="str">
        <f>IFERROR(VLOOKUP(A1170,Shipped!I:J,2,)," ")</f>
        <v xml:space="preserve"> </v>
      </c>
    </row>
    <row r="1171" spans="1:14" x14ac:dyDescent="0.25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56" t="str">
        <f>IFERROR(VLOOKUP(A1171,Shipped!I:J,2,)," ")</f>
        <v xml:space="preserve"> </v>
      </c>
    </row>
    <row r="1172" spans="1:14" x14ac:dyDescent="0.25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56" t="str">
        <f>IFERROR(VLOOKUP(A1172,Shipped!I:J,2,)," ")</f>
        <v xml:space="preserve"> </v>
      </c>
    </row>
    <row r="1173" spans="1:14" x14ac:dyDescent="0.25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56" t="str">
        <f>IFERROR(VLOOKUP(A1173,Shipped!I:J,2,)," ")</f>
        <v xml:space="preserve"> </v>
      </c>
    </row>
    <row r="1174" spans="1:14" x14ac:dyDescent="0.25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56" t="str">
        <f>IFERROR(VLOOKUP(A1174,Shipped!I:J,2,)," ")</f>
        <v xml:space="preserve"> </v>
      </c>
    </row>
    <row r="1175" spans="1:14" x14ac:dyDescent="0.25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56" t="str">
        <f>IFERROR(VLOOKUP(A1175,Shipped!I:J,2,)," ")</f>
        <v xml:space="preserve"> </v>
      </c>
    </row>
    <row r="1176" spans="1:14" x14ac:dyDescent="0.25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56" t="str">
        <f>IFERROR(VLOOKUP(A1176,Shipped!I:J,2,)," ")</f>
        <v xml:space="preserve"> </v>
      </c>
    </row>
    <row r="1177" spans="1:14" x14ac:dyDescent="0.25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56" t="str">
        <f>IFERROR(VLOOKUP(A1177,Shipped!I:J,2,)," ")</f>
        <v xml:space="preserve"> </v>
      </c>
    </row>
    <row r="1178" spans="1:14" x14ac:dyDescent="0.25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56" t="str">
        <f>IFERROR(VLOOKUP(A1178,Shipped!I:J,2,)," ")</f>
        <v xml:space="preserve"> </v>
      </c>
    </row>
    <row r="1179" spans="1:14" x14ac:dyDescent="0.25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56" t="str">
        <f>IFERROR(VLOOKUP(A1179,Shipped!I:J,2,)," ")</f>
        <v xml:space="preserve"> </v>
      </c>
    </row>
    <row r="1180" spans="1:14" x14ac:dyDescent="0.25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56" t="str">
        <f>IFERROR(VLOOKUP(A1180,Shipped!I:J,2,)," ")</f>
        <v xml:space="preserve"> </v>
      </c>
    </row>
    <row r="1181" spans="1:14" x14ac:dyDescent="0.25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56" t="str">
        <f>IFERROR(VLOOKUP(A1181,Shipped!I:J,2,)," ")</f>
        <v xml:space="preserve"> </v>
      </c>
    </row>
    <row r="1182" spans="1:14" x14ac:dyDescent="0.25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56" t="str">
        <f>IFERROR(VLOOKUP(A1182,Shipped!I:J,2,)," ")</f>
        <v xml:space="preserve"> </v>
      </c>
    </row>
    <row r="1183" spans="1:14" x14ac:dyDescent="0.25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56" t="str">
        <f>IFERROR(VLOOKUP(A1183,Shipped!I:J,2,)," ")</f>
        <v xml:space="preserve"> </v>
      </c>
    </row>
    <row r="1184" spans="1:14" x14ac:dyDescent="0.25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56" t="str">
        <f>IFERROR(VLOOKUP(A1184,Shipped!I:J,2,)," ")</f>
        <v xml:space="preserve"> </v>
      </c>
    </row>
    <row r="1185" spans="1:14" x14ac:dyDescent="0.25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56" t="str">
        <f>IFERROR(VLOOKUP(A1185,Shipped!I:J,2,)," ")</f>
        <v xml:space="preserve"> </v>
      </c>
    </row>
    <row r="1186" spans="1:14" x14ac:dyDescent="0.25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56" t="str">
        <f>IFERROR(VLOOKUP(A1186,Shipped!I:J,2,)," ")</f>
        <v xml:space="preserve"> </v>
      </c>
    </row>
    <row r="1187" spans="1:14" x14ac:dyDescent="0.25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56" t="str">
        <f>IFERROR(VLOOKUP(A1187,Shipped!I:J,2,)," ")</f>
        <v xml:space="preserve"> </v>
      </c>
    </row>
    <row r="1188" spans="1:14" x14ac:dyDescent="0.25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56" t="str">
        <f>IFERROR(VLOOKUP(A1188,Shipped!I:J,2,)," ")</f>
        <v xml:space="preserve"> </v>
      </c>
    </row>
    <row r="1189" spans="1:14" x14ac:dyDescent="0.25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56" t="str">
        <f>IFERROR(VLOOKUP(A1189,Shipped!I:J,2,)," ")</f>
        <v xml:space="preserve"> </v>
      </c>
    </row>
    <row r="1190" spans="1:14" x14ac:dyDescent="0.25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56" t="str">
        <f>IFERROR(VLOOKUP(A1190,Shipped!I:J,2,)," ")</f>
        <v xml:space="preserve"> </v>
      </c>
    </row>
    <row r="1191" spans="1:14" x14ac:dyDescent="0.25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56" t="str">
        <f>IFERROR(VLOOKUP(A1191,Shipped!I:J,2,)," ")</f>
        <v xml:space="preserve"> </v>
      </c>
    </row>
    <row r="1192" spans="1:14" x14ac:dyDescent="0.25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56" t="str">
        <f>IFERROR(VLOOKUP(A1192,Shipped!I:J,2,)," ")</f>
        <v xml:space="preserve"> </v>
      </c>
    </row>
    <row r="1193" spans="1:14" x14ac:dyDescent="0.25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56" t="str">
        <f>IFERROR(VLOOKUP(A1193,Shipped!I:J,2,)," ")</f>
        <v xml:space="preserve"> </v>
      </c>
    </row>
    <row r="1194" spans="1:14" x14ac:dyDescent="0.25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56" t="str">
        <f>IFERROR(VLOOKUP(A1194,Shipped!I:J,2,)," ")</f>
        <v xml:space="preserve"> </v>
      </c>
    </row>
    <row r="1195" spans="1:14" x14ac:dyDescent="0.25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56" t="str">
        <f>IFERROR(VLOOKUP(A1195,Shipped!I:J,2,)," ")</f>
        <v xml:space="preserve"> </v>
      </c>
    </row>
    <row r="1196" spans="1:14" x14ac:dyDescent="0.25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56" t="str">
        <f>IFERROR(VLOOKUP(A1196,Shipped!I:J,2,)," ")</f>
        <v xml:space="preserve"> </v>
      </c>
    </row>
    <row r="1197" spans="1:14" x14ac:dyDescent="0.25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56" t="str">
        <f>IFERROR(VLOOKUP(A1197,Shipped!I:J,2,)," ")</f>
        <v xml:space="preserve"> </v>
      </c>
    </row>
    <row r="1198" spans="1:14" x14ac:dyDescent="0.25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56" t="str">
        <f>IFERROR(VLOOKUP(A1198,Shipped!I:J,2,)," ")</f>
        <v xml:space="preserve"> </v>
      </c>
    </row>
    <row r="1199" spans="1:14" x14ac:dyDescent="0.25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56" t="str">
        <f>IFERROR(VLOOKUP(A1199,Shipped!I:J,2,)," ")</f>
        <v xml:space="preserve"> </v>
      </c>
    </row>
    <row r="1200" spans="1:14" x14ac:dyDescent="0.25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56" t="str">
        <f>IFERROR(VLOOKUP(A1200,Shipped!I:J,2,)," ")</f>
        <v xml:space="preserve"> </v>
      </c>
    </row>
    <row r="1201" spans="1:14" x14ac:dyDescent="0.25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56" t="str">
        <f>IFERROR(VLOOKUP(A1201,Shipped!I:J,2,)," ")</f>
        <v xml:space="preserve"> </v>
      </c>
    </row>
    <row r="1202" spans="1:14" x14ac:dyDescent="0.25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56" t="str">
        <f>IFERROR(VLOOKUP(A1202,Shipped!I:J,2,)," ")</f>
        <v xml:space="preserve"> </v>
      </c>
    </row>
    <row r="1203" spans="1:14" x14ac:dyDescent="0.25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56" t="str">
        <f>IFERROR(VLOOKUP(A1203,Shipped!I:J,2,)," ")</f>
        <v xml:space="preserve"> </v>
      </c>
    </row>
    <row r="1204" spans="1:14" x14ac:dyDescent="0.25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56" t="str">
        <f>IFERROR(VLOOKUP(A1204,Shipped!I:J,2,)," ")</f>
        <v xml:space="preserve"> </v>
      </c>
    </row>
    <row r="1205" spans="1:14" x14ac:dyDescent="0.25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56" t="str">
        <f>IFERROR(VLOOKUP(A1205,Shipped!I:J,2,)," ")</f>
        <v xml:space="preserve"> </v>
      </c>
    </row>
    <row r="1206" spans="1:14" x14ac:dyDescent="0.25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56" t="str">
        <f>IFERROR(VLOOKUP(A1206,Shipped!I:J,2,)," ")</f>
        <v xml:space="preserve"> </v>
      </c>
    </row>
    <row r="1207" spans="1:14" x14ac:dyDescent="0.25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56" t="str">
        <f>IFERROR(VLOOKUP(A1207,Shipped!I:J,2,)," ")</f>
        <v xml:space="preserve"> </v>
      </c>
    </row>
    <row r="1208" spans="1:14" x14ac:dyDescent="0.25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56" t="str">
        <f>IFERROR(VLOOKUP(A1208,Shipped!I:J,2,)," ")</f>
        <v xml:space="preserve"> </v>
      </c>
    </row>
    <row r="1209" spans="1:14" x14ac:dyDescent="0.25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56" t="str">
        <f>IFERROR(VLOOKUP(A1209,Shipped!I:J,2,)," ")</f>
        <v xml:space="preserve"> </v>
      </c>
    </row>
    <row r="1210" spans="1:14" x14ac:dyDescent="0.25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56" t="str">
        <f>IFERROR(VLOOKUP(A1210,Shipped!I:J,2,)," ")</f>
        <v xml:space="preserve"> </v>
      </c>
    </row>
    <row r="1211" spans="1:14" x14ac:dyDescent="0.25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56" t="str">
        <f>IFERROR(VLOOKUP(A1211,Shipped!I:J,2,)," ")</f>
        <v xml:space="preserve"> </v>
      </c>
    </row>
    <row r="1212" spans="1:14" x14ac:dyDescent="0.25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56" t="str">
        <f>IFERROR(VLOOKUP(A1212,Shipped!I:J,2,)," ")</f>
        <v xml:space="preserve"> </v>
      </c>
    </row>
    <row r="1213" spans="1:14" x14ac:dyDescent="0.25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56" t="str">
        <f>IFERROR(VLOOKUP(A1213,Shipped!I:J,2,)," ")</f>
        <v xml:space="preserve"> </v>
      </c>
    </row>
    <row r="1214" spans="1:14" x14ac:dyDescent="0.25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56" t="str">
        <f>IFERROR(VLOOKUP(A1214,Shipped!I:J,2,)," ")</f>
        <v xml:space="preserve"> </v>
      </c>
    </row>
    <row r="1215" spans="1:14" x14ac:dyDescent="0.25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56" t="str">
        <f>IFERROR(VLOOKUP(A1215,Shipped!I:J,2,)," ")</f>
        <v xml:space="preserve"> </v>
      </c>
    </row>
    <row r="1216" spans="1:14" x14ac:dyDescent="0.25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56" t="str">
        <f>IFERROR(VLOOKUP(A1216,Shipped!I:J,2,)," ")</f>
        <v xml:space="preserve"> </v>
      </c>
    </row>
    <row r="1217" spans="1:14" x14ac:dyDescent="0.25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56" t="str">
        <f>IFERROR(VLOOKUP(A1217,Shipped!I:J,2,)," ")</f>
        <v xml:space="preserve"> </v>
      </c>
    </row>
    <row r="1218" spans="1:14" x14ac:dyDescent="0.25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56" t="str">
        <f>IFERROR(VLOOKUP(A1218,Shipped!I:J,2,)," ")</f>
        <v xml:space="preserve"> </v>
      </c>
    </row>
    <row r="1219" spans="1:14" x14ac:dyDescent="0.25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56" t="str">
        <f>IFERROR(VLOOKUP(A1219,Shipped!I:J,2,)," ")</f>
        <v xml:space="preserve"> </v>
      </c>
    </row>
    <row r="1220" spans="1:14" x14ac:dyDescent="0.25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56">
        <f>IFERROR(VLOOKUP(A1220,Shipped!I:J,2,)," ")</f>
        <v>46211</v>
      </c>
    </row>
    <row r="1221" spans="1:14" x14ac:dyDescent="0.25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56" t="str">
        <f>IFERROR(VLOOKUP(A1221,Shipped!I:J,2,)," ")</f>
        <v xml:space="preserve"> </v>
      </c>
    </row>
    <row r="1222" spans="1:14" x14ac:dyDescent="0.25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56" t="str">
        <f>IFERROR(VLOOKUP(A1222,Shipped!I:J,2,)," ")</f>
        <v xml:space="preserve"> </v>
      </c>
    </row>
    <row r="1223" spans="1:14" x14ac:dyDescent="0.25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56" t="str">
        <f>IFERROR(VLOOKUP(A1223,Shipped!I:J,2,)," ")</f>
        <v xml:space="preserve"> </v>
      </c>
    </row>
    <row r="1224" spans="1:14" x14ac:dyDescent="0.25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56" t="str">
        <f>IFERROR(VLOOKUP(A1224,Shipped!I:J,2,)," ")</f>
        <v xml:space="preserve"> </v>
      </c>
    </row>
    <row r="1225" spans="1:14" x14ac:dyDescent="0.25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56" t="str">
        <f>IFERROR(VLOOKUP(A1225,Shipped!I:J,2,)," ")</f>
        <v xml:space="preserve"> </v>
      </c>
    </row>
    <row r="1226" spans="1:14" x14ac:dyDescent="0.25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56" t="str">
        <f>IFERROR(VLOOKUP(A1226,Shipped!I:J,2,)," ")</f>
        <v xml:space="preserve"> </v>
      </c>
    </row>
    <row r="1227" spans="1:14" x14ac:dyDescent="0.25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56" t="str">
        <f>IFERROR(VLOOKUP(A1227,Shipped!I:J,2,)," ")</f>
        <v xml:space="preserve"> </v>
      </c>
    </row>
    <row r="1228" spans="1:14" x14ac:dyDescent="0.25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56" t="str">
        <f>IFERROR(VLOOKUP(A1228,Shipped!I:J,2,)," ")</f>
        <v xml:space="preserve"> </v>
      </c>
    </row>
    <row r="1229" spans="1:14" x14ac:dyDescent="0.25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56" t="str">
        <f>IFERROR(VLOOKUP(A1229,Shipped!I:J,2,)," ")</f>
        <v xml:space="preserve"> </v>
      </c>
    </row>
    <row r="1230" spans="1:14" x14ac:dyDescent="0.25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56" t="str">
        <f>IFERROR(VLOOKUP(A1230,Shipped!I:J,2,)," ")</f>
        <v xml:space="preserve"> </v>
      </c>
    </row>
    <row r="1231" spans="1:14" x14ac:dyDescent="0.25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56" t="str">
        <f>IFERROR(VLOOKUP(A1231,Shipped!I:J,2,)," ")</f>
        <v xml:space="preserve"> </v>
      </c>
    </row>
    <row r="1232" spans="1:14" x14ac:dyDescent="0.25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56" t="str">
        <f>IFERROR(VLOOKUP(A1232,Shipped!I:J,2,)," ")</f>
        <v xml:space="preserve"> </v>
      </c>
    </row>
    <row r="1233" spans="1:14" x14ac:dyDescent="0.25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56" t="str">
        <f>IFERROR(VLOOKUP(A1233,Shipped!I:J,2,)," ")</f>
        <v xml:space="preserve"> </v>
      </c>
    </row>
    <row r="1234" spans="1:14" x14ac:dyDescent="0.25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56" t="str">
        <f>IFERROR(VLOOKUP(A1234,Shipped!I:J,2,)," ")</f>
        <v xml:space="preserve"> </v>
      </c>
    </row>
    <row r="1235" spans="1:14" x14ac:dyDescent="0.25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56" t="str">
        <f>IFERROR(VLOOKUP(A1235,Shipped!I:J,2,)," ")</f>
        <v xml:space="preserve"> </v>
      </c>
    </row>
    <row r="1236" spans="1:14" x14ac:dyDescent="0.25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56" t="str">
        <f>IFERROR(VLOOKUP(A1236,Shipped!I:J,2,)," ")</f>
        <v xml:space="preserve"> </v>
      </c>
    </row>
    <row r="1237" spans="1:14" x14ac:dyDescent="0.25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56" t="str">
        <f>IFERROR(VLOOKUP(A1237,Shipped!I:J,2,)," ")</f>
        <v xml:space="preserve"> </v>
      </c>
    </row>
    <row r="1238" spans="1:14" x14ac:dyDescent="0.25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56" t="str">
        <f>IFERROR(VLOOKUP(A1238,Shipped!I:J,2,)," ")</f>
        <v xml:space="preserve"> </v>
      </c>
    </row>
    <row r="1239" spans="1:14" x14ac:dyDescent="0.25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56" t="str">
        <f>IFERROR(VLOOKUP(A1239,Shipped!I:J,2,)," ")</f>
        <v xml:space="preserve"> </v>
      </c>
    </row>
    <row r="1240" spans="1:14" x14ac:dyDescent="0.25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56" t="str">
        <f>IFERROR(VLOOKUP(A1240,Shipped!I:J,2,)," ")</f>
        <v xml:space="preserve"> </v>
      </c>
    </row>
    <row r="1241" spans="1:14" x14ac:dyDescent="0.25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56" t="str">
        <f>IFERROR(VLOOKUP(A1241,Shipped!I:J,2,)," ")</f>
        <v xml:space="preserve"> </v>
      </c>
    </row>
    <row r="1242" spans="1:14" x14ac:dyDescent="0.25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56" t="str">
        <f>IFERROR(VLOOKUP(A1242,Shipped!I:J,2,)," ")</f>
        <v xml:space="preserve"> </v>
      </c>
    </row>
    <row r="1243" spans="1:14" x14ac:dyDescent="0.25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56" t="str">
        <f>IFERROR(VLOOKUP(A1243,Shipped!I:J,2,)," ")</f>
        <v xml:space="preserve"> </v>
      </c>
    </row>
    <row r="1244" spans="1:14" x14ac:dyDescent="0.25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56" t="str">
        <f>IFERROR(VLOOKUP(A1244,Shipped!I:J,2,)," ")</f>
        <v xml:space="preserve"> </v>
      </c>
    </row>
    <row r="1245" spans="1:14" x14ac:dyDescent="0.25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56" t="str">
        <f>IFERROR(VLOOKUP(A1245,Shipped!I:J,2,)," ")</f>
        <v xml:space="preserve"> </v>
      </c>
    </row>
    <row r="1246" spans="1:14" x14ac:dyDescent="0.25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56" t="str">
        <f>IFERROR(VLOOKUP(A1246,Shipped!I:J,2,)," ")</f>
        <v xml:space="preserve"> </v>
      </c>
    </row>
    <row r="1247" spans="1:14" x14ac:dyDescent="0.25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56" t="str">
        <f>IFERROR(VLOOKUP(A1247,Shipped!I:J,2,)," ")</f>
        <v xml:space="preserve"> </v>
      </c>
    </row>
    <row r="1248" spans="1:14" x14ac:dyDescent="0.25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56" t="str">
        <f>IFERROR(VLOOKUP(A1248,Shipped!I:J,2,)," ")</f>
        <v xml:space="preserve"> </v>
      </c>
    </row>
    <row r="1249" spans="1:14" x14ac:dyDescent="0.25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56" t="str">
        <f>IFERROR(VLOOKUP(A1249,Shipped!I:J,2,)," ")</f>
        <v xml:space="preserve"> </v>
      </c>
    </row>
    <row r="1250" spans="1:14" x14ac:dyDescent="0.25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56" t="str">
        <f>IFERROR(VLOOKUP(A1250,Shipped!I:J,2,)," ")</f>
        <v xml:space="preserve"> </v>
      </c>
    </row>
    <row r="1251" spans="1:14" x14ac:dyDescent="0.25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56" t="str">
        <f>IFERROR(VLOOKUP(A1251,Shipped!I:J,2,)," ")</f>
        <v xml:space="preserve"> </v>
      </c>
    </row>
    <row r="1252" spans="1:14" x14ac:dyDescent="0.25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56" t="str">
        <f>IFERROR(VLOOKUP(A1252,Shipped!I:J,2,)," ")</f>
        <v xml:space="preserve"> </v>
      </c>
    </row>
    <row r="1253" spans="1:14" x14ac:dyDescent="0.25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56" t="str">
        <f>IFERROR(VLOOKUP(A1253,Shipped!I:J,2,)," ")</f>
        <v xml:space="preserve"> </v>
      </c>
    </row>
    <row r="1254" spans="1:14" x14ac:dyDescent="0.25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56" t="str">
        <f>IFERROR(VLOOKUP(A1254,Shipped!I:J,2,)," ")</f>
        <v xml:space="preserve"> </v>
      </c>
    </row>
    <row r="1255" spans="1:14" x14ac:dyDescent="0.25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56" t="str">
        <f>IFERROR(VLOOKUP(A1255,Shipped!I:J,2,)," ")</f>
        <v xml:space="preserve"> </v>
      </c>
    </row>
    <row r="1256" spans="1:14" x14ac:dyDescent="0.25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56" t="str">
        <f>IFERROR(VLOOKUP(A1256,Shipped!I:J,2,)," ")</f>
        <v xml:space="preserve"> </v>
      </c>
    </row>
    <row r="1257" spans="1:14" x14ac:dyDescent="0.25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56" t="str">
        <f>IFERROR(VLOOKUP(A1257,Shipped!I:J,2,)," ")</f>
        <v xml:space="preserve"> </v>
      </c>
    </row>
    <row r="1258" spans="1:14" x14ac:dyDescent="0.25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56" t="str">
        <f>IFERROR(VLOOKUP(A1258,Shipped!I:J,2,)," ")</f>
        <v xml:space="preserve"> </v>
      </c>
    </row>
    <row r="1259" spans="1:14" x14ac:dyDescent="0.25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56" t="str">
        <f>IFERROR(VLOOKUP(A1259,Shipped!I:J,2,)," ")</f>
        <v xml:space="preserve"> </v>
      </c>
    </row>
    <row r="1260" spans="1:14" x14ac:dyDescent="0.25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56" t="str">
        <f>IFERROR(VLOOKUP(A1260,Shipped!I:J,2,)," ")</f>
        <v xml:space="preserve"> </v>
      </c>
    </row>
    <row r="1261" spans="1:14" x14ac:dyDescent="0.25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56" t="str">
        <f>IFERROR(VLOOKUP(A1261,Shipped!I:J,2,)," ")</f>
        <v xml:space="preserve"> </v>
      </c>
    </row>
    <row r="1262" spans="1:14" x14ac:dyDescent="0.25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56" t="str">
        <f>IFERROR(VLOOKUP(A1262,Shipped!I:J,2,)," ")</f>
        <v xml:space="preserve"> </v>
      </c>
    </row>
    <row r="1263" spans="1:14" x14ac:dyDescent="0.25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56" t="str">
        <f>IFERROR(VLOOKUP(A1263,Shipped!I:J,2,)," ")</f>
        <v xml:space="preserve"> </v>
      </c>
    </row>
    <row r="1264" spans="1:14" x14ac:dyDescent="0.25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56" t="str">
        <f>IFERROR(VLOOKUP(A1264,Shipped!I:J,2,)," ")</f>
        <v xml:space="preserve"> </v>
      </c>
    </row>
    <row r="1265" spans="1:14" x14ac:dyDescent="0.25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56" t="str">
        <f>IFERROR(VLOOKUP(A1265,Shipped!I:J,2,)," ")</f>
        <v xml:space="preserve"> </v>
      </c>
    </row>
    <row r="1266" spans="1:14" x14ac:dyDescent="0.25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56" t="str">
        <f>IFERROR(VLOOKUP(A1266,Shipped!I:J,2,)," ")</f>
        <v xml:space="preserve"> </v>
      </c>
    </row>
    <row r="1267" spans="1:14" x14ac:dyDescent="0.25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56" t="str">
        <f>IFERROR(VLOOKUP(A1267,Shipped!I:J,2,)," ")</f>
        <v xml:space="preserve"> </v>
      </c>
    </row>
    <row r="1268" spans="1:14" x14ac:dyDescent="0.25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56" t="str">
        <f>IFERROR(VLOOKUP(A1268,Shipped!I:J,2,)," ")</f>
        <v xml:space="preserve"> </v>
      </c>
    </row>
    <row r="1269" spans="1:14" x14ac:dyDescent="0.25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56" t="str">
        <f>IFERROR(VLOOKUP(A1269,Shipped!I:J,2,)," ")</f>
        <v xml:space="preserve"> </v>
      </c>
    </row>
    <row r="1270" spans="1:14" x14ac:dyDescent="0.25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56" t="str">
        <f>IFERROR(VLOOKUP(A1270,Shipped!I:J,2,)," ")</f>
        <v xml:space="preserve"> </v>
      </c>
    </row>
    <row r="1271" spans="1:14" x14ac:dyDescent="0.25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56" t="str">
        <f>IFERROR(VLOOKUP(A1271,Shipped!I:J,2,)," ")</f>
        <v xml:space="preserve"> </v>
      </c>
    </row>
    <row r="1272" spans="1:14" x14ac:dyDescent="0.25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56" t="str">
        <f>IFERROR(VLOOKUP(A1272,Shipped!I:J,2,)," ")</f>
        <v xml:space="preserve"> </v>
      </c>
    </row>
    <row r="1273" spans="1:14" x14ac:dyDescent="0.25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56" t="str">
        <f>IFERROR(VLOOKUP(A1273,Shipped!I:J,2,)," ")</f>
        <v xml:space="preserve"> </v>
      </c>
    </row>
    <row r="1274" spans="1:14" x14ac:dyDescent="0.25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56" t="str">
        <f>IFERROR(VLOOKUP(A1274,Shipped!I:J,2,)," ")</f>
        <v xml:space="preserve"> </v>
      </c>
    </row>
    <row r="1275" spans="1:14" x14ac:dyDescent="0.25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56" t="str">
        <f>IFERROR(VLOOKUP(A1275,Shipped!I:J,2,)," ")</f>
        <v xml:space="preserve"> </v>
      </c>
    </row>
    <row r="1276" spans="1:14" x14ac:dyDescent="0.25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56" t="str">
        <f>IFERROR(VLOOKUP(A1276,Shipped!I:J,2,)," ")</f>
        <v xml:space="preserve"> </v>
      </c>
    </row>
    <row r="1277" spans="1:14" x14ac:dyDescent="0.25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56" t="str">
        <f>IFERROR(VLOOKUP(A1277,Shipped!I:J,2,)," ")</f>
        <v xml:space="preserve"> </v>
      </c>
    </row>
    <row r="1278" spans="1:14" x14ac:dyDescent="0.25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56" t="str">
        <f>IFERROR(VLOOKUP(A1278,Shipped!I:J,2,)," ")</f>
        <v xml:space="preserve"> </v>
      </c>
    </row>
    <row r="1279" spans="1:14" x14ac:dyDescent="0.25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56" t="str">
        <f>IFERROR(VLOOKUP(A1279,Shipped!I:J,2,)," ")</f>
        <v xml:space="preserve"> </v>
      </c>
    </row>
    <row r="1280" spans="1:14" x14ac:dyDescent="0.25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56" t="str">
        <f>IFERROR(VLOOKUP(A1280,Shipped!I:J,2,)," ")</f>
        <v xml:space="preserve"> </v>
      </c>
    </row>
    <row r="1281" spans="1:14" x14ac:dyDescent="0.25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56" t="str">
        <f>IFERROR(VLOOKUP(A1281,Shipped!I:J,2,)," ")</f>
        <v xml:space="preserve"> </v>
      </c>
    </row>
    <row r="1282" spans="1:14" x14ac:dyDescent="0.25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56" t="str">
        <f>IFERROR(VLOOKUP(A1282,Shipped!I:J,2,)," ")</f>
        <v xml:space="preserve"> </v>
      </c>
    </row>
    <row r="1283" spans="1:14" x14ac:dyDescent="0.25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56" t="str">
        <f>IFERROR(VLOOKUP(A1283,Shipped!I:J,2,)," ")</f>
        <v xml:space="preserve"> </v>
      </c>
    </row>
    <row r="1284" spans="1:14" x14ac:dyDescent="0.25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56" t="str">
        <f>IFERROR(VLOOKUP(A1284,Shipped!I:J,2,)," ")</f>
        <v xml:space="preserve"> </v>
      </c>
    </row>
    <row r="1285" spans="1:14" x14ac:dyDescent="0.25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56" t="str">
        <f>IFERROR(VLOOKUP(A1285,Shipped!I:J,2,)," ")</f>
        <v xml:space="preserve"> </v>
      </c>
    </row>
    <row r="1286" spans="1:14" x14ac:dyDescent="0.25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56" t="str">
        <f>IFERROR(VLOOKUP(A1286,Shipped!I:J,2,)," ")</f>
        <v xml:space="preserve"> </v>
      </c>
    </row>
    <row r="1287" spans="1:14" x14ac:dyDescent="0.25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56" t="str">
        <f>IFERROR(VLOOKUP(A1287,Shipped!I:J,2,)," ")</f>
        <v xml:space="preserve"> </v>
      </c>
    </row>
    <row r="1288" spans="1:14" x14ac:dyDescent="0.25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56" t="str">
        <f>IFERROR(VLOOKUP(A1288,Shipped!I:J,2,)," ")</f>
        <v xml:space="preserve"> </v>
      </c>
    </row>
    <row r="1289" spans="1:14" x14ac:dyDescent="0.25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56" t="str">
        <f>IFERROR(VLOOKUP(A1289,Shipped!I:J,2,)," ")</f>
        <v xml:space="preserve"> </v>
      </c>
    </row>
    <row r="1290" spans="1:14" x14ac:dyDescent="0.25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56" t="str">
        <f>IFERROR(VLOOKUP(A1290,Shipped!I:J,2,)," ")</f>
        <v xml:space="preserve"> </v>
      </c>
    </row>
    <row r="1291" spans="1:14" x14ac:dyDescent="0.25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56" t="str">
        <f>IFERROR(VLOOKUP(A1291,Shipped!I:J,2,)," ")</f>
        <v xml:space="preserve"> </v>
      </c>
    </row>
    <row r="1292" spans="1:14" x14ac:dyDescent="0.25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56" t="str">
        <f>IFERROR(VLOOKUP(A1292,Shipped!I:J,2,)," ")</f>
        <v xml:space="preserve"> </v>
      </c>
    </row>
    <row r="1293" spans="1:14" x14ac:dyDescent="0.25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56" t="str">
        <f>IFERROR(VLOOKUP(A1293,Shipped!I:J,2,)," ")</f>
        <v xml:space="preserve"> </v>
      </c>
    </row>
    <row r="1294" spans="1:14" x14ac:dyDescent="0.25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56" t="str">
        <f>IFERROR(VLOOKUP(A1294,Shipped!I:J,2,)," ")</f>
        <v xml:space="preserve"> </v>
      </c>
    </row>
    <row r="1295" spans="1:14" x14ac:dyDescent="0.25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56" t="str">
        <f>IFERROR(VLOOKUP(A1295,Shipped!I:J,2,)," ")</f>
        <v xml:space="preserve"> </v>
      </c>
    </row>
    <row r="1296" spans="1:14" x14ac:dyDescent="0.25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56" t="str">
        <f>IFERROR(VLOOKUP(A1296,Shipped!I:J,2,)," ")</f>
        <v xml:space="preserve"> </v>
      </c>
    </row>
    <row r="1297" spans="1:14" x14ac:dyDescent="0.25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56" t="str">
        <f>IFERROR(VLOOKUP(A1297,Shipped!I:J,2,)," ")</f>
        <v xml:space="preserve"> </v>
      </c>
    </row>
    <row r="1298" spans="1:14" x14ac:dyDescent="0.25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56" t="str">
        <f>IFERROR(VLOOKUP(A1298,Shipped!I:J,2,)," ")</f>
        <v xml:space="preserve"> </v>
      </c>
    </row>
    <row r="1299" spans="1:14" x14ac:dyDescent="0.25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56" t="str">
        <f>IFERROR(VLOOKUP(A1299,Shipped!I:J,2,)," ")</f>
        <v xml:space="preserve"> </v>
      </c>
    </row>
    <row r="1300" spans="1:14" x14ac:dyDescent="0.25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56" t="str">
        <f>IFERROR(VLOOKUP(A1300,Shipped!I:J,2,)," ")</f>
        <v xml:space="preserve"> </v>
      </c>
    </row>
    <row r="1301" spans="1:14" x14ac:dyDescent="0.25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56" t="str">
        <f>IFERROR(VLOOKUP(A1301,Shipped!I:J,2,)," ")</f>
        <v xml:space="preserve"> </v>
      </c>
    </row>
    <row r="1302" spans="1:14" x14ac:dyDescent="0.25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56" t="str">
        <f>IFERROR(VLOOKUP(A1302,Shipped!I:J,2,)," ")</f>
        <v xml:space="preserve"> </v>
      </c>
    </row>
    <row r="1303" spans="1:14" x14ac:dyDescent="0.25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56" t="str">
        <f>IFERROR(VLOOKUP(A1303,Shipped!I:J,2,)," ")</f>
        <v xml:space="preserve"> </v>
      </c>
    </row>
    <row r="1304" spans="1:14" x14ac:dyDescent="0.25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56" t="str">
        <f>IFERROR(VLOOKUP(A1304,Shipped!I:J,2,)," ")</f>
        <v xml:space="preserve"> </v>
      </c>
    </row>
    <row r="1305" spans="1:14" x14ac:dyDescent="0.25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56" t="str">
        <f>IFERROR(VLOOKUP(A1305,Shipped!I:J,2,)," ")</f>
        <v xml:space="preserve"> </v>
      </c>
    </row>
    <row r="1306" spans="1:14" x14ac:dyDescent="0.25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56" t="str">
        <f>IFERROR(VLOOKUP(A1306,Shipped!I:J,2,)," ")</f>
        <v xml:space="preserve"> </v>
      </c>
    </row>
    <row r="1307" spans="1:14" x14ac:dyDescent="0.25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56" t="str">
        <f>IFERROR(VLOOKUP(A1307,Shipped!I:J,2,)," ")</f>
        <v xml:space="preserve"> </v>
      </c>
    </row>
    <row r="1308" spans="1:14" x14ac:dyDescent="0.25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56" t="str">
        <f>IFERROR(VLOOKUP(A1308,Shipped!I:J,2,)," ")</f>
        <v xml:space="preserve"> </v>
      </c>
    </row>
    <row r="1309" spans="1:14" x14ac:dyDescent="0.25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56" t="str">
        <f>IFERROR(VLOOKUP(A1309,Shipped!I:J,2,)," ")</f>
        <v xml:space="preserve"> </v>
      </c>
    </row>
    <row r="1310" spans="1:14" x14ac:dyDescent="0.25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56" t="str">
        <f>IFERROR(VLOOKUP(A1310,Shipped!I:J,2,)," ")</f>
        <v xml:space="preserve"> </v>
      </c>
    </row>
    <row r="1311" spans="1:14" x14ac:dyDescent="0.25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56" t="str">
        <f>IFERROR(VLOOKUP(A1311,Shipped!I:J,2,)," ")</f>
        <v xml:space="preserve"> </v>
      </c>
    </row>
    <row r="1312" spans="1:14" x14ac:dyDescent="0.25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56" t="str">
        <f>IFERROR(VLOOKUP(A1312,Shipped!I:J,2,)," ")</f>
        <v xml:space="preserve"> </v>
      </c>
    </row>
    <row r="1313" spans="1:14" x14ac:dyDescent="0.25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56" t="str">
        <f>IFERROR(VLOOKUP(A1313,Shipped!I:J,2,)," ")</f>
        <v xml:space="preserve"> </v>
      </c>
    </row>
    <row r="1314" spans="1:14" x14ac:dyDescent="0.25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56" t="str">
        <f>IFERROR(VLOOKUP(A1314,Shipped!I:J,2,)," ")</f>
        <v xml:space="preserve"> </v>
      </c>
    </row>
    <row r="1315" spans="1:14" x14ac:dyDescent="0.25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56" t="str">
        <f>IFERROR(VLOOKUP(A1315,Shipped!I:J,2,)," ")</f>
        <v xml:space="preserve"> </v>
      </c>
    </row>
    <row r="1316" spans="1:14" x14ac:dyDescent="0.25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56" t="str">
        <f>IFERROR(VLOOKUP(A1316,Shipped!I:J,2,)," ")</f>
        <v xml:space="preserve"> </v>
      </c>
    </row>
    <row r="1317" spans="1:14" x14ac:dyDescent="0.25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56" t="str">
        <f>IFERROR(VLOOKUP(A1317,Shipped!I:J,2,)," ")</f>
        <v xml:space="preserve"> </v>
      </c>
    </row>
    <row r="1318" spans="1:14" x14ac:dyDescent="0.25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56" t="str">
        <f>IFERROR(VLOOKUP(A1318,Shipped!I:J,2,)," ")</f>
        <v xml:space="preserve"> </v>
      </c>
    </row>
    <row r="1319" spans="1:14" x14ac:dyDescent="0.25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56" t="str">
        <f>IFERROR(VLOOKUP(A1319,Shipped!I:J,2,)," ")</f>
        <v xml:space="preserve"> </v>
      </c>
    </row>
    <row r="1320" spans="1:14" x14ac:dyDescent="0.25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56" t="str">
        <f>IFERROR(VLOOKUP(A1320,Shipped!I:J,2,)," ")</f>
        <v xml:space="preserve"> </v>
      </c>
    </row>
    <row r="1321" spans="1:14" x14ac:dyDescent="0.25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56" t="str">
        <f>IFERROR(VLOOKUP(A1321,Shipped!I:J,2,)," ")</f>
        <v xml:space="preserve"> </v>
      </c>
    </row>
    <row r="1322" spans="1:14" x14ac:dyDescent="0.25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56" t="str">
        <f>IFERROR(VLOOKUP(A1322,Shipped!I:J,2,)," ")</f>
        <v xml:space="preserve"> </v>
      </c>
    </row>
    <row r="1323" spans="1:14" x14ac:dyDescent="0.25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56" t="str">
        <f>IFERROR(VLOOKUP(A1323,Shipped!I:J,2,)," ")</f>
        <v xml:space="preserve"> </v>
      </c>
    </row>
    <row r="1324" spans="1:14" x14ac:dyDescent="0.25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56" t="str">
        <f>IFERROR(VLOOKUP(A1324,Shipped!I:J,2,)," ")</f>
        <v xml:space="preserve"> </v>
      </c>
    </row>
    <row r="1325" spans="1:14" x14ac:dyDescent="0.25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56" t="str">
        <f>IFERROR(VLOOKUP(A1325,Shipped!I:J,2,)," ")</f>
        <v xml:space="preserve"> </v>
      </c>
    </row>
    <row r="1326" spans="1:14" x14ac:dyDescent="0.25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56" t="str">
        <f>IFERROR(VLOOKUP(A1326,Shipped!I:J,2,)," ")</f>
        <v xml:space="preserve"> </v>
      </c>
    </row>
    <row r="1327" spans="1:14" x14ac:dyDescent="0.25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56" t="str">
        <f>IFERROR(VLOOKUP(A1327,Shipped!I:J,2,)," ")</f>
        <v xml:space="preserve"> </v>
      </c>
    </row>
    <row r="1328" spans="1:14" x14ac:dyDescent="0.25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56" t="str">
        <f>IFERROR(VLOOKUP(A1328,Shipped!I:J,2,)," ")</f>
        <v xml:space="preserve"> </v>
      </c>
    </row>
    <row r="1329" spans="1:14" x14ac:dyDescent="0.25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56" t="str">
        <f>IFERROR(VLOOKUP(A1329,Shipped!I:J,2,)," ")</f>
        <v xml:space="preserve"> </v>
      </c>
    </row>
    <row r="1330" spans="1:14" x14ac:dyDescent="0.25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56" t="str">
        <f>IFERROR(VLOOKUP(A1330,Shipped!I:J,2,)," ")</f>
        <v xml:space="preserve"> </v>
      </c>
    </row>
    <row r="1331" spans="1:14" x14ac:dyDescent="0.25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56" t="str">
        <f>IFERROR(VLOOKUP(A1331,Shipped!I:J,2,)," ")</f>
        <v xml:space="preserve"> </v>
      </c>
    </row>
    <row r="1332" spans="1:14" x14ac:dyDescent="0.25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56" t="str">
        <f>IFERROR(VLOOKUP(A1332,Shipped!I:J,2,)," ")</f>
        <v xml:space="preserve"> </v>
      </c>
    </row>
    <row r="1333" spans="1:14" x14ac:dyDescent="0.25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56" t="str">
        <f>IFERROR(VLOOKUP(A1333,Shipped!I:J,2,)," ")</f>
        <v xml:space="preserve"> </v>
      </c>
    </row>
    <row r="1334" spans="1:14" x14ac:dyDescent="0.25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56" t="str">
        <f>IFERROR(VLOOKUP(A1334,Shipped!I:J,2,)," ")</f>
        <v xml:space="preserve"> </v>
      </c>
    </row>
    <row r="1335" spans="1:14" x14ac:dyDescent="0.25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56" t="str">
        <f>IFERROR(VLOOKUP(A1335,Shipped!I:J,2,)," ")</f>
        <v xml:space="preserve"> </v>
      </c>
    </row>
    <row r="1336" spans="1:14" x14ac:dyDescent="0.25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56" t="str">
        <f>IFERROR(VLOOKUP(A1336,Shipped!I:J,2,)," ")</f>
        <v xml:space="preserve"> </v>
      </c>
    </row>
    <row r="1337" spans="1:14" x14ac:dyDescent="0.25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56" t="str">
        <f>IFERROR(VLOOKUP(A1337,Shipped!I:J,2,)," ")</f>
        <v xml:space="preserve"> </v>
      </c>
    </row>
    <row r="1338" spans="1:14" x14ac:dyDescent="0.25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56" t="str">
        <f>IFERROR(VLOOKUP(A1338,Shipped!I:J,2,)," ")</f>
        <v xml:space="preserve"> </v>
      </c>
    </row>
    <row r="1339" spans="1:14" x14ac:dyDescent="0.25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56" t="str">
        <f>IFERROR(VLOOKUP(A1339,Shipped!I:J,2,)," ")</f>
        <v xml:space="preserve"> </v>
      </c>
    </row>
    <row r="1340" spans="1:14" x14ac:dyDescent="0.25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56" t="str">
        <f>IFERROR(VLOOKUP(A1340,Shipped!I:J,2,)," ")</f>
        <v xml:space="preserve"> </v>
      </c>
    </row>
    <row r="1341" spans="1:14" x14ac:dyDescent="0.25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56" t="str">
        <f>IFERROR(VLOOKUP(A1341,Shipped!I:J,2,)," ")</f>
        <v xml:space="preserve"> </v>
      </c>
    </row>
    <row r="1342" spans="1:14" x14ac:dyDescent="0.25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56" t="str">
        <f>IFERROR(VLOOKUP(A1342,Shipped!I:J,2,)," ")</f>
        <v xml:space="preserve"> </v>
      </c>
    </row>
    <row r="1343" spans="1:14" x14ac:dyDescent="0.25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56" t="str">
        <f>IFERROR(VLOOKUP(A1343,Shipped!I:J,2,)," ")</f>
        <v xml:space="preserve"> </v>
      </c>
    </row>
    <row r="1344" spans="1:14" x14ac:dyDescent="0.25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56" t="str">
        <f>IFERROR(VLOOKUP(A1344,Shipped!I:J,2,)," ")</f>
        <v xml:space="preserve"> </v>
      </c>
    </row>
    <row r="1345" spans="1:14" x14ac:dyDescent="0.25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56" t="str">
        <f>IFERROR(VLOOKUP(A1345,Shipped!I:J,2,)," ")</f>
        <v xml:space="preserve"> </v>
      </c>
    </row>
    <row r="1346" spans="1:14" x14ac:dyDescent="0.25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56" t="str">
        <f>IFERROR(VLOOKUP(A1346,Shipped!I:J,2,)," ")</f>
        <v xml:space="preserve"> </v>
      </c>
    </row>
    <row r="1347" spans="1:14" x14ac:dyDescent="0.25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56" t="str">
        <f>IFERROR(VLOOKUP(A1347,Shipped!I:J,2,)," ")</f>
        <v xml:space="preserve"> </v>
      </c>
    </row>
    <row r="1348" spans="1:14" x14ac:dyDescent="0.25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56" t="str">
        <f>IFERROR(VLOOKUP(A1348,Shipped!I:J,2,)," ")</f>
        <v xml:space="preserve"> </v>
      </c>
    </row>
    <row r="1349" spans="1:14" x14ac:dyDescent="0.25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56" t="str">
        <f>IFERROR(VLOOKUP(A1349,Shipped!I:J,2,)," ")</f>
        <v xml:space="preserve"> </v>
      </c>
    </row>
    <row r="1350" spans="1:14" x14ac:dyDescent="0.25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56" t="str">
        <f>IFERROR(VLOOKUP(A1350,Shipped!I:J,2,)," ")</f>
        <v xml:space="preserve"> </v>
      </c>
    </row>
    <row r="1351" spans="1:14" x14ac:dyDescent="0.25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56" t="str">
        <f>IFERROR(VLOOKUP(A1351,Shipped!I:J,2,)," ")</f>
        <v xml:space="preserve"> </v>
      </c>
    </row>
    <row r="1352" spans="1:14" x14ac:dyDescent="0.25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56" t="str">
        <f>IFERROR(VLOOKUP(A1352,Shipped!I:J,2,)," ")</f>
        <v xml:space="preserve"> </v>
      </c>
    </row>
    <row r="1353" spans="1:14" x14ac:dyDescent="0.25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56" t="str">
        <f>IFERROR(VLOOKUP(A1353,Shipped!I:J,2,)," ")</f>
        <v xml:space="preserve"> </v>
      </c>
    </row>
    <row r="1354" spans="1:14" x14ac:dyDescent="0.25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56" t="str">
        <f>IFERROR(VLOOKUP(A1354,Shipped!I:J,2,)," ")</f>
        <v xml:space="preserve"> </v>
      </c>
    </row>
    <row r="1355" spans="1:14" x14ac:dyDescent="0.25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56" t="str">
        <f>IFERROR(VLOOKUP(A1355,Shipped!I:J,2,)," ")</f>
        <v xml:space="preserve"> </v>
      </c>
    </row>
    <row r="1356" spans="1:14" x14ac:dyDescent="0.25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56" t="str">
        <f>IFERROR(VLOOKUP(A1356,Shipped!I:J,2,)," ")</f>
        <v xml:space="preserve"> </v>
      </c>
    </row>
    <row r="1357" spans="1:14" x14ac:dyDescent="0.25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56" t="str">
        <f>IFERROR(VLOOKUP(A1357,Shipped!I:J,2,)," ")</f>
        <v xml:space="preserve"> </v>
      </c>
    </row>
    <row r="1358" spans="1:14" x14ac:dyDescent="0.25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56" t="str">
        <f>IFERROR(VLOOKUP(A1358,Shipped!I:J,2,)," ")</f>
        <v xml:space="preserve"> </v>
      </c>
    </row>
    <row r="1359" spans="1:14" x14ac:dyDescent="0.25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56" t="str">
        <f>IFERROR(VLOOKUP(A1359,Shipped!I:J,2,)," ")</f>
        <v xml:space="preserve"> </v>
      </c>
    </row>
    <row r="1360" spans="1:14" x14ac:dyDescent="0.25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56" t="str">
        <f>IFERROR(VLOOKUP(A1360,Shipped!I:J,2,)," ")</f>
        <v xml:space="preserve"> </v>
      </c>
    </row>
    <row r="1361" spans="1:14" x14ac:dyDescent="0.25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56" t="str">
        <f>IFERROR(VLOOKUP(A1361,Shipped!I:J,2,)," ")</f>
        <v xml:space="preserve"> </v>
      </c>
    </row>
    <row r="1362" spans="1:14" x14ac:dyDescent="0.25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56" t="str">
        <f>IFERROR(VLOOKUP(A1362,Shipped!I:J,2,)," ")</f>
        <v xml:space="preserve"> </v>
      </c>
    </row>
    <row r="1363" spans="1:14" x14ac:dyDescent="0.25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56" t="str">
        <f>IFERROR(VLOOKUP(A1363,Shipped!I:J,2,)," ")</f>
        <v xml:space="preserve"> </v>
      </c>
    </row>
    <row r="1364" spans="1:14" x14ac:dyDescent="0.25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56" t="str">
        <f>IFERROR(VLOOKUP(A1364,Shipped!I:J,2,)," ")</f>
        <v xml:space="preserve"> </v>
      </c>
    </row>
    <row r="1365" spans="1:14" x14ac:dyDescent="0.25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56" t="str">
        <f>IFERROR(VLOOKUP(A1365,Shipped!I:J,2,)," ")</f>
        <v xml:space="preserve"> </v>
      </c>
    </row>
    <row r="1366" spans="1:14" x14ac:dyDescent="0.25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56" t="str">
        <f>IFERROR(VLOOKUP(A1366,Shipped!I:J,2,)," ")</f>
        <v xml:space="preserve"> </v>
      </c>
    </row>
    <row r="1367" spans="1:14" x14ac:dyDescent="0.25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56" t="str">
        <f>IFERROR(VLOOKUP(A1367,Shipped!I:J,2,)," ")</f>
        <v xml:space="preserve"> </v>
      </c>
    </row>
    <row r="1368" spans="1:14" x14ac:dyDescent="0.25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56" t="str">
        <f>IFERROR(VLOOKUP(A1368,Shipped!I:J,2,)," ")</f>
        <v xml:space="preserve"> </v>
      </c>
    </row>
    <row r="1369" spans="1:14" x14ac:dyDescent="0.25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56" t="str">
        <f>IFERROR(VLOOKUP(A1369,Shipped!I:J,2,)," ")</f>
        <v xml:space="preserve"> </v>
      </c>
    </row>
    <row r="1370" spans="1:14" x14ac:dyDescent="0.25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56" t="str">
        <f>IFERROR(VLOOKUP(A1370,Shipped!I:J,2,)," ")</f>
        <v xml:space="preserve"> </v>
      </c>
    </row>
    <row r="1371" spans="1:14" x14ac:dyDescent="0.25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56" t="str">
        <f>IFERROR(VLOOKUP(A1371,Shipped!I:J,2,)," ")</f>
        <v xml:space="preserve"> </v>
      </c>
    </row>
    <row r="1372" spans="1:14" x14ac:dyDescent="0.25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56" t="str">
        <f>IFERROR(VLOOKUP(A1372,Shipped!I:J,2,)," ")</f>
        <v xml:space="preserve"> </v>
      </c>
    </row>
    <row r="1373" spans="1:14" x14ac:dyDescent="0.25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56" t="str">
        <f>IFERROR(VLOOKUP(A1373,Shipped!I:J,2,)," ")</f>
        <v xml:space="preserve"> </v>
      </c>
    </row>
    <row r="1374" spans="1:14" x14ac:dyDescent="0.25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56" t="str">
        <f>IFERROR(VLOOKUP(A1374,Shipped!I:J,2,)," ")</f>
        <v xml:space="preserve"> </v>
      </c>
    </row>
    <row r="1375" spans="1:14" x14ac:dyDescent="0.25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56" t="str">
        <f>IFERROR(VLOOKUP(A1375,Shipped!I:J,2,)," ")</f>
        <v xml:space="preserve"> </v>
      </c>
    </row>
    <row r="1376" spans="1:14" x14ac:dyDescent="0.25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56" t="str">
        <f>IFERROR(VLOOKUP(A1376,Shipped!I:J,2,)," ")</f>
        <v xml:space="preserve"> </v>
      </c>
    </row>
    <row r="1377" spans="1:14" x14ac:dyDescent="0.25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56" t="str">
        <f>IFERROR(VLOOKUP(A1377,Shipped!I:J,2,)," ")</f>
        <v xml:space="preserve"> </v>
      </c>
    </row>
    <row r="1378" spans="1:14" x14ac:dyDescent="0.25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56" t="str">
        <f>IFERROR(VLOOKUP(A1378,Shipped!I:J,2,)," ")</f>
        <v xml:space="preserve"> </v>
      </c>
    </row>
    <row r="1379" spans="1:14" x14ac:dyDescent="0.25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56" t="str">
        <f>IFERROR(VLOOKUP(A1379,Shipped!I:J,2,)," ")</f>
        <v xml:space="preserve"> </v>
      </c>
    </row>
    <row r="1380" spans="1:14" x14ac:dyDescent="0.25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56" t="str">
        <f>IFERROR(VLOOKUP(A1380,Shipped!I:J,2,)," ")</f>
        <v xml:space="preserve"> </v>
      </c>
    </row>
    <row r="1381" spans="1:14" x14ac:dyDescent="0.25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56" t="str">
        <f>IFERROR(VLOOKUP(A1381,Shipped!I:J,2,)," ")</f>
        <v xml:space="preserve"> </v>
      </c>
    </row>
    <row r="1382" spans="1:14" x14ac:dyDescent="0.25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56" t="str">
        <f>IFERROR(VLOOKUP(A1382,Shipped!I:J,2,)," ")</f>
        <v xml:space="preserve"> </v>
      </c>
    </row>
    <row r="1383" spans="1:14" x14ac:dyDescent="0.25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56" t="str">
        <f>IFERROR(VLOOKUP(A1383,Shipped!I:J,2,)," ")</f>
        <v xml:space="preserve"> </v>
      </c>
    </row>
    <row r="1384" spans="1:14" x14ac:dyDescent="0.25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56" t="str">
        <f>IFERROR(VLOOKUP(A1384,Shipped!I:J,2,)," ")</f>
        <v xml:space="preserve"> </v>
      </c>
    </row>
    <row r="1385" spans="1:14" x14ac:dyDescent="0.25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56" t="str">
        <f>IFERROR(VLOOKUP(A1385,Shipped!I:J,2,)," ")</f>
        <v xml:space="preserve"> </v>
      </c>
    </row>
    <row r="1386" spans="1:14" x14ac:dyDescent="0.25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56" t="str">
        <f>IFERROR(VLOOKUP(A1386,Shipped!I:J,2,)," ")</f>
        <v xml:space="preserve"> </v>
      </c>
    </row>
    <row r="1387" spans="1:14" x14ac:dyDescent="0.25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56" t="str">
        <f>IFERROR(VLOOKUP(A1387,Shipped!I:J,2,)," ")</f>
        <v xml:space="preserve"> </v>
      </c>
    </row>
    <row r="1388" spans="1:14" x14ac:dyDescent="0.25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56" t="str">
        <f>IFERROR(VLOOKUP(A1388,Shipped!I:J,2,)," ")</f>
        <v xml:space="preserve"> </v>
      </c>
    </row>
    <row r="1389" spans="1:14" x14ac:dyDescent="0.25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56" t="str">
        <f>IFERROR(VLOOKUP(A1389,Shipped!I:J,2,)," ")</f>
        <v xml:space="preserve"> </v>
      </c>
    </row>
    <row r="1390" spans="1:14" x14ac:dyDescent="0.25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56" t="str">
        <f>IFERROR(VLOOKUP(A1390,Shipped!I:J,2,)," ")</f>
        <v xml:space="preserve"> </v>
      </c>
    </row>
    <row r="1391" spans="1:14" x14ac:dyDescent="0.25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56" t="str">
        <f>IFERROR(VLOOKUP(A1391,Shipped!I:J,2,)," ")</f>
        <v xml:space="preserve"> </v>
      </c>
    </row>
    <row r="1392" spans="1:14" x14ac:dyDescent="0.25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56" t="str">
        <f>IFERROR(VLOOKUP(A1392,Shipped!I:J,2,)," ")</f>
        <v xml:space="preserve"> </v>
      </c>
    </row>
    <row r="1393" spans="1:14" x14ac:dyDescent="0.25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56" t="str">
        <f>IFERROR(VLOOKUP(A1393,Shipped!I:J,2,)," ")</f>
        <v xml:space="preserve"> </v>
      </c>
    </row>
    <row r="1394" spans="1:14" x14ac:dyDescent="0.25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56" t="str">
        <f>IFERROR(VLOOKUP(A1394,Shipped!I:J,2,)," ")</f>
        <v xml:space="preserve"> </v>
      </c>
    </row>
    <row r="1395" spans="1:14" x14ac:dyDescent="0.25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56" t="str">
        <f>IFERROR(VLOOKUP(A1395,Shipped!I:J,2,)," ")</f>
        <v xml:space="preserve"> </v>
      </c>
    </row>
    <row r="1396" spans="1:14" x14ac:dyDescent="0.25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56" t="str">
        <f>IFERROR(VLOOKUP(A1396,Shipped!I:J,2,)," ")</f>
        <v xml:space="preserve"> </v>
      </c>
    </row>
    <row r="1397" spans="1:14" x14ac:dyDescent="0.25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56" t="str">
        <f>IFERROR(VLOOKUP(A1397,Shipped!I:J,2,)," ")</f>
        <v xml:space="preserve"> </v>
      </c>
    </row>
    <row r="1398" spans="1:14" x14ac:dyDescent="0.25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56" t="str">
        <f>IFERROR(VLOOKUP(A1398,Shipped!I:J,2,)," ")</f>
        <v xml:space="preserve"> </v>
      </c>
    </row>
    <row r="1399" spans="1:14" x14ac:dyDescent="0.25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56" t="str">
        <f>IFERROR(VLOOKUP(A1399,Shipped!I:J,2,)," ")</f>
        <v xml:space="preserve"> </v>
      </c>
    </row>
    <row r="1400" spans="1:14" x14ac:dyDescent="0.25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56" t="str">
        <f>IFERROR(VLOOKUP(A1400,Shipped!I:J,2,)," ")</f>
        <v xml:space="preserve"> </v>
      </c>
    </row>
    <row r="1401" spans="1:14" x14ac:dyDescent="0.25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56" t="str">
        <f>IFERROR(VLOOKUP(A1401,Shipped!I:J,2,)," ")</f>
        <v xml:space="preserve"> </v>
      </c>
    </row>
    <row r="1402" spans="1:14" x14ac:dyDescent="0.25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56" t="str">
        <f>IFERROR(VLOOKUP(A1402,Shipped!I:J,2,)," ")</f>
        <v xml:space="preserve"> </v>
      </c>
    </row>
    <row r="1403" spans="1:14" x14ac:dyDescent="0.25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56" t="str">
        <f>IFERROR(VLOOKUP(A1403,Shipped!I:J,2,)," ")</f>
        <v xml:space="preserve"> </v>
      </c>
    </row>
    <row r="1404" spans="1:14" x14ac:dyDescent="0.25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56" t="str">
        <f>IFERROR(VLOOKUP(A1404,Shipped!I:J,2,)," ")</f>
        <v xml:space="preserve"> </v>
      </c>
    </row>
    <row r="1405" spans="1:14" x14ac:dyDescent="0.25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56" t="str">
        <f>IFERROR(VLOOKUP(A1405,Shipped!I:J,2,)," ")</f>
        <v xml:space="preserve"> </v>
      </c>
    </row>
    <row r="1406" spans="1:14" x14ac:dyDescent="0.25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56" t="str">
        <f>IFERROR(VLOOKUP(A1406,Shipped!I:J,2,)," ")</f>
        <v xml:space="preserve"> </v>
      </c>
    </row>
    <row r="1407" spans="1:14" x14ac:dyDescent="0.25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56" t="str">
        <f>IFERROR(VLOOKUP(A1407,Shipped!I:J,2,)," ")</f>
        <v xml:space="preserve"> </v>
      </c>
    </row>
    <row r="1408" spans="1:14" x14ac:dyDescent="0.25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56" t="str">
        <f>IFERROR(VLOOKUP(A1408,Shipped!I:J,2,)," ")</f>
        <v xml:space="preserve"> </v>
      </c>
    </row>
    <row r="1409" spans="1:14" x14ac:dyDescent="0.25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56" t="str">
        <f>IFERROR(VLOOKUP(A1409,Shipped!I:J,2,)," ")</f>
        <v xml:space="preserve"> </v>
      </c>
    </row>
    <row r="1410" spans="1:14" x14ac:dyDescent="0.25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56" t="str">
        <f>IFERROR(VLOOKUP(A1410,Shipped!I:J,2,)," ")</f>
        <v xml:space="preserve"> </v>
      </c>
    </row>
    <row r="1411" spans="1:14" x14ac:dyDescent="0.25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56" t="str">
        <f>IFERROR(VLOOKUP(A1411,Shipped!I:J,2,)," ")</f>
        <v xml:space="preserve"> </v>
      </c>
    </row>
    <row r="1412" spans="1:14" x14ac:dyDescent="0.25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56" t="str">
        <f>IFERROR(VLOOKUP(A1412,Shipped!I:J,2,)," ")</f>
        <v xml:space="preserve"> </v>
      </c>
    </row>
    <row r="1413" spans="1:14" x14ac:dyDescent="0.25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56" t="str">
        <f>IFERROR(VLOOKUP(A1413,Shipped!I:J,2,)," ")</f>
        <v xml:space="preserve"> </v>
      </c>
    </row>
    <row r="1414" spans="1:14" x14ac:dyDescent="0.25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56" t="str">
        <f>IFERROR(VLOOKUP(A1414,Shipped!I:J,2,)," ")</f>
        <v xml:space="preserve"> </v>
      </c>
    </row>
    <row r="1415" spans="1:14" x14ac:dyDescent="0.25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56" t="str">
        <f>IFERROR(VLOOKUP(A1415,Shipped!I:J,2,)," ")</f>
        <v xml:space="preserve"> </v>
      </c>
    </row>
    <row r="1416" spans="1:14" x14ac:dyDescent="0.25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56" t="str">
        <f>IFERROR(VLOOKUP(A1416,Shipped!I:J,2,)," ")</f>
        <v xml:space="preserve"> </v>
      </c>
    </row>
    <row r="1417" spans="1:14" x14ac:dyDescent="0.25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56" t="str">
        <f>IFERROR(VLOOKUP(A1417,Shipped!I:J,2,)," ")</f>
        <v xml:space="preserve"> </v>
      </c>
    </row>
    <row r="1418" spans="1:14" x14ac:dyDescent="0.25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56" t="str">
        <f>IFERROR(VLOOKUP(A1418,Shipped!I:J,2,)," ")</f>
        <v xml:space="preserve"> </v>
      </c>
    </row>
    <row r="1419" spans="1:14" x14ac:dyDescent="0.25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56" t="str">
        <f>IFERROR(VLOOKUP(A1419,Shipped!I:J,2,)," ")</f>
        <v xml:space="preserve"> </v>
      </c>
    </row>
    <row r="1420" spans="1:14" x14ac:dyDescent="0.25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56" t="str">
        <f>IFERROR(VLOOKUP(A1420,Shipped!I:J,2,)," ")</f>
        <v xml:space="preserve"> </v>
      </c>
    </row>
    <row r="1421" spans="1:14" x14ac:dyDescent="0.25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56" t="str">
        <f>IFERROR(VLOOKUP(A1421,Shipped!I:J,2,)," ")</f>
        <v xml:space="preserve"> </v>
      </c>
    </row>
    <row r="1422" spans="1:14" x14ac:dyDescent="0.25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56" t="str">
        <f>IFERROR(VLOOKUP(A1422,Shipped!I:J,2,)," ")</f>
        <v xml:space="preserve"> </v>
      </c>
    </row>
    <row r="1423" spans="1:14" x14ac:dyDescent="0.25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56" t="str">
        <f>IFERROR(VLOOKUP(A1423,Shipped!I:J,2,)," ")</f>
        <v xml:space="preserve"> </v>
      </c>
    </row>
    <row r="1424" spans="1:14" x14ac:dyDescent="0.25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56" t="str">
        <f>IFERROR(VLOOKUP(A1424,Shipped!I:J,2,)," ")</f>
        <v xml:space="preserve"> </v>
      </c>
    </row>
    <row r="1425" spans="1:14" x14ac:dyDescent="0.25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56" t="str">
        <f>IFERROR(VLOOKUP(A1425,Shipped!I:J,2,)," ")</f>
        <v xml:space="preserve"> </v>
      </c>
    </row>
    <row r="1426" spans="1:14" x14ac:dyDescent="0.25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56" t="str">
        <f>IFERROR(VLOOKUP(A1426,Shipped!I:J,2,)," ")</f>
        <v xml:space="preserve"> </v>
      </c>
    </row>
    <row r="1427" spans="1:14" x14ac:dyDescent="0.25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56" t="str">
        <f>IFERROR(VLOOKUP(A1427,Shipped!I:J,2,)," ")</f>
        <v xml:space="preserve"> </v>
      </c>
    </row>
    <row r="1428" spans="1:14" x14ac:dyDescent="0.25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56" t="str">
        <f>IFERROR(VLOOKUP(A1428,Shipped!I:J,2,)," ")</f>
        <v xml:space="preserve"> </v>
      </c>
    </row>
    <row r="1429" spans="1:14" x14ac:dyDescent="0.25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56" t="str">
        <f>IFERROR(VLOOKUP(A1429,Shipped!I:J,2,)," ")</f>
        <v xml:space="preserve"> </v>
      </c>
    </row>
    <row r="1430" spans="1:14" x14ac:dyDescent="0.25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56" t="str">
        <f>IFERROR(VLOOKUP(A1430,Shipped!I:J,2,)," ")</f>
        <v xml:space="preserve"> </v>
      </c>
    </row>
    <row r="1431" spans="1:14" x14ac:dyDescent="0.25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56" t="str">
        <f>IFERROR(VLOOKUP(A1431,Shipped!I:J,2,)," ")</f>
        <v xml:space="preserve"> </v>
      </c>
    </row>
    <row r="1432" spans="1:14" x14ac:dyDescent="0.25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56" t="str">
        <f>IFERROR(VLOOKUP(A1432,Shipped!I:J,2,)," ")</f>
        <v xml:space="preserve"> </v>
      </c>
    </row>
    <row r="1433" spans="1:14" x14ac:dyDescent="0.25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56" t="str">
        <f>IFERROR(VLOOKUP(A1433,Shipped!I:J,2,)," ")</f>
        <v xml:space="preserve"> </v>
      </c>
    </row>
    <row r="1434" spans="1:14" x14ac:dyDescent="0.25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56" t="str">
        <f>IFERROR(VLOOKUP(A1434,Shipped!I:J,2,)," ")</f>
        <v xml:space="preserve"> </v>
      </c>
    </row>
    <row r="1435" spans="1:14" x14ac:dyDescent="0.25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56" t="str">
        <f>IFERROR(VLOOKUP(A1435,Shipped!I:J,2,)," ")</f>
        <v xml:space="preserve"> </v>
      </c>
    </row>
    <row r="1436" spans="1:14" x14ac:dyDescent="0.25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56" t="str">
        <f>IFERROR(VLOOKUP(A1436,Shipped!I:J,2,)," ")</f>
        <v xml:space="preserve"> </v>
      </c>
    </row>
    <row r="1437" spans="1:14" x14ac:dyDescent="0.25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56" t="str">
        <f>IFERROR(VLOOKUP(A1437,Shipped!I:J,2,)," ")</f>
        <v xml:space="preserve"> </v>
      </c>
    </row>
    <row r="1438" spans="1:14" x14ac:dyDescent="0.25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56" t="str">
        <f>IFERROR(VLOOKUP(A1438,Shipped!I:J,2,)," ")</f>
        <v xml:space="preserve"> </v>
      </c>
    </row>
    <row r="1439" spans="1:14" x14ac:dyDescent="0.25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56" t="str">
        <f>IFERROR(VLOOKUP(A1439,Shipped!I:J,2,)," ")</f>
        <v xml:space="preserve"> </v>
      </c>
    </row>
    <row r="1440" spans="1:14" x14ac:dyDescent="0.25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56" t="str">
        <f>IFERROR(VLOOKUP(A1440,Shipped!I:J,2,)," ")</f>
        <v xml:space="preserve"> </v>
      </c>
    </row>
    <row r="1441" spans="1:14" x14ac:dyDescent="0.25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56" t="str">
        <f>IFERROR(VLOOKUP(A1441,Shipped!I:J,2,)," ")</f>
        <v xml:space="preserve"> </v>
      </c>
    </row>
    <row r="1442" spans="1:14" x14ac:dyDescent="0.25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56" t="str">
        <f>IFERROR(VLOOKUP(A1442,Shipped!I:J,2,)," ")</f>
        <v xml:space="preserve"> </v>
      </c>
    </row>
    <row r="1443" spans="1:14" x14ac:dyDescent="0.25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56" t="str">
        <f>IFERROR(VLOOKUP(A1443,Shipped!I:J,2,)," ")</f>
        <v xml:space="preserve"> </v>
      </c>
    </row>
    <row r="1444" spans="1:14" x14ac:dyDescent="0.25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56" t="str">
        <f>IFERROR(VLOOKUP(A1444,Shipped!I:J,2,)," ")</f>
        <v xml:space="preserve"> </v>
      </c>
    </row>
    <row r="1445" spans="1:14" x14ac:dyDescent="0.25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56" t="str">
        <f>IFERROR(VLOOKUP(A1445,Shipped!I:J,2,)," ")</f>
        <v xml:space="preserve"> </v>
      </c>
    </row>
    <row r="1446" spans="1:14" x14ac:dyDescent="0.25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56" t="str">
        <f>IFERROR(VLOOKUP(A1446,Shipped!I:J,2,)," ")</f>
        <v xml:space="preserve"> </v>
      </c>
    </row>
    <row r="1447" spans="1:14" x14ac:dyDescent="0.25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56" t="str">
        <f>IFERROR(VLOOKUP(A1447,Shipped!I:J,2,)," ")</f>
        <v xml:space="preserve"> </v>
      </c>
    </row>
    <row r="1448" spans="1:14" x14ac:dyDescent="0.25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56" t="str">
        <f>IFERROR(VLOOKUP(A1448,Shipped!I:J,2,)," ")</f>
        <v xml:space="preserve"> </v>
      </c>
    </row>
    <row r="1449" spans="1:14" x14ac:dyDescent="0.25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56" t="str">
        <f>IFERROR(VLOOKUP(A1449,Shipped!I:J,2,)," ")</f>
        <v xml:space="preserve"> </v>
      </c>
    </row>
    <row r="1450" spans="1:14" x14ac:dyDescent="0.25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56" t="str">
        <f>IFERROR(VLOOKUP(A1450,Shipped!I:J,2,)," ")</f>
        <v xml:space="preserve"> </v>
      </c>
    </row>
    <row r="1451" spans="1:14" x14ac:dyDescent="0.25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56" t="str">
        <f>IFERROR(VLOOKUP(A1451,Shipped!I:J,2,)," ")</f>
        <v xml:space="preserve"> </v>
      </c>
    </row>
    <row r="1452" spans="1:14" x14ac:dyDescent="0.25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56" t="str">
        <f>IFERROR(VLOOKUP(A1452,Shipped!I:J,2,)," ")</f>
        <v xml:space="preserve"> </v>
      </c>
    </row>
    <row r="1453" spans="1:14" x14ac:dyDescent="0.25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56" t="str">
        <f>IFERROR(VLOOKUP(A1453,Shipped!I:J,2,)," ")</f>
        <v xml:space="preserve"> </v>
      </c>
    </row>
    <row r="1454" spans="1:14" x14ac:dyDescent="0.25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56" t="str">
        <f>IFERROR(VLOOKUP(A1454,Shipped!I:J,2,)," ")</f>
        <v xml:space="preserve"> </v>
      </c>
    </row>
    <row r="1455" spans="1:14" x14ac:dyDescent="0.25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56" t="str">
        <f>IFERROR(VLOOKUP(A1455,Shipped!I:J,2,)," ")</f>
        <v xml:space="preserve"> </v>
      </c>
    </row>
    <row r="1456" spans="1:14" x14ac:dyDescent="0.25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56" t="str">
        <f>IFERROR(VLOOKUP(A1456,Shipped!I:J,2,)," ")</f>
        <v xml:space="preserve"> </v>
      </c>
    </row>
    <row r="1457" spans="1:14" x14ac:dyDescent="0.25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56" t="str">
        <f>IFERROR(VLOOKUP(A1457,Shipped!I:J,2,)," ")</f>
        <v xml:space="preserve"> </v>
      </c>
    </row>
    <row r="1458" spans="1:14" x14ac:dyDescent="0.25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56" t="str">
        <f>IFERROR(VLOOKUP(A1458,Shipped!I:J,2,)," ")</f>
        <v xml:space="preserve"> </v>
      </c>
    </row>
    <row r="1459" spans="1:14" x14ac:dyDescent="0.25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56" t="str">
        <f>IFERROR(VLOOKUP(A1459,Shipped!I:J,2,)," ")</f>
        <v xml:space="preserve"> </v>
      </c>
    </row>
    <row r="1460" spans="1:14" x14ac:dyDescent="0.25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56" t="str">
        <f>IFERROR(VLOOKUP(A1460,Shipped!I:J,2,)," ")</f>
        <v xml:space="preserve"> </v>
      </c>
    </row>
    <row r="1461" spans="1:14" x14ac:dyDescent="0.25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56" t="str">
        <f>IFERROR(VLOOKUP(A1461,Shipped!I:J,2,)," ")</f>
        <v xml:space="preserve"> </v>
      </c>
    </row>
    <row r="1462" spans="1:14" x14ac:dyDescent="0.25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56" t="str">
        <f>IFERROR(VLOOKUP(A1462,Shipped!I:J,2,)," ")</f>
        <v xml:space="preserve"> </v>
      </c>
    </row>
    <row r="1463" spans="1:14" x14ac:dyDescent="0.25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56" t="str">
        <f>IFERROR(VLOOKUP(A1463,Shipped!I:J,2,)," ")</f>
        <v xml:space="preserve"> </v>
      </c>
    </row>
    <row r="1464" spans="1:14" x14ac:dyDescent="0.25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56" t="str">
        <f>IFERROR(VLOOKUP(A1464,Shipped!I:J,2,)," ")</f>
        <v xml:space="preserve"> </v>
      </c>
    </row>
    <row r="1465" spans="1:14" x14ac:dyDescent="0.25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56" t="str">
        <f>IFERROR(VLOOKUP(A1465,Shipped!I:J,2,)," ")</f>
        <v xml:space="preserve"> </v>
      </c>
    </row>
    <row r="1466" spans="1:14" x14ac:dyDescent="0.25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56" t="str">
        <f>IFERROR(VLOOKUP(A1466,Shipped!I:J,2,)," ")</f>
        <v xml:space="preserve"> </v>
      </c>
    </row>
    <row r="1467" spans="1:14" x14ac:dyDescent="0.25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56" t="str">
        <f>IFERROR(VLOOKUP(A1467,Shipped!I:J,2,)," ")</f>
        <v xml:space="preserve"> </v>
      </c>
    </row>
    <row r="1468" spans="1:14" x14ac:dyDescent="0.25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56" t="str">
        <f>IFERROR(VLOOKUP(A1468,Shipped!I:J,2,)," ")</f>
        <v xml:space="preserve"> </v>
      </c>
    </row>
    <row r="1469" spans="1:14" x14ac:dyDescent="0.25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56" t="str">
        <f>IFERROR(VLOOKUP(A1469,Shipped!I:J,2,)," ")</f>
        <v xml:space="preserve"> </v>
      </c>
    </row>
    <row r="1470" spans="1:14" x14ac:dyDescent="0.25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56" t="str">
        <f>IFERROR(VLOOKUP(A1470,Shipped!I:J,2,)," ")</f>
        <v xml:space="preserve"> </v>
      </c>
    </row>
    <row r="1471" spans="1:14" x14ac:dyDescent="0.25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56" t="str">
        <f>IFERROR(VLOOKUP(A1471,Shipped!I:J,2,)," ")</f>
        <v xml:space="preserve"> </v>
      </c>
    </row>
    <row r="1472" spans="1:14" x14ac:dyDescent="0.25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56" t="str">
        <f>IFERROR(VLOOKUP(A1472,Shipped!I:J,2,)," ")</f>
        <v xml:space="preserve"> </v>
      </c>
    </row>
    <row r="1473" spans="1:14" x14ac:dyDescent="0.25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56" t="str">
        <f>IFERROR(VLOOKUP(A1473,Shipped!I:J,2,)," ")</f>
        <v xml:space="preserve"> </v>
      </c>
    </row>
    <row r="1474" spans="1:14" x14ac:dyDescent="0.25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56" t="str">
        <f>IFERROR(VLOOKUP(A1474,Shipped!I:J,2,)," ")</f>
        <v xml:space="preserve"> </v>
      </c>
    </row>
    <row r="1475" spans="1:14" x14ac:dyDescent="0.25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56" t="str">
        <f>IFERROR(VLOOKUP(A1475,Shipped!I:J,2,)," ")</f>
        <v xml:space="preserve"> </v>
      </c>
    </row>
    <row r="1476" spans="1:14" x14ac:dyDescent="0.25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56" t="str">
        <f>IFERROR(VLOOKUP(A1476,Shipped!I:J,2,)," ")</f>
        <v xml:space="preserve"> </v>
      </c>
    </row>
    <row r="1477" spans="1:14" x14ac:dyDescent="0.25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56" t="str">
        <f>IFERROR(VLOOKUP(A1477,Shipped!I:J,2,)," ")</f>
        <v xml:space="preserve"> </v>
      </c>
    </row>
    <row r="1478" spans="1:14" x14ac:dyDescent="0.25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56" t="str">
        <f>IFERROR(VLOOKUP(A1478,Shipped!I:J,2,)," ")</f>
        <v xml:space="preserve"> </v>
      </c>
    </row>
    <row r="1479" spans="1:14" x14ac:dyDescent="0.25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56" t="str">
        <f>IFERROR(VLOOKUP(A1479,Shipped!I:J,2,)," ")</f>
        <v xml:space="preserve"> </v>
      </c>
    </row>
    <row r="1480" spans="1:14" x14ac:dyDescent="0.25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56" t="str">
        <f>IFERROR(VLOOKUP(A1480,Shipped!I:J,2,)," ")</f>
        <v xml:space="preserve"> </v>
      </c>
    </row>
    <row r="1481" spans="1:14" x14ac:dyDescent="0.25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56" t="str">
        <f>IFERROR(VLOOKUP(A1481,Shipped!I:J,2,)," ")</f>
        <v xml:space="preserve"> </v>
      </c>
    </row>
    <row r="1482" spans="1:14" x14ac:dyDescent="0.25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56" t="str">
        <f>IFERROR(VLOOKUP(A1482,Shipped!I:J,2,)," ")</f>
        <v xml:space="preserve"> </v>
      </c>
    </row>
    <row r="1483" spans="1:14" x14ac:dyDescent="0.25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56" t="str">
        <f>IFERROR(VLOOKUP(A1483,Shipped!I:J,2,)," ")</f>
        <v xml:space="preserve"> </v>
      </c>
    </row>
    <row r="1484" spans="1:14" x14ac:dyDescent="0.25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56" t="str">
        <f>IFERROR(VLOOKUP(A1484,Shipped!I:J,2,)," ")</f>
        <v xml:space="preserve"> </v>
      </c>
    </row>
    <row r="1485" spans="1:14" x14ac:dyDescent="0.25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56" t="str">
        <f>IFERROR(VLOOKUP(A1485,Shipped!I:J,2,)," ")</f>
        <v xml:space="preserve"> </v>
      </c>
    </row>
    <row r="1486" spans="1:14" x14ac:dyDescent="0.25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56" t="str">
        <f>IFERROR(VLOOKUP(A1486,Shipped!I:J,2,)," ")</f>
        <v xml:space="preserve"> </v>
      </c>
    </row>
    <row r="1487" spans="1:14" x14ac:dyDescent="0.25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56" t="str">
        <f>IFERROR(VLOOKUP(A1487,Shipped!I:J,2,)," ")</f>
        <v xml:space="preserve"> </v>
      </c>
    </row>
    <row r="1488" spans="1:14" x14ac:dyDescent="0.25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56" t="str">
        <f>IFERROR(VLOOKUP(A1488,Shipped!I:J,2,)," ")</f>
        <v xml:space="preserve"> </v>
      </c>
    </row>
    <row r="1489" spans="1:14" x14ac:dyDescent="0.25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56" t="str">
        <f>IFERROR(VLOOKUP(A1489,Shipped!I:J,2,)," ")</f>
        <v xml:space="preserve"> </v>
      </c>
    </row>
    <row r="1490" spans="1:14" x14ac:dyDescent="0.25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56" t="str">
        <f>IFERROR(VLOOKUP(A1490,Shipped!I:J,2,)," ")</f>
        <v xml:space="preserve"> </v>
      </c>
    </row>
    <row r="1491" spans="1:14" x14ac:dyDescent="0.25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56" t="str">
        <f>IFERROR(VLOOKUP(A1491,Shipped!I:J,2,)," ")</f>
        <v xml:space="preserve"> </v>
      </c>
    </row>
    <row r="1492" spans="1:14" x14ac:dyDescent="0.25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56" t="str">
        <f>IFERROR(VLOOKUP(A1492,Shipped!I:J,2,)," ")</f>
        <v xml:space="preserve"> </v>
      </c>
    </row>
    <row r="1493" spans="1:14" x14ac:dyDescent="0.25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56" t="str">
        <f>IFERROR(VLOOKUP(A1493,Shipped!I:J,2,)," ")</f>
        <v xml:space="preserve"> </v>
      </c>
    </row>
    <row r="1494" spans="1:14" x14ac:dyDescent="0.25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56" t="str">
        <f>IFERROR(VLOOKUP(A1494,Shipped!I:J,2,)," ")</f>
        <v xml:space="preserve"> </v>
      </c>
    </row>
    <row r="1495" spans="1:14" x14ac:dyDescent="0.25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56" t="str">
        <f>IFERROR(VLOOKUP(A1495,Shipped!I:J,2,)," ")</f>
        <v xml:space="preserve"> </v>
      </c>
    </row>
    <row r="1496" spans="1:14" x14ac:dyDescent="0.25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56" t="str">
        <f>IFERROR(VLOOKUP(A1496,Shipped!I:J,2,)," ")</f>
        <v xml:space="preserve"> </v>
      </c>
    </row>
    <row r="1497" spans="1:14" x14ac:dyDescent="0.25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56" t="str">
        <f>IFERROR(VLOOKUP(A1497,Shipped!I:J,2,)," ")</f>
        <v xml:space="preserve"> </v>
      </c>
    </row>
    <row r="1498" spans="1:14" x14ac:dyDescent="0.25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56" t="str">
        <f>IFERROR(VLOOKUP(A1498,Shipped!I:J,2,)," ")</f>
        <v xml:space="preserve"> </v>
      </c>
    </row>
    <row r="1499" spans="1:14" x14ac:dyDescent="0.25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56" t="str">
        <f>IFERROR(VLOOKUP(A1499,Shipped!I:J,2,)," ")</f>
        <v xml:space="preserve"> </v>
      </c>
    </row>
    <row r="1500" spans="1:14" x14ac:dyDescent="0.25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56" t="str">
        <f>IFERROR(VLOOKUP(A1500,Shipped!I:J,2,)," ")</f>
        <v xml:space="preserve"> </v>
      </c>
    </row>
    <row r="1501" spans="1:14" x14ac:dyDescent="0.25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56">
        <f>IFERROR(VLOOKUP(A1501,Shipped!I:J,2,)," ")</f>
        <v>46211</v>
      </c>
    </row>
    <row r="1502" spans="1:14" x14ac:dyDescent="0.25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56" t="str">
        <f>IFERROR(VLOOKUP(A1502,Shipped!I:J,2,)," ")</f>
        <v xml:space="preserve"> </v>
      </c>
    </row>
    <row r="1503" spans="1:14" x14ac:dyDescent="0.25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56" t="str">
        <f>IFERROR(VLOOKUP(A1503,Shipped!I:J,2,)," ")</f>
        <v xml:space="preserve"> </v>
      </c>
    </row>
    <row r="1504" spans="1:14" x14ac:dyDescent="0.25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56" t="str">
        <f>IFERROR(VLOOKUP(A1504,Shipped!I:J,2,)," ")</f>
        <v xml:space="preserve"> </v>
      </c>
    </row>
    <row r="1505" spans="1:14" x14ac:dyDescent="0.25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56" t="str">
        <f>IFERROR(VLOOKUP(A1505,Shipped!I:J,2,)," ")</f>
        <v xml:space="preserve"> </v>
      </c>
    </row>
    <row r="1506" spans="1:14" x14ac:dyDescent="0.25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56" t="str">
        <f>IFERROR(VLOOKUP(A1506,Shipped!I:J,2,)," ")</f>
        <v xml:space="preserve"> </v>
      </c>
    </row>
    <row r="1507" spans="1:14" x14ac:dyDescent="0.25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56" t="str">
        <f>IFERROR(VLOOKUP(A1507,Shipped!I:J,2,)," ")</f>
        <v xml:space="preserve"> </v>
      </c>
    </row>
    <row r="1508" spans="1:14" x14ac:dyDescent="0.25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56" t="str">
        <f>IFERROR(VLOOKUP(A1508,Shipped!I:J,2,)," ")</f>
        <v xml:space="preserve"> </v>
      </c>
    </row>
    <row r="1509" spans="1:14" x14ac:dyDescent="0.25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56" t="str">
        <f>IFERROR(VLOOKUP(A1509,Shipped!I:J,2,)," ")</f>
        <v xml:space="preserve"> </v>
      </c>
    </row>
    <row r="1510" spans="1:14" x14ac:dyDescent="0.25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56" t="str">
        <f>IFERROR(VLOOKUP(A1510,Shipped!I:J,2,)," ")</f>
        <v xml:space="preserve"> </v>
      </c>
    </row>
    <row r="1511" spans="1:14" x14ac:dyDescent="0.25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56" t="str">
        <f>IFERROR(VLOOKUP(A1511,Shipped!I:J,2,)," ")</f>
        <v xml:space="preserve"> </v>
      </c>
    </row>
    <row r="1512" spans="1:14" x14ac:dyDescent="0.25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56" t="str">
        <f>IFERROR(VLOOKUP(A1512,Shipped!I:J,2,)," ")</f>
        <v xml:space="preserve"> </v>
      </c>
    </row>
    <row r="1513" spans="1:14" x14ac:dyDescent="0.25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56" t="str">
        <f>IFERROR(VLOOKUP(A1513,Shipped!I:J,2,)," ")</f>
        <v xml:space="preserve"> </v>
      </c>
    </row>
    <row r="1514" spans="1:14" x14ac:dyDescent="0.25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56" t="str">
        <f>IFERROR(VLOOKUP(A1514,Shipped!I:J,2,)," ")</f>
        <v xml:space="preserve"> </v>
      </c>
    </row>
    <row r="1515" spans="1:14" x14ac:dyDescent="0.25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56" t="str">
        <f>IFERROR(VLOOKUP(A1515,Shipped!I:J,2,)," ")</f>
        <v xml:space="preserve"> </v>
      </c>
    </row>
    <row r="1516" spans="1:14" x14ac:dyDescent="0.25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56" t="str">
        <f>IFERROR(VLOOKUP(A1516,Shipped!I:J,2,)," ")</f>
        <v xml:space="preserve"> </v>
      </c>
    </row>
    <row r="1517" spans="1:14" x14ac:dyDescent="0.25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56" t="str">
        <f>IFERROR(VLOOKUP(A1517,Shipped!I:J,2,)," ")</f>
        <v xml:space="preserve"> </v>
      </c>
    </row>
    <row r="1518" spans="1:14" x14ac:dyDescent="0.25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56" t="str">
        <f>IFERROR(VLOOKUP(A1518,Shipped!I:J,2,)," ")</f>
        <v xml:space="preserve"> </v>
      </c>
    </row>
    <row r="1519" spans="1:14" x14ac:dyDescent="0.25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56" t="str">
        <f>IFERROR(VLOOKUP(A1519,Shipped!I:J,2,)," ")</f>
        <v xml:space="preserve"> </v>
      </c>
    </row>
    <row r="1520" spans="1:14" x14ac:dyDescent="0.25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56" t="str">
        <f>IFERROR(VLOOKUP(A1520,Shipped!I:J,2,)," ")</f>
        <v xml:space="preserve"> </v>
      </c>
    </row>
    <row r="1521" spans="1:14" x14ac:dyDescent="0.25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56" t="str">
        <f>IFERROR(VLOOKUP(A1521,Shipped!I:J,2,)," ")</f>
        <v xml:space="preserve"> </v>
      </c>
    </row>
    <row r="1522" spans="1:14" x14ac:dyDescent="0.25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56" t="str">
        <f>IFERROR(VLOOKUP(A1522,Shipped!I:J,2,)," ")</f>
        <v xml:space="preserve"> </v>
      </c>
    </row>
    <row r="1523" spans="1:14" x14ac:dyDescent="0.25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56" t="str">
        <f>IFERROR(VLOOKUP(A1523,Shipped!I:J,2,)," ")</f>
        <v xml:space="preserve"> </v>
      </c>
    </row>
    <row r="1524" spans="1:14" x14ac:dyDescent="0.25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56" t="str">
        <f>IFERROR(VLOOKUP(A1524,Shipped!I:J,2,)," ")</f>
        <v xml:space="preserve"> </v>
      </c>
    </row>
    <row r="1525" spans="1:14" x14ac:dyDescent="0.25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56" t="str">
        <f>IFERROR(VLOOKUP(A1525,Shipped!I:J,2,)," ")</f>
        <v xml:space="preserve"> </v>
      </c>
    </row>
    <row r="1526" spans="1:14" x14ac:dyDescent="0.25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56" t="str">
        <f>IFERROR(VLOOKUP(A1526,Shipped!I:J,2,)," ")</f>
        <v xml:space="preserve"> </v>
      </c>
    </row>
    <row r="1527" spans="1:14" x14ac:dyDescent="0.25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56" t="str">
        <f>IFERROR(VLOOKUP(A1527,Shipped!I:J,2,)," ")</f>
        <v xml:space="preserve"> </v>
      </c>
    </row>
    <row r="1528" spans="1:14" x14ac:dyDescent="0.25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56" t="str">
        <f>IFERROR(VLOOKUP(A1528,Shipped!I:J,2,)," ")</f>
        <v xml:space="preserve"> </v>
      </c>
    </row>
    <row r="1529" spans="1:14" x14ac:dyDescent="0.25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56" t="str">
        <f>IFERROR(VLOOKUP(A1529,Shipped!I:J,2,)," ")</f>
        <v xml:space="preserve"> </v>
      </c>
    </row>
    <row r="1530" spans="1:14" x14ac:dyDescent="0.25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56" t="str">
        <f>IFERROR(VLOOKUP(A1530,Shipped!I:J,2,)," ")</f>
        <v xml:space="preserve"> </v>
      </c>
    </row>
    <row r="1531" spans="1:14" x14ac:dyDescent="0.25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56" t="str">
        <f>IFERROR(VLOOKUP(A1531,Shipped!I:J,2,)," ")</f>
        <v xml:space="preserve"> </v>
      </c>
    </row>
    <row r="1532" spans="1:14" x14ac:dyDescent="0.25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56" t="str">
        <f>IFERROR(VLOOKUP(A1532,Shipped!I:J,2,)," ")</f>
        <v xml:space="preserve"> </v>
      </c>
    </row>
    <row r="1533" spans="1:14" x14ac:dyDescent="0.25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56" t="str">
        <f>IFERROR(VLOOKUP(A1533,Shipped!I:J,2,)," ")</f>
        <v xml:space="preserve"> </v>
      </c>
    </row>
    <row r="1534" spans="1:14" x14ac:dyDescent="0.25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56" t="str">
        <f>IFERROR(VLOOKUP(A1534,Shipped!I:J,2,)," ")</f>
        <v xml:space="preserve"> </v>
      </c>
    </row>
    <row r="1535" spans="1:14" x14ac:dyDescent="0.25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56" t="str">
        <f>IFERROR(VLOOKUP(A1535,Shipped!I:J,2,)," ")</f>
        <v xml:space="preserve"> </v>
      </c>
    </row>
    <row r="1536" spans="1:14" x14ac:dyDescent="0.25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56" t="str">
        <f>IFERROR(VLOOKUP(A1536,Shipped!I:J,2,)," ")</f>
        <v xml:space="preserve"> </v>
      </c>
    </row>
    <row r="1537" spans="1:14" x14ac:dyDescent="0.25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56" t="str">
        <f>IFERROR(VLOOKUP(A1537,Shipped!I:J,2,)," ")</f>
        <v xml:space="preserve"> </v>
      </c>
    </row>
    <row r="1538" spans="1:14" x14ac:dyDescent="0.25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56" t="str">
        <f>IFERROR(VLOOKUP(A1538,Shipped!I:J,2,)," ")</f>
        <v xml:space="preserve"> </v>
      </c>
    </row>
    <row r="1539" spans="1:14" x14ac:dyDescent="0.25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56" t="str">
        <f>IFERROR(VLOOKUP(A1539,Shipped!I:J,2,)," ")</f>
        <v xml:space="preserve"> </v>
      </c>
    </row>
    <row r="1540" spans="1:14" x14ac:dyDescent="0.25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56" t="str">
        <f>IFERROR(VLOOKUP(A1540,Shipped!I:J,2,)," ")</f>
        <v xml:space="preserve"> </v>
      </c>
    </row>
    <row r="1541" spans="1:14" x14ac:dyDescent="0.25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56" t="str">
        <f>IFERROR(VLOOKUP(A1541,Shipped!I:J,2,)," ")</f>
        <v xml:space="preserve"> </v>
      </c>
    </row>
    <row r="1542" spans="1:14" x14ac:dyDescent="0.25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56" t="str">
        <f>IFERROR(VLOOKUP(A1542,Shipped!I:J,2,)," ")</f>
        <v xml:space="preserve"> </v>
      </c>
    </row>
    <row r="1543" spans="1:14" x14ac:dyDescent="0.25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56" t="str">
        <f>IFERROR(VLOOKUP(A1543,Shipped!I:J,2,)," ")</f>
        <v xml:space="preserve"> </v>
      </c>
    </row>
    <row r="1544" spans="1:14" x14ac:dyDescent="0.25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56" t="str">
        <f>IFERROR(VLOOKUP(A1544,Shipped!I:J,2,)," ")</f>
        <v xml:space="preserve"> </v>
      </c>
    </row>
    <row r="1545" spans="1:14" x14ac:dyDescent="0.25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56" t="str">
        <f>IFERROR(VLOOKUP(A1545,Shipped!I:J,2,)," ")</f>
        <v xml:space="preserve"> </v>
      </c>
    </row>
    <row r="1546" spans="1:14" x14ac:dyDescent="0.25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56" t="str">
        <f>IFERROR(VLOOKUP(A1546,Shipped!I:J,2,)," ")</f>
        <v xml:space="preserve"> </v>
      </c>
    </row>
    <row r="1547" spans="1:14" x14ac:dyDescent="0.25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56" t="str">
        <f>IFERROR(VLOOKUP(A1547,Shipped!I:J,2,)," ")</f>
        <v xml:space="preserve"> </v>
      </c>
    </row>
    <row r="1548" spans="1:14" x14ac:dyDescent="0.25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56" t="str">
        <f>IFERROR(VLOOKUP(A1548,Shipped!I:J,2,)," ")</f>
        <v xml:space="preserve"> </v>
      </c>
    </row>
    <row r="1549" spans="1:14" x14ac:dyDescent="0.25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56" t="str">
        <f>IFERROR(VLOOKUP(A1549,Shipped!I:J,2,)," ")</f>
        <v xml:space="preserve"> </v>
      </c>
    </row>
    <row r="1550" spans="1:14" x14ac:dyDescent="0.25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56" t="str">
        <f>IFERROR(VLOOKUP(A1550,Shipped!I:J,2,)," ")</f>
        <v xml:space="preserve"> </v>
      </c>
    </row>
    <row r="1551" spans="1:14" x14ac:dyDescent="0.25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56" t="str">
        <f>IFERROR(VLOOKUP(A1551,Shipped!I:J,2,)," ")</f>
        <v xml:space="preserve"> </v>
      </c>
    </row>
    <row r="1552" spans="1:14" x14ac:dyDescent="0.25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56" t="str">
        <f>IFERROR(VLOOKUP(A1552,Shipped!I:J,2,)," ")</f>
        <v xml:space="preserve"> </v>
      </c>
    </row>
    <row r="1553" spans="1:15" x14ac:dyDescent="0.25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56" t="str">
        <f>IFERROR(VLOOKUP(A1553,Shipped!I:J,2,)," ")</f>
        <v xml:space="preserve"> </v>
      </c>
    </row>
    <row r="1554" spans="1:15" x14ac:dyDescent="0.25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56" t="str">
        <f>IFERROR(VLOOKUP(A1554,Shipped!I:J,2,)," ")</f>
        <v xml:space="preserve"> </v>
      </c>
    </row>
    <row r="1555" spans="1:15" x14ac:dyDescent="0.25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56" t="str">
        <f>IFERROR(VLOOKUP(A1555,Shipped!I:J,2,)," ")</f>
        <v xml:space="preserve"> </v>
      </c>
    </row>
    <row r="1556" spans="1:15" x14ac:dyDescent="0.25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56" t="str">
        <f>IFERROR(VLOOKUP(A1556,Shipped!I:J,2,)," ")</f>
        <v xml:space="preserve"> </v>
      </c>
    </row>
    <row r="1557" spans="1:15" x14ac:dyDescent="0.25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56" t="str">
        <f>IFERROR(VLOOKUP(A1557,Shipped!I:J,2,)," ")</f>
        <v xml:space="preserve"> </v>
      </c>
    </row>
    <row r="1558" spans="1:15" x14ac:dyDescent="0.25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56" t="str">
        <f>IFERROR(VLOOKUP(A1558,Shipped!I:J,2,)," ")</f>
        <v xml:space="preserve"> </v>
      </c>
    </row>
    <row r="1559" spans="1:15" x14ac:dyDescent="0.25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56" t="str">
        <f>IFERROR(VLOOKUP(A1559,Shipped!I:J,2,)," ")</f>
        <v xml:space="preserve"> </v>
      </c>
    </row>
    <row r="1560" spans="1:15" x14ac:dyDescent="0.25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56" t="str">
        <f>IFERROR(VLOOKUP(A1560,Shipped!I:J,2,)," ")</f>
        <v xml:space="preserve"> </v>
      </c>
    </row>
    <row r="1561" spans="1:15" x14ac:dyDescent="0.25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56" t="str">
        <f>IFERROR(VLOOKUP(A1561,Shipped!I:J,2,)," ")</f>
        <v xml:space="preserve"> </v>
      </c>
    </row>
    <row r="1562" spans="1:15" x14ac:dyDescent="0.25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56" t="str">
        <f>IFERROR(VLOOKUP(A1562,Shipped!I:J,2,)," ")</f>
        <v xml:space="preserve"> </v>
      </c>
      <c r="O1562" s="7"/>
    </row>
    <row r="1563" spans="1:15" x14ac:dyDescent="0.25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56" t="str">
        <f>IFERROR(VLOOKUP(A1563,Shipped!I:J,2,)," ")</f>
        <v xml:space="preserve"> </v>
      </c>
    </row>
    <row r="1564" spans="1:15" x14ac:dyDescent="0.25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56" t="str">
        <f>IFERROR(VLOOKUP(A1564,Shipped!I:J,2,)," ")</f>
        <v xml:space="preserve"> </v>
      </c>
    </row>
    <row r="1565" spans="1:15" x14ac:dyDescent="0.25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56" t="str">
        <f>IFERROR(VLOOKUP(A1565,Shipped!I:J,2,)," ")</f>
        <v xml:space="preserve"> </v>
      </c>
    </row>
    <row r="1566" spans="1:15" x14ac:dyDescent="0.25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56" t="str">
        <f>IFERROR(VLOOKUP(A1566,Shipped!I:J,2,)," ")</f>
        <v xml:space="preserve"> </v>
      </c>
    </row>
    <row r="1567" spans="1:15" x14ac:dyDescent="0.25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56" t="str">
        <f>IFERROR(VLOOKUP(A1567,Shipped!I:J,2,)," ")</f>
        <v xml:space="preserve"> </v>
      </c>
    </row>
    <row r="1568" spans="1:15" x14ac:dyDescent="0.25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56" t="str">
        <f>IFERROR(VLOOKUP(A1568,Shipped!I:J,2,)," ")</f>
        <v xml:space="preserve"> </v>
      </c>
    </row>
    <row r="1569" spans="1:15" x14ac:dyDescent="0.25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56" t="str">
        <f>IFERROR(VLOOKUP(A1569,Shipped!I:J,2,)," ")</f>
        <v xml:space="preserve"> </v>
      </c>
    </row>
    <row r="1570" spans="1:15" x14ac:dyDescent="0.25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56" t="str">
        <f>IFERROR(VLOOKUP(A1570,Shipped!I:J,2,)," ")</f>
        <v xml:space="preserve"> </v>
      </c>
      <c r="O1570" s="7"/>
    </row>
    <row r="1571" spans="1:15" x14ac:dyDescent="0.25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56" t="str">
        <f>IFERROR(VLOOKUP(A1571,Shipped!I:J,2,)," ")</f>
        <v xml:space="preserve"> </v>
      </c>
      <c r="O1571" s="7"/>
    </row>
    <row r="1572" spans="1:15" x14ac:dyDescent="0.25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56" t="str">
        <f>IFERROR(VLOOKUP(A1572,Shipped!I:J,2,)," ")</f>
        <v xml:space="preserve"> </v>
      </c>
      <c r="O1572" s="7"/>
    </row>
    <row r="1573" spans="1:15" x14ac:dyDescent="0.25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56" t="str">
        <f>IFERROR(VLOOKUP(A1573,Shipped!I:J,2,)," ")</f>
        <v xml:space="preserve"> </v>
      </c>
      <c r="O1573" s="7"/>
    </row>
    <row r="1574" spans="1:15" x14ac:dyDescent="0.25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56" t="str">
        <f>IFERROR(VLOOKUP(A1574,Shipped!I:J,2,)," ")</f>
        <v xml:space="preserve"> </v>
      </c>
      <c r="O1574" s="7"/>
    </row>
    <row r="1575" spans="1:15" x14ac:dyDescent="0.25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56" t="str">
        <f>IFERROR(VLOOKUP(A1575,Shipped!I:J,2,)," ")</f>
        <v xml:space="preserve"> </v>
      </c>
    </row>
    <row r="1576" spans="1:15" x14ac:dyDescent="0.25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56" t="str">
        <f>IFERROR(VLOOKUP(A1576,Shipped!I:J,2,)," ")</f>
        <v xml:space="preserve"> </v>
      </c>
    </row>
    <row r="1577" spans="1:15" x14ac:dyDescent="0.25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56" t="str">
        <f>IFERROR(VLOOKUP(A1577,Shipped!I:J,2,)," ")</f>
        <v xml:space="preserve"> </v>
      </c>
    </row>
    <row r="1578" spans="1:15" x14ac:dyDescent="0.25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56" t="str">
        <f>IFERROR(VLOOKUP(A1578,Shipped!I:J,2,)," ")</f>
        <v xml:space="preserve"> </v>
      </c>
    </row>
    <row r="1579" spans="1:15" x14ac:dyDescent="0.25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56" t="str">
        <f>IFERROR(VLOOKUP(A1579,Shipped!I:J,2,)," ")</f>
        <v xml:space="preserve"> </v>
      </c>
    </row>
    <row r="1580" spans="1:15" x14ac:dyDescent="0.25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56" t="str">
        <f>IFERROR(VLOOKUP(A1580,Shipped!I:J,2,)," ")</f>
        <v xml:space="preserve"> </v>
      </c>
    </row>
    <row r="1581" spans="1:15" x14ac:dyDescent="0.25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56" t="str">
        <f>IFERROR(VLOOKUP(A1581,Shipped!I:J,2,)," ")</f>
        <v xml:space="preserve"> </v>
      </c>
    </row>
    <row r="1582" spans="1:15" x14ac:dyDescent="0.25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56" t="str">
        <f>IFERROR(VLOOKUP(A1582,Shipped!I:J,2,)," ")</f>
        <v xml:space="preserve"> </v>
      </c>
    </row>
    <row r="1583" spans="1:15" x14ac:dyDescent="0.25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56">
        <f>IFERROR(VLOOKUP(A1583,Shipped!I:J,2,)," ")</f>
        <v>46155</v>
      </c>
    </row>
    <row r="1584" spans="1:15" x14ac:dyDescent="0.25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56">
        <f>IFERROR(VLOOKUP(A1584,Shipped!I:J,2,)," ")</f>
        <v>46155</v>
      </c>
    </row>
    <row r="1585" spans="1:14" x14ac:dyDescent="0.25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56" t="str">
        <f>IFERROR(VLOOKUP(A1585,Shipped!I:J,2,)," ")</f>
        <v xml:space="preserve"> </v>
      </c>
    </row>
    <row r="1586" spans="1:14" x14ac:dyDescent="0.25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56">
        <f>IFERROR(VLOOKUP(A1586,Shipped!I:J,2,)," ")</f>
        <v>46155</v>
      </c>
    </row>
    <row r="1587" spans="1:14" x14ac:dyDescent="0.25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56">
        <f>IFERROR(VLOOKUP(A1587,Shipped!I:J,2,)," ")</f>
        <v>46155</v>
      </c>
    </row>
    <row r="1588" spans="1:14" x14ac:dyDescent="0.25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56" t="str">
        <f>IFERROR(VLOOKUP(A1588,Shipped!I:J,2,)," ")</f>
        <v xml:space="preserve"> </v>
      </c>
    </row>
    <row r="1589" spans="1:14" x14ac:dyDescent="0.25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56" t="str">
        <f>IFERROR(VLOOKUP(A1589,Shipped!I:J,2,)," ")</f>
        <v xml:space="preserve"> </v>
      </c>
    </row>
    <row r="1590" spans="1:14" x14ac:dyDescent="0.25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56" t="str">
        <f>IFERROR(VLOOKUP(A1590,Shipped!I:J,2,)," ")</f>
        <v xml:space="preserve"> </v>
      </c>
    </row>
    <row r="1591" spans="1:14" x14ac:dyDescent="0.25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56">
        <f>IFERROR(VLOOKUP(A1591,Shipped!I:J,2,)," ")</f>
        <v>46155</v>
      </c>
    </row>
    <row r="1592" spans="1:14" x14ac:dyDescent="0.25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56">
        <f>IFERROR(VLOOKUP(A1592,Shipped!I:J,2,)," ")</f>
        <v>46150</v>
      </c>
    </row>
    <row r="1593" spans="1:14" x14ac:dyDescent="0.25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56" t="str">
        <f>IFERROR(VLOOKUP(A1593,Shipped!I:J,2,)," ")</f>
        <v xml:space="preserve"> </v>
      </c>
    </row>
    <row r="1594" spans="1:14" x14ac:dyDescent="0.25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56" t="str">
        <f>IFERROR(VLOOKUP(A1594,Shipped!I:J,2,)," ")</f>
        <v xml:space="preserve"> </v>
      </c>
    </row>
    <row r="1595" spans="1:14" x14ac:dyDescent="0.25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56" t="str">
        <f>IFERROR(VLOOKUP(A1595,Shipped!I:J,2,)," ")</f>
        <v xml:space="preserve"> </v>
      </c>
    </row>
    <row r="1596" spans="1:14" x14ac:dyDescent="0.25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56" t="str">
        <f>IFERROR(VLOOKUP(A1596,Shipped!I:J,2,)," ")</f>
        <v xml:space="preserve"> </v>
      </c>
    </row>
    <row r="1597" spans="1:14" x14ac:dyDescent="0.25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56">
        <f>IFERROR(VLOOKUP(A1597,Shipped!I:J,2,)," ")</f>
        <v>46150</v>
      </c>
    </row>
    <row r="1598" spans="1:14" x14ac:dyDescent="0.25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56">
        <f>IFERROR(VLOOKUP(A1598,Shipped!I:J,2,)," ")</f>
        <v>46150</v>
      </c>
    </row>
    <row r="1599" spans="1:14" x14ac:dyDescent="0.25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56" t="str">
        <f>IFERROR(VLOOKUP(A1599,Shipped!I:J,2,)," ")</f>
        <v xml:space="preserve"> </v>
      </c>
    </row>
    <row r="1600" spans="1:14" x14ac:dyDescent="0.25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56" t="str">
        <f>IFERROR(VLOOKUP(A1600,Shipped!I:J,2,)," ")</f>
        <v xml:space="preserve"> </v>
      </c>
    </row>
    <row r="1601" spans="1:14" x14ac:dyDescent="0.25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56" t="str">
        <f>IFERROR(VLOOKUP(A1601,Shipped!I:J,2,)," ")</f>
        <v xml:space="preserve"> </v>
      </c>
    </row>
    <row r="1602" spans="1:14" x14ac:dyDescent="0.25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56" t="str">
        <f>IFERROR(VLOOKUP(A1602,Shipped!I:J,2,)," ")</f>
        <v xml:space="preserve"> </v>
      </c>
    </row>
    <row r="1603" spans="1:14" x14ac:dyDescent="0.25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56">
        <f>IFERROR(VLOOKUP(A1603,Shipped!I:J,2,)," ")</f>
        <v>46155</v>
      </c>
    </row>
    <row r="1604" spans="1:14" x14ac:dyDescent="0.25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56" t="str">
        <f>IFERROR(VLOOKUP(A1604,Shipped!I:J,2,)," ")</f>
        <v xml:space="preserve"> </v>
      </c>
    </row>
    <row r="1605" spans="1:14" x14ac:dyDescent="0.25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56" t="str">
        <f>IFERROR(VLOOKUP(A1605,Shipped!I:J,2,)," ")</f>
        <v xml:space="preserve"> </v>
      </c>
    </row>
    <row r="1606" spans="1:14" x14ac:dyDescent="0.25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56" t="str">
        <f>IFERROR(VLOOKUP(A1606,Shipped!I:J,2,)," ")</f>
        <v xml:space="preserve"> </v>
      </c>
    </row>
    <row r="1607" spans="1:14" x14ac:dyDescent="0.25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56">
        <f>IFERROR(VLOOKUP(A1607,Shipped!I:J,2,)," ")</f>
        <v>46155</v>
      </c>
    </row>
    <row r="1608" spans="1:14" x14ac:dyDescent="0.25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56" t="str">
        <f>IFERROR(VLOOKUP(A1608,Shipped!I:J,2,)," ")</f>
        <v xml:space="preserve"> </v>
      </c>
    </row>
    <row r="1609" spans="1:14" x14ac:dyDescent="0.25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56">
        <f>IFERROR(VLOOKUP(A1609,Shipped!I:J,2,)," ")</f>
        <v>46155</v>
      </c>
    </row>
    <row r="1610" spans="1:14" x14ac:dyDescent="0.25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56" t="str">
        <f>IFERROR(VLOOKUP(A1610,Shipped!I:J,2,)," ")</f>
        <v xml:space="preserve"> </v>
      </c>
    </row>
    <row r="1611" spans="1:14" x14ac:dyDescent="0.25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56">
        <f>IFERROR(VLOOKUP(A1611,Shipped!I:J,2,)," ")</f>
        <v>46155</v>
      </c>
    </row>
    <row r="1612" spans="1:14" x14ac:dyDescent="0.25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56">
        <f>IFERROR(VLOOKUP(A1612,Shipped!I:J,2,)," ")</f>
        <v>46155</v>
      </c>
    </row>
    <row r="1613" spans="1:14" x14ac:dyDescent="0.25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56" t="str">
        <f>IFERROR(VLOOKUP(A1613,Shipped!I:J,2,)," ")</f>
        <v xml:space="preserve"> </v>
      </c>
    </row>
    <row r="1614" spans="1:14" x14ac:dyDescent="0.25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56">
        <f>IFERROR(VLOOKUP(A1614,Shipped!I:J,2,)," ")</f>
        <v>46155</v>
      </c>
    </row>
    <row r="1615" spans="1:14" x14ac:dyDescent="0.25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56" t="str">
        <f>IFERROR(VLOOKUP(A1615,Shipped!I:J,2,)," ")</f>
        <v xml:space="preserve"> </v>
      </c>
    </row>
    <row r="1616" spans="1:14" x14ac:dyDescent="0.25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56">
        <f>IFERROR(VLOOKUP(A1616,Shipped!I:J,2,)," ")</f>
        <v>46155</v>
      </c>
    </row>
    <row r="1617" spans="1:14" x14ac:dyDescent="0.25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56" t="str">
        <f>IFERROR(VLOOKUP(A1617,Shipped!I:J,2,)," ")</f>
        <v xml:space="preserve"> </v>
      </c>
    </row>
    <row r="1618" spans="1:14" x14ac:dyDescent="0.25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56" t="str">
        <f>IFERROR(VLOOKUP(A1618,Shipped!I:J,2,)," ")</f>
        <v xml:space="preserve"> </v>
      </c>
    </row>
    <row r="1619" spans="1:14" x14ac:dyDescent="0.25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56" t="str">
        <f>IFERROR(VLOOKUP(A1619,Shipped!I:J,2,)," ")</f>
        <v xml:space="preserve"> </v>
      </c>
    </row>
    <row r="1620" spans="1:14" x14ac:dyDescent="0.25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56" t="str">
        <f>IFERROR(VLOOKUP(A1620,Shipped!I:J,2,)," ")</f>
        <v xml:space="preserve"> </v>
      </c>
    </row>
    <row r="1621" spans="1:14" x14ac:dyDescent="0.25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56" t="str">
        <f>IFERROR(VLOOKUP(A1621,Shipped!I:J,2,)," ")</f>
        <v xml:space="preserve"> </v>
      </c>
    </row>
    <row r="1622" spans="1:14" x14ac:dyDescent="0.25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56" t="str">
        <f>IFERROR(VLOOKUP(A1622,Shipped!I:J,2,)," ")</f>
        <v xml:space="preserve"> </v>
      </c>
    </row>
    <row r="1623" spans="1:14" x14ac:dyDescent="0.25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56" t="str">
        <f>IFERROR(VLOOKUP(A1623,Shipped!I:J,2,)," ")</f>
        <v xml:space="preserve"> </v>
      </c>
    </row>
    <row r="1624" spans="1:14" x14ac:dyDescent="0.25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56" t="str">
        <f>IFERROR(VLOOKUP(A1624,Shipped!I:J,2,)," ")</f>
        <v xml:space="preserve"> </v>
      </c>
    </row>
    <row r="1625" spans="1:14" x14ac:dyDescent="0.25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56" t="str">
        <f>IFERROR(VLOOKUP(A1625,Shipped!I:J,2,)," ")</f>
        <v xml:space="preserve"> </v>
      </c>
    </row>
    <row r="1626" spans="1:14" x14ac:dyDescent="0.25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56" t="str">
        <f>IFERROR(VLOOKUP(A1626,Shipped!I:J,2,)," ")</f>
        <v xml:space="preserve"> </v>
      </c>
    </row>
    <row r="1627" spans="1:14" x14ac:dyDescent="0.25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56" t="str">
        <f>IFERROR(VLOOKUP(A1627,Shipped!I:J,2,)," ")</f>
        <v xml:space="preserve"> </v>
      </c>
    </row>
    <row r="1628" spans="1:14" x14ac:dyDescent="0.25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56" t="str">
        <f>IFERROR(VLOOKUP(A1628,Shipped!I:J,2,)," ")</f>
        <v xml:space="preserve"> </v>
      </c>
    </row>
    <row r="1629" spans="1:14" x14ac:dyDescent="0.25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56" t="str">
        <f>IFERROR(VLOOKUP(A1629,Shipped!I:J,2,)," ")</f>
        <v xml:space="preserve"> </v>
      </c>
    </row>
    <row r="1630" spans="1:14" x14ac:dyDescent="0.25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56" t="str">
        <f>IFERROR(VLOOKUP(A1630,Shipped!I:J,2,)," ")</f>
        <v xml:space="preserve"> </v>
      </c>
    </row>
    <row r="1631" spans="1:14" x14ac:dyDescent="0.25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56" t="str">
        <f>IFERROR(VLOOKUP(A1631,Shipped!I:J,2,)," ")</f>
        <v xml:space="preserve"> </v>
      </c>
    </row>
    <row r="1632" spans="1:14" x14ac:dyDescent="0.25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56" t="str">
        <f>IFERROR(VLOOKUP(A1632,Shipped!I:J,2,)," ")</f>
        <v xml:space="preserve"> </v>
      </c>
    </row>
    <row r="1633" spans="1:14" x14ac:dyDescent="0.25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56" t="str">
        <f>IFERROR(VLOOKUP(A1633,Shipped!I:J,2,)," ")</f>
        <v xml:space="preserve"> </v>
      </c>
    </row>
    <row r="1634" spans="1:14" x14ac:dyDescent="0.25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56" t="str">
        <f>IFERROR(VLOOKUP(A1634,Shipped!I:J,2,)," ")</f>
        <v xml:space="preserve"> </v>
      </c>
    </row>
    <row r="1635" spans="1:14" x14ac:dyDescent="0.25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56" t="str">
        <f>IFERROR(VLOOKUP(A1635,Shipped!I:J,2,)," ")</f>
        <v xml:space="preserve"> </v>
      </c>
    </row>
    <row r="1636" spans="1:14" x14ac:dyDescent="0.25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56" t="str">
        <f>IFERROR(VLOOKUP(A1636,Shipped!I:J,2,)," ")</f>
        <v xml:space="preserve"> </v>
      </c>
    </row>
    <row r="1637" spans="1:14" x14ac:dyDescent="0.25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56" t="str">
        <f>IFERROR(VLOOKUP(A1637,Shipped!I:J,2,)," ")</f>
        <v xml:space="preserve"> </v>
      </c>
    </row>
    <row r="1638" spans="1:14" x14ac:dyDescent="0.25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56" t="str">
        <f>IFERROR(VLOOKUP(A1638,Shipped!I:J,2,)," ")</f>
        <v xml:space="preserve"> </v>
      </c>
    </row>
    <row r="1639" spans="1:14" x14ac:dyDescent="0.25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56">
        <f>IFERROR(VLOOKUP(A1639,Shipped!I:J,2,)," ")</f>
        <v>46155</v>
      </c>
    </row>
    <row r="1640" spans="1:14" x14ac:dyDescent="0.25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56" t="str">
        <f>IFERROR(VLOOKUP(A1640,Shipped!I:J,2,)," ")</f>
        <v xml:space="preserve"> </v>
      </c>
    </row>
    <row r="1641" spans="1:14" x14ac:dyDescent="0.25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56">
        <f>IFERROR(VLOOKUP(A1641,Shipped!I:J,2,)," ")</f>
        <v>46195</v>
      </c>
    </row>
    <row r="1642" spans="1:14" x14ac:dyDescent="0.25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56">
        <f>IFERROR(VLOOKUP(A1642,Shipped!I:J,2,)," ")</f>
        <v>46155</v>
      </c>
    </row>
    <row r="1643" spans="1:14" x14ac:dyDescent="0.25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56">
        <f>IFERROR(VLOOKUP(A1643,Shipped!I:J,2,)," ")</f>
        <v>46150</v>
      </c>
    </row>
    <row r="1644" spans="1:14" x14ac:dyDescent="0.25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56" t="str">
        <f>IFERROR(VLOOKUP(A1644,Shipped!I:J,2,)," ")</f>
        <v xml:space="preserve"> </v>
      </c>
    </row>
    <row r="1645" spans="1:14" x14ac:dyDescent="0.25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56">
        <f>IFERROR(VLOOKUP(A1645,Shipped!I:J,2,)," ")</f>
        <v>46175</v>
      </c>
    </row>
    <row r="1646" spans="1:14" x14ac:dyDescent="0.25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56" t="str">
        <f>IFERROR(VLOOKUP(A1646,Shipped!I:J,2,)," ")</f>
        <v xml:space="preserve"> </v>
      </c>
    </row>
    <row r="1647" spans="1:14" x14ac:dyDescent="0.25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56" t="str">
        <f>IFERROR(VLOOKUP(A1647,Shipped!I:J,2,)," ")</f>
        <v xml:space="preserve"> </v>
      </c>
    </row>
    <row r="1648" spans="1:14" x14ac:dyDescent="0.25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56">
        <f>IFERROR(VLOOKUP(A1648,Shipped!I:J,2,)," ")</f>
        <v>46175</v>
      </c>
    </row>
    <row r="1649" spans="1:14" x14ac:dyDescent="0.25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56" t="str">
        <f>IFERROR(VLOOKUP(A1649,Shipped!I:J,2,)," ")</f>
        <v xml:space="preserve"> </v>
      </c>
    </row>
    <row r="1650" spans="1:14" x14ac:dyDescent="0.25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56" t="str">
        <f>IFERROR(VLOOKUP(A1650,Shipped!I:J,2,)," ")</f>
        <v xml:space="preserve"> </v>
      </c>
    </row>
    <row r="1651" spans="1:14" x14ac:dyDescent="0.25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56" t="str">
        <f>IFERROR(VLOOKUP(A1651,Shipped!I:J,2,)," ")</f>
        <v xml:space="preserve"> </v>
      </c>
    </row>
    <row r="1652" spans="1:14" x14ac:dyDescent="0.25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56" t="str">
        <f>IFERROR(VLOOKUP(A1652,Shipped!I:J,2,)," ")</f>
        <v xml:space="preserve"> </v>
      </c>
    </row>
    <row r="1653" spans="1:14" x14ac:dyDescent="0.25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56" t="str">
        <f>IFERROR(VLOOKUP(A1653,Shipped!I:J,2,)," ")</f>
        <v xml:space="preserve"> </v>
      </c>
    </row>
    <row r="1654" spans="1:14" x14ac:dyDescent="0.25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56" t="str">
        <f>IFERROR(VLOOKUP(A1654,Shipped!I:J,2,)," ")</f>
        <v xml:space="preserve"> </v>
      </c>
    </row>
    <row r="1655" spans="1:14" x14ac:dyDescent="0.25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56">
        <f>IFERROR(VLOOKUP(A1655,Shipped!I:J,2,)," ")</f>
        <v>46175</v>
      </c>
    </row>
    <row r="1656" spans="1:14" x14ac:dyDescent="0.25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56" t="str">
        <f>IFERROR(VLOOKUP(A1656,Shipped!I:J,2,)," ")</f>
        <v xml:space="preserve"> </v>
      </c>
    </row>
    <row r="1657" spans="1:14" x14ac:dyDescent="0.25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56" t="str">
        <f>IFERROR(VLOOKUP(A1657,Shipped!I:J,2,)," ")</f>
        <v xml:space="preserve"> </v>
      </c>
    </row>
    <row r="1658" spans="1:14" x14ac:dyDescent="0.25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56" t="str">
        <f>IFERROR(VLOOKUP(A1658,Shipped!I:J,2,)," ")</f>
        <v xml:space="preserve"> </v>
      </c>
    </row>
    <row r="1659" spans="1:14" x14ac:dyDescent="0.25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56" t="str">
        <f>IFERROR(VLOOKUP(A1659,Shipped!I:J,2,)," ")</f>
        <v xml:space="preserve"> </v>
      </c>
    </row>
    <row r="1660" spans="1:14" x14ac:dyDescent="0.25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56">
        <f>IFERROR(VLOOKUP(A1660,Shipped!I:J,2,)," ")</f>
        <v>46175</v>
      </c>
    </row>
    <row r="1661" spans="1:14" x14ac:dyDescent="0.25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56" t="str">
        <f>IFERROR(VLOOKUP(A1661,Shipped!I:J,2,)," ")</f>
        <v xml:space="preserve"> </v>
      </c>
    </row>
    <row r="1662" spans="1:14" x14ac:dyDescent="0.25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56" t="str">
        <f>IFERROR(VLOOKUP(A1662,Shipped!I:J,2,)," ")</f>
        <v xml:space="preserve"> </v>
      </c>
    </row>
    <row r="1663" spans="1:14" x14ac:dyDescent="0.25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56" t="str">
        <f>IFERROR(VLOOKUP(A1663,Shipped!I:J,2,)," ")</f>
        <v xml:space="preserve"> </v>
      </c>
    </row>
    <row r="1664" spans="1:14" x14ac:dyDescent="0.25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56">
        <f>IFERROR(VLOOKUP(A1664,Shipped!I:J,2,)," ")</f>
        <v>46175</v>
      </c>
    </row>
    <row r="1665" spans="1:14" x14ac:dyDescent="0.25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56" t="str">
        <f>IFERROR(VLOOKUP(A1665,Shipped!I:J,2,)," ")</f>
        <v xml:space="preserve"> </v>
      </c>
    </row>
    <row r="1666" spans="1:14" x14ac:dyDescent="0.25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56" t="str">
        <f>IFERROR(VLOOKUP(A1666,Shipped!I:J,2,)," ")</f>
        <v xml:space="preserve"> </v>
      </c>
    </row>
    <row r="1667" spans="1:14" x14ac:dyDescent="0.25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56" t="str">
        <f>IFERROR(VLOOKUP(A1667,Shipped!I:J,2,)," ")</f>
        <v xml:space="preserve"> </v>
      </c>
    </row>
    <row r="1668" spans="1:14" x14ac:dyDescent="0.25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56" t="str">
        <f>IFERROR(VLOOKUP(A1668,Shipped!I:J,2,)," ")</f>
        <v xml:space="preserve"> </v>
      </c>
    </row>
    <row r="1669" spans="1:14" x14ac:dyDescent="0.25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56" t="str">
        <f>IFERROR(VLOOKUP(A1669,Shipped!I:J,2,)," ")</f>
        <v xml:space="preserve"> </v>
      </c>
    </row>
    <row r="1670" spans="1:14" x14ac:dyDescent="0.25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56" t="str">
        <f>IFERROR(VLOOKUP(A1670,Shipped!I:J,2,)," ")</f>
        <v xml:space="preserve"> </v>
      </c>
    </row>
    <row r="1671" spans="1:14" x14ac:dyDescent="0.25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56" t="str">
        <f>IFERROR(VLOOKUP(A1671,Shipped!I:J,2,)," ")</f>
        <v xml:space="preserve"> </v>
      </c>
    </row>
    <row r="1672" spans="1:14" x14ac:dyDescent="0.25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56">
        <f>IFERROR(VLOOKUP(A1672,Shipped!I:J,2,)," ")</f>
        <v>46175</v>
      </c>
    </row>
    <row r="1673" spans="1:14" x14ac:dyDescent="0.25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56">
        <f>IFERROR(VLOOKUP(A1673,Shipped!I:J,2,)," ")</f>
        <v>46175</v>
      </c>
    </row>
    <row r="1674" spans="1:14" x14ac:dyDescent="0.25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56">
        <f>IFERROR(VLOOKUP(A1674,Shipped!I:J,2,)," ")</f>
        <v>46175</v>
      </c>
    </row>
    <row r="1675" spans="1:14" x14ac:dyDescent="0.25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56" t="str">
        <f>IFERROR(VLOOKUP(A1675,Shipped!I:J,2,)," ")</f>
        <v xml:space="preserve"> </v>
      </c>
    </row>
    <row r="1676" spans="1:14" x14ac:dyDescent="0.25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56">
        <f>IFERROR(VLOOKUP(A1676,Shipped!I:J,2,)," ")</f>
        <v>46175</v>
      </c>
    </row>
    <row r="1677" spans="1:14" x14ac:dyDescent="0.25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56" t="str">
        <f>IFERROR(VLOOKUP(A1677,Shipped!I:J,2,)," ")</f>
        <v xml:space="preserve"> </v>
      </c>
    </row>
    <row r="1678" spans="1:14" x14ac:dyDescent="0.25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56" t="str">
        <f>IFERROR(VLOOKUP(A1678,Shipped!I:J,2,)," ")</f>
        <v xml:space="preserve"> </v>
      </c>
    </row>
    <row r="1679" spans="1:14" x14ac:dyDescent="0.25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56" t="str">
        <f>IFERROR(VLOOKUP(A1679,Shipped!I:J,2,)," ")</f>
        <v xml:space="preserve"> </v>
      </c>
    </row>
    <row r="1680" spans="1:14" x14ac:dyDescent="0.25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56">
        <f>IFERROR(VLOOKUP(A1680,Shipped!I:J,2,)," ")</f>
        <v>46273</v>
      </c>
    </row>
    <row r="1681" spans="1:14" x14ac:dyDescent="0.25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56" t="str">
        <f>IFERROR(VLOOKUP(A1681,Shipped!I:J,2,)," ")</f>
        <v xml:space="preserve"> </v>
      </c>
    </row>
    <row r="1682" spans="1:14" x14ac:dyDescent="0.25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56">
        <f>IFERROR(VLOOKUP(A1682,Shipped!I:J,2,)," ")</f>
        <v>46175</v>
      </c>
    </row>
    <row r="1683" spans="1:14" x14ac:dyDescent="0.25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56" t="str">
        <f>IFERROR(VLOOKUP(A1683,Shipped!I:J,2,)," ")</f>
        <v xml:space="preserve"> </v>
      </c>
    </row>
    <row r="1684" spans="1:14" x14ac:dyDescent="0.25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56" t="str">
        <f>IFERROR(VLOOKUP(A1684,Shipped!I:J,2,)," ")</f>
        <v xml:space="preserve"> </v>
      </c>
    </row>
    <row r="1685" spans="1:14" x14ac:dyDescent="0.25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56" t="str">
        <f>IFERROR(VLOOKUP(A1685,Shipped!I:J,2,)," ")</f>
        <v xml:space="preserve"> </v>
      </c>
    </row>
    <row r="1686" spans="1:14" x14ac:dyDescent="0.25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56" t="str">
        <f>IFERROR(VLOOKUP(A1686,Shipped!I:J,2,)," ")</f>
        <v xml:space="preserve"> </v>
      </c>
    </row>
    <row r="1687" spans="1:14" x14ac:dyDescent="0.25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56" t="str">
        <f>IFERROR(VLOOKUP(A1687,Shipped!I:J,2,)," ")</f>
        <v xml:space="preserve"> </v>
      </c>
    </row>
    <row r="1688" spans="1:14" x14ac:dyDescent="0.25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56" t="str">
        <f>IFERROR(VLOOKUP(A1688,Shipped!I:J,2,)," ")</f>
        <v xml:space="preserve"> </v>
      </c>
    </row>
    <row r="1689" spans="1:14" x14ac:dyDescent="0.25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56" t="str">
        <f>IFERROR(VLOOKUP(A1689,Shipped!I:J,2,)," ")</f>
        <v xml:space="preserve"> </v>
      </c>
    </row>
    <row r="1690" spans="1:14" x14ac:dyDescent="0.25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56" t="str">
        <f>IFERROR(VLOOKUP(A1690,Shipped!I:J,2,)," ")</f>
        <v xml:space="preserve"> </v>
      </c>
    </row>
    <row r="1691" spans="1:14" x14ac:dyDescent="0.25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56" t="str">
        <f>IFERROR(VLOOKUP(A1691,Shipped!I:J,2,)," ")</f>
        <v xml:space="preserve"> </v>
      </c>
    </row>
    <row r="1692" spans="1:14" x14ac:dyDescent="0.25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56" t="str">
        <f>IFERROR(VLOOKUP(A1692,Shipped!I:J,2,)," ")</f>
        <v xml:space="preserve"> </v>
      </c>
    </row>
    <row r="1693" spans="1:14" x14ac:dyDescent="0.25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56">
        <f>IFERROR(VLOOKUP(A1693,Shipped!I:J,2,)," ")</f>
        <v>46175</v>
      </c>
    </row>
    <row r="1694" spans="1:14" x14ac:dyDescent="0.25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56" t="str">
        <f>IFERROR(VLOOKUP(A1694,Shipped!I:J,2,)," ")</f>
        <v xml:space="preserve"> </v>
      </c>
    </row>
    <row r="1695" spans="1:14" x14ac:dyDescent="0.25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56" t="str">
        <f>IFERROR(VLOOKUP(A1695,Shipped!I:J,2,)," ")</f>
        <v xml:space="preserve"> </v>
      </c>
    </row>
    <row r="1696" spans="1:14" x14ac:dyDescent="0.25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56" t="str">
        <f>IFERROR(VLOOKUP(A1696,Shipped!I:J,2,)," ")</f>
        <v xml:space="preserve"> </v>
      </c>
    </row>
    <row r="1697" spans="1:14" x14ac:dyDescent="0.25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56">
        <f>IFERROR(VLOOKUP(A1697,Shipped!I:J,2,)," ")</f>
        <v>46175</v>
      </c>
    </row>
    <row r="1698" spans="1:14" x14ac:dyDescent="0.25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56">
        <f>IFERROR(VLOOKUP(A1698,Shipped!I:J,2,)," ")</f>
        <v>46175</v>
      </c>
    </row>
    <row r="1699" spans="1:14" x14ac:dyDescent="0.25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56">
        <f>IFERROR(VLOOKUP(A1699,Shipped!I:J,2,)," ")</f>
        <v>46175</v>
      </c>
    </row>
    <row r="1700" spans="1:14" x14ac:dyDescent="0.25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56" t="str">
        <f>IFERROR(VLOOKUP(A1700,Shipped!I:J,2,)," ")</f>
        <v xml:space="preserve"> </v>
      </c>
    </row>
    <row r="1701" spans="1:14" x14ac:dyDescent="0.25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56" t="str">
        <f>IFERROR(VLOOKUP(A1701,Shipped!I:J,2,)," ")</f>
        <v xml:space="preserve"> </v>
      </c>
    </row>
    <row r="1702" spans="1:14" x14ac:dyDescent="0.25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56" t="str">
        <f>IFERROR(VLOOKUP(A1702,Shipped!I:J,2,)," ")</f>
        <v xml:space="preserve"> </v>
      </c>
    </row>
    <row r="1703" spans="1:14" x14ac:dyDescent="0.25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56" t="str">
        <f>IFERROR(VLOOKUP(A1703,Shipped!I:J,2,)," ")</f>
        <v xml:space="preserve"> </v>
      </c>
    </row>
    <row r="1704" spans="1:14" x14ac:dyDescent="0.25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56" t="str">
        <f>IFERROR(VLOOKUP(A1704,Shipped!I:J,2,)," ")</f>
        <v xml:space="preserve"> </v>
      </c>
    </row>
    <row r="1705" spans="1:14" x14ac:dyDescent="0.25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56" t="str">
        <f>IFERROR(VLOOKUP(A1705,Shipped!I:J,2,)," ")</f>
        <v xml:space="preserve"> </v>
      </c>
    </row>
    <row r="1706" spans="1:14" x14ac:dyDescent="0.25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56" t="str">
        <f>IFERROR(VLOOKUP(A1706,Shipped!I:J,2,)," ")</f>
        <v xml:space="preserve"> </v>
      </c>
    </row>
    <row r="1707" spans="1:14" x14ac:dyDescent="0.25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56" t="str">
        <f>IFERROR(VLOOKUP(A1707,Shipped!I:J,2,)," ")</f>
        <v xml:space="preserve"> </v>
      </c>
    </row>
    <row r="1708" spans="1:14" x14ac:dyDescent="0.25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56" t="str">
        <f>IFERROR(VLOOKUP(A1708,Shipped!I:J,2,)," ")</f>
        <v xml:space="preserve"> </v>
      </c>
    </row>
    <row r="1709" spans="1:14" x14ac:dyDescent="0.25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56" t="str">
        <f>IFERROR(VLOOKUP(A1709,Shipped!I:J,2,)," ")</f>
        <v xml:space="preserve"> </v>
      </c>
    </row>
    <row r="1710" spans="1:14" x14ac:dyDescent="0.25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56" t="str">
        <f>IFERROR(VLOOKUP(A1710,Shipped!I:J,2,)," ")</f>
        <v xml:space="preserve"> </v>
      </c>
    </row>
    <row r="1711" spans="1:14" x14ac:dyDescent="0.25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56" t="str">
        <f>IFERROR(VLOOKUP(A1711,Shipped!I:J,2,)," ")</f>
        <v xml:space="preserve"> </v>
      </c>
    </row>
    <row r="1712" spans="1:14" x14ac:dyDescent="0.25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56" t="str">
        <f>IFERROR(VLOOKUP(A1712,Shipped!I:J,2,)," ")</f>
        <v xml:space="preserve"> </v>
      </c>
    </row>
    <row r="1713" spans="1:14" x14ac:dyDescent="0.25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56" t="str">
        <f>IFERROR(VLOOKUP(A1713,Shipped!I:J,2,)," ")</f>
        <v xml:space="preserve"> </v>
      </c>
    </row>
    <row r="1714" spans="1:14" x14ac:dyDescent="0.25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56" t="str">
        <f>IFERROR(VLOOKUP(A1714,Shipped!I:J,2,)," ")</f>
        <v xml:space="preserve"> </v>
      </c>
    </row>
    <row r="1715" spans="1:14" x14ac:dyDescent="0.25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56" t="str">
        <f>IFERROR(VLOOKUP(A1715,Shipped!I:J,2,)," ")</f>
        <v xml:space="preserve"> </v>
      </c>
    </row>
    <row r="1716" spans="1:14" x14ac:dyDescent="0.25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56" t="str">
        <f>IFERROR(VLOOKUP(A1716,Shipped!I:J,2,)," ")</f>
        <v xml:space="preserve"> </v>
      </c>
    </row>
    <row r="1717" spans="1:14" x14ac:dyDescent="0.25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56" t="str">
        <f>IFERROR(VLOOKUP(A1717,Shipped!I:J,2,)," ")</f>
        <v xml:space="preserve"> </v>
      </c>
    </row>
    <row r="1718" spans="1:14" x14ac:dyDescent="0.25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56" t="str">
        <f>IFERROR(VLOOKUP(A1718,Shipped!I:J,2,)," ")</f>
        <v xml:space="preserve"> </v>
      </c>
    </row>
    <row r="1719" spans="1:14" x14ac:dyDescent="0.25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56" t="str">
        <f>IFERROR(VLOOKUP(A1719,Shipped!I:J,2,)," ")</f>
        <v xml:space="preserve"> </v>
      </c>
    </row>
    <row r="1720" spans="1:14" x14ac:dyDescent="0.25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56" t="str">
        <f>IFERROR(VLOOKUP(A1720,Shipped!I:J,2,)," ")</f>
        <v xml:space="preserve"> </v>
      </c>
    </row>
    <row r="1721" spans="1:14" x14ac:dyDescent="0.25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56" t="str">
        <f>IFERROR(VLOOKUP(A1721,Shipped!I:J,2,)," ")</f>
        <v xml:space="preserve"> </v>
      </c>
    </row>
    <row r="1722" spans="1:14" x14ac:dyDescent="0.25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56" t="str">
        <f>IFERROR(VLOOKUP(A1722,Shipped!I:J,2,)," ")</f>
        <v xml:space="preserve"> </v>
      </c>
    </row>
    <row r="1723" spans="1:14" x14ac:dyDescent="0.25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56" t="str">
        <f>IFERROR(VLOOKUP(A1723,Shipped!I:J,2,)," ")</f>
        <v xml:space="preserve"> </v>
      </c>
    </row>
    <row r="1724" spans="1:14" x14ac:dyDescent="0.25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56" t="str">
        <f>IFERROR(VLOOKUP(A1724,Shipped!I:J,2,)," ")</f>
        <v xml:space="preserve"> </v>
      </c>
    </row>
    <row r="1725" spans="1:14" x14ac:dyDescent="0.25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56" t="str">
        <f>IFERROR(VLOOKUP(A1725,Shipped!I:J,2,)," ")</f>
        <v xml:space="preserve"> </v>
      </c>
    </row>
    <row r="1726" spans="1:14" x14ac:dyDescent="0.25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56" t="str">
        <f>IFERROR(VLOOKUP(A1726,Shipped!I:J,2,)," ")</f>
        <v xml:space="preserve"> </v>
      </c>
    </row>
    <row r="1727" spans="1:14" x14ac:dyDescent="0.25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56" t="str">
        <f>IFERROR(VLOOKUP(A1727,Shipped!I:J,2,)," ")</f>
        <v xml:space="preserve"> </v>
      </c>
    </row>
    <row r="1728" spans="1:14" x14ac:dyDescent="0.25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56" t="str">
        <f>IFERROR(VLOOKUP(A1728,Shipped!I:J,2,)," ")</f>
        <v xml:space="preserve"> </v>
      </c>
    </row>
    <row r="1729" spans="1:14" x14ac:dyDescent="0.25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56" t="str">
        <f>IFERROR(VLOOKUP(A1729,Shipped!I:J,2,)," ")</f>
        <v xml:space="preserve"> </v>
      </c>
    </row>
    <row r="1730" spans="1:14" x14ac:dyDescent="0.25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56" t="str">
        <f>IFERROR(VLOOKUP(A1730,Shipped!I:J,2,)," ")</f>
        <v xml:space="preserve"> </v>
      </c>
    </row>
    <row r="1731" spans="1:14" x14ac:dyDescent="0.25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56" t="str">
        <f>IFERROR(VLOOKUP(A1731,Shipped!I:J,2,)," ")</f>
        <v xml:space="preserve"> </v>
      </c>
    </row>
    <row r="1732" spans="1:14" x14ac:dyDescent="0.25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56" t="str">
        <f>IFERROR(VLOOKUP(A1732,Shipped!I:J,2,)," ")</f>
        <v xml:space="preserve"> </v>
      </c>
    </row>
    <row r="1733" spans="1:14" x14ac:dyDescent="0.25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56" t="str">
        <f>IFERROR(VLOOKUP(A1733,Shipped!I:J,2,)," ")</f>
        <v xml:space="preserve"> </v>
      </c>
    </row>
    <row r="1734" spans="1:14" x14ac:dyDescent="0.25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56" t="str">
        <f>IFERROR(VLOOKUP(A1734,Shipped!I:J,2,)," ")</f>
        <v xml:space="preserve"> </v>
      </c>
    </row>
    <row r="1735" spans="1:14" x14ac:dyDescent="0.25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56" t="str">
        <f>IFERROR(VLOOKUP(A1735,Shipped!I:J,2,)," ")</f>
        <v xml:space="preserve"> </v>
      </c>
    </row>
    <row r="1736" spans="1:14" x14ac:dyDescent="0.25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56" t="str">
        <f>IFERROR(VLOOKUP(A1736,Shipped!I:J,2,)," ")</f>
        <v xml:space="preserve"> </v>
      </c>
    </row>
    <row r="1737" spans="1:14" x14ac:dyDescent="0.25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56" t="str">
        <f>IFERROR(VLOOKUP(A1737,Shipped!I:J,2,)," ")</f>
        <v xml:space="preserve"> </v>
      </c>
    </row>
    <row r="1738" spans="1:14" x14ac:dyDescent="0.25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56" t="str">
        <f>IFERROR(VLOOKUP(A1738,Shipped!I:J,2,)," ")</f>
        <v xml:space="preserve"> </v>
      </c>
    </row>
    <row r="1739" spans="1:14" x14ac:dyDescent="0.25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56" t="str">
        <f>IFERROR(VLOOKUP(A1739,Shipped!I:J,2,)," ")</f>
        <v xml:space="preserve"> </v>
      </c>
    </row>
    <row r="1740" spans="1:14" x14ac:dyDescent="0.25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56">
        <f>IFERROR(VLOOKUP(A1740,Shipped!I:J,2,)," ")</f>
        <v>46196</v>
      </c>
    </row>
    <row r="1741" spans="1:14" x14ac:dyDescent="0.25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56" t="str">
        <f>IFERROR(VLOOKUP(A1741,Shipped!I:J,2,)," ")</f>
        <v xml:space="preserve"> </v>
      </c>
    </row>
    <row r="1742" spans="1:14" x14ac:dyDescent="0.25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56" t="str">
        <f>IFERROR(VLOOKUP(A1742,Shipped!I:J,2,)," ")</f>
        <v xml:space="preserve"> </v>
      </c>
    </row>
    <row r="1743" spans="1:14" x14ac:dyDescent="0.25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56" t="str">
        <f>IFERROR(VLOOKUP(A1743,Shipped!I:J,2,)," ")</f>
        <v xml:space="preserve"> </v>
      </c>
    </row>
    <row r="1744" spans="1:14" x14ac:dyDescent="0.25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56" t="str">
        <f>IFERROR(VLOOKUP(A1744,Shipped!I:J,2,)," ")</f>
        <v xml:space="preserve"> </v>
      </c>
    </row>
    <row r="1745" spans="1:14" x14ac:dyDescent="0.25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56" t="str">
        <f>IFERROR(VLOOKUP(A1745,Shipped!I:J,2,)," ")</f>
        <v xml:space="preserve"> </v>
      </c>
    </row>
    <row r="1746" spans="1:14" x14ac:dyDescent="0.25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56" t="str">
        <f>IFERROR(VLOOKUP(A1746,Shipped!I:J,2,)," ")</f>
        <v xml:space="preserve"> </v>
      </c>
    </row>
    <row r="1747" spans="1:14" x14ac:dyDescent="0.25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56" t="str">
        <f>IFERROR(VLOOKUP(A1747,Shipped!I:J,2,)," ")</f>
        <v xml:space="preserve"> </v>
      </c>
    </row>
    <row r="1748" spans="1:14" x14ac:dyDescent="0.25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56" t="str">
        <f>IFERROR(VLOOKUP(A1748,Shipped!I:J,2,)," ")</f>
        <v xml:space="preserve"> </v>
      </c>
    </row>
    <row r="1749" spans="1:14" x14ac:dyDescent="0.25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56" t="str">
        <f>IFERROR(VLOOKUP(A1749,Shipped!I:J,2,)," ")</f>
        <v xml:space="preserve"> </v>
      </c>
    </row>
    <row r="1750" spans="1:14" x14ac:dyDescent="0.25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56" t="str">
        <f>IFERROR(VLOOKUP(A1750,Shipped!I:J,2,)," ")</f>
        <v xml:space="preserve"> </v>
      </c>
    </row>
    <row r="1751" spans="1:14" x14ac:dyDescent="0.25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56" t="str">
        <f>IFERROR(VLOOKUP(A1751,Shipped!I:J,2,)," ")</f>
        <v xml:space="preserve"> </v>
      </c>
    </row>
    <row r="1752" spans="1:14" x14ac:dyDescent="0.25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56" t="str">
        <f>IFERROR(VLOOKUP(A1752,Shipped!I:J,2,)," ")</f>
        <v xml:space="preserve"> </v>
      </c>
    </row>
    <row r="1753" spans="1:14" x14ac:dyDescent="0.25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56" t="str">
        <f>IFERROR(VLOOKUP(A1753,Shipped!I:J,2,)," ")</f>
        <v xml:space="preserve"> </v>
      </c>
    </row>
    <row r="1754" spans="1:14" x14ac:dyDescent="0.25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56" t="str">
        <f>IFERROR(VLOOKUP(A1754,Shipped!I:J,2,)," ")</f>
        <v xml:space="preserve"> </v>
      </c>
    </row>
    <row r="1755" spans="1:14" x14ac:dyDescent="0.25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56" t="str">
        <f>IFERROR(VLOOKUP(A1755,Shipped!I:J,2,)," ")</f>
        <v xml:space="preserve"> </v>
      </c>
    </row>
    <row r="1756" spans="1:14" x14ac:dyDescent="0.25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56" t="str">
        <f>IFERROR(VLOOKUP(A1756,Shipped!I:J,2,)," ")</f>
        <v xml:space="preserve"> </v>
      </c>
    </row>
    <row r="1757" spans="1:14" x14ac:dyDescent="0.25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56" t="str">
        <f>IFERROR(VLOOKUP(A1757,Shipped!I:J,2,)," ")</f>
        <v xml:space="preserve"> </v>
      </c>
    </row>
    <row r="1758" spans="1:14" x14ac:dyDescent="0.25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56" t="str">
        <f>IFERROR(VLOOKUP(A1758,Shipped!I:J,2,)," ")</f>
        <v xml:space="preserve"> </v>
      </c>
    </row>
    <row r="1759" spans="1:14" x14ac:dyDescent="0.25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56" t="str">
        <f>IFERROR(VLOOKUP(A1759,Shipped!I:J,2,)," ")</f>
        <v xml:space="preserve"> </v>
      </c>
    </row>
    <row r="1760" spans="1:14" x14ac:dyDescent="0.25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56" t="str">
        <f>IFERROR(VLOOKUP(A1760,Shipped!I:J,2,)," ")</f>
        <v xml:space="preserve"> </v>
      </c>
    </row>
    <row r="1761" spans="1:14" x14ac:dyDescent="0.25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56" t="str">
        <f>IFERROR(VLOOKUP(A1761,Shipped!I:J,2,)," ")</f>
        <v xml:space="preserve"> </v>
      </c>
    </row>
    <row r="1762" spans="1:14" x14ac:dyDescent="0.25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56" t="str">
        <f>IFERROR(VLOOKUP(A1762,Shipped!I:J,2,)," ")</f>
        <v xml:space="preserve"> </v>
      </c>
    </row>
    <row r="1763" spans="1:14" x14ac:dyDescent="0.25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56" t="str">
        <f>IFERROR(VLOOKUP(A1763,Shipped!I:J,2,)," ")</f>
        <v xml:space="preserve"> </v>
      </c>
    </row>
    <row r="1764" spans="1:14" x14ac:dyDescent="0.25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56" t="str">
        <f>IFERROR(VLOOKUP(A1764,Shipped!I:J,2,)," ")</f>
        <v xml:space="preserve"> </v>
      </c>
    </row>
    <row r="1765" spans="1:14" x14ac:dyDescent="0.25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56" t="str">
        <f>IFERROR(VLOOKUP(A1765,Shipped!I:J,2,)," ")</f>
        <v xml:space="preserve"> </v>
      </c>
    </row>
    <row r="1766" spans="1:14" x14ac:dyDescent="0.25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56" t="str">
        <f>IFERROR(VLOOKUP(A1766,Shipped!I:J,2,)," ")</f>
        <v xml:space="preserve"> </v>
      </c>
    </row>
    <row r="1767" spans="1:14" x14ac:dyDescent="0.25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56" t="str">
        <f>IFERROR(VLOOKUP(A1767,Shipped!I:J,2,)," ")</f>
        <v xml:space="preserve"> </v>
      </c>
    </row>
    <row r="1768" spans="1:14" x14ac:dyDescent="0.25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56" t="str">
        <f>IFERROR(VLOOKUP(A1768,Shipped!I:J,2,)," ")</f>
        <v xml:space="preserve"> </v>
      </c>
    </row>
    <row r="1769" spans="1:14" x14ac:dyDescent="0.25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56" t="str">
        <f>IFERROR(VLOOKUP(A1769,Shipped!I:J,2,)," ")</f>
        <v xml:space="preserve"> </v>
      </c>
    </row>
    <row r="1770" spans="1:14" x14ac:dyDescent="0.25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56" t="str">
        <f>IFERROR(VLOOKUP(A1770,Shipped!I:J,2,)," ")</f>
        <v xml:space="preserve"> </v>
      </c>
    </row>
    <row r="1771" spans="1:14" x14ac:dyDescent="0.25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56" t="str">
        <f>IFERROR(VLOOKUP(A1771,Shipped!I:J,2,)," ")</f>
        <v xml:space="preserve"> </v>
      </c>
    </row>
    <row r="1772" spans="1:14" x14ac:dyDescent="0.25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56" t="str">
        <f>IFERROR(VLOOKUP(A1772,Shipped!I:J,2,)," ")</f>
        <v xml:space="preserve"> </v>
      </c>
    </row>
    <row r="1773" spans="1:14" x14ac:dyDescent="0.25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56" t="str">
        <f>IFERROR(VLOOKUP(A1773,Shipped!I:J,2,)," ")</f>
        <v xml:space="preserve"> </v>
      </c>
    </row>
    <row r="1774" spans="1:14" x14ac:dyDescent="0.25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56" t="str">
        <f>IFERROR(VLOOKUP(A1774,Shipped!I:J,2,)," ")</f>
        <v xml:space="preserve"> </v>
      </c>
    </row>
    <row r="1775" spans="1:14" x14ac:dyDescent="0.25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56" t="str">
        <f>IFERROR(VLOOKUP(A1775,Shipped!I:J,2,)," ")</f>
        <v xml:space="preserve"> </v>
      </c>
    </row>
    <row r="1776" spans="1:14" x14ac:dyDescent="0.25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56" t="str">
        <f>IFERROR(VLOOKUP(A1776,Shipped!I:J,2,)," ")</f>
        <v xml:space="preserve"> </v>
      </c>
    </row>
    <row r="1777" spans="1:14" x14ac:dyDescent="0.25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56" t="str">
        <f>IFERROR(VLOOKUP(A1777,Shipped!I:J,2,)," ")</f>
        <v xml:space="preserve"> </v>
      </c>
    </row>
    <row r="1778" spans="1:14" x14ac:dyDescent="0.25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56" t="str">
        <f>IFERROR(VLOOKUP(A1778,Shipped!I:J,2,)," ")</f>
        <v xml:space="preserve"> </v>
      </c>
    </row>
    <row r="1779" spans="1:14" x14ac:dyDescent="0.25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56" t="str">
        <f>IFERROR(VLOOKUP(A1779,Shipped!I:J,2,)," ")</f>
        <v xml:space="preserve"> </v>
      </c>
    </row>
    <row r="1780" spans="1:14" x14ac:dyDescent="0.25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56" t="str">
        <f>IFERROR(VLOOKUP(A1780,Shipped!I:J,2,)," ")</f>
        <v xml:space="preserve"> </v>
      </c>
    </row>
    <row r="1781" spans="1:14" x14ac:dyDescent="0.25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56" t="str">
        <f>IFERROR(VLOOKUP(A1781,Shipped!I:J,2,)," ")</f>
        <v xml:space="preserve"> </v>
      </c>
    </row>
    <row r="1782" spans="1:14" x14ac:dyDescent="0.25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56" t="str">
        <f>IFERROR(VLOOKUP(A1782,Shipped!I:J,2,)," ")</f>
        <v xml:space="preserve"> </v>
      </c>
    </row>
    <row r="1783" spans="1:14" x14ac:dyDescent="0.25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56" t="str">
        <f>IFERROR(VLOOKUP(A1783,Shipped!I:J,2,)," ")</f>
        <v xml:space="preserve"> </v>
      </c>
    </row>
    <row r="1784" spans="1:14" x14ac:dyDescent="0.25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56" t="str">
        <f>IFERROR(VLOOKUP(A1784,Shipped!I:J,2,)," ")</f>
        <v xml:space="preserve"> </v>
      </c>
    </row>
    <row r="1785" spans="1:14" x14ac:dyDescent="0.25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56" t="str">
        <f>IFERROR(VLOOKUP(A1785,Shipped!I:J,2,)," ")</f>
        <v xml:space="preserve"> </v>
      </c>
    </row>
    <row r="1786" spans="1:14" x14ac:dyDescent="0.25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56" t="str">
        <f>IFERROR(VLOOKUP(A1786,Shipped!I:J,2,)," ")</f>
        <v xml:space="preserve"> </v>
      </c>
    </row>
    <row r="1787" spans="1:14" x14ac:dyDescent="0.25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56" t="str">
        <f>IFERROR(VLOOKUP(A1787,Shipped!I:J,2,)," ")</f>
        <v xml:space="preserve"> </v>
      </c>
    </row>
    <row r="1788" spans="1:14" x14ac:dyDescent="0.25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56" t="str">
        <f>IFERROR(VLOOKUP(A1788,Shipped!I:J,2,)," ")</f>
        <v xml:space="preserve"> </v>
      </c>
    </row>
    <row r="1789" spans="1:14" x14ac:dyDescent="0.25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56" t="str">
        <f>IFERROR(VLOOKUP(A1789,Shipped!I:J,2,)," ")</f>
        <v xml:space="preserve"> </v>
      </c>
    </row>
    <row r="1790" spans="1:14" x14ac:dyDescent="0.25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56" t="str">
        <f>IFERROR(VLOOKUP(A1790,Shipped!I:J,2,)," ")</f>
        <v xml:space="preserve"> </v>
      </c>
    </row>
    <row r="1791" spans="1:14" x14ac:dyDescent="0.25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56" t="str">
        <f>IFERROR(VLOOKUP(A1791,Shipped!I:J,2,)," ")</f>
        <v xml:space="preserve"> </v>
      </c>
    </row>
    <row r="1792" spans="1:14" x14ac:dyDescent="0.25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56" t="str">
        <f>IFERROR(VLOOKUP(A1792,Shipped!I:J,2,)," ")</f>
        <v xml:space="preserve"> </v>
      </c>
    </row>
    <row r="1793" spans="1:14" x14ac:dyDescent="0.25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56" t="str">
        <f>IFERROR(VLOOKUP(A1793,Shipped!I:J,2,)," ")</f>
        <v xml:space="preserve"> </v>
      </c>
    </row>
    <row r="1794" spans="1:14" x14ac:dyDescent="0.25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56" t="str">
        <f>IFERROR(VLOOKUP(A1794,Shipped!I:J,2,)," ")</f>
        <v xml:space="preserve"> </v>
      </c>
    </row>
    <row r="1795" spans="1:14" x14ac:dyDescent="0.25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56" t="str">
        <f>IFERROR(VLOOKUP(A1795,Shipped!I:J,2,)," ")</f>
        <v xml:space="preserve"> </v>
      </c>
    </row>
    <row r="1796" spans="1:14" x14ac:dyDescent="0.25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56" t="str">
        <f>IFERROR(VLOOKUP(A1796,Shipped!I:J,2,)," ")</f>
        <v xml:space="preserve"> </v>
      </c>
    </row>
    <row r="1797" spans="1:14" x14ac:dyDescent="0.25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56" t="str">
        <f>IFERROR(VLOOKUP(A1797,Shipped!I:J,2,)," ")</f>
        <v xml:space="preserve"> </v>
      </c>
    </row>
    <row r="1798" spans="1:14" x14ac:dyDescent="0.25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56" t="str">
        <f>IFERROR(VLOOKUP(A1798,Shipped!I:J,2,)," ")</f>
        <v xml:space="preserve"> </v>
      </c>
    </row>
    <row r="1799" spans="1:14" x14ac:dyDescent="0.25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56" t="str">
        <f>IFERROR(VLOOKUP(A1799,Shipped!I:J,2,)," ")</f>
        <v xml:space="preserve"> </v>
      </c>
    </row>
    <row r="1800" spans="1:14" x14ac:dyDescent="0.25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56" t="str">
        <f>IFERROR(VLOOKUP(A1800,Shipped!I:J,2,)," ")</f>
        <v xml:space="preserve"> </v>
      </c>
    </row>
    <row r="1801" spans="1:14" x14ac:dyDescent="0.25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56" t="str">
        <f>IFERROR(VLOOKUP(A1801,Shipped!I:J,2,)," ")</f>
        <v xml:space="preserve"> </v>
      </c>
    </row>
    <row r="1802" spans="1:14" x14ac:dyDescent="0.25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56" t="str">
        <f>IFERROR(VLOOKUP(A1802,Shipped!I:J,2,)," ")</f>
        <v xml:space="preserve"> </v>
      </c>
    </row>
    <row r="1803" spans="1:14" x14ac:dyDescent="0.25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56" t="str">
        <f>IFERROR(VLOOKUP(A1803,Shipped!I:J,2,)," ")</f>
        <v xml:space="preserve"> </v>
      </c>
    </row>
    <row r="1804" spans="1:14" x14ac:dyDescent="0.25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56" t="str">
        <f>IFERROR(VLOOKUP(A1804,Shipped!I:J,2,)," ")</f>
        <v xml:space="preserve"> </v>
      </c>
    </row>
    <row r="1805" spans="1:14" x14ac:dyDescent="0.25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56" t="str">
        <f>IFERROR(VLOOKUP(A1805,Shipped!I:J,2,)," ")</f>
        <v xml:space="preserve"> </v>
      </c>
    </row>
    <row r="1806" spans="1:14" x14ac:dyDescent="0.25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56" t="str">
        <f>IFERROR(VLOOKUP(A1806,Shipped!I:J,2,)," ")</f>
        <v xml:space="preserve"> </v>
      </c>
    </row>
    <row r="1807" spans="1:14" x14ac:dyDescent="0.25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56" t="str">
        <f>IFERROR(VLOOKUP(A1807,Shipped!I:J,2,)," ")</f>
        <v xml:space="preserve"> </v>
      </c>
    </row>
    <row r="1808" spans="1:14" x14ac:dyDescent="0.25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56" t="str">
        <f>IFERROR(VLOOKUP(A1808,Shipped!I:J,2,)," ")</f>
        <v xml:space="preserve"> </v>
      </c>
    </row>
    <row r="1809" spans="1:14" x14ac:dyDescent="0.25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56" t="str">
        <f>IFERROR(VLOOKUP(A1809,Shipped!I:J,2,)," ")</f>
        <v xml:space="preserve"> </v>
      </c>
    </row>
    <row r="1810" spans="1:14" x14ac:dyDescent="0.25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56" t="str">
        <f>IFERROR(VLOOKUP(A1810,Shipped!I:J,2,)," ")</f>
        <v xml:space="preserve"> </v>
      </c>
    </row>
    <row r="1811" spans="1:14" x14ac:dyDescent="0.25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56" t="str">
        <f>IFERROR(VLOOKUP(A1811,Shipped!I:J,2,)," ")</f>
        <v xml:space="preserve"> </v>
      </c>
    </row>
    <row r="1812" spans="1:14" x14ac:dyDescent="0.25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56" t="str">
        <f>IFERROR(VLOOKUP(A1812,Shipped!I:J,2,)," ")</f>
        <v xml:space="preserve"> </v>
      </c>
    </row>
    <row r="1813" spans="1:14" x14ac:dyDescent="0.25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56" t="str">
        <f>IFERROR(VLOOKUP(A1813,Shipped!I:J,2,)," ")</f>
        <v xml:space="preserve"> </v>
      </c>
    </row>
    <row r="1814" spans="1:14" x14ac:dyDescent="0.25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56" t="str">
        <f>IFERROR(VLOOKUP(A1814,Shipped!I:J,2,)," ")</f>
        <v xml:space="preserve"> </v>
      </c>
    </row>
    <row r="1815" spans="1:14" x14ac:dyDescent="0.25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56" t="str">
        <f>IFERROR(VLOOKUP(A1815,Shipped!I:J,2,)," ")</f>
        <v xml:space="preserve"> </v>
      </c>
    </row>
    <row r="1816" spans="1:14" x14ac:dyDescent="0.25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56" t="str">
        <f>IFERROR(VLOOKUP(A1816,Shipped!I:J,2,)," ")</f>
        <v xml:space="preserve"> </v>
      </c>
    </row>
    <row r="1817" spans="1:14" x14ac:dyDescent="0.25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56" t="str">
        <f>IFERROR(VLOOKUP(A1817,Shipped!I:J,2,)," ")</f>
        <v xml:space="preserve"> </v>
      </c>
    </row>
    <row r="1818" spans="1:14" x14ac:dyDescent="0.25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56" t="str">
        <f>IFERROR(VLOOKUP(A1818,Shipped!I:J,2,)," ")</f>
        <v xml:space="preserve"> </v>
      </c>
    </row>
    <row r="1819" spans="1:14" x14ac:dyDescent="0.25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56" t="str">
        <f>IFERROR(VLOOKUP(A1819,Shipped!I:J,2,)," ")</f>
        <v xml:space="preserve"> </v>
      </c>
    </row>
    <row r="1820" spans="1:14" x14ac:dyDescent="0.25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56" t="str">
        <f>IFERROR(VLOOKUP(A1820,Shipped!I:J,2,)," ")</f>
        <v xml:space="preserve"> </v>
      </c>
    </row>
    <row r="1821" spans="1:14" x14ac:dyDescent="0.25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56" t="str">
        <f>IFERROR(VLOOKUP(A1821,Shipped!I:J,2,)," ")</f>
        <v xml:space="preserve"> </v>
      </c>
    </row>
    <row r="1822" spans="1:14" x14ac:dyDescent="0.25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56">
        <f>IFERROR(VLOOKUP(A1822,Shipped!I:J,2,)," ")</f>
        <v>46196</v>
      </c>
    </row>
    <row r="1823" spans="1:14" x14ac:dyDescent="0.25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56">
        <f>IFERROR(VLOOKUP(A1823,Shipped!I:J,2,)," ")</f>
        <v>46189</v>
      </c>
    </row>
    <row r="1824" spans="1:14" x14ac:dyDescent="0.25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56" t="str">
        <f>IFERROR(VLOOKUP(A1824,Shipped!I:J,2,)," ")</f>
        <v xml:space="preserve"> </v>
      </c>
    </row>
    <row r="1825" spans="1:14" x14ac:dyDescent="0.25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56" t="str">
        <f>IFERROR(VLOOKUP(A1825,Shipped!I:J,2,)," ")</f>
        <v xml:space="preserve"> </v>
      </c>
    </row>
    <row r="1826" spans="1:14" x14ac:dyDescent="0.25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56" t="str">
        <f>IFERROR(VLOOKUP(A1826,Shipped!I:J,2,)," ")</f>
        <v xml:space="preserve"> </v>
      </c>
    </row>
    <row r="1827" spans="1:14" x14ac:dyDescent="0.25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56" t="str">
        <f>IFERROR(VLOOKUP(A1827,Shipped!I:J,2,)," ")</f>
        <v xml:space="preserve"> </v>
      </c>
    </row>
    <row r="1828" spans="1:14" x14ac:dyDescent="0.25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56" t="str">
        <f>IFERROR(VLOOKUP(A1828,Shipped!I:J,2,)," ")</f>
        <v xml:space="preserve"> </v>
      </c>
    </row>
    <row r="1829" spans="1:14" x14ac:dyDescent="0.25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56" t="str">
        <f>IFERROR(VLOOKUP(A1829,Shipped!I:J,2,)," ")</f>
        <v xml:space="preserve"> </v>
      </c>
    </row>
    <row r="1830" spans="1:14" x14ac:dyDescent="0.25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56" t="str">
        <f>IFERROR(VLOOKUP(A1830,Shipped!I:J,2,)," ")</f>
        <v xml:space="preserve"> </v>
      </c>
    </row>
    <row r="1831" spans="1:14" x14ac:dyDescent="0.25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56" t="str">
        <f>IFERROR(VLOOKUP(A1831,Shipped!I:J,2,)," ")</f>
        <v xml:space="preserve"> </v>
      </c>
    </row>
    <row r="1832" spans="1:14" x14ac:dyDescent="0.25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56">
        <f>IFERROR(VLOOKUP(A1832,Shipped!I:J,2,)," ")</f>
        <v>46196</v>
      </c>
    </row>
    <row r="1833" spans="1:14" x14ac:dyDescent="0.25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56">
        <f>IFERROR(VLOOKUP(A1833,Shipped!I:J,2,)," ")</f>
        <v>46196</v>
      </c>
    </row>
    <row r="1834" spans="1:14" x14ac:dyDescent="0.25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56">
        <f>IFERROR(VLOOKUP(A1834,Shipped!I:J,2,)," ")</f>
        <v>46196</v>
      </c>
    </row>
    <row r="1835" spans="1:14" x14ac:dyDescent="0.25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56" t="str">
        <f>IFERROR(VLOOKUP(A1835,Shipped!I:J,2,)," ")</f>
        <v xml:space="preserve"> </v>
      </c>
    </row>
    <row r="1836" spans="1:14" x14ac:dyDescent="0.25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56" t="str">
        <f>IFERROR(VLOOKUP(A1836,Shipped!I:J,2,)," ")</f>
        <v xml:space="preserve"> </v>
      </c>
    </row>
    <row r="1837" spans="1:14" x14ac:dyDescent="0.25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56" t="str">
        <f>IFERROR(VLOOKUP(A1837,Shipped!I:J,2,)," ")</f>
        <v xml:space="preserve"> </v>
      </c>
    </row>
    <row r="1838" spans="1:14" x14ac:dyDescent="0.25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56" t="str">
        <f>IFERROR(VLOOKUP(A1838,Shipped!I:J,2,)," ")</f>
        <v xml:space="preserve"> </v>
      </c>
    </row>
    <row r="1839" spans="1:14" x14ac:dyDescent="0.25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56" t="str">
        <f>IFERROR(VLOOKUP(A1839,Shipped!I:J,2,)," ")</f>
        <v xml:space="preserve"> </v>
      </c>
    </row>
    <row r="1840" spans="1:14" x14ac:dyDescent="0.25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56" t="str">
        <f>IFERROR(VLOOKUP(A1840,Shipped!I:J,2,)," ")</f>
        <v xml:space="preserve"> </v>
      </c>
    </row>
    <row r="1841" spans="1:14" x14ac:dyDescent="0.25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56" t="str">
        <f>IFERROR(VLOOKUP(A1841,Shipped!I:J,2,)," ")</f>
        <v xml:space="preserve"> </v>
      </c>
    </row>
    <row r="1842" spans="1:14" x14ac:dyDescent="0.25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56" t="str">
        <f>IFERROR(VLOOKUP(A1842,Shipped!I:J,2,)," ")</f>
        <v xml:space="preserve"> </v>
      </c>
    </row>
    <row r="1843" spans="1:14" x14ac:dyDescent="0.25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56" t="str">
        <f>IFERROR(VLOOKUP(A1843,Shipped!I:J,2,)," ")</f>
        <v xml:space="preserve"> </v>
      </c>
    </row>
    <row r="1844" spans="1:14" x14ac:dyDescent="0.25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56" t="str">
        <f>IFERROR(VLOOKUP(A1844,Shipped!I:J,2,)," ")</f>
        <v xml:space="preserve"> </v>
      </c>
    </row>
    <row r="1845" spans="1:14" x14ac:dyDescent="0.25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56" t="str">
        <f>IFERROR(VLOOKUP(A1845,Shipped!I:J,2,)," ")</f>
        <v xml:space="preserve"> </v>
      </c>
    </row>
    <row r="1846" spans="1:14" x14ac:dyDescent="0.25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56" t="str">
        <f>IFERROR(VLOOKUP(A1846,Shipped!I:J,2,)," ")</f>
        <v xml:space="preserve"> </v>
      </c>
    </row>
    <row r="1847" spans="1:14" x14ac:dyDescent="0.25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56">
        <f>IFERROR(VLOOKUP(A1847,Shipped!I:J,2,)," ")</f>
        <v>46196</v>
      </c>
    </row>
    <row r="1848" spans="1:14" x14ac:dyDescent="0.25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56" t="str">
        <f>IFERROR(VLOOKUP(A1848,Shipped!I:J,2,)," ")</f>
        <v xml:space="preserve"> </v>
      </c>
    </row>
    <row r="1849" spans="1:14" x14ac:dyDescent="0.25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56" t="str">
        <f>IFERROR(VLOOKUP(A1849,Shipped!I:J,2,)," ")</f>
        <v xml:space="preserve"> </v>
      </c>
    </row>
    <row r="1850" spans="1:14" x14ac:dyDescent="0.25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56" t="str">
        <f>IFERROR(VLOOKUP(A1850,Shipped!I:J,2,)," ")</f>
        <v xml:space="preserve"> </v>
      </c>
    </row>
    <row r="1851" spans="1:14" x14ac:dyDescent="0.25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56" t="str">
        <f>IFERROR(VLOOKUP(A1851,Shipped!I:J,2,)," ")</f>
        <v xml:space="preserve"> </v>
      </c>
    </row>
    <row r="1852" spans="1:14" x14ac:dyDescent="0.25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56" t="str">
        <f>IFERROR(VLOOKUP(A1852,Shipped!I:J,2,)," ")</f>
        <v xml:space="preserve"> </v>
      </c>
    </row>
    <row r="1853" spans="1:14" x14ac:dyDescent="0.25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56" t="str">
        <f>IFERROR(VLOOKUP(A1853,Shipped!I:J,2,)," ")</f>
        <v xml:space="preserve"> </v>
      </c>
    </row>
    <row r="1854" spans="1:14" x14ac:dyDescent="0.25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56" t="str">
        <f>IFERROR(VLOOKUP(A1854,Shipped!I:J,2,)," ")</f>
        <v xml:space="preserve"> </v>
      </c>
    </row>
    <row r="1855" spans="1:14" x14ac:dyDescent="0.25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56" t="str">
        <f>IFERROR(VLOOKUP(A1855,Shipped!I:J,2,)," ")</f>
        <v xml:space="preserve"> </v>
      </c>
    </row>
    <row r="1856" spans="1:14" x14ac:dyDescent="0.25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56" t="str">
        <f>IFERROR(VLOOKUP(A1856,Shipped!I:J,2,)," ")</f>
        <v xml:space="preserve"> </v>
      </c>
    </row>
    <row r="1857" spans="1:14" x14ac:dyDescent="0.25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56" t="str">
        <f>IFERROR(VLOOKUP(A1857,Shipped!I:J,2,)," ")</f>
        <v xml:space="preserve"> </v>
      </c>
    </row>
    <row r="1858" spans="1:14" x14ac:dyDescent="0.25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56" t="str">
        <f>IFERROR(VLOOKUP(A1858,Shipped!I:J,2,)," ")</f>
        <v xml:space="preserve"> </v>
      </c>
    </row>
    <row r="1859" spans="1:14" x14ac:dyDescent="0.25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56" t="str">
        <f>IFERROR(VLOOKUP(A1859,Shipped!I:J,2,)," ")</f>
        <v xml:space="preserve"> </v>
      </c>
    </row>
    <row r="1860" spans="1:14" x14ac:dyDescent="0.25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56" t="str">
        <f>IFERROR(VLOOKUP(A1860,Shipped!I:J,2,)," ")</f>
        <v xml:space="preserve"> </v>
      </c>
    </row>
    <row r="1861" spans="1:14" x14ac:dyDescent="0.25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56" t="str">
        <f>IFERROR(VLOOKUP(A1861,Shipped!I:J,2,)," ")</f>
        <v xml:space="preserve"> </v>
      </c>
    </row>
    <row r="1862" spans="1:14" x14ac:dyDescent="0.25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56" t="str">
        <f>IFERROR(VLOOKUP(A1862,Shipped!I:J,2,)," ")</f>
        <v xml:space="preserve"> </v>
      </c>
    </row>
    <row r="1863" spans="1:14" x14ac:dyDescent="0.25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56" t="str">
        <f>IFERROR(VLOOKUP(A1863,Shipped!I:J,2,)," ")</f>
        <v xml:space="preserve"> </v>
      </c>
    </row>
    <row r="1864" spans="1:14" x14ac:dyDescent="0.25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56" t="str">
        <f>IFERROR(VLOOKUP(A1864,Shipped!I:J,2,)," ")</f>
        <v xml:space="preserve"> </v>
      </c>
    </row>
    <row r="1865" spans="1:14" x14ac:dyDescent="0.25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56" t="str">
        <f>IFERROR(VLOOKUP(A1865,Shipped!I:J,2,)," ")</f>
        <v xml:space="preserve"> </v>
      </c>
    </row>
    <row r="1866" spans="1:14" x14ac:dyDescent="0.25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56" t="str">
        <f>IFERROR(VLOOKUP(A1866,Shipped!I:J,2,)," ")</f>
        <v xml:space="preserve"> </v>
      </c>
    </row>
    <row r="1867" spans="1:14" x14ac:dyDescent="0.25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56" t="str">
        <f>IFERROR(VLOOKUP(A1867,Shipped!I:J,2,)," ")</f>
        <v xml:space="preserve"> </v>
      </c>
    </row>
    <row r="1868" spans="1:14" x14ac:dyDescent="0.25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56" t="str">
        <f>IFERROR(VLOOKUP(A1868,Shipped!I:J,2,)," ")</f>
        <v xml:space="preserve"> </v>
      </c>
    </row>
    <row r="1869" spans="1:14" x14ac:dyDescent="0.25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56" t="str">
        <f>IFERROR(VLOOKUP(A1869,Shipped!I:J,2,)," ")</f>
        <v xml:space="preserve"> </v>
      </c>
    </row>
    <row r="1870" spans="1:14" x14ac:dyDescent="0.25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56" t="str">
        <f>IFERROR(VLOOKUP(A1870,Shipped!I:J,2,)," ")</f>
        <v xml:space="preserve"> </v>
      </c>
    </row>
    <row r="1871" spans="1:14" x14ac:dyDescent="0.25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56" t="str">
        <f>IFERROR(VLOOKUP(A1871,Shipped!I:J,2,)," ")</f>
        <v xml:space="preserve"> </v>
      </c>
    </row>
    <row r="1872" spans="1:14" x14ac:dyDescent="0.25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56" t="str">
        <f>IFERROR(VLOOKUP(A1872,Shipped!I:J,2,)," ")</f>
        <v xml:space="preserve"> </v>
      </c>
    </row>
    <row r="1873" spans="1:14" x14ac:dyDescent="0.25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56" t="str">
        <f>IFERROR(VLOOKUP(A1873,Shipped!I:J,2,)," ")</f>
        <v xml:space="preserve"> </v>
      </c>
    </row>
    <row r="1874" spans="1:14" x14ac:dyDescent="0.25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56" t="str">
        <f>IFERROR(VLOOKUP(A1874,Shipped!I:J,2,)," ")</f>
        <v xml:space="preserve"> </v>
      </c>
    </row>
    <row r="1875" spans="1:14" x14ac:dyDescent="0.25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56" t="str">
        <f>IFERROR(VLOOKUP(A1875,Shipped!I:J,2,)," ")</f>
        <v xml:space="preserve"> </v>
      </c>
    </row>
    <row r="1876" spans="1:14" x14ac:dyDescent="0.25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56" t="str">
        <f>IFERROR(VLOOKUP(A1876,Shipped!I:J,2,)," ")</f>
        <v xml:space="preserve"> </v>
      </c>
    </row>
    <row r="1877" spans="1:14" x14ac:dyDescent="0.25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56" t="str">
        <f>IFERROR(VLOOKUP(A1877,Shipped!I:J,2,)," ")</f>
        <v xml:space="preserve"> </v>
      </c>
    </row>
    <row r="1878" spans="1:14" x14ac:dyDescent="0.25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56" t="str">
        <f>IFERROR(VLOOKUP(A1878,Shipped!I:J,2,)," ")</f>
        <v xml:space="preserve"> </v>
      </c>
    </row>
    <row r="1879" spans="1:14" x14ac:dyDescent="0.25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56" t="str">
        <f>IFERROR(VLOOKUP(A1879,Shipped!I:J,2,)," ")</f>
        <v xml:space="preserve"> </v>
      </c>
    </row>
    <row r="1880" spans="1:14" x14ac:dyDescent="0.25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56" t="str">
        <f>IFERROR(VLOOKUP(A1880,Shipped!I:J,2,)," ")</f>
        <v xml:space="preserve"> </v>
      </c>
    </row>
    <row r="1881" spans="1:14" x14ac:dyDescent="0.25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56" t="str">
        <f>IFERROR(VLOOKUP(A1881,Shipped!I:J,2,)," ")</f>
        <v xml:space="preserve"> </v>
      </c>
    </row>
    <row r="1882" spans="1:14" x14ac:dyDescent="0.25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56" t="str">
        <f>IFERROR(VLOOKUP(A1882,Shipped!I:J,2,)," ")</f>
        <v xml:space="preserve"> </v>
      </c>
    </row>
    <row r="1883" spans="1:14" x14ac:dyDescent="0.25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56" t="str">
        <f>IFERROR(VLOOKUP(A1883,Shipped!I:J,2,)," ")</f>
        <v xml:space="preserve"> </v>
      </c>
    </row>
    <row r="1884" spans="1:14" x14ac:dyDescent="0.25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56" t="str">
        <f>IFERROR(VLOOKUP(A1884,Shipped!I:J,2,)," ")</f>
        <v xml:space="preserve"> </v>
      </c>
    </row>
    <row r="1885" spans="1:14" x14ac:dyDescent="0.25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56" t="str">
        <f>IFERROR(VLOOKUP(A1885,Shipped!I:J,2,)," ")</f>
        <v xml:space="preserve"> </v>
      </c>
    </row>
    <row r="1886" spans="1:14" x14ac:dyDescent="0.25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56" t="str">
        <f>IFERROR(VLOOKUP(A1886,Shipped!I:J,2,)," ")</f>
        <v xml:space="preserve"> </v>
      </c>
    </row>
    <row r="1887" spans="1:14" x14ac:dyDescent="0.25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56" t="str">
        <f>IFERROR(VLOOKUP(A1887,Shipped!I:J,2,)," ")</f>
        <v xml:space="preserve"> </v>
      </c>
    </row>
    <row r="1888" spans="1:14" x14ac:dyDescent="0.25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56" t="str">
        <f>IFERROR(VLOOKUP(A1888,Shipped!I:J,2,)," ")</f>
        <v xml:space="preserve"> </v>
      </c>
    </row>
    <row r="1889" spans="1:14" x14ac:dyDescent="0.25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56" t="str">
        <f>IFERROR(VLOOKUP(A1889,Shipped!I:J,2,)," ")</f>
        <v xml:space="preserve"> </v>
      </c>
    </row>
    <row r="1890" spans="1:14" x14ac:dyDescent="0.25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56" t="str">
        <f>IFERROR(VLOOKUP(A1890,Shipped!I:J,2,)," ")</f>
        <v xml:space="preserve"> </v>
      </c>
    </row>
    <row r="1891" spans="1:14" x14ac:dyDescent="0.25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56" t="str">
        <f>IFERROR(VLOOKUP(A1891,Shipped!I:J,2,)," ")</f>
        <v xml:space="preserve"> </v>
      </c>
    </row>
    <row r="1892" spans="1:14" x14ac:dyDescent="0.25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56" t="str">
        <f>IFERROR(VLOOKUP(A1892,Shipped!I:J,2,)," ")</f>
        <v xml:space="preserve"> </v>
      </c>
    </row>
    <row r="1893" spans="1:14" x14ac:dyDescent="0.25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56" t="str">
        <f>IFERROR(VLOOKUP(A1893,Shipped!I:J,2,)," ")</f>
        <v xml:space="preserve"> </v>
      </c>
    </row>
    <row r="1894" spans="1:14" x14ac:dyDescent="0.25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56" t="str">
        <f>IFERROR(VLOOKUP(A1894,Shipped!I:J,2,)," ")</f>
        <v xml:space="preserve"> </v>
      </c>
    </row>
    <row r="1895" spans="1:14" x14ac:dyDescent="0.25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56" t="str">
        <f>IFERROR(VLOOKUP(A1895,Shipped!I:J,2,)," ")</f>
        <v xml:space="preserve"> </v>
      </c>
    </row>
    <row r="1896" spans="1:14" x14ac:dyDescent="0.25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56" t="str">
        <f>IFERROR(VLOOKUP(A1896,Shipped!I:J,2,)," ")</f>
        <v xml:space="preserve"> </v>
      </c>
    </row>
    <row r="1897" spans="1:14" x14ac:dyDescent="0.25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56" t="str">
        <f>IFERROR(VLOOKUP(A1897,Shipped!I:J,2,)," ")</f>
        <v xml:space="preserve"> </v>
      </c>
    </row>
    <row r="1898" spans="1:14" x14ac:dyDescent="0.25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56" t="str">
        <f>IFERROR(VLOOKUP(A1898,Shipped!I:J,2,)," ")</f>
        <v xml:space="preserve"> </v>
      </c>
    </row>
    <row r="1899" spans="1:14" x14ac:dyDescent="0.25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56" t="str">
        <f>IFERROR(VLOOKUP(A1899,Shipped!I:J,2,)," ")</f>
        <v xml:space="preserve"> </v>
      </c>
    </row>
    <row r="1900" spans="1:14" x14ac:dyDescent="0.25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56" t="str">
        <f>IFERROR(VLOOKUP(A1900,Shipped!I:J,2,)," ")</f>
        <v xml:space="preserve"> </v>
      </c>
    </row>
    <row r="1901" spans="1:14" x14ac:dyDescent="0.25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56" t="str">
        <f>IFERROR(VLOOKUP(A1901,Shipped!I:J,2,)," ")</f>
        <v xml:space="preserve"> </v>
      </c>
    </row>
    <row r="1902" spans="1:14" x14ac:dyDescent="0.25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56" t="str">
        <f>IFERROR(VLOOKUP(A1902,Shipped!I:J,2,)," ")</f>
        <v xml:space="preserve"> </v>
      </c>
    </row>
    <row r="1903" spans="1:14" x14ac:dyDescent="0.25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56" t="str">
        <f>IFERROR(VLOOKUP(A1903,Shipped!I:J,2,)," ")</f>
        <v xml:space="preserve"> </v>
      </c>
    </row>
    <row r="1904" spans="1:14" x14ac:dyDescent="0.25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56" t="str">
        <f>IFERROR(VLOOKUP(A1904,Shipped!I:J,2,)," ")</f>
        <v xml:space="preserve"> </v>
      </c>
    </row>
    <row r="1905" spans="1:14" x14ac:dyDescent="0.25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56" t="str">
        <f>IFERROR(VLOOKUP(A1905,Shipped!I:J,2,)," ")</f>
        <v xml:space="preserve"> </v>
      </c>
    </row>
    <row r="1906" spans="1:14" x14ac:dyDescent="0.25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56" t="str">
        <f>IFERROR(VLOOKUP(A1906,Shipped!I:J,2,)," ")</f>
        <v xml:space="preserve"> </v>
      </c>
    </row>
    <row r="1907" spans="1:14" x14ac:dyDescent="0.25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56" t="str">
        <f>IFERROR(VLOOKUP(A1907,Shipped!I:J,2,)," ")</f>
        <v xml:space="preserve"> </v>
      </c>
    </row>
    <row r="1908" spans="1:14" x14ac:dyDescent="0.25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56" t="str">
        <f>IFERROR(VLOOKUP(A1908,Shipped!I:J,2,)," ")</f>
        <v xml:space="preserve"> </v>
      </c>
    </row>
    <row r="1909" spans="1:14" x14ac:dyDescent="0.25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56" t="str">
        <f>IFERROR(VLOOKUP(A1909,Shipped!I:J,2,)," ")</f>
        <v xml:space="preserve"> </v>
      </c>
    </row>
    <row r="1910" spans="1:14" x14ac:dyDescent="0.25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56" t="str">
        <f>IFERROR(VLOOKUP(A1910,Shipped!I:J,2,)," ")</f>
        <v xml:space="preserve"> </v>
      </c>
    </row>
    <row r="1911" spans="1:14" x14ac:dyDescent="0.25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56" t="str">
        <f>IFERROR(VLOOKUP(A1911,Shipped!I:J,2,)," ")</f>
        <v xml:space="preserve"> </v>
      </c>
    </row>
    <row r="1912" spans="1:14" x14ac:dyDescent="0.25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56" t="str">
        <f>IFERROR(VLOOKUP(A1912,Shipped!I:J,2,)," ")</f>
        <v xml:space="preserve"> </v>
      </c>
    </row>
    <row r="1913" spans="1:14" x14ac:dyDescent="0.25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56" t="str">
        <f>IFERROR(VLOOKUP(A1913,Shipped!I:J,2,)," ")</f>
        <v xml:space="preserve"> </v>
      </c>
    </row>
    <row r="1914" spans="1:14" x14ac:dyDescent="0.25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56" t="str">
        <f>IFERROR(VLOOKUP(A1914,Shipped!I:J,2,)," ")</f>
        <v xml:space="preserve"> </v>
      </c>
    </row>
    <row r="1915" spans="1:14" x14ac:dyDescent="0.25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56" t="str">
        <f>IFERROR(VLOOKUP(A1915,Shipped!I:J,2,)," ")</f>
        <v xml:space="preserve"> </v>
      </c>
    </row>
    <row r="1916" spans="1:14" x14ac:dyDescent="0.25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56" t="str">
        <f>IFERROR(VLOOKUP(A1916,Shipped!I:J,2,)," ")</f>
        <v xml:space="preserve"> </v>
      </c>
    </row>
    <row r="1917" spans="1:14" x14ac:dyDescent="0.25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56">
        <f>IFERROR(VLOOKUP(A1917,Shipped!I:J,2,)," ")</f>
        <v>46196</v>
      </c>
    </row>
    <row r="1918" spans="1:14" x14ac:dyDescent="0.25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56" t="str">
        <f>IFERROR(VLOOKUP(A1918,Shipped!I:J,2,)," ")</f>
        <v xml:space="preserve"> </v>
      </c>
    </row>
    <row r="1919" spans="1:14" x14ac:dyDescent="0.25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56" t="str">
        <f>IFERROR(VLOOKUP(A1919,Shipped!I:J,2,)," ")</f>
        <v xml:space="preserve"> </v>
      </c>
    </row>
    <row r="1920" spans="1:14" x14ac:dyDescent="0.25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56" t="str">
        <f>IFERROR(VLOOKUP(A1920,Shipped!I:J,2,)," ")</f>
        <v xml:space="preserve"> </v>
      </c>
    </row>
    <row r="1921" spans="1:14" x14ac:dyDescent="0.25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56" t="str">
        <f>IFERROR(VLOOKUP(A1921,Shipped!I:J,2,)," ")</f>
        <v xml:space="preserve"> </v>
      </c>
    </row>
    <row r="1922" spans="1:14" x14ac:dyDescent="0.25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56" t="str">
        <f>IFERROR(VLOOKUP(A1922,Shipped!I:J,2,)," ")</f>
        <v xml:space="preserve"> </v>
      </c>
    </row>
    <row r="1923" spans="1:14" x14ac:dyDescent="0.25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56" t="str">
        <f>IFERROR(VLOOKUP(A1923,Shipped!I:J,2,)," ")</f>
        <v xml:space="preserve"> </v>
      </c>
    </row>
    <row r="1924" spans="1:14" x14ac:dyDescent="0.25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56" t="str">
        <f>IFERROR(VLOOKUP(A1924,Shipped!I:J,2,)," ")</f>
        <v xml:space="preserve"> </v>
      </c>
    </row>
    <row r="1925" spans="1:14" x14ac:dyDescent="0.25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56" t="str">
        <f>IFERROR(VLOOKUP(A1925,Shipped!I:J,2,)," ")</f>
        <v xml:space="preserve"> </v>
      </c>
    </row>
    <row r="1926" spans="1:14" x14ac:dyDescent="0.25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56" t="str">
        <f>IFERROR(VLOOKUP(A1926,Shipped!I:J,2,)," ")</f>
        <v xml:space="preserve"> </v>
      </c>
    </row>
    <row r="1927" spans="1:14" x14ac:dyDescent="0.25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56" t="str">
        <f>IFERROR(VLOOKUP(A1927,Shipped!I:J,2,)," ")</f>
        <v xml:space="preserve"> </v>
      </c>
    </row>
    <row r="1928" spans="1:14" x14ac:dyDescent="0.25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56" t="str">
        <f>IFERROR(VLOOKUP(A1928,Shipped!I:J,2,)," ")</f>
        <v xml:space="preserve"> </v>
      </c>
    </row>
    <row r="1929" spans="1:14" x14ac:dyDescent="0.25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56" t="str">
        <f>IFERROR(VLOOKUP(A1929,Shipped!I:J,2,)," ")</f>
        <v xml:space="preserve"> </v>
      </c>
    </row>
    <row r="1930" spans="1:14" x14ac:dyDescent="0.25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56" t="str">
        <f>IFERROR(VLOOKUP(A1930,Shipped!I:J,2,)," ")</f>
        <v xml:space="preserve"> </v>
      </c>
    </row>
    <row r="1931" spans="1:14" x14ac:dyDescent="0.25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56" t="str">
        <f>IFERROR(VLOOKUP(A1931,Shipped!I:J,2,)," ")</f>
        <v xml:space="preserve"> </v>
      </c>
    </row>
    <row r="1932" spans="1:14" x14ac:dyDescent="0.25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56" t="str">
        <f>IFERROR(VLOOKUP(A1932,Shipped!I:J,2,)," ")</f>
        <v xml:space="preserve"> </v>
      </c>
    </row>
    <row r="1933" spans="1:14" x14ac:dyDescent="0.25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56" t="str">
        <f>IFERROR(VLOOKUP(A1933,Shipped!I:J,2,)," ")</f>
        <v xml:space="preserve"> </v>
      </c>
    </row>
    <row r="1934" spans="1:14" x14ac:dyDescent="0.25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56" t="str">
        <f>IFERROR(VLOOKUP(A1934,Shipped!I:J,2,)," ")</f>
        <v xml:space="preserve"> </v>
      </c>
    </row>
    <row r="1935" spans="1:14" x14ac:dyDescent="0.25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56" t="str">
        <f>IFERROR(VLOOKUP(A1935,Shipped!I:J,2,)," ")</f>
        <v xml:space="preserve"> </v>
      </c>
    </row>
    <row r="1936" spans="1:14" x14ac:dyDescent="0.25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56" t="str">
        <f>IFERROR(VLOOKUP(A1936,Shipped!I:J,2,)," ")</f>
        <v xml:space="preserve"> </v>
      </c>
    </row>
    <row r="1937" spans="1:14" x14ac:dyDescent="0.25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56" t="str">
        <f>IFERROR(VLOOKUP(A1937,Shipped!I:J,2,)," ")</f>
        <v xml:space="preserve"> </v>
      </c>
    </row>
    <row r="1938" spans="1:14" x14ac:dyDescent="0.25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56">
        <f>IFERROR(VLOOKUP(A1938,Shipped!I:J,2,)," ")</f>
        <v>46196</v>
      </c>
    </row>
    <row r="1939" spans="1:14" x14ac:dyDescent="0.25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56" t="str">
        <f>IFERROR(VLOOKUP(A1939,Shipped!I:J,2,)," ")</f>
        <v xml:space="preserve"> </v>
      </c>
    </row>
    <row r="1940" spans="1:14" x14ac:dyDescent="0.25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56" t="str">
        <f>IFERROR(VLOOKUP(A1940,Shipped!I:J,2,)," ")</f>
        <v xml:space="preserve"> </v>
      </c>
    </row>
    <row r="1941" spans="1:14" x14ac:dyDescent="0.25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56" t="str">
        <f>IFERROR(VLOOKUP(A1941,Shipped!I:J,2,)," ")</f>
        <v xml:space="preserve"> </v>
      </c>
    </row>
    <row r="1942" spans="1:14" x14ac:dyDescent="0.25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56" t="str">
        <f>IFERROR(VLOOKUP(A1942,Shipped!I:J,2,)," ")</f>
        <v xml:space="preserve"> </v>
      </c>
    </row>
    <row r="1943" spans="1:14" x14ac:dyDescent="0.25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56" t="str">
        <f>IFERROR(VLOOKUP(A1943,Shipped!I:J,2,)," ")</f>
        <v xml:space="preserve"> </v>
      </c>
    </row>
    <row r="1944" spans="1:14" x14ac:dyDescent="0.25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56" t="str">
        <f>IFERROR(VLOOKUP(A1944,Shipped!I:J,2,)," ")</f>
        <v xml:space="preserve"> </v>
      </c>
    </row>
    <row r="1945" spans="1:14" x14ac:dyDescent="0.25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56" t="str">
        <f>IFERROR(VLOOKUP(A1945,Shipped!I:J,2,)," ")</f>
        <v xml:space="preserve"> </v>
      </c>
    </row>
    <row r="1946" spans="1:14" x14ac:dyDescent="0.25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56" t="str">
        <f>IFERROR(VLOOKUP(A1946,Shipped!I:J,2,)," ")</f>
        <v xml:space="preserve"> </v>
      </c>
    </row>
    <row r="1947" spans="1:14" x14ac:dyDescent="0.25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56" t="str">
        <f>IFERROR(VLOOKUP(A1947,Shipped!I:J,2,)," ")</f>
        <v xml:space="preserve"> </v>
      </c>
    </row>
    <row r="1948" spans="1:14" x14ac:dyDescent="0.25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56">
        <f>IFERROR(VLOOKUP(A1948,Shipped!I:J,2,)," ")</f>
        <v>46196</v>
      </c>
    </row>
    <row r="1949" spans="1:14" x14ac:dyDescent="0.25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56" t="str">
        <f>IFERROR(VLOOKUP(A1949,Shipped!I:J,2,)," ")</f>
        <v xml:space="preserve"> </v>
      </c>
    </row>
    <row r="1950" spans="1:14" x14ac:dyDescent="0.25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56" t="str">
        <f>IFERROR(VLOOKUP(A1950,Shipped!I:J,2,)," ")</f>
        <v xml:space="preserve"> </v>
      </c>
    </row>
    <row r="1951" spans="1:14" x14ac:dyDescent="0.25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56" t="str">
        <f>IFERROR(VLOOKUP(A1951,Shipped!I:J,2,)," ")</f>
        <v xml:space="preserve"> </v>
      </c>
    </row>
    <row r="1952" spans="1:14" x14ac:dyDescent="0.25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56" t="str">
        <f>IFERROR(VLOOKUP(A1952,Shipped!I:J,2,)," ")</f>
        <v xml:space="preserve"> </v>
      </c>
    </row>
    <row r="1953" spans="1:14" x14ac:dyDescent="0.25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56" t="str">
        <f>IFERROR(VLOOKUP(A1953,Shipped!I:J,2,)," ")</f>
        <v xml:space="preserve"> </v>
      </c>
    </row>
    <row r="1954" spans="1:14" x14ac:dyDescent="0.25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56" t="str">
        <f>IFERROR(VLOOKUP(A1954,Shipped!I:J,2,)," ")</f>
        <v xml:space="preserve"> </v>
      </c>
    </row>
    <row r="1955" spans="1:14" x14ac:dyDescent="0.25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56" t="str">
        <f>IFERROR(VLOOKUP(A1955,Shipped!I:J,2,)," ")</f>
        <v xml:space="preserve"> </v>
      </c>
    </row>
    <row r="1956" spans="1:14" x14ac:dyDescent="0.25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56" t="str">
        <f>IFERROR(VLOOKUP(A1956,Shipped!I:J,2,)," ")</f>
        <v xml:space="preserve"> </v>
      </c>
    </row>
    <row r="1957" spans="1:14" x14ac:dyDescent="0.25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56" t="str">
        <f>IFERROR(VLOOKUP(A1957,Shipped!I:J,2,)," ")</f>
        <v xml:space="preserve"> </v>
      </c>
    </row>
    <row r="1958" spans="1:14" x14ac:dyDescent="0.25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56" t="str">
        <f>IFERROR(VLOOKUP(A1958,Shipped!I:J,2,)," ")</f>
        <v xml:space="preserve"> </v>
      </c>
    </row>
    <row r="1959" spans="1:14" x14ac:dyDescent="0.25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56" t="str">
        <f>IFERROR(VLOOKUP(A1959,Shipped!I:J,2,)," ")</f>
        <v xml:space="preserve"> </v>
      </c>
    </row>
    <row r="1960" spans="1:14" x14ac:dyDescent="0.25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56" t="str">
        <f>IFERROR(VLOOKUP(A1960,Shipped!I:J,2,)," ")</f>
        <v xml:space="preserve"> </v>
      </c>
    </row>
    <row r="1961" spans="1:14" x14ac:dyDescent="0.25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56" t="str">
        <f>IFERROR(VLOOKUP(A1961,Shipped!I:J,2,)," ")</f>
        <v xml:space="preserve"> </v>
      </c>
    </row>
    <row r="1962" spans="1:14" x14ac:dyDescent="0.25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56" t="str">
        <f>IFERROR(VLOOKUP(A1962,Shipped!I:J,2,)," ")</f>
        <v xml:space="preserve"> </v>
      </c>
    </row>
    <row r="1963" spans="1:14" x14ac:dyDescent="0.25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56" t="str">
        <f>IFERROR(VLOOKUP(A1963,Shipped!I:J,2,)," ")</f>
        <v xml:space="preserve"> </v>
      </c>
    </row>
    <row r="1964" spans="1:14" x14ac:dyDescent="0.25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56" t="str">
        <f>IFERROR(VLOOKUP(A1964,Shipped!I:J,2,)," ")</f>
        <v xml:space="preserve"> </v>
      </c>
    </row>
    <row r="1965" spans="1:14" x14ac:dyDescent="0.25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56" t="str">
        <f>IFERROR(VLOOKUP(A1965,Shipped!I:J,2,)," ")</f>
        <v xml:space="preserve"> </v>
      </c>
    </row>
    <row r="1966" spans="1:14" x14ac:dyDescent="0.25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56" t="str">
        <f>IFERROR(VLOOKUP(A1966,Shipped!I:J,2,)," ")</f>
        <v xml:space="preserve"> </v>
      </c>
    </row>
    <row r="1967" spans="1:14" x14ac:dyDescent="0.25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56" t="str">
        <f>IFERROR(VLOOKUP(A1967,Shipped!I:J,2,)," ")</f>
        <v xml:space="preserve"> </v>
      </c>
    </row>
    <row r="1968" spans="1:14" x14ac:dyDescent="0.25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56" t="str">
        <f>IFERROR(VLOOKUP(A1968,Shipped!I:J,2,)," ")</f>
        <v xml:space="preserve"> </v>
      </c>
    </row>
    <row r="1969" spans="1:14" x14ac:dyDescent="0.25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56" t="str">
        <f>IFERROR(VLOOKUP(A1969,Shipped!I:J,2,)," ")</f>
        <v xml:space="preserve"> </v>
      </c>
    </row>
    <row r="1970" spans="1:14" x14ac:dyDescent="0.25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56" t="str">
        <f>IFERROR(VLOOKUP(A1970,Shipped!I:J,2,)," ")</f>
        <v xml:space="preserve"> </v>
      </c>
    </row>
    <row r="1971" spans="1:14" x14ac:dyDescent="0.25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56" t="str">
        <f>IFERROR(VLOOKUP(A1971,Shipped!I:J,2,)," ")</f>
        <v xml:space="preserve"> </v>
      </c>
    </row>
    <row r="1972" spans="1:14" x14ac:dyDescent="0.25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56" t="str">
        <f>IFERROR(VLOOKUP(A1972,Shipped!I:J,2,)," ")</f>
        <v xml:space="preserve"> </v>
      </c>
    </row>
    <row r="1973" spans="1:14" x14ac:dyDescent="0.25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56" t="str">
        <f>IFERROR(VLOOKUP(A1973,Shipped!I:J,2,)," ")</f>
        <v xml:space="preserve"> </v>
      </c>
    </row>
    <row r="1974" spans="1:14" x14ac:dyDescent="0.25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56" t="str">
        <f>IFERROR(VLOOKUP(A1974,Shipped!I:J,2,)," ")</f>
        <v xml:space="preserve"> </v>
      </c>
    </row>
    <row r="1975" spans="1:14" x14ac:dyDescent="0.25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56" t="str">
        <f>IFERROR(VLOOKUP(A1975,Shipped!I:J,2,)," ")</f>
        <v xml:space="preserve"> </v>
      </c>
    </row>
    <row r="1976" spans="1:14" x14ac:dyDescent="0.25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56" t="str">
        <f>IFERROR(VLOOKUP(A1976,Shipped!I:J,2,)," ")</f>
        <v xml:space="preserve"> </v>
      </c>
    </row>
    <row r="1977" spans="1:14" x14ac:dyDescent="0.25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56" t="str">
        <f>IFERROR(VLOOKUP(A1977,Shipped!I:J,2,)," ")</f>
        <v xml:space="preserve"> </v>
      </c>
    </row>
    <row r="1978" spans="1:14" x14ac:dyDescent="0.25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56">
        <f>IFERROR(VLOOKUP(A1978,Shipped!I:J,2,)," ")</f>
        <v>46196</v>
      </c>
    </row>
    <row r="1979" spans="1:14" x14ac:dyDescent="0.25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56">
        <f>IFERROR(VLOOKUP(A1979,Shipped!I:J,2,)," ")</f>
        <v>46196</v>
      </c>
    </row>
    <row r="1980" spans="1:14" x14ac:dyDescent="0.25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56" t="str">
        <f>IFERROR(VLOOKUP(A1980,Shipped!I:J,2,)," ")</f>
        <v xml:space="preserve"> </v>
      </c>
    </row>
    <row r="1981" spans="1:14" x14ac:dyDescent="0.25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56" t="str">
        <f>IFERROR(VLOOKUP(A1981,Shipped!I:J,2,)," ")</f>
        <v xml:space="preserve"> </v>
      </c>
    </row>
    <row r="1982" spans="1:14" x14ac:dyDescent="0.25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3813</v>
      </c>
      <c r="N1982" s="56" t="str">
        <f>IFERROR(VLOOKUP(A1982,Shipped!I:J,2,)," ")</f>
        <v xml:space="preserve"> </v>
      </c>
    </row>
    <row r="1983" spans="1:14" x14ac:dyDescent="0.25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56">
        <f>IFERROR(VLOOKUP(A1983,Shipped!I:J,2,)," ")</f>
        <v>46196</v>
      </c>
    </row>
    <row r="1984" spans="1:14" x14ac:dyDescent="0.25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56" t="str">
        <f>IFERROR(VLOOKUP(A1984,Shipped!I:J,2,)," ")</f>
        <v xml:space="preserve"> </v>
      </c>
    </row>
    <row r="1985" spans="1:14" x14ac:dyDescent="0.25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56" t="str">
        <f>IFERROR(VLOOKUP(A1985,Shipped!I:J,2,)," ")</f>
        <v xml:space="preserve"> </v>
      </c>
    </row>
    <row r="1986" spans="1:14" x14ac:dyDescent="0.25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56" t="str">
        <f>IFERROR(VLOOKUP(A1986,Shipped!I:J,2,)," ")</f>
        <v xml:space="preserve"> </v>
      </c>
    </row>
    <row r="1987" spans="1:14" x14ac:dyDescent="0.25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56">
        <f>IFERROR(VLOOKUP(A1987,Shipped!I:J,2,)," ")</f>
        <v>46058</v>
      </c>
    </row>
    <row r="1988" spans="1:14" x14ac:dyDescent="0.25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56">
        <f>IFERROR(VLOOKUP(A1988,Shipped!I:J,2,)," ")</f>
        <v>46064</v>
      </c>
    </row>
    <row r="1989" spans="1:14" x14ac:dyDescent="0.25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56">
        <f>IFERROR(VLOOKUP(A1989,Shipped!I:J,2,)," ")</f>
        <v>46100</v>
      </c>
    </row>
    <row r="1990" spans="1:14" x14ac:dyDescent="0.25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56">
        <f>IFERROR(VLOOKUP(A1990,Shipped!I:J,2,)," ")</f>
        <v>46092</v>
      </c>
    </row>
    <row r="1991" spans="1:14" x14ac:dyDescent="0.25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56" t="str">
        <f>IFERROR(VLOOKUP(A1991,Shipped!I:J,2,)," ")</f>
        <v xml:space="preserve"> </v>
      </c>
    </row>
    <row r="1992" spans="1:14" x14ac:dyDescent="0.25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56" t="str">
        <f>IFERROR(VLOOKUP(A1992,Shipped!I:J,2,)," ")</f>
        <v xml:space="preserve"> </v>
      </c>
    </row>
    <row r="1993" spans="1:14" x14ac:dyDescent="0.25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56" t="str">
        <f>IFERROR(VLOOKUP(A1993,Shipped!I:J,2,)," ")</f>
        <v xml:space="preserve"> </v>
      </c>
    </row>
    <row r="1994" spans="1:14" x14ac:dyDescent="0.25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56" t="str">
        <f>IFERROR(VLOOKUP(A1994,Shipped!I:J,2,)," ")</f>
        <v xml:space="preserve"> </v>
      </c>
    </row>
    <row r="1995" spans="1:14" x14ac:dyDescent="0.25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56" t="str">
        <f>IFERROR(VLOOKUP(A1995,Shipped!I:J,2,)," ")</f>
        <v xml:space="preserve"> </v>
      </c>
    </row>
    <row r="1996" spans="1:14" x14ac:dyDescent="0.25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56" t="str">
        <f>IFERROR(VLOOKUP(A1996,Shipped!I:J,2,)," ")</f>
        <v xml:space="preserve"> </v>
      </c>
    </row>
    <row r="1997" spans="1:14" x14ac:dyDescent="0.25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56" t="str">
        <f>IFERROR(VLOOKUP(A1997,Shipped!I:J,2,)," ")</f>
        <v xml:space="preserve"> </v>
      </c>
    </row>
    <row r="1998" spans="1:14" x14ac:dyDescent="0.25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56" t="str">
        <f>IFERROR(VLOOKUP(A1998,Shipped!I:J,2,)," ")</f>
        <v xml:space="preserve"> </v>
      </c>
    </row>
    <row r="1999" spans="1:14" x14ac:dyDescent="0.25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56" t="str">
        <f>IFERROR(VLOOKUP(A1999,Shipped!I:J,2,)," ")</f>
        <v xml:space="preserve"> </v>
      </c>
    </row>
    <row r="2000" spans="1:14" x14ac:dyDescent="0.25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56" t="str">
        <f>IFERROR(VLOOKUP(A2000,Shipped!I:J,2,)," ")</f>
        <v xml:space="preserve"> </v>
      </c>
    </row>
    <row r="2001" spans="1:14" x14ac:dyDescent="0.25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56" t="str">
        <f>IFERROR(VLOOKUP(A2001,Shipped!I:J,2,)," ")</f>
        <v xml:space="preserve"> </v>
      </c>
    </row>
    <row r="2002" spans="1:14" x14ac:dyDescent="0.25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56" t="str">
        <f>IFERROR(VLOOKUP(A2002,Shipped!I:J,2,)," ")</f>
        <v xml:space="preserve"> </v>
      </c>
    </row>
    <row r="2003" spans="1:14" x14ac:dyDescent="0.25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56" t="str">
        <f>IFERROR(VLOOKUP(A2003,Shipped!I:J,2,)," ")</f>
        <v xml:space="preserve"> </v>
      </c>
    </row>
    <row r="2004" spans="1:14" x14ac:dyDescent="0.25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56" t="str">
        <f>IFERROR(VLOOKUP(A2004,Shipped!I:J,2,)," ")</f>
        <v xml:space="preserve"> </v>
      </c>
    </row>
    <row r="2005" spans="1:14" x14ac:dyDescent="0.25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56" t="str">
        <f>IFERROR(VLOOKUP(A2005,Shipped!I:J,2,)," ")</f>
        <v xml:space="preserve"> </v>
      </c>
    </row>
    <row r="2006" spans="1:14" x14ac:dyDescent="0.25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56" t="str">
        <f>IFERROR(VLOOKUP(A2006,Shipped!I:J,2,)," ")</f>
        <v xml:space="preserve"> </v>
      </c>
    </row>
    <row r="2007" spans="1:14" x14ac:dyDescent="0.25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56" t="str">
        <f>IFERROR(VLOOKUP(A2007,Shipped!I:J,2,)," ")</f>
        <v xml:space="preserve"> </v>
      </c>
    </row>
    <row r="2008" spans="1:14" x14ac:dyDescent="0.25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56" t="str">
        <f>IFERROR(VLOOKUP(A2008,Shipped!I:J,2,)," ")</f>
        <v xml:space="preserve"> </v>
      </c>
    </row>
    <row r="2009" spans="1:14" x14ac:dyDescent="0.25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56" t="str">
        <f>IFERROR(VLOOKUP(A2009,Shipped!I:J,2,)," ")</f>
        <v xml:space="preserve"> </v>
      </c>
    </row>
    <row r="2010" spans="1:14" x14ac:dyDescent="0.25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56">
        <f>IFERROR(VLOOKUP(A2010,Shipped!I:J,2,)," ")</f>
        <v>46064</v>
      </c>
    </row>
    <row r="2011" spans="1:14" x14ac:dyDescent="0.25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56">
        <f>IFERROR(VLOOKUP(A2011,Shipped!I:J,2,)," ")</f>
        <v>46134</v>
      </c>
    </row>
    <row r="2012" spans="1:14" x14ac:dyDescent="0.25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56" t="str">
        <f>IFERROR(VLOOKUP(A2012,Shipped!I:J,2,)," ")</f>
        <v xml:space="preserve"> </v>
      </c>
    </row>
    <row r="2013" spans="1:14" x14ac:dyDescent="0.25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56" t="str">
        <f>IFERROR(VLOOKUP(A2013,Shipped!I:J,2,)," ")</f>
        <v xml:space="preserve"> </v>
      </c>
    </row>
    <row r="2014" spans="1:14" x14ac:dyDescent="0.25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56" t="str">
        <f>IFERROR(VLOOKUP(A2014,Shipped!I:J,2,)," ")</f>
        <v xml:space="preserve"> </v>
      </c>
    </row>
    <row r="2015" spans="1:14" x14ac:dyDescent="0.25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56">
        <f>IFERROR(VLOOKUP(A2015,Shipped!I:J,2,)," ")</f>
        <v>46134</v>
      </c>
    </row>
    <row r="2016" spans="1:14" x14ac:dyDescent="0.25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56" t="str">
        <f>IFERROR(VLOOKUP(A2016,Shipped!I:J,2,)," ")</f>
        <v xml:space="preserve"> </v>
      </c>
    </row>
    <row r="2017" spans="1:14" x14ac:dyDescent="0.25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56" t="str">
        <f>IFERROR(VLOOKUP(A2017,Shipped!I:J,2,)," ")</f>
        <v xml:space="preserve"> </v>
      </c>
    </row>
    <row r="2018" spans="1:14" x14ac:dyDescent="0.25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56">
        <f>IFERROR(VLOOKUP(A2018,Shipped!I:J,2,)," ")</f>
        <v>46134</v>
      </c>
    </row>
    <row r="2019" spans="1:14" x14ac:dyDescent="0.25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56" t="str">
        <f>IFERROR(VLOOKUP(A2019,Shipped!I:J,2,)," ")</f>
        <v xml:space="preserve"> </v>
      </c>
    </row>
    <row r="2020" spans="1:14" x14ac:dyDescent="0.25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56" t="str">
        <f>IFERROR(VLOOKUP(A2020,Shipped!I:J,2,)," ")</f>
        <v xml:space="preserve"> </v>
      </c>
    </row>
    <row r="2021" spans="1:14" x14ac:dyDescent="0.25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56" t="str">
        <f>IFERROR(VLOOKUP(A2021,Shipped!I:J,2,)," ")</f>
        <v xml:space="preserve"> </v>
      </c>
    </row>
    <row r="2022" spans="1:14" x14ac:dyDescent="0.25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56">
        <f>IFERROR(VLOOKUP(A2022,Shipped!I:J,2,)," ")</f>
        <v>46170</v>
      </c>
    </row>
    <row r="2023" spans="1:14" x14ac:dyDescent="0.25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56">
        <f>IFERROR(VLOOKUP(A2023,Shipped!I:J,2,)," ")</f>
        <v>46108</v>
      </c>
    </row>
    <row r="2024" spans="1:14" x14ac:dyDescent="0.25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56">
        <f>IFERROR(VLOOKUP(A2024,Shipped!I:J,2,)," ")</f>
        <v>46134</v>
      </c>
    </row>
    <row r="2025" spans="1:14" x14ac:dyDescent="0.25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56" t="str">
        <f>IFERROR(VLOOKUP(A2025,Shipped!I:J,2,)," ")</f>
        <v xml:space="preserve"> </v>
      </c>
    </row>
    <row r="2026" spans="1:14" x14ac:dyDescent="0.25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56">
        <f>IFERROR(VLOOKUP(A2026,Shipped!I:J,2,)," ")</f>
        <v>46139</v>
      </c>
    </row>
    <row r="2027" spans="1:14" x14ac:dyDescent="0.25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56" t="str">
        <f>IFERROR(VLOOKUP(A2027,Shipped!I:J,2,)," ")</f>
        <v xml:space="preserve"> </v>
      </c>
    </row>
    <row r="2028" spans="1:14" x14ac:dyDescent="0.25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56" t="str">
        <f>IFERROR(VLOOKUP(A2028,Shipped!I:J,2,)," ")</f>
        <v xml:space="preserve"> </v>
      </c>
    </row>
    <row r="2029" spans="1:14" x14ac:dyDescent="0.25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56">
        <f>IFERROR(VLOOKUP(A2029,Shipped!I:J,2,)," ")</f>
        <v>46163</v>
      </c>
    </row>
    <row r="2030" spans="1:14" x14ac:dyDescent="0.25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56">
        <f>IFERROR(VLOOKUP(A2030,Shipped!I:J,2,)," ")</f>
        <v>46134</v>
      </c>
    </row>
    <row r="2031" spans="1:14" x14ac:dyDescent="0.25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56">
        <f>IFERROR(VLOOKUP(A2031,Shipped!I:J,2,)," ")</f>
        <v>46134</v>
      </c>
    </row>
    <row r="2032" spans="1:14" x14ac:dyDescent="0.25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56">
        <f>IFERROR(VLOOKUP(A2032,Shipped!I:J,2,)," ")</f>
        <v>46163</v>
      </c>
    </row>
    <row r="2033" spans="1:14" x14ac:dyDescent="0.25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56">
        <f>IFERROR(VLOOKUP(A2033,Shipped!I:J,2,)," ")</f>
        <v>46134</v>
      </c>
    </row>
    <row r="2034" spans="1:14" x14ac:dyDescent="0.25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56" t="str">
        <f>IFERROR(VLOOKUP(A2034,Shipped!I:J,2,)," ")</f>
        <v xml:space="preserve"> </v>
      </c>
    </row>
    <row r="2035" spans="1:14" x14ac:dyDescent="0.25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56" t="str">
        <f>IFERROR(VLOOKUP(A2035,Shipped!I:J,2,)," ")</f>
        <v xml:space="preserve"> </v>
      </c>
    </row>
    <row r="2036" spans="1:14" x14ac:dyDescent="0.25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56">
        <f>IFERROR(VLOOKUP(A2036,Shipped!I:J,2,)," ")</f>
        <v>46163</v>
      </c>
    </row>
    <row r="2037" spans="1:14" x14ac:dyDescent="0.25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56" t="str">
        <f>IFERROR(VLOOKUP(A2037,Shipped!I:J,2,)," ")</f>
        <v xml:space="preserve"> </v>
      </c>
    </row>
    <row r="2038" spans="1:14" x14ac:dyDescent="0.25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56" t="str">
        <f>IFERROR(VLOOKUP(A2038,Shipped!I:J,2,)," ")</f>
        <v xml:space="preserve"> </v>
      </c>
    </row>
    <row r="2039" spans="1:14" x14ac:dyDescent="0.25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56">
        <f>IFERROR(VLOOKUP(A2039,Shipped!I:J,2,)," ")</f>
        <v>46163</v>
      </c>
    </row>
    <row r="2040" spans="1:14" x14ac:dyDescent="0.25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56" t="str">
        <f>IFERROR(VLOOKUP(A2040,Shipped!I:J,2,)," ")</f>
        <v xml:space="preserve"> </v>
      </c>
    </row>
    <row r="2041" spans="1:14" x14ac:dyDescent="0.25">
      <c r="A2041" s="11" t="s">
        <v>162</v>
      </c>
      <c r="B2041" s="11" t="s">
        <v>3824</v>
      </c>
      <c r="C2041" s="11" t="s">
        <v>3825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56" t="str">
        <f>IFERROR(VLOOKUP(A2041,Shipped!I:J,2,)," ")</f>
        <v xml:space="preserve"> </v>
      </c>
    </row>
    <row r="2042" spans="1:14" x14ac:dyDescent="0.25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56" t="str">
        <f>IFERROR(VLOOKUP(A2042,Shipped!I:J,2,)," ")</f>
        <v xml:space="preserve"> </v>
      </c>
    </row>
    <row r="2043" spans="1:14" x14ac:dyDescent="0.25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56" t="str">
        <f>IFERROR(VLOOKUP(A2043,Shipped!I:J,2,)," ")</f>
        <v xml:space="preserve"> </v>
      </c>
    </row>
    <row r="2044" spans="1:14" x14ac:dyDescent="0.25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56" t="str">
        <f>IFERROR(VLOOKUP(A2044,Shipped!I:J,2,)," ")</f>
        <v xml:space="preserve"> </v>
      </c>
    </row>
    <row r="2045" spans="1:14" x14ac:dyDescent="0.25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56" t="str">
        <f>IFERROR(VLOOKUP(A2045,Shipped!I:J,2,)," ")</f>
        <v xml:space="preserve"> </v>
      </c>
    </row>
    <row r="2046" spans="1:14" x14ac:dyDescent="0.25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56" t="str">
        <f>IFERROR(VLOOKUP(A2046,Shipped!I:J,2,)," ")</f>
        <v xml:space="preserve"> </v>
      </c>
    </row>
    <row r="2047" spans="1:14" x14ac:dyDescent="0.25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56" t="str">
        <f>IFERROR(VLOOKUP(A2047,Shipped!I:J,2,)," ")</f>
        <v xml:space="preserve"> </v>
      </c>
    </row>
    <row r="2048" spans="1:14" x14ac:dyDescent="0.25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56" t="str">
        <f>IFERROR(VLOOKUP(A2048,Shipped!I:J,2,)," ")</f>
        <v xml:space="preserve"> </v>
      </c>
    </row>
    <row r="2049" spans="1:14" x14ac:dyDescent="0.25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56" t="str">
        <f>IFERROR(VLOOKUP(A2049,Shipped!I:J,2,)," ")</f>
        <v xml:space="preserve"> </v>
      </c>
    </row>
    <row r="2050" spans="1:14" x14ac:dyDescent="0.25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56" t="str">
        <f>IFERROR(VLOOKUP(A2050,Shipped!I:J,2,)," ")</f>
        <v xml:space="preserve"> </v>
      </c>
    </row>
    <row r="2051" spans="1:14" x14ac:dyDescent="0.25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56" t="str">
        <f>IFERROR(VLOOKUP(A2051,Shipped!I:J,2,)," ")</f>
        <v xml:space="preserve"> </v>
      </c>
    </row>
    <row r="2052" spans="1:14" x14ac:dyDescent="0.25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56" t="str">
        <f>IFERROR(VLOOKUP(A2052,Shipped!I:J,2,)," ")</f>
        <v xml:space="preserve"> </v>
      </c>
    </row>
    <row r="2053" spans="1:14" x14ac:dyDescent="0.25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56" t="str">
        <f>IFERROR(VLOOKUP(A2053,Shipped!I:J,2,)," ")</f>
        <v xml:space="preserve"> </v>
      </c>
    </row>
    <row r="2054" spans="1:14" x14ac:dyDescent="0.25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56" t="str">
        <f>IFERROR(VLOOKUP(A2054,Shipped!I:J,2,)," ")</f>
        <v xml:space="preserve"> </v>
      </c>
    </row>
    <row r="2055" spans="1:14" x14ac:dyDescent="0.25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56" t="str">
        <f>IFERROR(VLOOKUP(A2055,Shipped!I:J,2,)," ")</f>
        <v xml:space="preserve"> </v>
      </c>
    </row>
    <row r="2056" spans="1:14" x14ac:dyDescent="0.25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56" t="str">
        <f>IFERROR(VLOOKUP(A2056,Shipped!I:J,2,)," ")</f>
        <v xml:space="preserve"> </v>
      </c>
    </row>
    <row r="2057" spans="1:14" x14ac:dyDescent="0.25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56" t="str">
        <f>IFERROR(VLOOKUP(A2057,Shipped!I:J,2,)," ")</f>
        <v xml:space="preserve"> </v>
      </c>
    </row>
    <row r="2058" spans="1:14" x14ac:dyDescent="0.25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56" t="str">
        <f>IFERROR(VLOOKUP(A2058,Shipped!I:J,2,)," ")</f>
        <v xml:space="preserve"> </v>
      </c>
    </row>
    <row r="2059" spans="1:14" x14ac:dyDescent="0.25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56" t="str">
        <f>IFERROR(VLOOKUP(A2059,Shipped!I:J,2,)," ")</f>
        <v xml:space="preserve"> </v>
      </c>
    </row>
    <row r="2060" spans="1:14" x14ac:dyDescent="0.25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56" t="str">
        <f>IFERROR(VLOOKUP(A2060,Shipped!I:J,2,)," ")</f>
        <v xml:space="preserve"> </v>
      </c>
    </row>
    <row r="2061" spans="1:14" x14ac:dyDescent="0.25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56" t="str">
        <f>IFERROR(VLOOKUP(A2061,Shipped!I:J,2,)," ")</f>
        <v xml:space="preserve"> </v>
      </c>
    </row>
    <row r="2062" spans="1:14" x14ac:dyDescent="0.25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56" t="str">
        <f>IFERROR(VLOOKUP(A2062,Shipped!I:J,2,)," ")</f>
        <v xml:space="preserve"> </v>
      </c>
    </row>
    <row r="2063" spans="1:14" x14ac:dyDescent="0.25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56" t="str">
        <f>IFERROR(VLOOKUP(A2063,Shipped!I:J,2,)," ")</f>
        <v xml:space="preserve"> </v>
      </c>
    </row>
    <row r="2064" spans="1:14" x14ac:dyDescent="0.25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56" t="str">
        <f>IFERROR(VLOOKUP(A2064,Shipped!I:J,2,)," ")</f>
        <v xml:space="preserve"> </v>
      </c>
    </row>
    <row r="2065" spans="1:14" x14ac:dyDescent="0.25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56" t="str">
        <f>IFERROR(VLOOKUP(A2065,Shipped!I:J,2,)," ")</f>
        <v xml:space="preserve"> </v>
      </c>
    </row>
    <row r="2066" spans="1:14" x14ac:dyDescent="0.25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56" t="str">
        <f>IFERROR(VLOOKUP(A2066,Shipped!I:J,2,)," ")</f>
        <v xml:space="preserve"> </v>
      </c>
    </row>
    <row r="2067" spans="1:14" x14ac:dyDescent="0.25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56" t="str">
        <f>IFERROR(VLOOKUP(A2067,Shipped!I:J,2,)," ")</f>
        <v xml:space="preserve"> </v>
      </c>
    </row>
    <row r="2068" spans="1:14" x14ac:dyDescent="0.25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56" t="str">
        <f>IFERROR(VLOOKUP(A2068,Shipped!I:J,2,)," ")</f>
        <v xml:space="preserve"> </v>
      </c>
    </row>
    <row r="2069" spans="1:14" x14ac:dyDescent="0.25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56" t="str">
        <f>IFERROR(VLOOKUP(A2069,Shipped!I:J,2,)," ")</f>
        <v xml:space="preserve"> </v>
      </c>
    </row>
    <row r="2070" spans="1:14" x14ac:dyDescent="0.25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56" t="str">
        <f>IFERROR(VLOOKUP(A2070,Shipped!I:J,2,)," ")</f>
        <v xml:space="preserve"> </v>
      </c>
    </row>
    <row r="2071" spans="1:14" x14ac:dyDescent="0.25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56" t="str">
        <f>IFERROR(VLOOKUP(A2071,Shipped!I:J,2,)," ")</f>
        <v xml:space="preserve"> </v>
      </c>
    </row>
    <row r="2072" spans="1:14" x14ac:dyDescent="0.25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56" t="str">
        <f>IFERROR(VLOOKUP(A2072,Shipped!I:J,2,)," ")</f>
        <v xml:space="preserve"> </v>
      </c>
    </row>
    <row r="2073" spans="1:14" x14ac:dyDescent="0.25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56" t="str">
        <f>IFERROR(VLOOKUP(A2073,Shipped!I:J,2,)," ")</f>
        <v xml:space="preserve"> </v>
      </c>
    </row>
    <row r="2074" spans="1:14" x14ac:dyDescent="0.25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56" t="str">
        <f>IFERROR(VLOOKUP(A2074,Shipped!I:J,2,)," ")</f>
        <v xml:space="preserve"> </v>
      </c>
    </row>
    <row r="2075" spans="1:14" x14ac:dyDescent="0.25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56" t="str">
        <f>IFERROR(VLOOKUP(A2075,Shipped!I:J,2,)," ")</f>
        <v xml:space="preserve"> </v>
      </c>
    </row>
    <row r="2076" spans="1:14" x14ac:dyDescent="0.25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56" t="str">
        <f>IFERROR(VLOOKUP(A2076,Shipped!I:J,2,)," ")</f>
        <v xml:space="preserve"> </v>
      </c>
    </row>
    <row r="2077" spans="1:14" x14ac:dyDescent="0.25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56" t="str">
        <f>IFERROR(VLOOKUP(A2077,Shipped!I:J,2,)," ")</f>
        <v xml:space="preserve"> </v>
      </c>
    </row>
    <row r="2078" spans="1:14" x14ac:dyDescent="0.25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56" t="str">
        <f>IFERROR(VLOOKUP(A2078,Shipped!I:J,2,)," ")</f>
        <v xml:space="preserve"> </v>
      </c>
    </row>
    <row r="2079" spans="1:14" x14ac:dyDescent="0.25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56" t="str">
        <f>IFERROR(VLOOKUP(A2079,Shipped!I:J,2,)," ")</f>
        <v xml:space="preserve"> </v>
      </c>
    </row>
    <row r="2080" spans="1:14" x14ac:dyDescent="0.25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56" t="str">
        <f>IFERROR(VLOOKUP(A2080,Shipped!I:J,2,)," ")</f>
        <v xml:space="preserve"> </v>
      </c>
    </row>
    <row r="2081" spans="1:14" x14ac:dyDescent="0.25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56">
        <f>IFERROR(VLOOKUP(A2081,Shipped!I:J,2,)," ")</f>
        <v>46241</v>
      </c>
    </row>
    <row r="2082" spans="1:14" x14ac:dyDescent="0.25">
      <c r="A2082" s="11" t="s">
        <v>1177</v>
      </c>
      <c r="B2082" s="11" t="s">
        <v>6</v>
      </c>
      <c r="C2082" s="11" t="s">
        <v>6</v>
      </c>
      <c r="D2082" s="11">
        <v>1</v>
      </c>
      <c r="E2082" s="11" t="s">
        <v>7</v>
      </c>
      <c r="F2082" s="20">
        <v>46280.889814814815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56" t="str">
        <f>IFERROR(VLOOKUP(A2082,Shipped!I:J,2,)," ")</f>
        <v xml:space="preserve"> </v>
      </c>
    </row>
    <row r="2083" spans="1:14" x14ac:dyDescent="0.25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56" t="str">
        <f>IFERROR(VLOOKUP(A2083,Shipped!I:J,2,)," ")</f>
        <v xml:space="preserve"> </v>
      </c>
    </row>
    <row r="2084" spans="1:14" x14ac:dyDescent="0.25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56">
        <f>IFERROR(VLOOKUP(A2084,Shipped!I:J,2,)," ")</f>
        <v>46241</v>
      </c>
    </row>
    <row r="2085" spans="1:14" x14ac:dyDescent="0.25">
      <c r="A2085" s="11" t="s">
        <v>1180</v>
      </c>
      <c r="B2085" s="11" t="s">
        <v>6</v>
      </c>
      <c r="C2085" s="11" t="s">
        <v>6</v>
      </c>
      <c r="D2085" s="11">
        <v>1</v>
      </c>
      <c r="E2085" s="11" t="s">
        <v>7</v>
      </c>
      <c r="F2085" s="20">
        <v>46282.276307870372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56" t="str">
        <f>IFERROR(VLOOKUP(A2085,Shipped!I:J,2,)," ")</f>
        <v xml:space="preserve"> </v>
      </c>
    </row>
    <row r="2086" spans="1:14" x14ac:dyDescent="0.25">
      <c r="A2086" s="11" t="s">
        <v>1181</v>
      </c>
      <c r="B2086" s="11" t="s">
        <v>6</v>
      </c>
      <c r="C2086" s="11" t="s">
        <v>6</v>
      </c>
      <c r="D2086" s="11">
        <v>1</v>
      </c>
      <c r="E2086" s="11" t="s">
        <v>7</v>
      </c>
      <c r="F2086" s="20">
        <v>46280.891944444447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56" t="str">
        <f>IFERROR(VLOOKUP(A2086,Shipped!I:J,2,)," ")</f>
        <v xml:space="preserve"> </v>
      </c>
    </row>
    <row r="2087" spans="1:14" x14ac:dyDescent="0.25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56">
        <f>IFERROR(VLOOKUP(A2087,Shipped!I:J,2,)," ")</f>
        <v>46224</v>
      </c>
    </row>
    <row r="2088" spans="1:14" x14ac:dyDescent="0.25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56" t="str">
        <f>IFERROR(VLOOKUP(A2088,Shipped!I:J,2,)," ")</f>
        <v xml:space="preserve"> </v>
      </c>
    </row>
    <row r="2089" spans="1:14" x14ac:dyDescent="0.25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56">
        <f>IFERROR(VLOOKUP(A2089,Shipped!I:J,2,)," ")</f>
        <v>46226</v>
      </c>
    </row>
    <row r="2090" spans="1:14" x14ac:dyDescent="0.25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56" t="str">
        <f>IFERROR(VLOOKUP(A2090,Shipped!I:J,2,)," ")</f>
        <v xml:space="preserve"> </v>
      </c>
    </row>
    <row r="2091" spans="1:14" x14ac:dyDescent="0.25">
      <c r="A2091" s="11" t="s">
        <v>1186</v>
      </c>
      <c r="B2091" s="11" t="s">
        <v>6</v>
      </c>
      <c r="C2091" s="11" t="s">
        <v>6</v>
      </c>
      <c r="D2091" s="11">
        <v>1</v>
      </c>
      <c r="E2091" s="11" t="s">
        <v>7</v>
      </c>
      <c r="F2091" s="20">
        <v>46281.549178240741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56" t="str">
        <f>IFERROR(VLOOKUP(A2091,Shipped!I:J,2,)," ")</f>
        <v xml:space="preserve"> </v>
      </c>
    </row>
    <row r="2092" spans="1:14" x14ac:dyDescent="0.25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56" t="str">
        <f>IFERROR(VLOOKUP(A2092,Shipped!I:J,2,)," ")</f>
        <v xml:space="preserve"> </v>
      </c>
    </row>
    <row r="2093" spans="1:14" x14ac:dyDescent="0.25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56">
        <f>IFERROR(VLOOKUP(A2093,Shipped!I:J,2,)," ")</f>
        <v>46226</v>
      </c>
    </row>
    <row r="2094" spans="1:14" x14ac:dyDescent="0.25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56" t="str">
        <f>IFERROR(VLOOKUP(A2094,Shipped!I:J,2,)," ")</f>
        <v xml:space="preserve"> </v>
      </c>
    </row>
    <row r="2095" spans="1:14" x14ac:dyDescent="0.25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56" t="str">
        <f>IFERROR(VLOOKUP(A2095,Shipped!I:J,2,)," ")</f>
        <v xml:space="preserve"> </v>
      </c>
    </row>
    <row r="2096" spans="1:14" x14ac:dyDescent="0.25">
      <c r="A2096" s="11" t="s">
        <v>1191</v>
      </c>
      <c r="B2096" s="11" t="s">
        <v>6</v>
      </c>
      <c r="C2096" s="11" t="s">
        <v>6</v>
      </c>
      <c r="D2096" s="11">
        <v>1</v>
      </c>
      <c r="E2096" s="11" t="s">
        <v>7</v>
      </c>
      <c r="F2096" s="20">
        <v>46280.893761574072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56" t="str">
        <f>IFERROR(VLOOKUP(A2096,Shipped!I:J,2,)," ")</f>
        <v xml:space="preserve"> </v>
      </c>
    </row>
    <row r="2097" spans="1:14" x14ac:dyDescent="0.25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56" t="str">
        <f>IFERROR(VLOOKUP(A2097,Shipped!I:J,2,)," ")</f>
        <v xml:space="preserve"> </v>
      </c>
    </row>
    <row r="2098" spans="1:14" x14ac:dyDescent="0.25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56">
        <f>IFERROR(VLOOKUP(A2098,Shipped!I:J,2,)," ")</f>
        <v>46241</v>
      </c>
    </row>
    <row r="2099" spans="1:14" x14ac:dyDescent="0.25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56" t="str">
        <f>IFERROR(VLOOKUP(A2099,Shipped!I:J,2,)," ")</f>
        <v xml:space="preserve"> </v>
      </c>
    </row>
    <row r="2100" spans="1:14" x14ac:dyDescent="0.25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56" t="str">
        <f>IFERROR(VLOOKUP(A2100,Shipped!I:J,2,)," ")</f>
        <v xml:space="preserve"> </v>
      </c>
    </row>
    <row r="2101" spans="1:14" x14ac:dyDescent="0.25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56">
        <f>IFERROR(VLOOKUP(A2101,Shipped!I:J,2,)," ")</f>
        <v>46241</v>
      </c>
    </row>
    <row r="2102" spans="1:14" x14ac:dyDescent="0.25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56">
        <f>IFERROR(VLOOKUP(A2102,Shipped!I:J,2,)," ")</f>
        <v>46241</v>
      </c>
    </row>
    <row r="2103" spans="1:14" x14ac:dyDescent="0.25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56" t="str">
        <f>IFERROR(VLOOKUP(A2103,Shipped!I:J,2,)," ")</f>
        <v xml:space="preserve"> </v>
      </c>
    </row>
    <row r="2104" spans="1:14" x14ac:dyDescent="0.25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56" t="str">
        <f>IFERROR(VLOOKUP(A2104,Shipped!I:J,2,)," ")</f>
        <v xml:space="preserve"> </v>
      </c>
    </row>
    <row r="2105" spans="1:14" x14ac:dyDescent="0.25">
      <c r="A2105" s="11" t="s">
        <v>1200</v>
      </c>
      <c r="B2105" s="11" t="s">
        <v>6</v>
      </c>
      <c r="C2105" s="11" t="s">
        <v>6</v>
      </c>
      <c r="D2105" s="11">
        <v>1</v>
      </c>
      <c r="E2105" s="11" t="s">
        <v>7</v>
      </c>
      <c r="F2105" s="20">
        <v>46281.517280092594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56" t="str">
        <f>IFERROR(VLOOKUP(A2105,Shipped!I:J,2,)," ")</f>
        <v xml:space="preserve"> </v>
      </c>
    </row>
    <row r="2106" spans="1:14" x14ac:dyDescent="0.25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56">
        <f>IFERROR(VLOOKUP(A2106,Shipped!I:J,2,)," ")</f>
        <v>46241</v>
      </c>
    </row>
    <row r="2107" spans="1:14" x14ac:dyDescent="0.25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46280.89638888889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56" t="str">
        <f>IFERROR(VLOOKUP(A2107,Shipped!I:J,2,)," ")</f>
        <v xml:space="preserve"> </v>
      </c>
    </row>
    <row r="2108" spans="1:14" x14ac:dyDescent="0.25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56">
        <f>IFERROR(VLOOKUP(A2108,Shipped!I:J,2,)," ")</f>
        <v>46241</v>
      </c>
    </row>
    <row r="2109" spans="1:14" x14ac:dyDescent="0.25">
      <c r="A2109" s="11" t="s">
        <v>1204</v>
      </c>
      <c r="B2109" s="11" t="s">
        <v>6</v>
      </c>
      <c r="C2109" s="11" t="s">
        <v>6</v>
      </c>
      <c r="D2109" s="11">
        <v>1</v>
      </c>
      <c r="E2109" s="11" t="s">
        <v>7</v>
      </c>
      <c r="F2109" s="20">
        <v>46280.488263888888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56" t="str">
        <f>IFERROR(VLOOKUP(A2109,Shipped!I:J,2,)," ")</f>
        <v xml:space="preserve"> </v>
      </c>
    </row>
    <row r="2110" spans="1:14" x14ac:dyDescent="0.25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56" t="str">
        <f>IFERROR(VLOOKUP(A2110,Shipped!I:J,2,)," ")</f>
        <v xml:space="preserve"> </v>
      </c>
    </row>
    <row r="2111" spans="1:14" x14ac:dyDescent="0.25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56" t="str">
        <f>IFERROR(VLOOKUP(A2111,Shipped!I:J,2,)," ")</f>
        <v xml:space="preserve"> </v>
      </c>
    </row>
    <row r="2112" spans="1:14" x14ac:dyDescent="0.25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56" t="str">
        <f>IFERROR(VLOOKUP(A2112,Shipped!I:J,2,)," ")</f>
        <v xml:space="preserve"> </v>
      </c>
    </row>
    <row r="2113" spans="1:14" x14ac:dyDescent="0.25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56" t="str">
        <f>IFERROR(VLOOKUP(A2113,Shipped!I:J,2,)," ")</f>
        <v xml:space="preserve"> </v>
      </c>
    </row>
    <row r="2114" spans="1:14" x14ac:dyDescent="0.25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56" t="str">
        <f>IFERROR(VLOOKUP(A2114,Shipped!I:J,2,)," ")</f>
        <v xml:space="preserve"> </v>
      </c>
    </row>
    <row r="2115" spans="1:14" x14ac:dyDescent="0.25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56" t="str">
        <f>IFERROR(VLOOKUP(A2115,Shipped!I:J,2,)," ")</f>
        <v xml:space="preserve"> </v>
      </c>
    </row>
    <row r="2116" spans="1:14" x14ac:dyDescent="0.25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56" t="str">
        <f>IFERROR(VLOOKUP(A2116,Shipped!I:J,2,)," ")</f>
        <v xml:space="preserve"> </v>
      </c>
    </row>
    <row r="2117" spans="1:14" x14ac:dyDescent="0.25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56" t="str">
        <f>IFERROR(VLOOKUP(A2117,Shipped!I:J,2,)," ")</f>
        <v xml:space="preserve"> </v>
      </c>
    </row>
    <row r="2118" spans="1:14" x14ac:dyDescent="0.25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56" t="str">
        <f>IFERROR(VLOOKUP(A2118,Shipped!I:J,2,)," ")</f>
        <v xml:space="preserve"> </v>
      </c>
    </row>
    <row r="2119" spans="1:14" x14ac:dyDescent="0.25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56" t="str">
        <f>IFERROR(VLOOKUP(A2119,Shipped!I:J,2,)," ")</f>
        <v xml:space="preserve"> </v>
      </c>
    </row>
    <row r="2120" spans="1:14" x14ac:dyDescent="0.25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56" t="str">
        <f>IFERROR(VLOOKUP(A2120,Shipped!I:J,2,)," ")</f>
        <v xml:space="preserve"> </v>
      </c>
    </row>
    <row r="2121" spans="1:14" x14ac:dyDescent="0.25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56" t="str">
        <f>IFERROR(VLOOKUP(A2121,Shipped!I:J,2,)," ")</f>
        <v xml:space="preserve"> </v>
      </c>
    </row>
    <row r="2122" spans="1:14" x14ac:dyDescent="0.25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56" t="str">
        <f>IFERROR(VLOOKUP(A2122,Shipped!I:J,2,)," ")</f>
        <v xml:space="preserve"> </v>
      </c>
    </row>
    <row r="2123" spans="1:14" x14ac:dyDescent="0.25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56" t="str">
        <f>IFERROR(VLOOKUP(A2123,Shipped!I:J,2,)," ")</f>
        <v xml:space="preserve"> </v>
      </c>
    </row>
    <row r="2124" spans="1:14" x14ac:dyDescent="0.25">
      <c r="A2124" s="11" t="s">
        <v>3465</v>
      </c>
      <c r="B2124" s="11" t="s">
        <v>954</v>
      </c>
      <c r="C2124" s="11" t="s">
        <v>955</v>
      </c>
      <c r="D2124" s="11">
        <v>1</v>
      </c>
      <c r="E2124" s="11" t="s">
        <v>13</v>
      </c>
      <c r="F2124" s="20">
        <v>46282.3122337963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56" t="str">
        <f>IFERROR(VLOOKUP(A2124,Shipped!I:J,2,)," ")</f>
        <v xml:space="preserve"> </v>
      </c>
    </row>
    <row r="2125" spans="1:14" x14ac:dyDescent="0.25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56" t="str">
        <f>IFERROR(VLOOKUP(A2125,Shipped!I:J,2,)," ")</f>
        <v xml:space="preserve"> </v>
      </c>
    </row>
    <row r="2126" spans="1:14" x14ac:dyDescent="0.25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56" t="str">
        <f>IFERROR(VLOOKUP(A2126,Shipped!I:J,2,)," ")</f>
        <v xml:space="preserve"> </v>
      </c>
    </row>
    <row r="2127" spans="1:14" x14ac:dyDescent="0.25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56" t="str">
        <f>IFERROR(VLOOKUP(A2127,Shipped!I:J,2,)," ")</f>
        <v xml:space="preserve"> </v>
      </c>
    </row>
    <row r="2128" spans="1:14" x14ac:dyDescent="0.25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56" t="str">
        <f>IFERROR(VLOOKUP(A2128,Shipped!I:J,2,)," ")</f>
        <v xml:space="preserve"> </v>
      </c>
    </row>
    <row r="2129" spans="1:14" x14ac:dyDescent="0.25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56" t="str">
        <f>IFERROR(VLOOKUP(A2129,Shipped!I:J,2,)," ")</f>
        <v xml:space="preserve"> </v>
      </c>
    </row>
    <row r="2130" spans="1:14" x14ac:dyDescent="0.25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56" t="str">
        <f>IFERROR(VLOOKUP(A2130,Shipped!I:J,2,)," ")</f>
        <v xml:space="preserve"> </v>
      </c>
    </row>
    <row r="2131" spans="1:14" x14ac:dyDescent="0.25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56" t="str">
        <f>IFERROR(VLOOKUP(A2131,Shipped!I:J,2,)," ")</f>
        <v xml:space="preserve"> </v>
      </c>
    </row>
    <row r="2132" spans="1:14" x14ac:dyDescent="0.25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56" t="str">
        <f>IFERROR(VLOOKUP(A2132,Shipped!I:J,2,)," ")</f>
        <v xml:space="preserve"> </v>
      </c>
    </row>
    <row r="2133" spans="1:14" x14ac:dyDescent="0.25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56" t="str">
        <f>IFERROR(VLOOKUP(A2133,Shipped!I:J,2,)," ")</f>
        <v xml:space="preserve"> </v>
      </c>
    </row>
    <row r="2134" spans="1:14" x14ac:dyDescent="0.25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56" t="str">
        <f>IFERROR(VLOOKUP(A2134,Shipped!I:J,2,)," ")</f>
        <v xml:space="preserve"> </v>
      </c>
    </row>
    <row r="2135" spans="1:14" x14ac:dyDescent="0.25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56" t="str">
        <f>IFERROR(VLOOKUP(A2135,Shipped!I:J,2,)," ")</f>
        <v xml:space="preserve"> </v>
      </c>
    </row>
    <row r="2136" spans="1:14" x14ac:dyDescent="0.25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56" t="str">
        <f>IFERROR(VLOOKUP(A2136,Shipped!I:J,2,)," ")</f>
        <v xml:space="preserve"> </v>
      </c>
    </row>
    <row r="2137" spans="1:14" x14ac:dyDescent="0.25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56" t="str">
        <f>IFERROR(VLOOKUP(A2137,Shipped!I:J,2,)," ")</f>
        <v xml:space="preserve"> </v>
      </c>
    </row>
    <row r="2138" spans="1:14" x14ac:dyDescent="0.25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56" t="str">
        <f>IFERROR(VLOOKUP(A2138,Shipped!I:J,2,)," ")</f>
        <v xml:space="preserve"> </v>
      </c>
    </row>
    <row r="2139" spans="1:14" x14ac:dyDescent="0.25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56" t="str">
        <f>IFERROR(VLOOKUP(A2139,Shipped!I:J,2,)," ")</f>
        <v xml:space="preserve"> </v>
      </c>
    </row>
    <row r="2140" spans="1:14" x14ac:dyDescent="0.25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56" t="str">
        <f>IFERROR(VLOOKUP(A2140,Shipped!I:J,2,)," ")</f>
        <v xml:space="preserve"> </v>
      </c>
    </row>
    <row r="2141" spans="1:14" x14ac:dyDescent="0.25">
      <c r="A2141" s="11" t="s">
        <v>3482</v>
      </c>
      <c r="B2141" s="11" t="s">
        <v>3508</v>
      </c>
      <c r="C2141" s="11" t="s">
        <v>3509</v>
      </c>
      <c r="D2141" s="11">
        <v>1</v>
      </c>
      <c r="E2141" s="11" t="s">
        <v>151</v>
      </c>
      <c r="F2141" s="20">
        <v>46281.524363425924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56" t="str">
        <f>IFERROR(VLOOKUP(A2141,Shipped!I:J,2,)," ")</f>
        <v xml:space="preserve"> </v>
      </c>
    </row>
    <row r="2142" spans="1:14" x14ac:dyDescent="0.25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56" t="str">
        <f>IFERROR(VLOOKUP(A2142,Shipped!I:J,2,)," ")</f>
        <v xml:space="preserve"> </v>
      </c>
    </row>
    <row r="2143" spans="1:14" x14ac:dyDescent="0.25">
      <c r="A2143" s="11" t="s">
        <v>3484</v>
      </c>
      <c r="B2143" s="11" t="s">
        <v>2684</v>
      </c>
      <c r="C2143" s="11" t="s">
        <v>2685</v>
      </c>
      <c r="D2143" s="11">
        <v>1</v>
      </c>
      <c r="E2143" s="11" t="s">
        <v>151</v>
      </c>
      <c r="F2143" s="20">
        <v>46281.728831018518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56" t="str">
        <f>IFERROR(VLOOKUP(A2143,Shipped!I:J,2,)," ")</f>
        <v xml:space="preserve"> </v>
      </c>
    </row>
    <row r="2144" spans="1:14" x14ac:dyDescent="0.25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56" t="str">
        <f>IFERROR(VLOOKUP(A2144,Shipped!I:J,2,)," ")</f>
        <v xml:space="preserve"> </v>
      </c>
    </row>
    <row r="2145" spans="1:14" x14ac:dyDescent="0.25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56" t="str">
        <f>IFERROR(VLOOKUP(A2145,Shipped!I:J,2,)," ")</f>
        <v xml:space="preserve"> </v>
      </c>
    </row>
    <row r="2146" spans="1:14" x14ac:dyDescent="0.25">
      <c r="A2146" s="11" t="s">
        <v>3487</v>
      </c>
      <c r="B2146" s="11" t="s">
        <v>954</v>
      </c>
      <c r="C2146" s="11" t="s">
        <v>955</v>
      </c>
      <c r="D2146" s="11">
        <v>1</v>
      </c>
      <c r="E2146" s="11" t="s">
        <v>13</v>
      </c>
      <c r="F2146" s="20">
        <v>46281.582650462966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56" t="str">
        <f>IFERROR(VLOOKUP(A2146,Shipped!I:J,2,)," ")</f>
        <v xml:space="preserve"> </v>
      </c>
    </row>
    <row r="2147" spans="1:14" x14ac:dyDescent="0.25">
      <c r="A2147" s="11" t="s">
        <v>3488</v>
      </c>
      <c r="B2147" s="11" t="s">
        <v>152</v>
      </c>
      <c r="C2147" s="11" t="s">
        <v>153</v>
      </c>
      <c r="D2147" s="11">
        <v>1</v>
      </c>
      <c r="E2147" s="11" t="s">
        <v>13</v>
      </c>
      <c r="F2147" s="20">
        <v>46281.772280092591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56" t="str">
        <f>IFERROR(VLOOKUP(A2147,Shipped!I:J,2,)," ")</f>
        <v xml:space="preserve"> </v>
      </c>
    </row>
    <row r="2148" spans="1:14" x14ac:dyDescent="0.25">
      <c r="A2148" s="11" t="s">
        <v>3489</v>
      </c>
      <c r="B2148" s="11" t="s">
        <v>2684</v>
      </c>
      <c r="C2148" s="11" t="s">
        <v>2685</v>
      </c>
      <c r="D2148" s="11">
        <v>1</v>
      </c>
      <c r="E2148" s="11" t="s">
        <v>151</v>
      </c>
      <c r="F2148" s="20">
        <v>46281.639791666668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56" t="str">
        <f>IFERROR(VLOOKUP(A2148,Shipped!I:J,2,)," ")</f>
        <v xml:space="preserve"> </v>
      </c>
    </row>
    <row r="2149" spans="1:14" x14ac:dyDescent="0.25">
      <c r="A2149" s="11" t="s">
        <v>3490</v>
      </c>
      <c r="B2149" s="11" t="s">
        <v>3508</v>
      </c>
      <c r="C2149" s="11" t="s">
        <v>3509</v>
      </c>
      <c r="D2149" s="11">
        <v>1</v>
      </c>
      <c r="E2149" s="11" t="s">
        <v>151</v>
      </c>
      <c r="F2149" s="20">
        <v>46282.296944444446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56" t="str">
        <f>IFERROR(VLOOKUP(A2149,Shipped!I:J,2,)," ")</f>
        <v xml:space="preserve"> </v>
      </c>
    </row>
    <row r="2150" spans="1:14" x14ac:dyDescent="0.25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56" t="str">
        <f>IFERROR(VLOOKUP(A2150,Shipped!I:J,2,)," ")</f>
        <v xml:space="preserve"> </v>
      </c>
    </row>
    <row r="2151" spans="1:14" x14ac:dyDescent="0.25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56" t="str">
        <f>IFERROR(VLOOKUP(A2151,Shipped!I:J,2,)," ")</f>
        <v xml:space="preserve"> </v>
      </c>
    </row>
    <row r="2152" spans="1:14" x14ac:dyDescent="0.25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56" t="str">
        <f>IFERROR(VLOOKUP(A2152,Shipped!I:J,2,)," ")</f>
        <v xml:space="preserve"> </v>
      </c>
    </row>
    <row r="2153" spans="1:14" x14ac:dyDescent="0.25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56" t="str">
        <f>IFERROR(VLOOKUP(A2153,Shipped!I:J,2,)," ")</f>
        <v xml:space="preserve"> </v>
      </c>
    </row>
    <row r="2154" spans="1:14" x14ac:dyDescent="0.25">
      <c r="A2154" s="11" t="s">
        <v>3495</v>
      </c>
      <c r="B2154" s="11" t="s">
        <v>2684</v>
      </c>
      <c r="C2154" s="11" t="s">
        <v>2685</v>
      </c>
      <c r="D2154" s="11">
        <v>1</v>
      </c>
      <c r="E2154" s="11" t="s">
        <v>151</v>
      </c>
      <c r="F2154" s="20">
        <v>46281.770358796297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56" t="str">
        <f>IFERROR(VLOOKUP(A2154,Shipped!I:J,2,)," ")</f>
        <v xml:space="preserve"> </v>
      </c>
    </row>
    <row r="2155" spans="1:14" x14ac:dyDescent="0.25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56" t="str">
        <f>IFERROR(VLOOKUP(A2155,Shipped!I:J,2,)," ")</f>
        <v xml:space="preserve"> </v>
      </c>
    </row>
    <row r="2156" spans="1:14" x14ac:dyDescent="0.25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56" t="str">
        <f>IFERROR(VLOOKUP(A2156,Shipped!I:J,2,)," ")</f>
        <v xml:space="preserve"> </v>
      </c>
    </row>
    <row r="2157" spans="1:14" x14ac:dyDescent="0.25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56" t="str">
        <f>IFERROR(VLOOKUP(A2157,Shipped!I:J,2,)," ")</f>
        <v xml:space="preserve"> </v>
      </c>
    </row>
    <row r="2158" spans="1:14" x14ac:dyDescent="0.25">
      <c r="A2158" s="11" t="s">
        <v>3499</v>
      </c>
      <c r="B2158" s="11" t="s">
        <v>954</v>
      </c>
      <c r="C2158" s="11" t="s">
        <v>955</v>
      </c>
      <c r="D2158" s="11">
        <v>1</v>
      </c>
      <c r="E2158" s="11" t="s">
        <v>13</v>
      </c>
      <c r="F2158" s="20">
        <v>46281.599074074074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56" t="str">
        <f>IFERROR(VLOOKUP(A2158,Shipped!I:J,2,)," ")</f>
        <v xml:space="preserve"> </v>
      </c>
    </row>
    <row r="2159" spans="1:14" x14ac:dyDescent="0.25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56" t="str">
        <f>IFERROR(VLOOKUP(A2159,Shipped!I:J,2,)," ")</f>
        <v xml:space="preserve"> </v>
      </c>
    </row>
    <row r="2160" spans="1:14" x14ac:dyDescent="0.25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56" t="str">
        <f>IFERROR(VLOOKUP(A2160,Shipped!I:J,2,)," ")</f>
        <v xml:space="preserve"> </v>
      </c>
    </row>
    <row r="2161" spans="1:14" x14ac:dyDescent="0.25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56" t="str">
        <f>IFERROR(VLOOKUP(A2161,Shipped!I:J,2,)," ")</f>
        <v xml:space="preserve"> </v>
      </c>
    </row>
    <row r="2162" spans="1:14" x14ac:dyDescent="0.25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56" t="str">
        <f>IFERROR(VLOOKUP(A2162,Shipped!I:J,2,)," ")</f>
        <v xml:space="preserve"> </v>
      </c>
    </row>
    <row r="2163" spans="1:14" x14ac:dyDescent="0.25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56" t="str">
        <f>IFERROR(VLOOKUP(A2163,Shipped!I:J,2,)," ")</f>
        <v xml:space="preserve"> </v>
      </c>
    </row>
    <row r="2164" spans="1:14" x14ac:dyDescent="0.25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56" t="str">
        <f>IFERROR(VLOOKUP(A2164,Shipped!I:J,2,)," ")</f>
        <v xml:space="preserve"> </v>
      </c>
    </row>
    <row r="2165" spans="1:14" x14ac:dyDescent="0.25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56" t="str">
        <f>IFERROR(VLOOKUP(A2165,Shipped!I:J,2,)," ")</f>
        <v xml:space="preserve"> </v>
      </c>
    </row>
    <row r="2166" spans="1:14" x14ac:dyDescent="0.25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56" t="str">
        <f>IFERROR(VLOOKUP(A2166,Shipped!I:J,2,)," ")</f>
        <v xml:space="preserve"> </v>
      </c>
    </row>
    <row r="2167" spans="1:14" x14ac:dyDescent="0.25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56" t="str">
        <f>IFERROR(VLOOKUP(A2167,Shipped!I:J,2,)," ")</f>
        <v xml:space="preserve"> </v>
      </c>
    </row>
    <row r="2168" spans="1:14" x14ac:dyDescent="0.25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56" t="str">
        <f>IFERROR(VLOOKUP(A2168,Shipped!I:J,2,)," ")</f>
        <v xml:space="preserve"> </v>
      </c>
    </row>
    <row r="2169" spans="1:14" x14ac:dyDescent="0.25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56" t="str">
        <f>IFERROR(VLOOKUP(A2169,Shipped!I:J,2,)," ")</f>
        <v xml:space="preserve"> </v>
      </c>
    </row>
    <row r="2170" spans="1:14" x14ac:dyDescent="0.25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56" t="str">
        <f>IFERROR(VLOOKUP(A2170,Shipped!I:J,2,)," ")</f>
        <v xml:space="preserve"> </v>
      </c>
    </row>
    <row r="2171" spans="1:14" x14ac:dyDescent="0.25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56" t="str">
        <f>IFERROR(VLOOKUP(A2171,Shipped!I:J,2,)," ")</f>
        <v xml:space="preserve"> </v>
      </c>
    </row>
    <row r="2172" spans="1:14" x14ac:dyDescent="0.25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56" t="str">
        <f>IFERROR(VLOOKUP(A2172,Shipped!I:J,2,)," ")</f>
        <v xml:space="preserve"> </v>
      </c>
    </row>
    <row r="2173" spans="1:14" x14ac:dyDescent="0.25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56" t="str">
        <f>IFERROR(VLOOKUP(A2173,Shipped!I:J,2,)," ")</f>
        <v xml:space="preserve"> </v>
      </c>
    </row>
    <row r="2174" spans="1:14" x14ac:dyDescent="0.25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56" t="str">
        <f>IFERROR(VLOOKUP(A2174,Shipped!I:J,2,)," ")</f>
        <v xml:space="preserve"> </v>
      </c>
    </row>
    <row r="2175" spans="1:14" x14ac:dyDescent="0.25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56" t="str">
        <f>IFERROR(VLOOKUP(A2175,Shipped!I:J,2,)," ")</f>
        <v xml:space="preserve"> </v>
      </c>
    </row>
    <row r="2176" spans="1:14" x14ac:dyDescent="0.25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56" t="str">
        <f>IFERROR(VLOOKUP(A2176,Shipped!I:J,2,)," ")</f>
        <v xml:space="preserve"> </v>
      </c>
    </row>
    <row r="2177" spans="1:14" x14ac:dyDescent="0.25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56" t="str">
        <f>IFERROR(VLOOKUP(A2177,Shipped!I:J,2,)," ")</f>
        <v xml:space="preserve"> </v>
      </c>
    </row>
    <row r="2178" spans="1:14" x14ac:dyDescent="0.25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56" t="str">
        <f>IFERROR(VLOOKUP(A2178,Shipped!I:J,2,)," ")</f>
        <v xml:space="preserve"> </v>
      </c>
    </row>
    <row r="2179" spans="1:14" x14ac:dyDescent="0.25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56" t="str">
        <f>IFERROR(VLOOKUP(A2179,Shipped!I:J,2,)," ")</f>
        <v xml:space="preserve"> </v>
      </c>
    </row>
    <row r="2180" spans="1:14" x14ac:dyDescent="0.25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56" t="str">
        <f>IFERROR(VLOOKUP(A2180,Shipped!I:J,2,)," ")</f>
        <v xml:space="preserve"> </v>
      </c>
    </row>
    <row r="2181" spans="1:14" x14ac:dyDescent="0.25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56" t="str">
        <f>IFERROR(VLOOKUP(A2181,Shipped!I:J,2,)," ")</f>
        <v xml:space="preserve"> </v>
      </c>
    </row>
    <row r="2182" spans="1:14" x14ac:dyDescent="0.25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56" t="str">
        <f>IFERROR(VLOOKUP(A2182,Shipped!I:J,2,)," ")</f>
        <v xml:space="preserve"> </v>
      </c>
    </row>
    <row r="2183" spans="1:14" x14ac:dyDescent="0.25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56" t="str">
        <f>IFERROR(VLOOKUP(A2183,Shipped!I:J,2,)," ")</f>
        <v xml:space="preserve"> </v>
      </c>
    </row>
    <row r="2184" spans="1:14" x14ac:dyDescent="0.25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56" t="str">
        <f>IFERROR(VLOOKUP(A2184,Shipped!I:J,2,)," ")</f>
        <v xml:space="preserve"> </v>
      </c>
    </row>
    <row r="2185" spans="1:14" x14ac:dyDescent="0.25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56" t="str">
        <f>IFERROR(VLOOKUP(A2185,Shipped!I:J,2,)," ")</f>
        <v xml:space="preserve"> </v>
      </c>
    </row>
    <row r="2186" spans="1:14" x14ac:dyDescent="0.25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56" t="str">
        <f>IFERROR(VLOOKUP(A2186,Shipped!I:J,2,)," ")</f>
        <v xml:space="preserve"> </v>
      </c>
    </row>
    <row r="2187" spans="1:14" x14ac:dyDescent="0.25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56" t="str">
        <f>IFERROR(VLOOKUP(A2187,Shipped!I:J,2,)," ")</f>
        <v xml:space="preserve"> </v>
      </c>
    </row>
    <row r="2188" spans="1:14" x14ac:dyDescent="0.25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56" t="str">
        <f>IFERROR(VLOOKUP(A2188,Shipped!I:J,2,)," ")</f>
        <v xml:space="preserve"> </v>
      </c>
    </row>
    <row r="2189" spans="1:14" x14ac:dyDescent="0.25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56" t="str">
        <f>IFERROR(VLOOKUP(A2189,Shipped!I:J,2,)," ")</f>
        <v xml:space="preserve"> </v>
      </c>
    </row>
    <row r="2190" spans="1:14" x14ac:dyDescent="0.25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56" t="str">
        <f>IFERROR(VLOOKUP(A2190,Shipped!I:J,2,)," ")</f>
        <v xml:space="preserve"> </v>
      </c>
    </row>
    <row r="2191" spans="1:14" x14ac:dyDescent="0.25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56" t="str">
        <f>IFERROR(VLOOKUP(A2191,Shipped!I:J,2,)," ")</f>
        <v xml:space="preserve"> </v>
      </c>
    </row>
    <row r="2192" spans="1:14" x14ac:dyDescent="0.25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56" t="str">
        <f>IFERROR(VLOOKUP(A2192,Shipped!I:J,2,)," ")</f>
        <v xml:space="preserve"> </v>
      </c>
    </row>
    <row r="2193" spans="1:14" x14ac:dyDescent="0.25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56" t="str">
        <f>IFERROR(VLOOKUP(A2193,Shipped!I:J,2,)," ")</f>
        <v xml:space="preserve"> </v>
      </c>
    </row>
    <row r="2194" spans="1:14" x14ac:dyDescent="0.25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56" t="str">
        <f>IFERROR(VLOOKUP(A2194,Shipped!I:J,2,)," ")</f>
        <v xml:space="preserve"> </v>
      </c>
    </row>
    <row r="2195" spans="1:14" x14ac:dyDescent="0.25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56" t="str">
        <f>IFERROR(VLOOKUP(A2195,Shipped!I:J,2,)," ")</f>
        <v xml:space="preserve"> </v>
      </c>
    </row>
    <row r="2196" spans="1:14" x14ac:dyDescent="0.25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56" t="str">
        <f>IFERROR(VLOOKUP(A2196,Shipped!I:J,2,)," ")</f>
        <v xml:space="preserve"> </v>
      </c>
    </row>
    <row r="2197" spans="1:14" x14ac:dyDescent="0.25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56" t="str">
        <f>IFERROR(VLOOKUP(A2197,Shipped!I:J,2,)," ")</f>
        <v xml:space="preserve"> </v>
      </c>
    </row>
    <row r="2198" spans="1:14" x14ac:dyDescent="0.25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56" t="str">
        <f>IFERROR(VLOOKUP(A2198,Shipped!I:J,2,)," ")</f>
        <v xml:space="preserve"> </v>
      </c>
    </row>
    <row r="2199" spans="1:14" x14ac:dyDescent="0.25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56" t="str">
        <f>IFERROR(VLOOKUP(A2199,Shipped!I:J,2,)," ")</f>
        <v xml:space="preserve"> </v>
      </c>
    </row>
    <row r="2200" spans="1:14" x14ac:dyDescent="0.25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56" t="str">
        <f>IFERROR(VLOOKUP(A2200,Shipped!I:J,2,)," ")</f>
        <v xml:space="preserve"> </v>
      </c>
    </row>
    <row r="2201" spans="1:14" x14ac:dyDescent="0.25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56" t="str">
        <f>IFERROR(VLOOKUP(A2201,Shipped!I:J,2,)," ")</f>
        <v xml:space="preserve"> </v>
      </c>
    </row>
    <row r="2202" spans="1:14" x14ac:dyDescent="0.25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56" t="str">
        <f>IFERROR(VLOOKUP(A2202,Shipped!I:J,2,)," ")</f>
        <v xml:space="preserve"> </v>
      </c>
    </row>
    <row r="2203" spans="1:14" x14ac:dyDescent="0.25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56" t="str">
        <f>IFERROR(VLOOKUP(A2203,Shipped!I:J,2,)," ")</f>
        <v xml:space="preserve"> </v>
      </c>
    </row>
    <row r="2204" spans="1:14" x14ac:dyDescent="0.25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56" t="str">
        <f>IFERROR(VLOOKUP(A2204,Shipped!I:J,2,)," ")</f>
        <v xml:space="preserve"> </v>
      </c>
    </row>
    <row r="2205" spans="1:14" x14ac:dyDescent="0.25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56" t="str">
        <f>IFERROR(VLOOKUP(A2205,Shipped!I:J,2,)," ")</f>
        <v xml:space="preserve"> </v>
      </c>
    </row>
    <row r="2206" spans="1:14" x14ac:dyDescent="0.25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56" t="str">
        <f>IFERROR(VLOOKUP(A2206,Shipped!I:J,2,)," ")</f>
        <v xml:space="preserve"> </v>
      </c>
    </row>
    <row r="2207" spans="1:14" x14ac:dyDescent="0.25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56" t="str">
        <f>IFERROR(VLOOKUP(A2207,Shipped!I:J,2,)," ")</f>
        <v xml:space="preserve"> </v>
      </c>
    </row>
    <row r="2208" spans="1:14" x14ac:dyDescent="0.25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56" t="str">
        <f>IFERROR(VLOOKUP(A2208,Shipped!I:J,2,)," ")</f>
        <v xml:space="preserve"> </v>
      </c>
    </row>
    <row r="2209" spans="1:14" x14ac:dyDescent="0.25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56">
        <f>IFERROR(VLOOKUP(A2209,Shipped!I:J,2,)," ")</f>
        <v>46065</v>
      </c>
    </row>
    <row r="2210" spans="1:14" x14ac:dyDescent="0.25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56">
        <f>IFERROR(VLOOKUP(A2210,Shipped!I:J,2,)," ")</f>
        <v>46077</v>
      </c>
    </row>
    <row r="2211" spans="1:14" x14ac:dyDescent="0.25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56">
        <f>IFERROR(VLOOKUP(A2211,Shipped!I:J,2,)," ")</f>
        <v>46066</v>
      </c>
    </row>
    <row r="2212" spans="1:14" x14ac:dyDescent="0.25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56">
        <f>IFERROR(VLOOKUP(A2212,Shipped!I:J,2,)," ")</f>
        <v>46066</v>
      </c>
    </row>
    <row r="2213" spans="1:14" x14ac:dyDescent="0.25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56">
        <f>IFERROR(VLOOKUP(A2213,Shipped!I:J,2,)," ")</f>
        <v>46066</v>
      </c>
    </row>
    <row r="2214" spans="1:14" x14ac:dyDescent="0.25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56">
        <f>IFERROR(VLOOKUP(A2214,Shipped!I:J,2,)," ")</f>
        <v>46104</v>
      </c>
    </row>
    <row r="2215" spans="1:14" x14ac:dyDescent="0.25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56">
        <f>IFERROR(VLOOKUP(A2215,Shipped!I:J,2,)," ")</f>
        <v>46085</v>
      </c>
    </row>
    <row r="2216" spans="1:14" x14ac:dyDescent="0.25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56">
        <f>IFERROR(VLOOKUP(A2216,Shipped!I:J,2,)," ")</f>
        <v>46080</v>
      </c>
    </row>
    <row r="2217" spans="1:14" x14ac:dyDescent="0.25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56">
        <f>IFERROR(VLOOKUP(A2217,Shipped!I:J,2,)," ")</f>
        <v>46101</v>
      </c>
    </row>
    <row r="2218" spans="1:14" x14ac:dyDescent="0.25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56">
        <f>IFERROR(VLOOKUP(A2218,Shipped!I:J,2,)," ")</f>
        <v>46080</v>
      </c>
    </row>
    <row r="2219" spans="1:14" x14ac:dyDescent="0.25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56">
        <f>IFERROR(VLOOKUP(A2219,Shipped!I:J,2,)," ")</f>
        <v>46085</v>
      </c>
    </row>
    <row r="2220" spans="1:14" x14ac:dyDescent="0.25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56">
        <f>IFERROR(VLOOKUP(A2220,Shipped!I:J,2,)," ")</f>
        <v>46086</v>
      </c>
    </row>
    <row r="2221" spans="1:14" x14ac:dyDescent="0.25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56">
        <f>IFERROR(VLOOKUP(A2221,Shipped!I:J,2,)," ")</f>
        <v>46080</v>
      </c>
    </row>
    <row r="2222" spans="1:14" x14ac:dyDescent="0.25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56">
        <f>IFERROR(VLOOKUP(A2222,Shipped!I:J,2,)," ")</f>
        <v>46119</v>
      </c>
    </row>
    <row r="2223" spans="1:14" x14ac:dyDescent="0.25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56">
        <f>IFERROR(VLOOKUP(A2223,Shipped!I:J,2,)," ")</f>
        <v>46097</v>
      </c>
    </row>
    <row r="2224" spans="1:14" x14ac:dyDescent="0.25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56">
        <f>IFERROR(VLOOKUP(A2224,Shipped!I:J,2,)," ")</f>
        <v>46104</v>
      </c>
    </row>
    <row r="2225" spans="1:14" x14ac:dyDescent="0.25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56">
        <f>IFERROR(VLOOKUP(A2225,Shipped!I:J,2,)," ")</f>
        <v>46093</v>
      </c>
    </row>
    <row r="2226" spans="1:14" x14ac:dyDescent="0.25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56">
        <f>IFERROR(VLOOKUP(A2226,Shipped!I:J,2,)," ")</f>
        <v>46119</v>
      </c>
    </row>
    <row r="2227" spans="1:14" x14ac:dyDescent="0.25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56">
        <f>IFERROR(VLOOKUP(A2227,Shipped!I:J,2,)," ")</f>
        <v>46119</v>
      </c>
    </row>
    <row r="2228" spans="1:14" x14ac:dyDescent="0.25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56">
        <f>IFERROR(VLOOKUP(A2228,Shipped!I:J,2,)," ")</f>
        <v>46119</v>
      </c>
    </row>
    <row r="2229" spans="1:14" x14ac:dyDescent="0.25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56">
        <f>IFERROR(VLOOKUP(A2229,Shipped!I:J,2,)," ")</f>
        <v>46164</v>
      </c>
    </row>
    <row r="2230" spans="1:14" x14ac:dyDescent="0.25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56">
        <f>IFERROR(VLOOKUP(A2230,Shipped!I:J,2,)," ")</f>
        <v>46155</v>
      </c>
    </row>
    <row r="2231" spans="1:14" x14ac:dyDescent="0.25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56">
        <f>IFERROR(VLOOKUP(A2231,Shipped!I:J,2,)," ")</f>
        <v>46155</v>
      </c>
    </row>
    <row r="2232" spans="1:14" x14ac:dyDescent="0.25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56">
        <f>IFERROR(VLOOKUP(A2232,Shipped!I:J,2,)," ")</f>
        <v>46161</v>
      </c>
    </row>
    <row r="2233" spans="1:14" x14ac:dyDescent="0.25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56">
        <f>IFERROR(VLOOKUP(A2233,Shipped!I:J,2,)," ")</f>
        <v>46150</v>
      </c>
    </row>
    <row r="2234" spans="1:14" x14ac:dyDescent="0.25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56">
        <f>IFERROR(VLOOKUP(A2234,Shipped!I:J,2,)," ")</f>
        <v>46150</v>
      </c>
    </row>
    <row r="2235" spans="1:14" x14ac:dyDescent="0.25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56">
        <f>IFERROR(VLOOKUP(A2235,Shipped!I:J,2,)," ")</f>
        <v>46150</v>
      </c>
    </row>
    <row r="2236" spans="1:14" x14ac:dyDescent="0.25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56">
        <f>IFERROR(VLOOKUP(A2236,Shipped!I:J,2,)," ")</f>
        <v>46150</v>
      </c>
    </row>
    <row r="2237" spans="1:14" x14ac:dyDescent="0.25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56">
        <f>IFERROR(VLOOKUP(A2237,Shipped!I:J,2,)," ")</f>
        <v>46162</v>
      </c>
    </row>
    <row r="2238" spans="1:14" x14ac:dyDescent="0.25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56">
        <f>IFERROR(VLOOKUP(A2238,Shipped!I:J,2,)," ")</f>
        <v>46156</v>
      </c>
    </row>
    <row r="2239" spans="1:14" x14ac:dyDescent="0.25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56">
        <f>IFERROR(VLOOKUP(A2239,Shipped!I:J,2,)," ")</f>
        <v>46155</v>
      </c>
    </row>
    <row r="2240" spans="1:14" x14ac:dyDescent="0.25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56">
        <f>IFERROR(VLOOKUP(A2240,Shipped!I:J,2,)," ")</f>
        <v>46156</v>
      </c>
    </row>
    <row r="2241" spans="1:14" x14ac:dyDescent="0.25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56">
        <f>IFERROR(VLOOKUP(A2241,Shipped!I:J,2,)," ")</f>
        <v>46155</v>
      </c>
    </row>
    <row r="2242" spans="1:14" x14ac:dyDescent="0.25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56">
        <f>IFERROR(VLOOKUP(A2242,Shipped!I:J,2,)," ")</f>
        <v>46155</v>
      </c>
    </row>
    <row r="2243" spans="1:14" x14ac:dyDescent="0.25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56">
        <f>IFERROR(VLOOKUP(A2243,Shipped!I:J,2,)," ")</f>
        <v>46164</v>
      </c>
    </row>
    <row r="2244" spans="1:14" x14ac:dyDescent="0.25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56">
        <f>IFERROR(VLOOKUP(A2244,Shipped!I:J,2,)," ")</f>
        <v>46185</v>
      </c>
    </row>
    <row r="2245" spans="1:14" x14ac:dyDescent="0.25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56">
        <f>IFERROR(VLOOKUP(A2245,Shipped!I:J,2,)," ")</f>
        <v>46185</v>
      </c>
    </row>
    <row r="2246" spans="1:14" x14ac:dyDescent="0.25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56">
        <f>IFERROR(VLOOKUP(A2246,Shipped!I:J,2,)," ")</f>
        <v>46185</v>
      </c>
    </row>
    <row r="2247" spans="1:14" x14ac:dyDescent="0.25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56">
        <f>IFERROR(VLOOKUP(A2247,Shipped!I:J,2,)," ")</f>
        <v>46185</v>
      </c>
    </row>
    <row r="2248" spans="1:14" x14ac:dyDescent="0.25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56">
        <f>IFERROR(VLOOKUP(A2248,Shipped!I:J,2,)," ")</f>
        <v>46185</v>
      </c>
    </row>
    <row r="2249" spans="1:14" x14ac:dyDescent="0.25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56">
        <f>IFERROR(VLOOKUP(A2249,Shipped!I:J,2,)," ")</f>
        <v>46192</v>
      </c>
    </row>
    <row r="2250" spans="1:14" x14ac:dyDescent="0.25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56">
        <f>IFERROR(VLOOKUP(A2250,Shipped!I:J,2,)," ")</f>
        <v>46196</v>
      </c>
    </row>
    <row r="2251" spans="1:14" x14ac:dyDescent="0.25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56">
        <f>IFERROR(VLOOKUP(A2251,Shipped!I:J,2,)," ")</f>
        <v>46192</v>
      </c>
    </row>
    <row r="2252" spans="1:14" x14ac:dyDescent="0.25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56">
        <f>IFERROR(VLOOKUP(A2252,Shipped!I:J,2,)," ")</f>
        <v>46185</v>
      </c>
    </row>
    <row r="2253" spans="1:14" x14ac:dyDescent="0.25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56">
        <f>IFERROR(VLOOKUP(A2253,Shipped!I:J,2,)," ")</f>
        <v>46196</v>
      </c>
    </row>
    <row r="2254" spans="1:14" x14ac:dyDescent="0.25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56">
        <f>IFERROR(VLOOKUP(A2254,Shipped!I:J,2,)," ")</f>
        <v>46188</v>
      </c>
    </row>
    <row r="2255" spans="1:14" x14ac:dyDescent="0.25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56">
        <f>IFERROR(VLOOKUP(A2255,Shipped!I:J,2,)," ")</f>
        <v>46191</v>
      </c>
    </row>
    <row r="2256" spans="1:14" x14ac:dyDescent="0.25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56">
        <f>IFERROR(VLOOKUP(A2256,Shipped!I:J,2,)," ")</f>
        <v>46197</v>
      </c>
    </row>
    <row r="2257" spans="1:14" x14ac:dyDescent="0.25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56">
        <f>IFERROR(VLOOKUP(A2257,Shipped!I:J,2,)," ")</f>
        <v>46197</v>
      </c>
    </row>
    <row r="2258" spans="1:14" x14ac:dyDescent="0.25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56">
        <f>IFERROR(VLOOKUP(A2258,Shipped!I:J,2,)," ")</f>
        <v>46204</v>
      </c>
    </row>
    <row r="2259" spans="1:14" x14ac:dyDescent="0.25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56">
        <f>IFERROR(VLOOKUP(A2259,Shipped!I:J,2,)," ")</f>
        <v>46192</v>
      </c>
    </row>
    <row r="2260" spans="1:14" x14ac:dyDescent="0.25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56" t="str">
        <f>IFERROR(VLOOKUP(A2260,Shipped!I:J,2,)," ")</f>
        <v xml:space="preserve"> </v>
      </c>
    </row>
    <row r="2261" spans="1:14" x14ac:dyDescent="0.25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56">
        <f>IFERROR(VLOOKUP(A2261,Shipped!I:J,2,)," ")</f>
        <v>46196</v>
      </c>
    </row>
    <row r="2262" spans="1:14" x14ac:dyDescent="0.25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56">
        <f>IFERROR(VLOOKUP(A2262,Shipped!I:J,2,)," ")</f>
        <v>46199</v>
      </c>
    </row>
    <row r="2263" spans="1:14" x14ac:dyDescent="0.25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56">
        <f>IFERROR(VLOOKUP(A2263,Shipped!I:J,2,)," ")</f>
        <v>46199</v>
      </c>
    </row>
    <row r="2264" spans="1:14" x14ac:dyDescent="0.25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56">
        <f>IFERROR(VLOOKUP(A2264,Shipped!I:J,2,)," ")</f>
        <v>46198</v>
      </c>
    </row>
    <row r="2265" spans="1:14" x14ac:dyDescent="0.25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56">
        <f>IFERROR(VLOOKUP(A2265,Shipped!I:J,2,)," ")</f>
        <v>46202</v>
      </c>
    </row>
    <row r="2266" spans="1:14" x14ac:dyDescent="0.25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56">
        <f>IFERROR(VLOOKUP(A2266,Shipped!I:J,2,)," ")</f>
        <v>46238</v>
      </c>
    </row>
    <row r="2267" spans="1:14" x14ac:dyDescent="0.25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56">
        <f>IFERROR(VLOOKUP(A2267,Shipped!I:J,2,)," ")</f>
        <v>46203</v>
      </c>
    </row>
    <row r="2268" spans="1:14" x14ac:dyDescent="0.25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56">
        <f>IFERROR(VLOOKUP(A2268,Shipped!I:J,2,)," ")</f>
        <v>46203</v>
      </c>
    </row>
    <row r="2269" spans="1:14" x14ac:dyDescent="0.25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56">
        <f>IFERROR(VLOOKUP(A2269,Shipped!I:J,2,)," ")</f>
        <v>46202</v>
      </c>
    </row>
    <row r="2270" spans="1:14" x14ac:dyDescent="0.25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56">
        <f>IFERROR(VLOOKUP(A2270,Shipped!I:J,2,)," ")</f>
        <v>46203</v>
      </c>
    </row>
    <row r="2271" spans="1:14" x14ac:dyDescent="0.25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56">
        <f>IFERROR(VLOOKUP(A2271,Shipped!I:J,2,)," ")</f>
        <v>46255</v>
      </c>
    </row>
    <row r="2272" spans="1:14" x14ac:dyDescent="0.25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56">
        <f>IFERROR(VLOOKUP(A2272,Shipped!I:J,2,)," ")</f>
        <v>46216</v>
      </c>
    </row>
    <row r="2273" spans="1:14" x14ac:dyDescent="0.25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56">
        <f>IFERROR(VLOOKUP(A2273,Shipped!I:J,2,)," ")</f>
        <v>46213</v>
      </c>
    </row>
    <row r="2274" spans="1:14" x14ac:dyDescent="0.25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56">
        <f>IFERROR(VLOOKUP(A2274,Shipped!I:J,2,)," ")</f>
        <v>46261</v>
      </c>
    </row>
    <row r="2275" spans="1:14" x14ac:dyDescent="0.25">
      <c r="A2275" s="11" t="s">
        <v>3745</v>
      </c>
      <c r="B2275" s="11" t="s">
        <v>4098</v>
      </c>
      <c r="C2275" s="11" t="s">
        <v>4099</v>
      </c>
      <c r="D2275" s="11">
        <v>1</v>
      </c>
      <c r="E2275" s="11" t="s">
        <v>13</v>
      </c>
      <c r="F2275" s="20">
        <v>46282.309895833336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3946</v>
      </c>
      <c r="N2275" s="56" t="str">
        <f>IFERROR(VLOOKUP(A2275,Shipped!I:J,2,)," ")</f>
        <v xml:space="preserve"> </v>
      </c>
    </row>
    <row r="2276" spans="1:14" x14ac:dyDescent="0.25">
      <c r="A2276" s="11" t="s">
        <v>3746</v>
      </c>
      <c r="B2276" s="11" t="s">
        <v>155</v>
      </c>
      <c r="C2276" s="11" t="s">
        <v>156</v>
      </c>
      <c r="D2276" s="11">
        <v>1</v>
      </c>
      <c r="E2276" s="11" t="s">
        <v>151</v>
      </c>
      <c r="F2276" s="20">
        <v>46279.57980324074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56" t="str">
        <f>IFERROR(VLOOKUP(A2276,Shipped!I:J,2,)," ")</f>
        <v xml:space="preserve"> </v>
      </c>
    </row>
    <row r="2277" spans="1:14" x14ac:dyDescent="0.25">
      <c r="A2277" s="11" t="s">
        <v>3747</v>
      </c>
      <c r="B2277" s="11" t="s">
        <v>4098</v>
      </c>
      <c r="C2277" s="11" t="s">
        <v>4099</v>
      </c>
      <c r="D2277" s="11">
        <v>1</v>
      </c>
      <c r="E2277" s="11" t="s">
        <v>13</v>
      </c>
      <c r="F2277" s="20">
        <v>46282.309050925927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56" t="str">
        <f>IFERROR(VLOOKUP(A2277,Shipped!I:J,2,)," ")</f>
        <v xml:space="preserve"> </v>
      </c>
    </row>
    <row r="2278" spans="1:14" x14ac:dyDescent="0.25">
      <c r="A2278" s="11" t="s">
        <v>3748</v>
      </c>
      <c r="B2278" s="11" t="s">
        <v>4098</v>
      </c>
      <c r="C2278" s="11" t="s">
        <v>4099</v>
      </c>
      <c r="D2278" s="11">
        <v>1</v>
      </c>
      <c r="E2278" s="11" t="s">
        <v>13</v>
      </c>
      <c r="F2278" s="20">
        <v>46282.308564814812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56" t="str">
        <f>IFERROR(VLOOKUP(A2278,Shipped!I:J,2,)," ")</f>
        <v xml:space="preserve"> </v>
      </c>
    </row>
    <row r="2279" spans="1:14" x14ac:dyDescent="0.25">
      <c r="A2279" s="11" t="s">
        <v>3749</v>
      </c>
      <c r="B2279" s="11" t="s">
        <v>2189</v>
      </c>
      <c r="C2279" s="11" t="s">
        <v>2190</v>
      </c>
      <c r="D2279" s="11">
        <v>1</v>
      </c>
      <c r="E2279" s="11" t="s">
        <v>151</v>
      </c>
      <c r="F2279" s="20">
        <v>46280.618194444447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56" t="str">
        <f>IFERROR(VLOOKUP(A2279,Shipped!I:J,2,)," ")</f>
        <v xml:space="preserve"> </v>
      </c>
    </row>
    <row r="2280" spans="1:14" x14ac:dyDescent="0.25">
      <c r="A2280" s="11" t="s">
        <v>3750</v>
      </c>
      <c r="B2280" s="11" t="s">
        <v>4100</v>
      </c>
      <c r="C2280" s="11" t="s">
        <v>4101</v>
      </c>
      <c r="D2280" s="11">
        <v>1</v>
      </c>
      <c r="E2280" s="11" t="s">
        <v>13</v>
      </c>
      <c r="F2280" s="20">
        <v>46282.292673611111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56" t="str">
        <f>IFERROR(VLOOKUP(A2280,Shipped!I:J,2,)," ")</f>
        <v xml:space="preserve"> </v>
      </c>
    </row>
    <row r="2281" spans="1:14" x14ac:dyDescent="0.25">
      <c r="A2281" s="11" t="s">
        <v>3751</v>
      </c>
      <c r="B2281" s="11" t="s">
        <v>4102</v>
      </c>
      <c r="C2281" s="11" t="s">
        <v>4103</v>
      </c>
      <c r="D2281" s="11">
        <v>1</v>
      </c>
      <c r="E2281" s="11" t="s">
        <v>76</v>
      </c>
      <c r="F2281" s="20">
        <v>46281.577777777777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56" t="str">
        <f>IFERROR(VLOOKUP(A2281,Shipped!I:J,2,)," ")</f>
        <v xml:space="preserve"> </v>
      </c>
    </row>
    <row r="2282" spans="1:14" x14ac:dyDescent="0.25">
      <c r="A2282" s="11" t="s">
        <v>3752</v>
      </c>
      <c r="B2282" s="11" t="s">
        <v>4104</v>
      </c>
      <c r="C2282" s="11" t="s">
        <v>3990</v>
      </c>
      <c r="D2282" s="11">
        <v>1</v>
      </c>
      <c r="E2282" s="11" t="s">
        <v>76</v>
      </c>
      <c r="F2282" s="20">
        <v>46281.643090277779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56" t="str">
        <f>IFERROR(VLOOKUP(A2282,Shipped!I:J,2,)," ")</f>
        <v xml:space="preserve"> </v>
      </c>
    </row>
    <row r="2283" spans="1:14" x14ac:dyDescent="0.25">
      <c r="A2283" s="11" t="s">
        <v>3753</v>
      </c>
      <c r="B2283" s="11" t="s">
        <v>4102</v>
      </c>
      <c r="C2283" s="11" t="s">
        <v>4103</v>
      </c>
      <c r="D2283" s="11">
        <v>1</v>
      </c>
      <c r="E2283" s="11" t="s">
        <v>76</v>
      </c>
      <c r="F2283" s="20">
        <v>46281.580428240741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56" t="str">
        <f>IFERROR(VLOOKUP(A2283,Shipped!I:J,2,)," ")</f>
        <v xml:space="preserve"> </v>
      </c>
    </row>
    <row r="2284" spans="1:14" x14ac:dyDescent="0.25">
      <c r="A2284" s="11" t="s">
        <v>3754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46281.713148148148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56" t="str">
        <f>IFERROR(VLOOKUP(A2284,Shipped!I:J,2,)," ")</f>
        <v xml:space="preserve"> </v>
      </c>
    </row>
    <row r="2285" spans="1:14" x14ac:dyDescent="0.25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56" t="str">
        <f>IFERROR(VLOOKUP(A2285,Shipped!I:J,2,)," ")</f>
        <v xml:space="preserve"> </v>
      </c>
    </row>
    <row r="2286" spans="1:14" x14ac:dyDescent="0.25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56" t="str">
        <f>IFERROR(VLOOKUP(A2286,Shipped!I:J,2,)," ")</f>
        <v xml:space="preserve"> </v>
      </c>
    </row>
    <row r="2287" spans="1:14" x14ac:dyDescent="0.25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56" t="str">
        <f>IFERROR(VLOOKUP(A2287,Shipped!I:J,2,)," ")</f>
        <v xml:space="preserve"> </v>
      </c>
    </row>
    <row r="2288" spans="1:14" x14ac:dyDescent="0.25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56" t="str">
        <f>IFERROR(VLOOKUP(A2288,Shipped!I:J,2,)," ")</f>
        <v xml:space="preserve"> </v>
      </c>
    </row>
    <row r="2289" spans="1:14" x14ac:dyDescent="0.25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56">
        <f>IFERROR(VLOOKUP(A2289,Shipped!I:J,2,)," ")</f>
        <v>46216</v>
      </c>
    </row>
    <row r="2290" spans="1:14" x14ac:dyDescent="0.25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56">
        <f>IFERROR(VLOOKUP(A2290,Shipped!I:J,2,)," ")</f>
        <v>46216</v>
      </c>
    </row>
    <row r="2291" spans="1:14" x14ac:dyDescent="0.25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56">
        <f>IFERROR(VLOOKUP(A2291,Shipped!I:J,2,)," ")</f>
        <v>46226</v>
      </c>
    </row>
    <row r="2292" spans="1:14" x14ac:dyDescent="0.25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56">
        <f>IFERROR(VLOOKUP(A2292,Shipped!I:J,2,)," ")</f>
        <v>46220</v>
      </c>
    </row>
    <row r="2293" spans="1:14" x14ac:dyDescent="0.25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56">
        <f>IFERROR(VLOOKUP(A2293,Shipped!I:J,2,)," ")</f>
        <v>46220</v>
      </c>
    </row>
    <row r="2294" spans="1:14" x14ac:dyDescent="0.25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56">
        <f>IFERROR(VLOOKUP(A2294,Shipped!I:J,2,)," ")</f>
        <v>46220</v>
      </c>
    </row>
    <row r="2295" spans="1:14" x14ac:dyDescent="0.25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56">
        <f>IFERROR(VLOOKUP(A2295,Shipped!I:J,2,)," ")</f>
        <v>46253</v>
      </c>
    </row>
    <row r="2296" spans="1:14" x14ac:dyDescent="0.25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56">
        <f>IFERROR(VLOOKUP(A2296,Shipped!I:J,2,)," ")</f>
        <v>46224</v>
      </c>
    </row>
    <row r="2297" spans="1:14" x14ac:dyDescent="0.25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56">
        <f>IFERROR(VLOOKUP(A2297,Shipped!I:J,2,)," ")</f>
        <v>46224</v>
      </c>
    </row>
    <row r="2298" spans="1:14" x14ac:dyDescent="0.25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56">
        <f>IFERROR(VLOOKUP(A2298,Shipped!I:J,2,)," ")</f>
        <v>46224</v>
      </c>
    </row>
    <row r="2299" spans="1:14" x14ac:dyDescent="0.25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56">
        <f>IFERROR(VLOOKUP(A2299,Shipped!I:J,2,)," ")</f>
        <v>46220</v>
      </c>
    </row>
    <row r="2300" spans="1:14" x14ac:dyDescent="0.25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56">
        <f>IFERROR(VLOOKUP(A2300,Shipped!I:J,2,)," ")</f>
        <v>46255</v>
      </c>
    </row>
    <row r="2301" spans="1:14" x14ac:dyDescent="0.25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56">
        <f>IFERROR(VLOOKUP(A2301,Shipped!I:J,2,)," ")</f>
        <v>46255</v>
      </c>
    </row>
    <row r="2302" spans="1:14" x14ac:dyDescent="0.25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56">
        <f>IFERROR(VLOOKUP(A2302,Shipped!I:J,2,)," ")</f>
        <v>46220</v>
      </c>
    </row>
    <row r="2303" spans="1:14" x14ac:dyDescent="0.25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56">
        <f>IFERROR(VLOOKUP(A2303,Shipped!I:J,2,)," ")</f>
        <v>46223</v>
      </c>
    </row>
    <row r="2304" spans="1:14" x14ac:dyDescent="0.25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56">
        <f>IFERROR(VLOOKUP(A2304,Shipped!I:J,2,)," ")</f>
        <v>46245</v>
      </c>
    </row>
    <row r="2305" spans="1:14" x14ac:dyDescent="0.25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56">
        <f>IFERROR(VLOOKUP(A2305,Shipped!I:J,2,)," ")</f>
        <v>46227</v>
      </c>
    </row>
    <row r="2306" spans="1:14" x14ac:dyDescent="0.25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56">
        <f>IFERROR(VLOOKUP(A2306,Shipped!I:J,2,)," ")</f>
        <v>46225</v>
      </c>
    </row>
    <row r="2307" spans="1:14" x14ac:dyDescent="0.25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56">
        <f>IFERROR(VLOOKUP(A2307,Shipped!I:J,2,)," ")</f>
        <v>46226</v>
      </c>
    </row>
    <row r="2308" spans="1:14" x14ac:dyDescent="0.25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56">
        <f>IFERROR(VLOOKUP(A2308,Shipped!I:J,2,)," ")</f>
        <v>46245</v>
      </c>
    </row>
    <row r="2309" spans="1:14" x14ac:dyDescent="0.25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56">
        <f>IFERROR(VLOOKUP(A2309,Shipped!I:J,2,)," ")</f>
        <v>46255</v>
      </c>
    </row>
    <row r="2310" spans="1:14" x14ac:dyDescent="0.25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56">
        <f>IFERROR(VLOOKUP(A2310,Shipped!I:J,2,)," ")</f>
        <v>46255</v>
      </c>
    </row>
    <row r="2311" spans="1:14" x14ac:dyDescent="0.25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56">
        <f>IFERROR(VLOOKUP(A2311,Shipped!I:J,2,)," ")</f>
        <v>46224</v>
      </c>
    </row>
    <row r="2312" spans="1:14" x14ac:dyDescent="0.25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56">
        <f>IFERROR(VLOOKUP(A2312,Shipped!I:J,2,)," ")</f>
        <v>46230</v>
      </c>
    </row>
    <row r="2313" spans="1:14" x14ac:dyDescent="0.25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56">
        <f>IFERROR(VLOOKUP(A2313,Shipped!I:J,2,)," ")</f>
        <v>46227</v>
      </c>
    </row>
    <row r="2314" spans="1:14" x14ac:dyDescent="0.25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56">
        <f>IFERROR(VLOOKUP(A2314,Shipped!I:J,2,)," ")</f>
        <v>46224</v>
      </c>
    </row>
    <row r="2315" spans="1:14" x14ac:dyDescent="0.25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56">
        <f>IFERROR(VLOOKUP(A2315,Shipped!I:J,2,)," ")</f>
        <v>46226</v>
      </c>
    </row>
    <row r="2316" spans="1:14" x14ac:dyDescent="0.25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56">
        <f>IFERROR(VLOOKUP(A2316,Shipped!I:J,2,)," ")</f>
        <v>46245</v>
      </c>
    </row>
    <row r="2317" spans="1:14" x14ac:dyDescent="0.25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56">
        <f>IFERROR(VLOOKUP(A2317,Shipped!I:J,2,)," ")</f>
        <v>46269</v>
      </c>
    </row>
    <row r="2318" spans="1:14" x14ac:dyDescent="0.25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56">
        <f>IFERROR(VLOOKUP(A2318,Shipped!I:J,2,)," ")</f>
        <v>46254</v>
      </c>
    </row>
    <row r="2319" spans="1:14" x14ac:dyDescent="0.25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56">
        <f>IFERROR(VLOOKUP(A2319,Shipped!I:J,2,)," ")</f>
        <v>46253</v>
      </c>
    </row>
    <row r="2320" spans="1:14" x14ac:dyDescent="0.25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56">
        <f>IFERROR(VLOOKUP(A2320,Shipped!I:J,2,)," ")</f>
        <v>46226</v>
      </c>
    </row>
    <row r="2321" spans="1:14" x14ac:dyDescent="0.25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56">
        <f>IFERROR(VLOOKUP(A2321,Shipped!I:J,2,)," ")</f>
        <v>46230</v>
      </c>
    </row>
    <row r="2322" spans="1:14" x14ac:dyDescent="0.25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56">
        <f>IFERROR(VLOOKUP(A2322,Shipped!I:J,2,)," ")</f>
        <v>46260</v>
      </c>
    </row>
    <row r="2323" spans="1:14" x14ac:dyDescent="0.25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56">
        <f>IFERROR(VLOOKUP(A2323,Shipped!I:J,2,)," ")</f>
        <v>46227</v>
      </c>
    </row>
    <row r="2324" spans="1:14" x14ac:dyDescent="0.25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56" t="str">
        <f>IFERROR(VLOOKUP(A2324,Shipped!I:J,2,)," ")</f>
        <v xml:space="preserve"> </v>
      </c>
    </row>
    <row r="2325" spans="1:14" x14ac:dyDescent="0.25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56">
        <f>IFERROR(VLOOKUP(A2325,Shipped!I:J,2,)," ")</f>
        <v>46251</v>
      </c>
    </row>
    <row r="2326" spans="1:14" x14ac:dyDescent="0.25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56" t="str">
        <f>IFERROR(VLOOKUP(A2326,Shipped!I:J,2,)," ")</f>
        <v xml:space="preserve"> </v>
      </c>
    </row>
    <row r="2327" spans="1:14" x14ac:dyDescent="0.25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56">
        <f>IFERROR(VLOOKUP(A2327,Shipped!I:J,2,)," ")</f>
        <v>46226</v>
      </c>
    </row>
    <row r="2328" spans="1:14" x14ac:dyDescent="0.25">
      <c r="A2328" s="11" t="s">
        <v>1263</v>
      </c>
      <c r="B2328" s="11" t="s">
        <v>2189</v>
      </c>
      <c r="C2328" s="11" t="s">
        <v>2190</v>
      </c>
      <c r="D2328" s="11">
        <v>1</v>
      </c>
      <c r="E2328" s="11" t="s">
        <v>151</v>
      </c>
      <c r="F2328" s="20">
        <v>46280.500300925924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56" t="str">
        <f>IFERROR(VLOOKUP(A2328,Shipped!I:J,2,)," ")</f>
        <v xml:space="preserve"> </v>
      </c>
    </row>
    <row r="2329" spans="1:14" x14ac:dyDescent="0.25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56" t="str">
        <f>IFERROR(VLOOKUP(A2329,Shipped!I:J,2,)," ")</f>
        <v xml:space="preserve"> </v>
      </c>
    </row>
    <row r="2330" spans="1:14" x14ac:dyDescent="0.25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56">
        <f>IFERROR(VLOOKUP(A2330,Shipped!I:J,2,)," ")</f>
        <v>46262</v>
      </c>
    </row>
    <row r="2331" spans="1:14" x14ac:dyDescent="0.25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56">
        <f>IFERROR(VLOOKUP(A2331,Shipped!I:J,2,)," ")</f>
        <v>46251</v>
      </c>
    </row>
    <row r="2332" spans="1:14" x14ac:dyDescent="0.25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56">
        <f>IFERROR(VLOOKUP(A2332,Shipped!I:J,2,)," ")</f>
        <v>46253</v>
      </c>
    </row>
    <row r="2333" spans="1:14" x14ac:dyDescent="0.25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56" t="str">
        <f>IFERROR(VLOOKUP(A2333,Shipped!I:J,2,)," ")</f>
        <v xml:space="preserve"> </v>
      </c>
    </row>
    <row r="2334" spans="1:14" x14ac:dyDescent="0.25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56">
        <f>IFERROR(VLOOKUP(A2334,Shipped!I:J,2,)," ")</f>
        <v>46253</v>
      </c>
    </row>
    <row r="2335" spans="1:14" x14ac:dyDescent="0.25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56">
        <f>IFERROR(VLOOKUP(A2335,Shipped!I:J,2,)," ")</f>
        <v>46266</v>
      </c>
    </row>
    <row r="2336" spans="1:14" x14ac:dyDescent="0.25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56">
        <f>IFERROR(VLOOKUP(A2336,Shipped!I:J,2,)," ")</f>
        <v>46170</v>
      </c>
    </row>
    <row r="2337" spans="1:14" x14ac:dyDescent="0.25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56">
        <f>IFERROR(VLOOKUP(A2337,Shipped!I:J,2,)," ")</f>
        <v>46177</v>
      </c>
    </row>
    <row r="2338" spans="1:14" x14ac:dyDescent="0.25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56">
        <f>IFERROR(VLOOKUP(A2338,Shipped!I:J,2,)," ")</f>
        <v>46170</v>
      </c>
    </row>
    <row r="2339" spans="1:14" x14ac:dyDescent="0.25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56">
        <f>IFERROR(VLOOKUP(A2339,Shipped!I:J,2,)," ")</f>
        <v>46170</v>
      </c>
    </row>
    <row r="2340" spans="1:14" x14ac:dyDescent="0.25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56">
        <f>IFERROR(VLOOKUP(A2340,Shipped!I:J,2,)," ")</f>
        <v>46177</v>
      </c>
    </row>
    <row r="2341" spans="1:14" x14ac:dyDescent="0.25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56">
        <f>IFERROR(VLOOKUP(A2341,Shipped!I:J,2,)," ")</f>
        <v>46171</v>
      </c>
    </row>
    <row r="2342" spans="1:14" x14ac:dyDescent="0.25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56">
        <f>IFERROR(VLOOKUP(A2342,Shipped!I:J,2,)," ")</f>
        <v>46171</v>
      </c>
    </row>
    <row r="2343" spans="1:14" x14ac:dyDescent="0.25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56">
        <f>IFERROR(VLOOKUP(A2343,Shipped!I:J,2,)," ")</f>
        <v>46170</v>
      </c>
    </row>
    <row r="2344" spans="1:14" x14ac:dyDescent="0.25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56">
        <f>IFERROR(VLOOKUP(A2344,Shipped!I:J,2,)," ")</f>
        <v>46171</v>
      </c>
    </row>
    <row r="2345" spans="1:14" x14ac:dyDescent="0.25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56">
        <f>IFERROR(VLOOKUP(A2345,Shipped!I:J,2,)," ")</f>
        <v>46171</v>
      </c>
    </row>
    <row r="2346" spans="1:14" x14ac:dyDescent="0.25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56">
        <f>IFERROR(VLOOKUP(A2346,Shipped!I:J,2,)," ")</f>
        <v>46191</v>
      </c>
    </row>
    <row r="2347" spans="1:14" x14ac:dyDescent="0.25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56" t="str">
        <f>IFERROR(VLOOKUP(A2347,Shipped!I:J,2,)," ")</f>
        <v xml:space="preserve"> </v>
      </c>
    </row>
    <row r="2348" spans="1:14" x14ac:dyDescent="0.25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56" t="str">
        <f>IFERROR(VLOOKUP(A2348,Shipped!I:J,2,)," ")</f>
        <v xml:space="preserve"> </v>
      </c>
    </row>
    <row r="2349" spans="1:14" x14ac:dyDescent="0.25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56" t="str">
        <f>IFERROR(VLOOKUP(A2349,Shipped!I:J,2,)," ")</f>
        <v xml:space="preserve"> </v>
      </c>
    </row>
    <row r="2350" spans="1:14" x14ac:dyDescent="0.25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56" t="str">
        <f>IFERROR(VLOOKUP(A2350,Shipped!I:J,2,)," ")</f>
        <v xml:space="preserve"> </v>
      </c>
    </row>
    <row r="2351" spans="1:14" x14ac:dyDescent="0.25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56" t="str">
        <f>IFERROR(VLOOKUP(A2351,Shipped!I:J,2,)," ")</f>
        <v xml:space="preserve"> </v>
      </c>
    </row>
    <row r="2352" spans="1:14" x14ac:dyDescent="0.25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56" t="str">
        <f>IFERROR(VLOOKUP(A2352,Shipped!I:J,2,)," ")</f>
        <v xml:space="preserve"> </v>
      </c>
    </row>
    <row r="2353" spans="1:14" x14ac:dyDescent="0.25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56" t="str">
        <f>IFERROR(VLOOKUP(A2353,Shipped!I:J,2,)," ")</f>
        <v xml:space="preserve"> </v>
      </c>
    </row>
    <row r="2354" spans="1:14" x14ac:dyDescent="0.25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56" t="str">
        <f>IFERROR(VLOOKUP(A2354,Shipped!I:J,2,)," ")</f>
        <v xml:space="preserve"> </v>
      </c>
    </row>
    <row r="2355" spans="1:14" x14ac:dyDescent="0.25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56" t="str">
        <f>IFERROR(VLOOKUP(A2355,Shipped!I:J,2,)," ")</f>
        <v xml:space="preserve"> </v>
      </c>
    </row>
    <row r="2356" spans="1:14" x14ac:dyDescent="0.25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56" t="str">
        <f>IFERROR(VLOOKUP(A2356,Shipped!I:J,2,)," ")</f>
        <v xml:space="preserve"> </v>
      </c>
    </row>
    <row r="2357" spans="1:14" x14ac:dyDescent="0.25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56" t="str">
        <f>IFERROR(VLOOKUP(A2357,Shipped!I:J,2,)," ")</f>
        <v xml:space="preserve"> </v>
      </c>
    </row>
    <row r="2358" spans="1:14" x14ac:dyDescent="0.25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56" t="str">
        <f>IFERROR(VLOOKUP(A2358,Shipped!I:J,2,)," ")</f>
        <v xml:space="preserve"> </v>
      </c>
    </row>
    <row r="2359" spans="1:14" x14ac:dyDescent="0.25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56" t="str">
        <f>IFERROR(VLOOKUP(A2359,Shipped!I:J,2,)," ")</f>
        <v xml:space="preserve"> </v>
      </c>
    </row>
    <row r="2360" spans="1:14" x14ac:dyDescent="0.25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56" t="str">
        <f>IFERROR(VLOOKUP(A2360,Shipped!I:J,2,)," ")</f>
        <v xml:space="preserve"> </v>
      </c>
    </row>
    <row r="2361" spans="1:14" x14ac:dyDescent="0.25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56" t="str">
        <f>IFERROR(VLOOKUP(A2361,Shipped!I:J,2,)," ")</f>
        <v xml:space="preserve"> </v>
      </c>
    </row>
    <row r="2362" spans="1:14" x14ac:dyDescent="0.25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56" t="str">
        <f>IFERROR(VLOOKUP(A2362,Shipped!I:J,2,)," ")</f>
        <v xml:space="preserve"> </v>
      </c>
    </row>
    <row r="2363" spans="1:14" x14ac:dyDescent="0.25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56" t="str">
        <f>IFERROR(VLOOKUP(A2363,Shipped!I:J,2,)," ")</f>
        <v xml:space="preserve"> </v>
      </c>
    </row>
    <row r="2364" spans="1:14" x14ac:dyDescent="0.25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56" t="str">
        <f>IFERROR(VLOOKUP(A2364,Shipped!I:J,2,)," ")</f>
        <v xml:space="preserve"> </v>
      </c>
    </row>
    <row r="2365" spans="1:14" x14ac:dyDescent="0.25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56" t="str">
        <f>IFERROR(VLOOKUP(A2365,Shipped!I:J,2,)," ")</f>
        <v xml:space="preserve"> </v>
      </c>
    </row>
    <row r="2366" spans="1:14" x14ac:dyDescent="0.25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56" t="str">
        <f>IFERROR(VLOOKUP(A2366,Shipped!I:J,2,)," ")</f>
        <v xml:space="preserve"> </v>
      </c>
    </row>
    <row r="2367" spans="1:14" x14ac:dyDescent="0.25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56" t="str">
        <f>IFERROR(VLOOKUP(A2367,Shipped!I:J,2,)," ")</f>
        <v xml:space="preserve"> </v>
      </c>
    </row>
    <row r="2368" spans="1:14" x14ac:dyDescent="0.25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56" t="str">
        <f>IFERROR(VLOOKUP(A2368,Shipped!I:J,2,)," ")</f>
        <v xml:space="preserve"> </v>
      </c>
    </row>
    <row r="2369" spans="1:14" x14ac:dyDescent="0.25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56" t="str">
        <f>IFERROR(VLOOKUP(A2369,Shipped!I:J,2,)," ")</f>
        <v xml:space="preserve"> </v>
      </c>
    </row>
    <row r="2370" spans="1:14" x14ac:dyDescent="0.25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56" t="str">
        <f>IFERROR(VLOOKUP(A2370,Shipped!I:J,2,)," ")</f>
        <v xml:space="preserve"> </v>
      </c>
    </row>
    <row r="2371" spans="1:14" x14ac:dyDescent="0.25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56" t="str">
        <f>IFERROR(VLOOKUP(A2371,Shipped!I:J,2,)," ")</f>
        <v xml:space="preserve"> </v>
      </c>
    </row>
    <row r="2372" spans="1:14" x14ac:dyDescent="0.25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56">
        <f>IFERROR(VLOOKUP(A2372,Shipped!I:J,2,)," ")</f>
        <v>46157</v>
      </c>
    </row>
    <row r="2373" spans="1:14" x14ac:dyDescent="0.25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56" t="str">
        <f>IFERROR(VLOOKUP(A2373,Shipped!I:J,2,)," ")</f>
        <v xml:space="preserve"> </v>
      </c>
    </row>
    <row r="2374" spans="1:14" x14ac:dyDescent="0.25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56" t="str">
        <f>IFERROR(VLOOKUP(A2374,Shipped!I:J,2,)," ")</f>
        <v xml:space="preserve"> </v>
      </c>
    </row>
    <row r="2375" spans="1:14" x14ac:dyDescent="0.25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56">
        <f>IFERROR(VLOOKUP(A2375,Shipped!I:J,2,)," ")</f>
        <v>46157</v>
      </c>
    </row>
    <row r="2376" spans="1:14" x14ac:dyDescent="0.25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56">
        <f>IFERROR(VLOOKUP(A2376,Shipped!I:J,2,)," ")</f>
        <v>46157</v>
      </c>
    </row>
    <row r="2377" spans="1:14" x14ac:dyDescent="0.25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56">
        <f>IFERROR(VLOOKUP(A2377,Shipped!I:J,2,)," ")</f>
        <v>46157</v>
      </c>
    </row>
    <row r="2378" spans="1:14" x14ac:dyDescent="0.25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56">
        <f>IFERROR(VLOOKUP(A2378,Shipped!I:J,2,)," ")</f>
        <v>46157</v>
      </c>
    </row>
    <row r="2379" spans="1:14" x14ac:dyDescent="0.25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56">
        <f>IFERROR(VLOOKUP(A2379,Shipped!I:J,2,)," ")</f>
        <v>46174</v>
      </c>
    </row>
    <row r="2380" spans="1:14" x14ac:dyDescent="0.25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56">
        <f>IFERROR(VLOOKUP(A2380,Shipped!I:J,2,)," ")</f>
        <v>46157</v>
      </c>
    </row>
    <row r="2381" spans="1:14" x14ac:dyDescent="0.25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56">
        <f>IFERROR(VLOOKUP(A2381,Shipped!I:J,2,)," ")</f>
        <v>46174</v>
      </c>
    </row>
    <row r="2382" spans="1:14" x14ac:dyDescent="0.25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56">
        <f>IFERROR(VLOOKUP(A2382,Shipped!I:J,2,)," ")</f>
        <v>46174</v>
      </c>
    </row>
    <row r="2383" spans="1:14" x14ac:dyDescent="0.25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56">
        <f>IFERROR(VLOOKUP(A2383,Shipped!I:J,2,)," ")</f>
        <v>46174</v>
      </c>
    </row>
    <row r="2384" spans="1:14" x14ac:dyDescent="0.25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56">
        <f>IFERROR(VLOOKUP(A2384,Shipped!I:J,2,)," ")</f>
        <v>46174</v>
      </c>
    </row>
    <row r="2385" spans="1:14" x14ac:dyDescent="0.25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56">
        <f>IFERROR(VLOOKUP(A2385,Shipped!I:J,2,)," ")</f>
        <v>46174</v>
      </c>
    </row>
    <row r="2386" spans="1:14" x14ac:dyDescent="0.25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56" t="str">
        <f>IFERROR(VLOOKUP(A2386,Shipped!I:J,2,)," ")</f>
        <v xml:space="preserve"> </v>
      </c>
    </row>
    <row r="2387" spans="1:14" x14ac:dyDescent="0.25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56">
        <f>IFERROR(VLOOKUP(A2387,Shipped!I:J,2,)," ")</f>
        <v>46157</v>
      </c>
    </row>
    <row r="2388" spans="1:14" x14ac:dyDescent="0.25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56">
        <f>IFERROR(VLOOKUP(A2388,Shipped!I:J,2,)," ")</f>
        <v>46157</v>
      </c>
    </row>
    <row r="2389" spans="1:14" x14ac:dyDescent="0.25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56">
        <f>IFERROR(VLOOKUP(A2389,Shipped!I:J,2,)," ")</f>
        <v>46157</v>
      </c>
    </row>
    <row r="2390" spans="1:14" x14ac:dyDescent="0.25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56">
        <f>IFERROR(VLOOKUP(A2390,Shipped!I:J,2,)," ")</f>
        <v>46157</v>
      </c>
    </row>
    <row r="2391" spans="1:14" x14ac:dyDescent="0.25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56">
        <f>IFERROR(VLOOKUP(A2391,Shipped!I:J,2,)," ")</f>
        <v>46174</v>
      </c>
    </row>
    <row r="2392" spans="1:14" x14ac:dyDescent="0.25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56">
        <f>IFERROR(VLOOKUP(A2392,Shipped!I:J,2,)," ")</f>
        <v>46157</v>
      </c>
    </row>
    <row r="2393" spans="1:14" x14ac:dyDescent="0.25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56">
        <f>IFERROR(VLOOKUP(A2393,Shipped!I:J,2,)," ")</f>
        <v>46174</v>
      </c>
    </row>
    <row r="2394" spans="1:14" x14ac:dyDescent="0.25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56">
        <f>IFERROR(VLOOKUP(A2394,Shipped!I:J,2,)," ")</f>
        <v>46174</v>
      </c>
    </row>
    <row r="2395" spans="1:14" x14ac:dyDescent="0.25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56">
        <f>IFERROR(VLOOKUP(A2395,Shipped!I:J,2,)," ")</f>
        <v>46174</v>
      </c>
    </row>
    <row r="2396" spans="1:14" x14ac:dyDescent="0.25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56">
        <f>IFERROR(VLOOKUP(A2396,Shipped!I:J,2,)," ")</f>
        <v>46174</v>
      </c>
    </row>
    <row r="2397" spans="1:14" x14ac:dyDescent="0.25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56">
        <f>IFERROR(VLOOKUP(A2397,Shipped!I:J,2,)," ")</f>
        <v>46174</v>
      </c>
    </row>
    <row r="2398" spans="1:14" x14ac:dyDescent="0.25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56">
        <f>IFERROR(VLOOKUP(A2398,Shipped!I:J,2,)," ")</f>
        <v>46174</v>
      </c>
    </row>
    <row r="2399" spans="1:14" x14ac:dyDescent="0.25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56">
        <f>IFERROR(VLOOKUP(A2399,Shipped!I:J,2,)," ")</f>
        <v>46157</v>
      </c>
    </row>
    <row r="2400" spans="1:14" x14ac:dyDescent="0.25">
      <c r="A2400" s="11" t="s">
        <v>2228</v>
      </c>
      <c r="B2400" s="11" t="s">
        <v>6</v>
      </c>
      <c r="C2400" s="11" t="s">
        <v>6</v>
      </c>
      <c r="D2400" s="11">
        <v>1</v>
      </c>
      <c r="E2400" s="11" t="s">
        <v>7</v>
      </c>
      <c r="F2400" s="20">
        <v>46279.453738425924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56" t="str">
        <f>IFERROR(VLOOKUP(A2400,Shipped!I:J,2,)," ")</f>
        <v xml:space="preserve"> </v>
      </c>
    </row>
    <row r="2401" spans="1:14" x14ac:dyDescent="0.25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56" t="str">
        <f>IFERROR(VLOOKUP(A2401,Shipped!I:J,2,)," ")</f>
        <v xml:space="preserve"> </v>
      </c>
    </row>
    <row r="2402" spans="1:14" x14ac:dyDescent="0.25">
      <c r="A2402" s="11" t="s">
        <v>2230</v>
      </c>
      <c r="B2402" s="11" t="s">
        <v>6</v>
      </c>
      <c r="C2402" s="11" t="s">
        <v>6</v>
      </c>
      <c r="D2402" s="11">
        <v>1</v>
      </c>
      <c r="E2402" s="11" t="s">
        <v>7</v>
      </c>
      <c r="F2402" s="20">
        <v>46276.790706018517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56" t="str">
        <f>IFERROR(VLOOKUP(A2402,Shipped!I:J,2,)," ")</f>
        <v xml:space="preserve"> </v>
      </c>
    </row>
    <row r="2403" spans="1:14" x14ac:dyDescent="0.25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56" t="str">
        <f>IFERROR(VLOOKUP(A2403,Shipped!I:J,2,)," ")</f>
        <v xml:space="preserve"> </v>
      </c>
    </row>
    <row r="2404" spans="1:14" x14ac:dyDescent="0.25">
      <c r="A2404" s="11" t="s">
        <v>2232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46280.484155092592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56" t="str">
        <f>IFERROR(VLOOKUP(A2404,Shipped!I:J,2,)," ")</f>
        <v xml:space="preserve"> </v>
      </c>
    </row>
    <row r="2405" spans="1:14" x14ac:dyDescent="0.25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56" t="str">
        <f>IFERROR(VLOOKUP(A2405,Shipped!I:J,2,)," ")</f>
        <v xml:space="preserve"> </v>
      </c>
    </row>
    <row r="2406" spans="1:14" x14ac:dyDescent="0.25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56" t="str">
        <f>IFERROR(VLOOKUP(A2406,Shipped!I:J,2,)," ")</f>
        <v xml:space="preserve"> </v>
      </c>
    </row>
    <row r="2407" spans="1:14" x14ac:dyDescent="0.25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56" t="str">
        <f>IFERROR(VLOOKUP(A2407,Shipped!I:J,2,)," ")</f>
        <v xml:space="preserve"> </v>
      </c>
    </row>
    <row r="2408" spans="1:14" x14ac:dyDescent="0.25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56" t="str">
        <f>IFERROR(VLOOKUP(A2408,Shipped!I:J,2,)," ")</f>
        <v xml:space="preserve"> </v>
      </c>
    </row>
    <row r="2409" spans="1:14" x14ac:dyDescent="0.25">
      <c r="A2409" s="11" t="s">
        <v>2237</v>
      </c>
      <c r="B2409" s="11" t="s">
        <v>6</v>
      </c>
      <c r="C2409" s="11" t="s">
        <v>6</v>
      </c>
      <c r="D2409" s="11">
        <v>1</v>
      </c>
      <c r="E2409" s="11" t="s">
        <v>7</v>
      </c>
      <c r="F2409" s="20">
        <v>46276.790208333332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56" t="str">
        <f>IFERROR(VLOOKUP(A2409,Shipped!I:J,2,)," ")</f>
        <v xml:space="preserve"> </v>
      </c>
    </row>
    <row r="2410" spans="1:14" x14ac:dyDescent="0.25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56" t="str">
        <f>IFERROR(VLOOKUP(A2410,Shipped!I:J,2,)," ")</f>
        <v xml:space="preserve"> </v>
      </c>
    </row>
    <row r="2411" spans="1:14" x14ac:dyDescent="0.25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56" t="str">
        <f>IFERROR(VLOOKUP(A2411,Shipped!I:J,2,)," ")</f>
        <v xml:space="preserve"> </v>
      </c>
    </row>
    <row r="2412" spans="1:14" x14ac:dyDescent="0.25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56" t="str">
        <f>IFERROR(VLOOKUP(A2412,Shipped!I:J,2,)," ")</f>
        <v xml:space="preserve"> </v>
      </c>
    </row>
    <row r="2413" spans="1:14" x14ac:dyDescent="0.25">
      <c r="A2413" s="11" t="s">
        <v>2241</v>
      </c>
      <c r="B2413" s="11" t="s">
        <v>6</v>
      </c>
      <c r="C2413" s="11" t="s">
        <v>6</v>
      </c>
      <c r="D2413" s="11">
        <v>1</v>
      </c>
      <c r="E2413" s="11" t="s">
        <v>7</v>
      </c>
      <c r="F2413" s="20">
        <v>46281.452372685184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56" t="str">
        <f>IFERROR(VLOOKUP(A2413,Shipped!I:J,2,)," ")</f>
        <v xml:space="preserve"> </v>
      </c>
    </row>
    <row r="2414" spans="1:14" x14ac:dyDescent="0.25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56" t="str">
        <f>IFERROR(VLOOKUP(A2414,Shipped!I:J,2,)," ")</f>
        <v xml:space="preserve"> </v>
      </c>
    </row>
    <row r="2415" spans="1:14" x14ac:dyDescent="0.25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56" t="str">
        <f>IFERROR(VLOOKUP(A2415,Shipped!I:J,2,)," ")</f>
        <v xml:space="preserve"> </v>
      </c>
    </row>
    <row r="2416" spans="1:14" x14ac:dyDescent="0.25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56" t="str">
        <f>IFERROR(VLOOKUP(A2416,Shipped!I:J,2,)," ")</f>
        <v xml:space="preserve"> </v>
      </c>
    </row>
    <row r="2417" spans="1:14" x14ac:dyDescent="0.25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56" t="str">
        <f>IFERROR(VLOOKUP(A2417,Shipped!I:J,2,)," ")</f>
        <v xml:space="preserve"> </v>
      </c>
    </row>
    <row r="2418" spans="1:14" x14ac:dyDescent="0.25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56" t="str">
        <f>IFERROR(VLOOKUP(A2418,Shipped!I:J,2,)," ")</f>
        <v xml:space="preserve"> </v>
      </c>
    </row>
    <row r="2419" spans="1:14" x14ac:dyDescent="0.25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56" t="str">
        <f>IFERROR(VLOOKUP(A2419,Shipped!I:J,2,)," ")</f>
        <v xml:space="preserve"> </v>
      </c>
    </row>
    <row r="2420" spans="1:14" x14ac:dyDescent="0.25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56" t="str">
        <f>IFERROR(VLOOKUP(A2420,Shipped!I:J,2,)," ")</f>
        <v xml:space="preserve"> </v>
      </c>
    </row>
    <row r="2421" spans="1:14" x14ac:dyDescent="0.25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56" t="str">
        <f>IFERROR(VLOOKUP(A2421,Shipped!I:J,2,)," ")</f>
        <v xml:space="preserve"> </v>
      </c>
    </row>
    <row r="2422" spans="1:14" x14ac:dyDescent="0.25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56" t="str">
        <f>IFERROR(VLOOKUP(A2422,Shipped!I:J,2,)," ")</f>
        <v xml:space="preserve"> </v>
      </c>
    </row>
    <row r="2423" spans="1:14" x14ac:dyDescent="0.25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56" t="str">
        <f>IFERROR(VLOOKUP(A2423,Shipped!I:J,2,)," ")</f>
        <v xml:space="preserve"> </v>
      </c>
    </row>
    <row r="2424" spans="1:14" x14ac:dyDescent="0.25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56" t="str">
        <f>IFERROR(VLOOKUP(A2424,Shipped!I:J,2,)," ")</f>
        <v xml:space="preserve"> </v>
      </c>
    </row>
    <row r="2425" spans="1:14" x14ac:dyDescent="0.25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56" t="str">
        <f>IFERROR(VLOOKUP(A2425,Shipped!I:J,2,)," ")</f>
        <v xml:space="preserve"> </v>
      </c>
    </row>
    <row r="2426" spans="1:14" x14ac:dyDescent="0.25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56" t="str">
        <f>IFERROR(VLOOKUP(A2426,Shipped!I:J,2,)," ")</f>
        <v xml:space="preserve"> </v>
      </c>
    </row>
    <row r="2427" spans="1:14" x14ac:dyDescent="0.25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56" t="str">
        <f>IFERROR(VLOOKUP(A2427,Shipped!I:J,2,)," ")</f>
        <v xml:space="preserve"> </v>
      </c>
    </row>
    <row r="2428" spans="1:14" x14ac:dyDescent="0.25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56" t="str">
        <f>IFERROR(VLOOKUP(A2428,Shipped!I:J,2,)," ")</f>
        <v xml:space="preserve"> </v>
      </c>
    </row>
    <row r="2429" spans="1:14" x14ac:dyDescent="0.25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56" t="str">
        <f>IFERROR(VLOOKUP(A2429,Shipped!I:J,2,)," ")</f>
        <v xml:space="preserve"> </v>
      </c>
    </row>
    <row r="2430" spans="1:14" x14ac:dyDescent="0.25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56" t="str">
        <f>IFERROR(VLOOKUP(A2430,Shipped!I:J,2,)," ")</f>
        <v xml:space="preserve"> </v>
      </c>
    </row>
    <row r="2431" spans="1:14" x14ac:dyDescent="0.25">
      <c r="A2431" s="11" t="s">
        <v>2259</v>
      </c>
      <c r="B2431" s="11" t="s">
        <v>6</v>
      </c>
      <c r="C2431" s="11" t="s">
        <v>6</v>
      </c>
      <c r="D2431" s="11">
        <v>1</v>
      </c>
      <c r="E2431" s="11" t="s">
        <v>7</v>
      </c>
      <c r="F2431" s="20">
        <v>46279.264398148145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56" t="str">
        <f>IFERROR(VLOOKUP(A2431,Shipped!I:J,2,)," ")</f>
        <v xml:space="preserve"> </v>
      </c>
    </row>
    <row r="2432" spans="1:14" x14ac:dyDescent="0.25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56" t="str">
        <f>IFERROR(VLOOKUP(A2432,Shipped!I:J,2,)," ")</f>
        <v xml:space="preserve"> </v>
      </c>
    </row>
    <row r="2433" spans="1:14" x14ac:dyDescent="0.25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56" t="str">
        <f>IFERROR(VLOOKUP(A2433,Shipped!I:J,2,)," ")</f>
        <v xml:space="preserve"> </v>
      </c>
    </row>
    <row r="2434" spans="1:14" x14ac:dyDescent="0.25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56" t="str">
        <f>IFERROR(VLOOKUP(A2434,Shipped!I:J,2,)," ")</f>
        <v xml:space="preserve"> </v>
      </c>
    </row>
    <row r="2435" spans="1:14" x14ac:dyDescent="0.25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56" t="str">
        <f>IFERROR(VLOOKUP(A2435,Shipped!I:J,2,)," ")</f>
        <v xml:space="preserve"> </v>
      </c>
    </row>
    <row r="2436" spans="1:14" x14ac:dyDescent="0.25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56" t="str">
        <f>IFERROR(VLOOKUP(A2436,Shipped!I:J,2,)," ")</f>
        <v xml:space="preserve"> </v>
      </c>
    </row>
    <row r="2437" spans="1:14" x14ac:dyDescent="0.25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56" t="str">
        <f>IFERROR(VLOOKUP(A2437,Shipped!I:J,2,)," ")</f>
        <v xml:space="preserve"> </v>
      </c>
    </row>
    <row r="2438" spans="1:14" x14ac:dyDescent="0.25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56" t="str">
        <f>IFERROR(VLOOKUP(A2438,Shipped!I:J,2,)," ")</f>
        <v xml:space="preserve"> </v>
      </c>
    </row>
    <row r="2439" spans="1:14" x14ac:dyDescent="0.25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56" t="str">
        <f>IFERROR(VLOOKUP(A2439,Shipped!I:J,2,)," ")</f>
        <v xml:space="preserve"> </v>
      </c>
    </row>
    <row r="2440" spans="1:14" x14ac:dyDescent="0.25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56" t="str">
        <f>IFERROR(VLOOKUP(A2440,Shipped!I:J,2,)," ")</f>
        <v xml:space="preserve"> </v>
      </c>
    </row>
    <row r="2441" spans="1:14" x14ac:dyDescent="0.25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56" t="str">
        <f>IFERROR(VLOOKUP(A2441,Shipped!I:J,2,)," ")</f>
        <v xml:space="preserve"> </v>
      </c>
    </row>
    <row r="2442" spans="1:14" x14ac:dyDescent="0.25">
      <c r="A2442" s="11" t="s">
        <v>2270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46279.256006944444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56" t="str">
        <f>IFERROR(VLOOKUP(A2442,Shipped!I:J,2,)," ")</f>
        <v xml:space="preserve"> </v>
      </c>
    </row>
    <row r="2443" spans="1:14" x14ac:dyDescent="0.25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56" t="str">
        <f>IFERROR(VLOOKUP(A2443,Shipped!I:J,2,)," ")</f>
        <v xml:space="preserve"> </v>
      </c>
    </row>
    <row r="2444" spans="1:14" x14ac:dyDescent="0.25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56" t="str">
        <f>IFERROR(VLOOKUP(A2444,Shipped!I:J,2,)," ")</f>
        <v xml:space="preserve"> </v>
      </c>
    </row>
    <row r="2445" spans="1:14" x14ac:dyDescent="0.25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56" t="str">
        <f>IFERROR(VLOOKUP(A2445,Shipped!I:J,2,)," ")</f>
        <v xml:space="preserve"> </v>
      </c>
    </row>
    <row r="2446" spans="1:14" x14ac:dyDescent="0.25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56" t="str">
        <f>IFERROR(VLOOKUP(A2446,Shipped!I:J,2,)," ")</f>
        <v xml:space="preserve"> </v>
      </c>
    </row>
    <row r="2447" spans="1:14" x14ac:dyDescent="0.25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56" t="str">
        <f>IFERROR(VLOOKUP(A2447,Shipped!I:J,2,)," ")</f>
        <v xml:space="preserve"> </v>
      </c>
    </row>
    <row r="2448" spans="1:14" x14ac:dyDescent="0.25">
      <c r="A2448" s="11" t="s">
        <v>2276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46279.256469907406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56" t="str">
        <f>IFERROR(VLOOKUP(A2448,Shipped!I:J,2,)," ")</f>
        <v xml:space="preserve"> </v>
      </c>
    </row>
    <row r="2449" spans="1:14" x14ac:dyDescent="0.25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56" t="str">
        <f>IFERROR(VLOOKUP(A2449,Shipped!I:J,2,)," ")</f>
        <v xml:space="preserve"> </v>
      </c>
    </row>
    <row r="2450" spans="1:14" x14ac:dyDescent="0.25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56" t="str">
        <f>IFERROR(VLOOKUP(A2450,Shipped!I:J,2,)," ")</f>
        <v xml:space="preserve"> </v>
      </c>
    </row>
    <row r="2451" spans="1:14" x14ac:dyDescent="0.25">
      <c r="A2451" s="11" t="s">
        <v>2279</v>
      </c>
      <c r="B2451" s="11" t="s">
        <v>6</v>
      </c>
      <c r="C2451" s="11" t="s">
        <v>6</v>
      </c>
      <c r="D2451" s="11">
        <v>1</v>
      </c>
      <c r="E2451" s="11" t="s">
        <v>7</v>
      </c>
      <c r="F2451" s="20">
        <v>46279.263738425929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56" t="str">
        <f>IFERROR(VLOOKUP(A2451,Shipped!I:J,2,)," ")</f>
        <v xml:space="preserve"> </v>
      </c>
    </row>
    <row r="2452" spans="1:14" x14ac:dyDescent="0.25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56" t="str">
        <f>IFERROR(VLOOKUP(A2452,Shipped!I:J,2,)," ")</f>
        <v xml:space="preserve"> </v>
      </c>
    </row>
    <row r="2453" spans="1:14" x14ac:dyDescent="0.25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56" t="str">
        <f>IFERROR(VLOOKUP(A2453,Shipped!I:J,2,)," ")</f>
        <v xml:space="preserve"> </v>
      </c>
    </row>
    <row r="2454" spans="1:14" x14ac:dyDescent="0.25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56" t="str">
        <f>IFERROR(VLOOKUP(A2454,Shipped!I:J,2,)," ")</f>
        <v xml:space="preserve"> </v>
      </c>
    </row>
    <row r="2455" spans="1:14" x14ac:dyDescent="0.25">
      <c r="A2455" s="11" t="s">
        <v>2283</v>
      </c>
      <c r="B2455" s="11" t="s">
        <v>6</v>
      </c>
      <c r="C2455" s="11" t="s">
        <v>6</v>
      </c>
      <c r="D2455" s="11">
        <v>1</v>
      </c>
      <c r="E2455" s="11" t="s">
        <v>7</v>
      </c>
      <c r="F2455" s="20">
        <v>46280.497083333335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56" t="str">
        <f>IFERROR(VLOOKUP(A2455,Shipped!I:J,2,)," ")</f>
        <v xml:space="preserve"> </v>
      </c>
    </row>
    <row r="2456" spans="1:14" x14ac:dyDescent="0.25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56" t="str">
        <f>IFERROR(VLOOKUP(A2456,Shipped!I:J,2,)," ")</f>
        <v xml:space="preserve"> </v>
      </c>
    </row>
    <row r="2457" spans="1:14" x14ac:dyDescent="0.25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56" t="str">
        <f>IFERROR(VLOOKUP(A2457,Shipped!I:J,2,)," ")</f>
        <v xml:space="preserve"> </v>
      </c>
    </row>
    <row r="2458" spans="1:14" x14ac:dyDescent="0.25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56" t="str">
        <f>IFERROR(VLOOKUP(A2458,Shipped!I:J,2,)," ")</f>
        <v xml:space="preserve"> </v>
      </c>
    </row>
    <row r="2459" spans="1:14" x14ac:dyDescent="0.25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56" t="str">
        <f>IFERROR(VLOOKUP(A2459,Shipped!I:J,2,)," ")</f>
        <v xml:space="preserve"> </v>
      </c>
    </row>
    <row r="2460" spans="1:14" x14ac:dyDescent="0.25">
      <c r="A2460" s="11" t="s">
        <v>2288</v>
      </c>
      <c r="B2460" s="11" t="s">
        <v>6</v>
      </c>
      <c r="C2460" s="11" t="s">
        <v>6</v>
      </c>
      <c r="D2460" s="11">
        <v>1</v>
      </c>
      <c r="E2460" s="11" t="s">
        <v>7</v>
      </c>
      <c r="F2460" s="20">
        <v>46279.255983796298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56" t="str">
        <f>IFERROR(VLOOKUP(A2460,Shipped!I:J,2,)," ")</f>
        <v xml:space="preserve"> </v>
      </c>
    </row>
    <row r="2461" spans="1:14" x14ac:dyDescent="0.25">
      <c r="A2461" s="11" t="s">
        <v>2289</v>
      </c>
      <c r="B2461" s="11" t="s">
        <v>6</v>
      </c>
      <c r="C2461" s="11" t="s">
        <v>6</v>
      </c>
      <c r="D2461" s="11">
        <v>1</v>
      </c>
      <c r="E2461" s="11" t="s">
        <v>7</v>
      </c>
      <c r="F2461" s="20">
        <v>46281.450439814813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56" t="str">
        <f>IFERROR(VLOOKUP(A2461,Shipped!I:J,2,)," ")</f>
        <v xml:space="preserve"> </v>
      </c>
    </row>
    <row r="2462" spans="1:14" x14ac:dyDescent="0.25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56" t="str">
        <f>IFERROR(VLOOKUP(A2462,Shipped!I:J,2,)," ")</f>
        <v xml:space="preserve"> </v>
      </c>
    </row>
    <row r="2463" spans="1:14" x14ac:dyDescent="0.25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56" t="str">
        <f>IFERROR(VLOOKUP(A2463,Shipped!I:J,2,)," ")</f>
        <v xml:space="preserve"> </v>
      </c>
    </row>
    <row r="2464" spans="1:14" x14ac:dyDescent="0.25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56" t="str">
        <f>IFERROR(VLOOKUP(A2464,Shipped!I:J,2,)," ")</f>
        <v xml:space="preserve"> </v>
      </c>
    </row>
    <row r="2465" spans="1:14" x14ac:dyDescent="0.25">
      <c r="A2465" s="11" t="s">
        <v>2293</v>
      </c>
      <c r="B2465" s="11" t="s">
        <v>6</v>
      </c>
      <c r="C2465" s="11" t="s">
        <v>6</v>
      </c>
      <c r="D2465" s="11">
        <v>1</v>
      </c>
      <c r="E2465" s="11" t="s">
        <v>7</v>
      </c>
      <c r="F2465" s="20">
        <v>46279.453043981484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56" t="str">
        <f>IFERROR(VLOOKUP(A2465,Shipped!I:J,2,)," ")</f>
        <v xml:space="preserve"> </v>
      </c>
    </row>
    <row r="2466" spans="1:14" x14ac:dyDescent="0.25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56" t="str">
        <f>IFERROR(VLOOKUP(A2466,Shipped!I:J,2,)," ")</f>
        <v xml:space="preserve"> </v>
      </c>
    </row>
    <row r="2467" spans="1:14" x14ac:dyDescent="0.25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56" t="str">
        <f>IFERROR(VLOOKUP(A2467,Shipped!I:J,2,)," ")</f>
        <v xml:space="preserve"> </v>
      </c>
    </row>
    <row r="2468" spans="1:14" x14ac:dyDescent="0.25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56" t="str">
        <f>IFERROR(VLOOKUP(A2468,Shipped!I:J,2,)," ")</f>
        <v xml:space="preserve"> </v>
      </c>
    </row>
    <row r="2469" spans="1:14" x14ac:dyDescent="0.25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56" t="str">
        <f>IFERROR(VLOOKUP(A2469,Shipped!I:J,2,)," ")</f>
        <v xml:space="preserve"> </v>
      </c>
    </row>
    <row r="2470" spans="1:14" x14ac:dyDescent="0.25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56" t="str">
        <f>IFERROR(VLOOKUP(A2470,Shipped!I:J,2,)," ")</f>
        <v xml:space="preserve"> </v>
      </c>
    </row>
    <row r="2471" spans="1:14" x14ac:dyDescent="0.25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56" t="str">
        <f>IFERROR(VLOOKUP(A2471,Shipped!I:J,2,)," ")</f>
        <v xml:space="preserve"> </v>
      </c>
    </row>
    <row r="2472" spans="1:14" x14ac:dyDescent="0.25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56" t="str">
        <f>IFERROR(VLOOKUP(A2472,Shipped!I:J,2,)," ")</f>
        <v xml:space="preserve"> </v>
      </c>
    </row>
    <row r="2473" spans="1:14" x14ac:dyDescent="0.25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56" t="str">
        <f>IFERROR(VLOOKUP(A2473,Shipped!I:J,2,)," ")</f>
        <v xml:space="preserve"> </v>
      </c>
    </row>
    <row r="2474" spans="1:14" x14ac:dyDescent="0.25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56" t="str">
        <f>IFERROR(VLOOKUP(A2474,Shipped!I:J,2,)," ")</f>
        <v xml:space="preserve"> </v>
      </c>
    </row>
    <row r="2475" spans="1:14" x14ac:dyDescent="0.25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56" t="str">
        <f>IFERROR(VLOOKUP(A2475,Shipped!I:J,2,)," ")</f>
        <v xml:space="preserve"> </v>
      </c>
    </row>
    <row r="2476" spans="1:14" x14ac:dyDescent="0.25">
      <c r="A2476" s="11" t="s">
        <v>2304</v>
      </c>
      <c r="B2476" s="11" t="s">
        <v>6</v>
      </c>
      <c r="C2476" s="11" t="s">
        <v>6</v>
      </c>
      <c r="D2476" s="11">
        <v>1</v>
      </c>
      <c r="E2476" s="11" t="s">
        <v>7</v>
      </c>
      <c r="F2476" s="20">
        <v>46279.450659722221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56" t="str">
        <f>IFERROR(VLOOKUP(A2476,Shipped!I:J,2,)," ")</f>
        <v xml:space="preserve"> </v>
      </c>
    </row>
    <row r="2477" spans="1:14" x14ac:dyDescent="0.25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56" t="str">
        <f>IFERROR(VLOOKUP(A2477,Shipped!I:J,2,)," ")</f>
        <v xml:space="preserve"> </v>
      </c>
    </row>
    <row r="2478" spans="1:14" x14ac:dyDescent="0.25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56" t="str">
        <f>IFERROR(VLOOKUP(A2478,Shipped!I:J,2,)," ")</f>
        <v xml:space="preserve"> </v>
      </c>
    </row>
    <row r="2479" spans="1:14" x14ac:dyDescent="0.25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56" t="str">
        <f>IFERROR(VLOOKUP(A2479,Shipped!I:J,2,)," ")</f>
        <v xml:space="preserve"> </v>
      </c>
    </row>
    <row r="2480" spans="1:14" x14ac:dyDescent="0.25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56" t="str">
        <f>IFERROR(VLOOKUP(A2480,Shipped!I:J,2,)," ")</f>
        <v xml:space="preserve"> </v>
      </c>
    </row>
    <row r="2481" spans="1:14" x14ac:dyDescent="0.25">
      <c r="A2481" s="11" t="s">
        <v>2309</v>
      </c>
      <c r="B2481" s="11" t="s">
        <v>6</v>
      </c>
      <c r="C2481" s="11" t="s">
        <v>6</v>
      </c>
      <c r="D2481" s="11">
        <v>1</v>
      </c>
      <c r="E2481" s="11" t="s">
        <v>7</v>
      </c>
      <c r="F2481" s="20">
        <v>46279.467812499999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6" t="str">
        <f>IFERROR(VLOOKUP(A2481,Shipped!I:J,2,)," ")</f>
        <v xml:space="preserve"> </v>
      </c>
    </row>
    <row r="2482" spans="1:14" x14ac:dyDescent="0.25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6" t="str">
        <f>IFERROR(VLOOKUP(A2482,Shipped!I:J,2,)," ")</f>
        <v xml:space="preserve"> </v>
      </c>
    </row>
    <row r="2483" spans="1:14" x14ac:dyDescent="0.25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6" t="str">
        <f>IFERROR(VLOOKUP(A2483,Shipped!I:J,2,)," ")</f>
        <v xml:space="preserve"> </v>
      </c>
    </row>
    <row r="2484" spans="1:14" x14ac:dyDescent="0.25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6" t="str">
        <f>IFERROR(VLOOKUP(A2484,Shipped!I:J,2,)," ")</f>
        <v xml:space="preserve"> </v>
      </c>
    </row>
    <row r="2485" spans="1:14" x14ac:dyDescent="0.25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6" t="str">
        <f>IFERROR(VLOOKUP(A2485,Shipped!I:J,2,)," ")</f>
        <v xml:space="preserve"> </v>
      </c>
    </row>
    <row r="2486" spans="1:14" x14ac:dyDescent="0.25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6" t="str">
        <f>IFERROR(VLOOKUP(A2486,Shipped!I:J,2,)," ")</f>
        <v xml:space="preserve"> </v>
      </c>
    </row>
    <row r="2487" spans="1:14" x14ac:dyDescent="0.25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6" t="str">
        <f>IFERROR(VLOOKUP(A2487,Shipped!I:J,2,)," ")</f>
        <v xml:space="preserve"> </v>
      </c>
    </row>
    <row r="2488" spans="1:14" x14ac:dyDescent="0.25">
      <c r="A2488" s="11" t="s">
        <v>2316</v>
      </c>
      <c r="B2488" s="11" t="s">
        <v>6</v>
      </c>
      <c r="C2488" s="11" t="s">
        <v>6</v>
      </c>
      <c r="D2488" s="11">
        <v>1</v>
      </c>
      <c r="E2488" s="11" t="s">
        <v>7</v>
      </c>
      <c r="F2488" s="20">
        <v>46276.515810185185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6" t="str">
        <f>IFERROR(VLOOKUP(A2488,Shipped!I:J,2,)," ")</f>
        <v xml:space="preserve"> </v>
      </c>
    </row>
    <row r="2489" spans="1:14" x14ac:dyDescent="0.25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6" t="str">
        <f>IFERROR(VLOOKUP(A2489,Shipped!I:J,2,)," ")</f>
        <v xml:space="preserve"> </v>
      </c>
    </row>
    <row r="2490" spans="1:14" x14ac:dyDescent="0.25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6" t="str">
        <f>IFERROR(VLOOKUP(A2490,Shipped!I:J,2,)," ")</f>
        <v xml:space="preserve"> </v>
      </c>
    </row>
    <row r="2491" spans="1:14" x14ac:dyDescent="0.25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6" t="str">
        <f>IFERROR(VLOOKUP(A2491,Shipped!I:J,2,)," ")</f>
        <v xml:space="preserve"> </v>
      </c>
    </row>
    <row r="2492" spans="1:14" x14ac:dyDescent="0.25">
      <c r="A2492" s="11" t="s">
        <v>2320</v>
      </c>
      <c r="B2492" s="11" t="s">
        <v>6</v>
      </c>
      <c r="C2492" s="11" t="s">
        <v>6</v>
      </c>
      <c r="D2492" s="11">
        <v>1</v>
      </c>
      <c r="E2492" s="11" t="s">
        <v>7</v>
      </c>
      <c r="F2492" s="20">
        <v>46280.497731481482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6" t="str">
        <f>IFERROR(VLOOKUP(A2492,Shipped!I:J,2,)," ")</f>
        <v xml:space="preserve"> </v>
      </c>
    </row>
    <row r="2493" spans="1:14" x14ac:dyDescent="0.25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6" t="str">
        <f>IFERROR(VLOOKUP(A2493,Shipped!I:J,2,)," ")</f>
        <v xml:space="preserve"> </v>
      </c>
    </row>
    <row r="2494" spans="1:14" x14ac:dyDescent="0.25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6" t="str">
        <f>IFERROR(VLOOKUP(A2494,Shipped!I:J,2,)," ")</f>
        <v xml:space="preserve"> </v>
      </c>
    </row>
    <row r="2495" spans="1:14" x14ac:dyDescent="0.25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6" t="str">
        <f>IFERROR(VLOOKUP(A2495,Shipped!I:J,2,)," ")</f>
        <v xml:space="preserve"> </v>
      </c>
    </row>
    <row r="2496" spans="1:14" x14ac:dyDescent="0.25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56" t="str">
        <f>IFERROR(VLOOKUP(A2496,Shipped!I:J,2,)," ")</f>
        <v xml:space="preserve"> </v>
      </c>
    </row>
    <row r="2497" spans="1:14" x14ac:dyDescent="0.25">
      <c r="A2497" s="11" t="s">
        <v>2325</v>
      </c>
      <c r="B2497" s="11" t="s">
        <v>6</v>
      </c>
      <c r="C2497" s="11" t="s">
        <v>6</v>
      </c>
      <c r="D2497" s="11">
        <v>1</v>
      </c>
      <c r="E2497" s="11" t="s">
        <v>7</v>
      </c>
      <c r="F2497" s="20">
        <v>46276.516018518516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56" t="str">
        <f>IFERROR(VLOOKUP(A2497,Shipped!I:J,2,)," ")</f>
        <v xml:space="preserve"> </v>
      </c>
    </row>
    <row r="2498" spans="1:14" x14ac:dyDescent="0.25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56" t="str">
        <f>IFERROR(VLOOKUP(A2498,Shipped!I:J,2,)," ")</f>
        <v xml:space="preserve"> </v>
      </c>
    </row>
    <row r="2499" spans="1:14" x14ac:dyDescent="0.25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56" t="str">
        <f>IFERROR(VLOOKUP(A2499,Shipped!I:J,2,)," ")</f>
        <v xml:space="preserve"> </v>
      </c>
    </row>
    <row r="2500" spans="1:14" x14ac:dyDescent="0.25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6" t="str">
        <f>IFERROR(VLOOKUP(A2500,Shipped!I:J,2,)," ")</f>
        <v xml:space="preserve"> </v>
      </c>
    </row>
    <row r="2501" spans="1:14" x14ac:dyDescent="0.25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6" t="str">
        <f>IFERROR(VLOOKUP(A2501,Shipped!I:J,2,)," ")</f>
        <v xml:space="preserve"> </v>
      </c>
    </row>
    <row r="2502" spans="1:14" x14ac:dyDescent="0.25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6" t="str">
        <f>IFERROR(VLOOKUP(A2502,Shipped!I:J,2,)," ")</f>
        <v xml:space="preserve"> </v>
      </c>
    </row>
    <row r="2503" spans="1:14" x14ac:dyDescent="0.25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6" t="str">
        <f>IFERROR(VLOOKUP(A2503,Shipped!I:J,2,)," ")</f>
        <v xml:space="preserve"> </v>
      </c>
    </row>
    <row r="2504" spans="1:14" x14ac:dyDescent="0.25">
      <c r="A2504" s="11" t="s">
        <v>2332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46281.450057870374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6" t="str">
        <f>IFERROR(VLOOKUP(A2504,Shipped!I:J,2,)," ")</f>
        <v xml:space="preserve"> </v>
      </c>
    </row>
    <row r="2505" spans="1:14" x14ac:dyDescent="0.25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6" t="str">
        <f>IFERROR(VLOOKUP(A2505,Shipped!I:J,2,)," ")</f>
        <v xml:space="preserve"> </v>
      </c>
    </row>
    <row r="2506" spans="1:14" x14ac:dyDescent="0.25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6" t="str">
        <f>IFERROR(VLOOKUP(A2506,Shipped!I:J,2,)," ")</f>
        <v xml:space="preserve"> </v>
      </c>
    </row>
    <row r="2507" spans="1:14" x14ac:dyDescent="0.25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6" t="str">
        <f>IFERROR(VLOOKUP(A2507,Shipped!I:J,2,)," ")</f>
        <v xml:space="preserve"> </v>
      </c>
    </row>
    <row r="2508" spans="1:14" x14ac:dyDescent="0.25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6" t="str">
        <f>IFERROR(VLOOKUP(A2508,Shipped!I:J,2,)," ")</f>
        <v xml:space="preserve"> </v>
      </c>
    </row>
    <row r="2509" spans="1:14" x14ac:dyDescent="0.25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6" t="str">
        <f>IFERROR(VLOOKUP(A2509,Shipped!I:J,2,)," ")</f>
        <v xml:space="preserve"> </v>
      </c>
    </row>
    <row r="2510" spans="1:14" x14ac:dyDescent="0.25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6" t="str">
        <f>IFERROR(VLOOKUP(A2510,Shipped!I:J,2,)," ")</f>
        <v xml:space="preserve"> </v>
      </c>
    </row>
    <row r="2511" spans="1:14" x14ac:dyDescent="0.25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6" t="str">
        <f>IFERROR(VLOOKUP(A2511,Shipped!I:J,2,)," ")</f>
        <v xml:space="preserve"> </v>
      </c>
    </row>
    <row r="2512" spans="1:14" x14ac:dyDescent="0.25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6" t="str">
        <f>IFERROR(VLOOKUP(A2512,Shipped!I:J,2,)," ")</f>
        <v xml:space="preserve"> </v>
      </c>
    </row>
    <row r="2513" spans="1:14" x14ac:dyDescent="0.25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6" t="str">
        <f>IFERROR(VLOOKUP(A2513,Shipped!I:J,2,)," ")</f>
        <v xml:space="preserve"> </v>
      </c>
    </row>
    <row r="2514" spans="1:14" x14ac:dyDescent="0.25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6" t="str">
        <f>IFERROR(VLOOKUP(A2514,Shipped!I:J,2,)," ")</f>
        <v xml:space="preserve"> </v>
      </c>
    </row>
    <row r="2515" spans="1:14" x14ac:dyDescent="0.25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6" t="str">
        <f>IFERROR(VLOOKUP(A2515,Shipped!I:J,2,)," ")</f>
        <v xml:space="preserve"> </v>
      </c>
    </row>
    <row r="2516" spans="1:14" x14ac:dyDescent="0.25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6" t="str">
        <f>IFERROR(VLOOKUP(A2516,Shipped!I:J,2,)," ")</f>
        <v xml:space="preserve"> </v>
      </c>
    </row>
    <row r="2517" spans="1:14" x14ac:dyDescent="0.25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6" t="str">
        <f>IFERROR(VLOOKUP(A2517,Shipped!I:J,2,)," ")</f>
        <v xml:space="preserve"> </v>
      </c>
    </row>
    <row r="2518" spans="1:14" x14ac:dyDescent="0.25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6" t="str">
        <f>IFERROR(VLOOKUP(A2518,Shipped!I:J,2,)," ")</f>
        <v xml:space="preserve"> </v>
      </c>
    </row>
    <row r="2519" spans="1:14" x14ac:dyDescent="0.25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6" t="str">
        <f>IFERROR(VLOOKUP(A2519,Shipped!I:J,2,)," ")</f>
        <v xml:space="preserve"> </v>
      </c>
    </row>
    <row r="2520" spans="1:14" x14ac:dyDescent="0.25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6" t="str">
        <f>IFERROR(VLOOKUP(A2520,Shipped!I:J,2,)," ")</f>
        <v xml:space="preserve"> </v>
      </c>
    </row>
    <row r="2521" spans="1:14" x14ac:dyDescent="0.25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6" t="str">
        <f>IFERROR(VLOOKUP(A2521,Shipped!I:J,2,)," ")</f>
        <v xml:space="preserve"> </v>
      </c>
    </row>
    <row r="2522" spans="1:14" x14ac:dyDescent="0.25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6" t="str">
        <f>IFERROR(VLOOKUP(A2522,Shipped!I:J,2,)," ")</f>
        <v xml:space="preserve"> </v>
      </c>
    </row>
    <row r="2523" spans="1:14" x14ac:dyDescent="0.25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6" t="str">
        <f>IFERROR(VLOOKUP(A2523,Shipped!I:J,2,)," ")</f>
        <v xml:space="preserve"> </v>
      </c>
    </row>
    <row r="2524" spans="1:14" x14ac:dyDescent="0.25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6" t="str">
        <f>IFERROR(VLOOKUP(A2524,Shipped!I:J,2,)," ")</f>
        <v xml:space="preserve"> </v>
      </c>
    </row>
    <row r="2525" spans="1:14" x14ac:dyDescent="0.25">
      <c r="A2525" s="11" t="s">
        <v>2353</v>
      </c>
      <c r="B2525" s="11" t="s">
        <v>6</v>
      </c>
      <c r="C2525" s="11" t="s">
        <v>6</v>
      </c>
      <c r="D2525" s="11">
        <v>1</v>
      </c>
      <c r="E2525" s="11" t="s">
        <v>7</v>
      </c>
      <c r="F2525" s="20">
        <v>46279.469988425924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6" t="str">
        <f>IFERROR(VLOOKUP(A2525,Shipped!I:J,2,)," ")</f>
        <v xml:space="preserve"> </v>
      </c>
    </row>
    <row r="2526" spans="1:14" x14ac:dyDescent="0.25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6" t="str">
        <f>IFERROR(VLOOKUP(A2526,Shipped!I:J,2,)," ")</f>
        <v xml:space="preserve"> </v>
      </c>
    </row>
    <row r="2527" spans="1:14" x14ac:dyDescent="0.25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6" t="str">
        <f>IFERROR(VLOOKUP(A2527,Shipped!I:J,2,)," ")</f>
        <v xml:space="preserve"> </v>
      </c>
    </row>
    <row r="2528" spans="1:14" x14ac:dyDescent="0.25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6" t="str">
        <f>IFERROR(VLOOKUP(A2528,Shipped!I:J,2,)," ")</f>
        <v xml:space="preserve"> </v>
      </c>
    </row>
    <row r="2529" spans="1:14" x14ac:dyDescent="0.25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6" t="str">
        <f>IFERROR(VLOOKUP(A2529,Shipped!I:J,2,)," ")</f>
        <v xml:space="preserve"> </v>
      </c>
    </row>
    <row r="2530" spans="1:14" x14ac:dyDescent="0.25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6" t="str">
        <f>IFERROR(VLOOKUP(A2530,Shipped!I:J,2,)," ")</f>
        <v xml:space="preserve"> </v>
      </c>
    </row>
    <row r="2531" spans="1:14" x14ac:dyDescent="0.25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6" t="str">
        <f>IFERROR(VLOOKUP(A2531,Shipped!I:J,2,)," ")</f>
        <v xml:space="preserve"> </v>
      </c>
    </row>
    <row r="2532" spans="1:14" x14ac:dyDescent="0.25">
      <c r="A2532" s="11" t="s">
        <v>2360</v>
      </c>
      <c r="B2532" s="11" t="s">
        <v>6</v>
      </c>
      <c r="C2532" s="11" t="s">
        <v>6</v>
      </c>
      <c r="D2532" s="11">
        <v>1</v>
      </c>
      <c r="E2532" s="11" t="s">
        <v>7</v>
      </c>
      <c r="F2532" s="20">
        <v>46281.452060185184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6" t="str">
        <f>IFERROR(VLOOKUP(A2532,Shipped!I:J,2,)," ")</f>
        <v xml:space="preserve"> </v>
      </c>
    </row>
    <row r="2533" spans="1:14" x14ac:dyDescent="0.25">
      <c r="A2533" s="11" t="s">
        <v>2361</v>
      </c>
      <c r="B2533" s="11" t="s">
        <v>6</v>
      </c>
      <c r="C2533" s="11" t="s">
        <v>6</v>
      </c>
      <c r="D2533" s="11">
        <v>1</v>
      </c>
      <c r="E2533" s="11" t="s">
        <v>7</v>
      </c>
      <c r="F2533" s="20">
        <v>46279.256412037037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6" t="str">
        <f>IFERROR(VLOOKUP(A2533,Shipped!I:J,2,)," ")</f>
        <v xml:space="preserve"> </v>
      </c>
    </row>
    <row r="2534" spans="1:14" x14ac:dyDescent="0.25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6" t="str">
        <f>IFERROR(VLOOKUP(A2534,Shipped!I:J,2,)," ")</f>
        <v xml:space="preserve"> </v>
      </c>
    </row>
    <row r="2535" spans="1:14" x14ac:dyDescent="0.25">
      <c r="A2535" s="11" t="s">
        <v>2363</v>
      </c>
      <c r="B2535" s="11" t="s">
        <v>6</v>
      </c>
      <c r="C2535" s="11" t="s">
        <v>6</v>
      </c>
      <c r="D2535" s="11">
        <v>1</v>
      </c>
      <c r="E2535" s="11" t="s">
        <v>7</v>
      </c>
      <c r="F2535" s="20">
        <v>46276.517002314817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6" t="str">
        <f>IFERROR(VLOOKUP(A2535,Shipped!I:J,2,)," ")</f>
        <v xml:space="preserve"> </v>
      </c>
    </row>
    <row r="2536" spans="1:14" x14ac:dyDescent="0.25">
      <c r="A2536" s="11" t="s">
        <v>2364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46279.800682870373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6" t="str">
        <f>IFERROR(VLOOKUP(A2536,Shipped!I:J,2,)," ")</f>
        <v xml:space="preserve"> </v>
      </c>
    </row>
    <row r="2537" spans="1:14" x14ac:dyDescent="0.25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6" t="str">
        <f>IFERROR(VLOOKUP(A2537,Shipped!I:J,2,)," ")</f>
        <v xml:space="preserve"> </v>
      </c>
    </row>
    <row r="2538" spans="1:14" x14ac:dyDescent="0.25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6" t="str">
        <f>IFERROR(VLOOKUP(A2538,Shipped!I:J,2,)," ")</f>
        <v xml:space="preserve"> </v>
      </c>
    </row>
    <row r="2539" spans="1:14" x14ac:dyDescent="0.25">
      <c r="A2539" s="11" t="s">
        <v>2367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46279.470381944448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6" t="str">
        <f>IFERROR(VLOOKUP(A2539,Shipped!I:J,2,)," ")</f>
        <v xml:space="preserve"> </v>
      </c>
    </row>
    <row r="2540" spans="1:14" x14ac:dyDescent="0.25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6" t="str">
        <f>IFERROR(VLOOKUP(A2540,Shipped!I:J,2,)," ")</f>
        <v xml:space="preserve"> </v>
      </c>
    </row>
    <row r="2541" spans="1:14" x14ac:dyDescent="0.25">
      <c r="A2541" s="11" t="s">
        <v>2369</v>
      </c>
      <c r="B2541" s="11" t="s">
        <v>6</v>
      </c>
      <c r="C2541" s="11" t="s">
        <v>6</v>
      </c>
      <c r="D2541" s="11">
        <v>1</v>
      </c>
      <c r="E2541" s="11" t="s">
        <v>7</v>
      </c>
      <c r="F2541" s="20">
        <v>46276.790891203702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6" t="str">
        <f>IFERROR(VLOOKUP(A2541,Shipped!I:J,2,)," ")</f>
        <v xml:space="preserve"> </v>
      </c>
    </row>
    <row r="2542" spans="1:14" x14ac:dyDescent="0.25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6" t="str">
        <f>IFERROR(VLOOKUP(A2542,Shipped!I:J,2,)," ")</f>
        <v xml:space="preserve"> </v>
      </c>
    </row>
    <row r="2543" spans="1:14" x14ac:dyDescent="0.25">
      <c r="A2543" s="11" t="s">
        <v>2371</v>
      </c>
      <c r="B2543" s="11" t="s">
        <v>6</v>
      </c>
      <c r="C2543" s="11" t="s">
        <v>6</v>
      </c>
      <c r="D2543" s="11">
        <v>1</v>
      </c>
      <c r="E2543" s="11" t="s">
        <v>7</v>
      </c>
      <c r="F2543" s="20">
        <v>46276.790069444447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6" t="str">
        <f>IFERROR(VLOOKUP(A2543,Shipped!I:J,2,)," ")</f>
        <v xml:space="preserve"> </v>
      </c>
    </row>
    <row r="2544" spans="1:14" x14ac:dyDescent="0.25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6" t="str">
        <f>IFERROR(VLOOKUP(A2544,Shipped!I:J,2,)," ")</f>
        <v xml:space="preserve"> </v>
      </c>
    </row>
    <row r="2545" spans="1:14" x14ac:dyDescent="0.25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6" t="str">
        <f>IFERROR(VLOOKUP(A2545,Shipped!I:J,2,)," ")</f>
        <v xml:space="preserve"> </v>
      </c>
    </row>
    <row r="2546" spans="1:14" x14ac:dyDescent="0.25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6" t="str">
        <f>IFERROR(VLOOKUP(A2546,Shipped!I:J,2,)," ")</f>
        <v xml:space="preserve"> </v>
      </c>
    </row>
    <row r="2547" spans="1:14" x14ac:dyDescent="0.25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6" t="str">
        <f>IFERROR(VLOOKUP(A2547,Shipped!I:J,2,)," ")</f>
        <v xml:space="preserve"> </v>
      </c>
    </row>
    <row r="2548" spans="1:14" x14ac:dyDescent="0.25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6" t="str">
        <f>IFERROR(VLOOKUP(A2548,Shipped!I:J,2,)," ")</f>
        <v xml:space="preserve"> </v>
      </c>
    </row>
    <row r="2549" spans="1:14" x14ac:dyDescent="0.25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6" t="str">
        <f>IFERROR(VLOOKUP(A2549,Shipped!I:J,2,)," ")</f>
        <v xml:space="preserve"> </v>
      </c>
    </row>
    <row r="2550" spans="1:14" x14ac:dyDescent="0.25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6" t="str">
        <f>IFERROR(VLOOKUP(A2550,Shipped!I:J,2,)," ")</f>
        <v xml:space="preserve"> </v>
      </c>
    </row>
    <row r="2551" spans="1:14" x14ac:dyDescent="0.25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6" t="str">
        <f>IFERROR(VLOOKUP(A2551,Shipped!I:J,2,)," ")</f>
        <v xml:space="preserve"> </v>
      </c>
    </row>
    <row r="2552" spans="1:14" x14ac:dyDescent="0.25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6" t="str">
        <f>IFERROR(VLOOKUP(A2552,Shipped!I:J,2,)," ")</f>
        <v xml:space="preserve"> </v>
      </c>
    </row>
    <row r="2553" spans="1:14" x14ac:dyDescent="0.25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6" t="str">
        <f>IFERROR(VLOOKUP(A2553,Shipped!I:J,2,)," ")</f>
        <v xml:space="preserve"> </v>
      </c>
    </row>
    <row r="2554" spans="1:14" x14ac:dyDescent="0.25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6" t="str">
        <f>IFERROR(VLOOKUP(A2554,Shipped!I:J,2,)," ")</f>
        <v xml:space="preserve"> </v>
      </c>
    </row>
    <row r="2555" spans="1:14" x14ac:dyDescent="0.25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6" t="str">
        <f>IFERROR(VLOOKUP(A2555,Shipped!I:J,2,)," ")</f>
        <v xml:space="preserve"> </v>
      </c>
    </row>
    <row r="2556" spans="1:14" x14ac:dyDescent="0.25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6" t="str">
        <f>IFERROR(VLOOKUP(A2556,Shipped!I:J,2,)," ")</f>
        <v xml:space="preserve"> </v>
      </c>
    </row>
    <row r="2557" spans="1:14" x14ac:dyDescent="0.25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6" t="str">
        <f>IFERROR(VLOOKUP(A2557,Shipped!I:J,2,)," ")</f>
        <v xml:space="preserve"> </v>
      </c>
    </row>
    <row r="2558" spans="1:14" x14ac:dyDescent="0.25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6" t="str">
        <f>IFERROR(VLOOKUP(A2558,Shipped!I:J,2,)," ")</f>
        <v xml:space="preserve"> </v>
      </c>
    </row>
    <row r="2559" spans="1:14" x14ac:dyDescent="0.25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6" t="str">
        <f>IFERROR(VLOOKUP(A2559,Shipped!I:J,2,)," ")</f>
        <v xml:space="preserve"> </v>
      </c>
    </row>
    <row r="2560" spans="1:14" x14ac:dyDescent="0.25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6" t="str">
        <f>IFERROR(VLOOKUP(A2560,Shipped!I:J,2,)," ")</f>
        <v xml:space="preserve"> </v>
      </c>
    </row>
    <row r="2561" spans="1:14" x14ac:dyDescent="0.25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6" t="str">
        <f>IFERROR(VLOOKUP(A2561,Shipped!I:J,2,)," ")</f>
        <v xml:space="preserve"> </v>
      </c>
    </row>
    <row r="2562" spans="1:14" x14ac:dyDescent="0.25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6" t="str">
        <f>IFERROR(VLOOKUP(A2562,Shipped!I:J,2,)," ")</f>
        <v xml:space="preserve"> </v>
      </c>
    </row>
    <row r="2563" spans="1:14" x14ac:dyDescent="0.25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6" t="str">
        <f>IFERROR(VLOOKUP(A2563,Shipped!I:J,2,)," ")</f>
        <v xml:space="preserve"> </v>
      </c>
    </row>
    <row r="2564" spans="1:14" x14ac:dyDescent="0.25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6" t="str">
        <f>IFERROR(VLOOKUP(A2564,Shipped!I:J,2,)," ")</f>
        <v xml:space="preserve"> </v>
      </c>
    </row>
    <row r="2565" spans="1:14" x14ac:dyDescent="0.25">
      <c r="A2565" s="11" t="s">
        <v>2393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46276.516875000001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6" t="str">
        <f>IFERROR(VLOOKUP(A2565,Shipped!I:J,2,)," ")</f>
        <v xml:space="preserve"> </v>
      </c>
    </row>
    <row r="2566" spans="1:14" x14ac:dyDescent="0.25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6" t="str">
        <f>IFERROR(VLOOKUP(A2566,Shipped!I:J,2,)," ")</f>
        <v xml:space="preserve"> </v>
      </c>
    </row>
    <row r="2567" spans="1:14" x14ac:dyDescent="0.25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6" t="str">
        <f>IFERROR(VLOOKUP(A2567,Shipped!I:J,2,)," ")</f>
        <v xml:space="preserve"> </v>
      </c>
    </row>
    <row r="2568" spans="1:14" x14ac:dyDescent="0.25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6" t="str">
        <f>IFERROR(VLOOKUP(A2568,Shipped!I:J,2,)," ")</f>
        <v xml:space="preserve"> </v>
      </c>
    </row>
    <row r="2569" spans="1:14" x14ac:dyDescent="0.25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6" t="str">
        <f>IFERROR(VLOOKUP(A2569,Shipped!I:J,2,)," ")</f>
        <v xml:space="preserve"> </v>
      </c>
    </row>
    <row r="2570" spans="1:14" x14ac:dyDescent="0.25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6" t="str">
        <f>IFERROR(VLOOKUP(A2570,Shipped!I:J,2,)," ")</f>
        <v xml:space="preserve"> </v>
      </c>
    </row>
    <row r="2571" spans="1:14" x14ac:dyDescent="0.25">
      <c r="A2571" s="11" t="s">
        <v>2399</v>
      </c>
      <c r="B2571" s="11" t="s">
        <v>6</v>
      </c>
      <c r="C2571" s="11" t="s">
        <v>6</v>
      </c>
      <c r="D2571" s="11">
        <v>1</v>
      </c>
      <c r="E2571" s="11" t="s">
        <v>7</v>
      </c>
      <c r="F2571" s="20">
        <v>46279.467499999999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6" t="str">
        <f>IFERROR(VLOOKUP(A2571,Shipped!I:J,2,)," ")</f>
        <v xml:space="preserve"> </v>
      </c>
    </row>
    <row r="2572" spans="1:14" x14ac:dyDescent="0.25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6" t="str">
        <f>IFERROR(VLOOKUP(A2572,Shipped!I:J,2,)," ")</f>
        <v xml:space="preserve"> </v>
      </c>
    </row>
    <row r="2573" spans="1:14" x14ac:dyDescent="0.25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6" t="str">
        <f>IFERROR(VLOOKUP(A2573,Shipped!I:J,2,)," ")</f>
        <v xml:space="preserve"> </v>
      </c>
    </row>
    <row r="2574" spans="1:14" x14ac:dyDescent="0.25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6" t="str">
        <f>IFERROR(VLOOKUP(A2574,Shipped!I:J,2,)," ")</f>
        <v xml:space="preserve"> </v>
      </c>
    </row>
    <row r="2575" spans="1:14" x14ac:dyDescent="0.25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6" t="str">
        <f>IFERROR(VLOOKUP(A2575,Shipped!I:J,2,)," ")</f>
        <v xml:space="preserve"> </v>
      </c>
    </row>
    <row r="2576" spans="1:14" x14ac:dyDescent="0.25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6" t="str">
        <f>IFERROR(VLOOKUP(A2576,Shipped!I:J,2,)," ")</f>
        <v xml:space="preserve"> </v>
      </c>
    </row>
    <row r="2577" spans="1:14" x14ac:dyDescent="0.25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6" t="str">
        <f>IFERROR(VLOOKUP(A2577,Shipped!I:J,2,)," ")</f>
        <v xml:space="preserve"> </v>
      </c>
    </row>
    <row r="2578" spans="1:14" x14ac:dyDescent="0.25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6" t="str">
        <f>IFERROR(VLOOKUP(A2578,Shipped!I:J,2,)," ")</f>
        <v xml:space="preserve"> </v>
      </c>
    </row>
    <row r="2579" spans="1:14" x14ac:dyDescent="0.25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6" t="str">
        <f>IFERROR(VLOOKUP(A2579,Shipped!I:J,2,)," ")</f>
        <v xml:space="preserve"> </v>
      </c>
    </row>
    <row r="2580" spans="1:14" x14ac:dyDescent="0.25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6" t="str">
        <f>IFERROR(VLOOKUP(A2580,Shipped!I:J,2,)," ")</f>
        <v xml:space="preserve"> </v>
      </c>
    </row>
    <row r="2581" spans="1:14" x14ac:dyDescent="0.25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6" t="str">
        <f>IFERROR(VLOOKUP(A2581,Shipped!I:J,2,)," ")</f>
        <v xml:space="preserve"> </v>
      </c>
    </row>
    <row r="2582" spans="1:14" x14ac:dyDescent="0.25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6" t="str">
        <f>IFERROR(VLOOKUP(A2582,Shipped!I:J,2,)," ")</f>
        <v xml:space="preserve"> </v>
      </c>
    </row>
    <row r="2583" spans="1:14" x14ac:dyDescent="0.25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6" t="str">
        <f>IFERROR(VLOOKUP(A2583,Shipped!I:J,2,)," ")</f>
        <v xml:space="preserve"> </v>
      </c>
    </row>
    <row r="2584" spans="1:14" x14ac:dyDescent="0.25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6" t="str">
        <f>IFERROR(VLOOKUP(A2584,Shipped!I:J,2,)," ")</f>
        <v xml:space="preserve"> </v>
      </c>
    </row>
    <row r="2585" spans="1:14" x14ac:dyDescent="0.25">
      <c r="A2585" s="11" t="s">
        <v>2413</v>
      </c>
      <c r="B2585" s="11" t="s">
        <v>6</v>
      </c>
      <c r="C2585" s="11" t="s">
        <v>6</v>
      </c>
      <c r="D2585" s="11">
        <v>1</v>
      </c>
      <c r="E2585" s="11" t="s">
        <v>7</v>
      </c>
      <c r="F2585" s="20">
        <v>46279.807395833333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6" t="str">
        <f>IFERROR(VLOOKUP(A2585,Shipped!I:J,2,)," ")</f>
        <v xml:space="preserve"> </v>
      </c>
    </row>
    <row r="2586" spans="1:14" x14ac:dyDescent="0.25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6" t="str">
        <f>IFERROR(VLOOKUP(A2586,Shipped!I:J,2,)," ")</f>
        <v xml:space="preserve"> </v>
      </c>
    </row>
    <row r="2587" spans="1:14" x14ac:dyDescent="0.25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6" t="str">
        <f>IFERROR(VLOOKUP(A2587,Shipped!I:J,2,)," ")</f>
        <v xml:space="preserve"> </v>
      </c>
    </row>
    <row r="2588" spans="1:14" x14ac:dyDescent="0.25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6" t="str">
        <f>IFERROR(VLOOKUP(A2588,Shipped!I:J,2,)," ")</f>
        <v xml:space="preserve"> </v>
      </c>
    </row>
    <row r="2589" spans="1:14" x14ac:dyDescent="0.25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6" t="str">
        <f>IFERROR(VLOOKUP(A2589,Shipped!I:J,2,)," ")</f>
        <v xml:space="preserve"> </v>
      </c>
    </row>
    <row r="2590" spans="1:14" x14ac:dyDescent="0.25">
      <c r="A2590" s="11" t="s">
        <v>2418</v>
      </c>
      <c r="B2590" s="11" t="s">
        <v>6</v>
      </c>
      <c r="C2590" s="11" t="s">
        <v>6</v>
      </c>
      <c r="D2590" s="11">
        <v>1</v>
      </c>
      <c r="E2590" s="11" t="s">
        <v>7</v>
      </c>
      <c r="F2590" s="20">
        <v>46279.453414351854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6" t="str">
        <f>IFERROR(VLOOKUP(A2590,Shipped!I:J,2,)," ")</f>
        <v xml:space="preserve"> </v>
      </c>
    </row>
    <row r="2591" spans="1:14" x14ac:dyDescent="0.25">
      <c r="A2591" s="11" t="s">
        <v>2419</v>
      </c>
      <c r="B2591" s="11" t="s">
        <v>6</v>
      </c>
      <c r="C2591" s="11" t="s">
        <v>6</v>
      </c>
      <c r="D2591" s="11">
        <v>1</v>
      </c>
      <c r="E2591" s="11" t="s">
        <v>7</v>
      </c>
      <c r="F2591" s="20">
        <v>46279.454004629632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6" t="str">
        <f>IFERROR(VLOOKUP(A2591,Shipped!I:J,2,)," ")</f>
        <v xml:space="preserve"> </v>
      </c>
    </row>
    <row r="2592" spans="1:14" x14ac:dyDescent="0.25">
      <c r="A2592" s="11" t="s">
        <v>2420</v>
      </c>
      <c r="B2592" s="11" t="s">
        <v>6</v>
      </c>
      <c r="C2592" s="11" t="s">
        <v>6</v>
      </c>
      <c r="D2592" s="11">
        <v>1</v>
      </c>
      <c r="E2592" s="11" t="s">
        <v>7</v>
      </c>
      <c r="F2592" s="20">
        <v>46279.800752314812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6" t="str">
        <f>IFERROR(VLOOKUP(A2592,Shipped!I:J,2,)," ")</f>
        <v xml:space="preserve"> </v>
      </c>
    </row>
    <row r="2593" spans="1:14" x14ac:dyDescent="0.25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6" t="str">
        <f>IFERROR(VLOOKUP(A2593,Shipped!I:J,2,)," ")</f>
        <v xml:space="preserve"> </v>
      </c>
    </row>
    <row r="2594" spans="1:14" x14ac:dyDescent="0.25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6" t="str">
        <f>IFERROR(VLOOKUP(A2594,Shipped!I:J,2,)," ")</f>
        <v xml:space="preserve"> </v>
      </c>
    </row>
    <row r="2595" spans="1:14" x14ac:dyDescent="0.25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6" t="str">
        <f>IFERROR(VLOOKUP(A2595,Shipped!I:J,2,)," ")</f>
        <v xml:space="preserve"> </v>
      </c>
    </row>
    <row r="2596" spans="1:14" x14ac:dyDescent="0.25">
      <c r="A2596" s="11" t="s">
        <v>2424</v>
      </c>
      <c r="B2596" s="11" t="s">
        <v>6</v>
      </c>
      <c r="C2596" s="11" t="s">
        <v>6</v>
      </c>
      <c r="D2596" s="11">
        <v>1</v>
      </c>
      <c r="E2596" s="11" t="s">
        <v>7</v>
      </c>
      <c r="F2596" s="20">
        <v>46280.494988425926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6" t="str">
        <f>IFERROR(VLOOKUP(A2596,Shipped!I:J,2,)," ")</f>
        <v xml:space="preserve"> </v>
      </c>
    </row>
    <row r="2597" spans="1:14" x14ac:dyDescent="0.25">
      <c r="A2597" s="11" t="s">
        <v>2425</v>
      </c>
      <c r="B2597" s="11" t="s">
        <v>6</v>
      </c>
      <c r="C2597" s="11" t="s">
        <v>6</v>
      </c>
      <c r="D2597" s="11">
        <v>1</v>
      </c>
      <c r="E2597" s="11" t="s">
        <v>7</v>
      </c>
      <c r="F2597" s="20">
        <v>46279.807592592595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6" t="str">
        <f>IFERROR(VLOOKUP(A2597,Shipped!I:J,2,)," ")</f>
        <v xml:space="preserve"> </v>
      </c>
    </row>
    <row r="2598" spans="1:14" x14ac:dyDescent="0.25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6" t="str">
        <f>IFERROR(VLOOKUP(A2598,Shipped!I:J,2,)," ")</f>
        <v xml:space="preserve"> </v>
      </c>
    </row>
    <row r="2599" spans="1:14" x14ac:dyDescent="0.25">
      <c r="A2599" s="11" t="s">
        <v>2427</v>
      </c>
      <c r="B2599" s="11" t="s">
        <v>6</v>
      </c>
      <c r="C2599" s="11" t="s">
        <v>6</v>
      </c>
      <c r="D2599" s="11">
        <v>1</v>
      </c>
      <c r="E2599" s="11" t="s">
        <v>7</v>
      </c>
      <c r="F2599" s="20">
        <v>46279.456388888888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6" t="str">
        <f>IFERROR(VLOOKUP(A2599,Shipped!I:J,2,)," ")</f>
        <v xml:space="preserve"> </v>
      </c>
    </row>
    <row r="2600" spans="1:14" x14ac:dyDescent="0.25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6" t="str">
        <f>IFERROR(VLOOKUP(A2600,Shipped!I:J,2,)," ")</f>
        <v xml:space="preserve"> </v>
      </c>
    </row>
    <row r="2601" spans="1:14" x14ac:dyDescent="0.25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6" t="str">
        <f>IFERROR(VLOOKUP(A2601,Shipped!I:J,2,)," ")</f>
        <v xml:space="preserve"> </v>
      </c>
    </row>
    <row r="2602" spans="1:14" x14ac:dyDescent="0.25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6" t="str">
        <f>IFERROR(VLOOKUP(A2602,Shipped!I:J,2,)," ")</f>
        <v xml:space="preserve"> </v>
      </c>
    </row>
    <row r="2603" spans="1:14" x14ac:dyDescent="0.25">
      <c r="A2603" s="11" t="s">
        <v>2431</v>
      </c>
      <c r="B2603" s="11" t="s">
        <v>6</v>
      </c>
      <c r="C2603" s="11" t="s">
        <v>6</v>
      </c>
      <c r="D2603" s="11">
        <v>1</v>
      </c>
      <c r="E2603" s="11" t="s">
        <v>7</v>
      </c>
      <c r="F2603" s="20">
        <v>46279.454768518517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6" t="str">
        <f>IFERROR(VLOOKUP(A2603,Shipped!I:J,2,)," ")</f>
        <v xml:space="preserve"> </v>
      </c>
    </row>
    <row r="2604" spans="1:14" x14ac:dyDescent="0.25">
      <c r="A2604" s="11" t="s">
        <v>2432</v>
      </c>
      <c r="B2604" s="11" t="s">
        <v>6</v>
      </c>
      <c r="C2604" s="11" t="s">
        <v>6</v>
      </c>
      <c r="D2604" s="11">
        <v>1</v>
      </c>
      <c r="E2604" s="11" t="s">
        <v>7</v>
      </c>
      <c r="F2604" s="20">
        <v>46280.495370370372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6" t="str">
        <f>IFERROR(VLOOKUP(A2604,Shipped!I:J,2,)," ")</f>
        <v xml:space="preserve"> </v>
      </c>
    </row>
    <row r="2605" spans="1:14" x14ac:dyDescent="0.25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6" t="str">
        <f>IFERROR(VLOOKUP(A2605,Shipped!I:J,2,)," ")</f>
        <v xml:space="preserve"> </v>
      </c>
    </row>
    <row r="2606" spans="1:14" x14ac:dyDescent="0.25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6" t="str">
        <f>IFERROR(VLOOKUP(A2606,Shipped!I:J,2,)," ")</f>
        <v xml:space="preserve"> </v>
      </c>
    </row>
    <row r="2607" spans="1:14" x14ac:dyDescent="0.25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6" t="str">
        <f>IFERROR(VLOOKUP(A2607,Shipped!I:J,2,)," ")</f>
        <v xml:space="preserve"> </v>
      </c>
    </row>
    <row r="2608" spans="1:14" x14ac:dyDescent="0.25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6" t="str">
        <f>IFERROR(VLOOKUP(A2608,Shipped!I:J,2,)," ")</f>
        <v xml:space="preserve"> </v>
      </c>
    </row>
    <row r="2609" spans="1:14" x14ac:dyDescent="0.25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6" t="str">
        <f>IFERROR(VLOOKUP(A2609,Shipped!I:J,2,)," ")</f>
        <v xml:space="preserve"> </v>
      </c>
    </row>
    <row r="2610" spans="1:14" x14ac:dyDescent="0.25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6" t="str">
        <f>IFERROR(VLOOKUP(A2610,Shipped!I:J,2,)," ")</f>
        <v xml:space="preserve"> </v>
      </c>
    </row>
    <row r="2611" spans="1:14" x14ac:dyDescent="0.25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6" t="str">
        <f>IFERROR(VLOOKUP(A2611,Shipped!I:J,2,)," ")</f>
        <v xml:space="preserve"> </v>
      </c>
    </row>
    <row r="2612" spans="1:14" x14ac:dyDescent="0.25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6" t="str">
        <f>IFERROR(VLOOKUP(A2612,Shipped!I:J,2,)," ")</f>
        <v xml:space="preserve"> </v>
      </c>
    </row>
    <row r="2613" spans="1:14" x14ac:dyDescent="0.25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6" t="str">
        <f>IFERROR(VLOOKUP(A2613,Shipped!I:J,2,)," ")</f>
        <v xml:space="preserve"> </v>
      </c>
    </row>
    <row r="2614" spans="1:14" x14ac:dyDescent="0.25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6" t="str">
        <f>IFERROR(VLOOKUP(A2614,Shipped!I:J,2,)," ")</f>
        <v xml:space="preserve"> </v>
      </c>
    </row>
    <row r="2615" spans="1:14" x14ac:dyDescent="0.25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6" t="str">
        <f>IFERROR(VLOOKUP(A2615,Shipped!I:J,2,)," ")</f>
        <v xml:space="preserve"> </v>
      </c>
    </row>
    <row r="2616" spans="1:14" x14ac:dyDescent="0.25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6" t="str">
        <f>IFERROR(VLOOKUP(A2616,Shipped!I:J,2,)," ")</f>
        <v xml:space="preserve"> </v>
      </c>
    </row>
    <row r="2617" spans="1:14" x14ac:dyDescent="0.25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6" t="str">
        <f>IFERROR(VLOOKUP(A2617,Shipped!I:J,2,)," ")</f>
        <v xml:space="preserve"> </v>
      </c>
    </row>
    <row r="2618" spans="1:14" x14ac:dyDescent="0.25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6" t="str">
        <f>IFERROR(VLOOKUP(A2618,Shipped!I:J,2,)," ")</f>
        <v xml:space="preserve"> </v>
      </c>
    </row>
    <row r="2619" spans="1:14" x14ac:dyDescent="0.25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6" t="str">
        <f>IFERROR(VLOOKUP(A2619,Shipped!I:J,2,)," ")</f>
        <v xml:space="preserve"> </v>
      </c>
    </row>
    <row r="2620" spans="1:14" x14ac:dyDescent="0.25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6" t="str">
        <f>IFERROR(VLOOKUP(A2620,Shipped!I:J,2,)," ")</f>
        <v xml:space="preserve"> </v>
      </c>
    </row>
    <row r="2621" spans="1:14" x14ac:dyDescent="0.25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6" t="str">
        <f>IFERROR(VLOOKUP(A2621,Shipped!I:J,2,)," ")</f>
        <v xml:space="preserve"> </v>
      </c>
    </row>
    <row r="2622" spans="1:14" x14ac:dyDescent="0.25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6" t="str">
        <f>IFERROR(VLOOKUP(A2622,Shipped!I:J,2,)," ")</f>
        <v xml:space="preserve"> </v>
      </c>
    </row>
    <row r="2623" spans="1:14" x14ac:dyDescent="0.25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6" t="str">
        <f>IFERROR(VLOOKUP(A2623,Shipped!I:J,2,)," ")</f>
        <v xml:space="preserve"> </v>
      </c>
    </row>
    <row r="2624" spans="1:14" x14ac:dyDescent="0.25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6" t="str">
        <f>IFERROR(VLOOKUP(A2624,Shipped!I:J,2,)," ")</f>
        <v xml:space="preserve"> </v>
      </c>
    </row>
    <row r="2625" spans="1:14" x14ac:dyDescent="0.25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6" t="str">
        <f>IFERROR(VLOOKUP(A2625,Shipped!I:J,2,)," ")</f>
        <v xml:space="preserve"> </v>
      </c>
    </row>
    <row r="2626" spans="1:14" x14ac:dyDescent="0.25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6" t="str">
        <f>IFERROR(VLOOKUP(A2626,Shipped!I:J,2,)," ")</f>
        <v xml:space="preserve"> </v>
      </c>
    </row>
    <row r="2627" spans="1:14" x14ac:dyDescent="0.25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6" t="str">
        <f>IFERROR(VLOOKUP(A2627,Shipped!I:J,2,)," ")</f>
        <v xml:space="preserve"> </v>
      </c>
    </row>
    <row r="2628" spans="1:14" x14ac:dyDescent="0.25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6" t="str">
        <f>IFERROR(VLOOKUP(A2628,Shipped!I:J,2,)," ")</f>
        <v xml:space="preserve"> </v>
      </c>
    </row>
    <row r="2629" spans="1:14" x14ac:dyDescent="0.25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6" t="str">
        <f>IFERROR(VLOOKUP(A2629,Shipped!I:J,2,)," ")</f>
        <v xml:space="preserve"> </v>
      </c>
    </row>
    <row r="2630" spans="1:14" x14ac:dyDescent="0.25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6" t="str">
        <f>IFERROR(VLOOKUP(A2630,Shipped!I:J,2,)," ")</f>
        <v xml:space="preserve"> </v>
      </c>
    </row>
    <row r="2631" spans="1:14" x14ac:dyDescent="0.25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6" t="str">
        <f>IFERROR(VLOOKUP(A2631,Shipped!I:J,2,)," ")</f>
        <v xml:space="preserve"> </v>
      </c>
    </row>
    <row r="2632" spans="1:14" x14ac:dyDescent="0.25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6" t="str">
        <f>IFERROR(VLOOKUP(A2632,Shipped!I:J,2,)," ")</f>
        <v xml:space="preserve"> </v>
      </c>
    </row>
    <row r="2633" spans="1:14" x14ac:dyDescent="0.25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6" t="str">
        <f>IFERROR(VLOOKUP(A2633,Shipped!I:J,2,)," ")</f>
        <v xml:space="preserve"> </v>
      </c>
    </row>
    <row r="2634" spans="1:14" x14ac:dyDescent="0.25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6" t="str">
        <f>IFERROR(VLOOKUP(A2634,Shipped!I:J,2,)," ")</f>
        <v xml:space="preserve"> </v>
      </c>
    </row>
    <row r="2635" spans="1:14" x14ac:dyDescent="0.25">
      <c r="A2635" s="11" t="s">
        <v>2463</v>
      </c>
      <c r="B2635" s="11" t="s">
        <v>6</v>
      </c>
      <c r="C2635" s="11" t="s">
        <v>6</v>
      </c>
      <c r="D2635" s="11">
        <v>1</v>
      </c>
      <c r="E2635" s="11" t="s">
        <v>7</v>
      </c>
      <c r="F2635" s="20">
        <v>46276.793842592589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6" t="str">
        <f>IFERROR(VLOOKUP(A2635,Shipped!I:J,2,)," ")</f>
        <v xml:space="preserve"> </v>
      </c>
    </row>
    <row r="2636" spans="1:14" x14ac:dyDescent="0.25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6" t="str">
        <f>IFERROR(VLOOKUP(A2636,Shipped!I:J,2,)," ")</f>
        <v xml:space="preserve"> </v>
      </c>
    </row>
    <row r="2637" spans="1:14" x14ac:dyDescent="0.25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6" t="str">
        <f>IFERROR(VLOOKUP(A2637,Shipped!I:J,2,)," ")</f>
        <v xml:space="preserve"> </v>
      </c>
    </row>
    <row r="2638" spans="1:14" x14ac:dyDescent="0.25">
      <c r="A2638" s="11" t="s">
        <v>2466</v>
      </c>
      <c r="B2638" s="11" t="s">
        <v>6</v>
      </c>
      <c r="C2638" s="11" t="s">
        <v>6</v>
      </c>
      <c r="D2638" s="11">
        <v>1</v>
      </c>
      <c r="E2638" s="11" t="s">
        <v>7</v>
      </c>
      <c r="F2638" s="20">
        <v>46276.792210648149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6" t="str">
        <f>IFERROR(VLOOKUP(A2638,Shipped!I:J,2,)," ")</f>
        <v xml:space="preserve"> </v>
      </c>
    </row>
    <row r="2639" spans="1:14" x14ac:dyDescent="0.25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6" t="str">
        <f>IFERROR(VLOOKUP(A2639,Shipped!I:J,2,)," ")</f>
        <v xml:space="preserve"> </v>
      </c>
    </row>
    <row r="2640" spans="1:14" x14ac:dyDescent="0.25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6" t="str">
        <f>IFERROR(VLOOKUP(A2640,Shipped!I:J,2,)," ")</f>
        <v xml:space="preserve"> </v>
      </c>
    </row>
    <row r="2641" spans="1:14" x14ac:dyDescent="0.25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6" t="str">
        <f>IFERROR(VLOOKUP(A2641,Shipped!I:J,2,)," ")</f>
        <v xml:space="preserve"> </v>
      </c>
    </row>
    <row r="2642" spans="1:14" x14ac:dyDescent="0.25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6" t="str">
        <f>IFERROR(VLOOKUP(A2642,Shipped!I:J,2,)," ")</f>
        <v xml:space="preserve"> </v>
      </c>
    </row>
    <row r="2643" spans="1:14" x14ac:dyDescent="0.25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6" t="str">
        <f>IFERROR(VLOOKUP(A2643,Shipped!I:J,2,)," ")</f>
        <v xml:space="preserve"> </v>
      </c>
    </row>
    <row r="2644" spans="1:14" x14ac:dyDescent="0.25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6" t="str">
        <f>IFERROR(VLOOKUP(A2644,Shipped!I:J,2,)," ")</f>
        <v xml:space="preserve"> </v>
      </c>
    </row>
    <row r="2645" spans="1:14" x14ac:dyDescent="0.25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6" t="str">
        <f>IFERROR(VLOOKUP(A2645,Shipped!I:J,2,)," ")</f>
        <v xml:space="preserve"> </v>
      </c>
    </row>
    <row r="2646" spans="1:14" x14ac:dyDescent="0.25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6" t="str">
        <f>IFERROR(VLOOKUP(A2646,Shipped!I:J,2,)," ")</f>
        <v xml:space="preserve"> </v>
      </c>
    </row>
    <row r="2647" spans="1:14" x14ac:dyDescent="0.25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6" t="str">
        <f>IFERROR(VLOOKUP(A2647,Shipped!I:J,2,)," ")</f>
        <v xml:space="preserve"> </v>
      </c>
    </row>
    <row r="2648" spans="1:14" x14ac:dyDescent="0.25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6" t="str">
        <f>IFERROR(VLOOKUP(A2648,Shipped!I:J,2,)," ")</f>
        <v xml:space="preserve"> </v>
      </c>
    </row>
    <row r="2649" spans="1:14" x14ac:dyDescent="0.25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6" t="str">
        <f>IFERROR(VLOOKUP(A2649,Shipped!I:J,2,)," ")</f>
        <v xml:space="preserve"> </v>
      </c>
    </row>
    <row r="2650" spans="1:14" x14ac:dyDescent="0.25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6" t="str">
        <f>IFERROR(VLOOKUP(A2650,Shipped!I:J,2,)," ")</f>
        <v xml:space="preserve"> </v>
      </c>
    </row>
    <row r="2651" spans="1:14" x14ac:dyDescent="0.25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6" t="str">
        <f>IFERROR(VLOOKUP(A2651,Shipped!I:J,2,)," ")</f>
        <v xml:space="preserve"> </v>
      </c>
    </row>
    <row r="2652" spans="1:14" x14ac:dyDescent="0.25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6" t="str">
        <f>IFERROR(VLOOKUP(A2652,Shipped!I:J,2,)," ")</f>
        <v xml:space="preserve"> </v>
      </c>
    </row>
    <row r="2653" spans="1:14" x14ac:dyDescent="0.25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6" t="str">
        <f>IFERROR(VLOOKUP(A2653,Shipped!I:J,2,)," ")</f>
        <v xml:space="preserve"> </v>
      </c>
    </row>
    <row r="2654" spans="1:14" x14ac:dyDescent="0.25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6" t="str">
        <f>IFERROR(VLOOKUP(A2654,Shipped!I:J,2,)," ")</f>
        <v xml:space="preserve"> </v>
      </c>
    </row>
    <row r="2655" spans="1:14" x14ac:dyDescent="0.25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6" t="str">
        <f>IFERROR(VLOOKUP(A2655,Shipped!I:J,2,)," ")</f>
        <v xml:space="preserve"> </v>
      </c>
    </row>
    <row r="2656" spans="1:14" x14ac:dyDescent="0.25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6" t="str">
        <f>IFERROR(VLOOKUP(A2656,Shipped!I:J,2,)," ")</f>
        <v xml:space="preserve"> </v>
      </c>
    </row>
    <row r="2657" spans="1:14" x14ac:dyDescent="0.25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6" t="str">
        <f>IFERROR(VLOOKUP(A2657,Shipped!I:J,2,)," ")</f>
        <v xml:space="preserve"> </v>
      </c>
    </row>
    <row r="2658" spans="1:14" x14ac:dyDescent="0.25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6" t="str">
        <f>IFERROR(VLOOKUP(A2658,Shipped!I:J,2,)," ")</f>
        <v xml:space="preserve"> </v>
      </c>
    </row>
    <row r="2659" spans="1:14" x14ac:dyDescent="0.25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6" t="str">
        <f>IFERROR(VLOOKUP(A2659,Shipped!I:J,2,)," ")</f>
        <v xml:space="preserve"> </v>
      </c>
    </row>
    <row r="2660" spans="1:14" x14ac:dyDescent="0.25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6" t="str">
        <f>IFERROR(VLOOKUP(A2660,Shipped!I:J,2,)," ")</f>
        <v xml:space="preserve"> </v>
      </c>
    </row>
    <row r="2661" spans="1:14" x14ac:dyDescent="0.25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6" t="str">
        <f>IFERROR(VLOOKUP(A2661,Shipped!I:J,2,)," ")</f>
        <v xml:space="preserve"> </v>
      </c>
    </row>
    <row r="2662" spans="1:14" x14ac:dyDescent="0.25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6" t="str">
        <f>IFERROR(VLOOKUP(A2662,Shipped!I:J,2,)," ")</f>
        <v xml:space="preserve"> </v>
      </c>
    </row>
    <row r="2663" spans="1:14" x14ac:dyDescent="0.25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6" t="str">
        <f>IFERROR(VLOOKUP(A2663,Shipped!I:J,2,)," ")</f>
        <v xml:space="preserve"> </v>
      </c>
    </row>
    <row r="2664" spans="1:14" x14ac:dyDescent="0.25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6" t="str">
        <f>IFERROR(VLOOKUP(A2664,Shipped!I:J,2,)," ")</f>
        <v xml:space="preserve"> </v>
      </c>
    </row>
    <row r="2665" spans="1:14" x14ac:dyDescent="0.25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6" t="str">
        <f>IFERROR(VLOOKUP(A2665,Shipped!I:J,2,)," ")</f>
        <v xml:space="preserve"> </v>
      </c>
    </row>
    <row r="2666" spans="1:14" x14ac:dyDescent="0.25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6" t="str">
        <f>IFERROR(VLOOKUP(A2666,Shipped!I:J,2,)," ")</f>
        <v xml:space="preserve"> </v>
      </c>
    </row>
    <row r="2667" spans="1:14" x14ac:dyDescent="0.25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6" t="str">
        <f>IFERROR(VLOOKUP(A2667,Shipped!I:J,2,)," ")</f>
        <v xml:space="preserve"> </v>
      </c>
    </row>
    <row r="2668" spans="1:14" x14ac:dyDescent="0.25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6" t="str">
        <f>IFERROR(VLOOKUP(A2668,Shipped!I:J,2,)," ")</f>
        <v xml:space="preserve"> </v>
      </c>
    </row>
    <row r="2669" spans="1:14" x14ac:dyDescent="0.25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6" t="str">
        <f>IFERROR(VLOOKUP(A2669,Shipped!I:J,2,)," ")</f>
        <v xml:space="preserve"> </v>
      </c>
    </row>
    <row r="2670" spans="1:14" x14ac:dyDescent="0.25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6" t="str">
        <f>IFERROR(VLOOKUP(A2670,Shipped!I:J,2,)," ")</f>
        <v xml:space="preserve"> </v>
      </c>
    </row>
    <row r="2671" spans="1:14" x14ac:dyDescent="0.25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6" t="str">
        <f>IFERROR(VLOOKUP(A2671,Shipped!I:J,2,)," ")</f>
        <v xml:space="preserve"> </v>
      </c>
    </row>
    <row r="2672" spans="1:14" x14ac:dyDescent="0.25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6" t="str">
        <f>IFERROR(VLOOKUP(A2672,Shipped!I:J,2,)," ")</f>
        <v xml:space="preserve"> </v>
      </c>
    </row>
    <row r="2673" spans="1:14" x14ac:dyDescent="0.25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6" t="str">
        <f>IFERROR(VLOOKUP(A2673,Shipped!I:J,2,)," ")</f>
        <v xml:space="preserve"> </v>
      </c>
    </row>
    <row r="2674" spans="1:14" x14ac:dyDescent="0.25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6" t="str">
        <f>IFERROR(VLOOKUP(A2674,Shipped!I:J,2,)," ")</f>
        <v xml:space="preserve"> </v>
      </c>
    </row>
    <row r="2675" spans="1:14" x14ac:dyDescent="0.25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6" t="str">
        <f>IFERROR(VLOOKUP(A2675,Shipped!I:J,2,)," ")</f>
        <v xml:space="preserve"> </v>
      </c>
    </row>
    <row r="2676" spans="1:14" x14ac:dyDescent="0.25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6" t="str">
        <f>IFERROR(VLOOKUP(A2676,Shipped!I:J,2,)," ")</f>
        <v xml:space="preserve"> </v>
      </c>
    </row>
    <row r="2677" spans="1:14" x14ac:dyDescent="0.25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6" t="str">
        <f>IFERROR(VLOOKUP(A2677,Shipped!I:J,2,)," ")</f>
        <v xml:space="preserve"> </v>
      </c>
    </row>
    <row r="2678" spans="1:14" x14ac:dyDescent="0.25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6" t="str">
        <f>IFERROR(VLOOKUP(A2678,Shipped!I:J,2,)," ")</f>
        <v xml:space="preserve"> </v>
      </c>
    </row>
    <row r="2679" spans="1:14" x14ac:dyDescent="0.25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6" t="str">
        <f>IFERROR(VLOOKUP(A2679,Shipped!I:J,2,)," ")</f>
        <v xml:space="preserve"> </v>
      </c>
    </row>
    <row r="2680" spans="1:14" x14ac:dyDescent="0.25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6" t="str">
        <f>IFERROR(VLOOKUP(A2680,Shipped!I:J,2,)," ")</f>
        <v xml:space="preserve"> </v>
      </c>
    </row>
    <row r="2681" spans="1:14" x14ac:dyDescent="0.25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6" t="str">
        <f>IFERROR(VLOOKUP(A2681,Shipped!I:J,2,)," ")</f>
        <v xml:space="preserve"> </v>
      </c>
    </row>
    <row r="2682" spans="1:14" x14ac:dyDescent="0.25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6" t="str">
        <f>IFERROR(VLOOKUP(A2682,Shipped!I:J,2,)," ")</f>
        <v xml:space="preserve"> </v>
      </c>
    </row>
    <row r="2683" spans="1:14" x14ac:dyDescent="0.25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6" t="str">
        <f>IFERROR(VLOOKUP(A2683,Shipped!I:J,2,)," ")</f>
        <v xml:space="preserve"> </v>
      </c>
    </row>
    <row r="2684" spans="1:14" x14ac:dyDescent="0.25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6" t="str">
        <f>IFERROR(VLOOKUP(A2684,Shipped!I:J,2,)," ")</f>
        <v xml:space="preserve"> </v>
      </c>
    </row>
    <row r="2685" spans="1:14" x14ac:dyDescent="0.25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6" t="str">
        <f>IFERROR(VLOOKUP(A2685,Shipped!I:J,2,)," ")</f>
        <v xml:space="preserve"> </v>
      </c>
    </row>
    <row r="2686" spans="1:14" x14ac:dyDescent="0.25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6" t="str">
        <f>IFERROR(VLOOKUP(A2686,Shipped!I:J,2,)," ")</f>
        <v xml:space="preserve"> </v>
      </c>
    </row>
    <row r="2687" spans="1:14" x14ac:dyDescent="0.25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6" t="str">
        <f>IFERROR(VLOOKUP(A2687,Shipped!I:J,2,)," ")</f>
        <v xml:space="preserve"> </v>
      </c>
    </row>
    <row r="2688" spans="1:14" x14ac:dyDescent="0.25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6" t="str">
        <f>IFERROR(VLOOKUP(A2688,Shipped!I:J,2,)," ")</f>
        <v xml:space="preserve"> </v>
      </c>
    </row>
    <row r="2689" spans="1:14" x14ac:dyDescent="0.25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6" t="str">
        <f>IFERROR(VLOOKUP(A2689,Shipped!I:J,2,)," ")</f>
        <v xml:space="preserve"> </v>
      </c>
    </row>
    <row r="2690" spans="1:14" x14ac:dyDescent="0.25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6" t="str">
        <f>IFERROR(VLOOKUP(A2690,Shipped!I:J,2,)," ")</f>
        <v xml:space="preserve"> </v>
      </c>
    </row>
    <row r="2691" spans="1:14" x14ac:dyDescent="0.25">
      <c r="A2691" s="11" t="s">
        <v>2519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46280.93241898148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6" t="str">
        <f>IFERROR(VLOOKUP(A2691,Shipped!I:J,2,)," ")</f>
        <v xml:space="preserve"> </v>
      </c>
    </row>
    <row r="2692" spans="1:14" x14ac:dyDescent="0.25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6" t="str">
        <f>IFERROR(VLOOKUP(A2692,Shipped!I:J,2,)," ")</f>
        <v xml:space="preserve"> </v>
      </c>
    </row>
    <row r="2693" spans="1:14" x14ac:dyDescent="0.25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6" t="str">
        <f>IFERROR(VLOOKUP(A2693,Shipped!I:J,2,)," ")</f>
        <v xml:space="preserve"> </v>
      </c>
    </row>
    <row r="2694" spans="1:14" x14ac:dyDescent="0.25">
      <c r="A2694" s="11" t="s">
        <v>2522</v>
      </c>
      <c r="B2694" s="11" t="s">
        <v>8</v>
      </c>
      <c r="C2694" s="11" t="s">
        <v>9</v>
      </c>
      <c r="D2694" s="11">
        <v>1</v>
      </c>
      <c r="E2694" s="11" t="s">
        <v>10</v>
      </c>
      <c r="F2694" s="20">
        <v>46280.921157407407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6" t="str">
        <f>IFERROR(VLOOKUP(A2694,Shipped!I:J,2,)," ")</f>
        <v xml:space="preserve"> </v>
      </c>
    </row>
    <row r="2695" spans="1:14" x14ac:dyDescent="0.25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6" t="str">
        <f>IFERROR(VLOOKUP(A2695,Shipped!I:J,2,)," ")</f>
        <v xml:space="preserve"> </v>
      </c>
    </row>
    <row r="2696" spans="1:14" x14ac:dyDescent="0.25">
      <c r="A2696" s="11" t="s">
        <v>2524</v>
      </c>
      <c r="B2696" s="11" t="s">
        <v>6</v>
      </c>
      <c r="C2696" s="11" t="s">
        <v>6</v>
      </c>
      <c r="D2696" s="11">
        <v>1</v>
      </c>
      <c r="E2696" s="11" t="s">
        <v>7</v>
      </c>
      <c r="F2696" s="20">
        <v>46276.793634259258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6" t="str">
        <f>IFERROR(VLOOKUP(A2696,Shipped!I:J,2,)," ")</f>
        <v xml:space="preserve"> </v>
      </c>
    </row>
    <row r="2697" spans="1:14" x14ac:dyDescent="0.25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6" t="str">
        <f>IFERROR(VLOOKUP(A2697,Shipped!I:J,2,)," ")</f>
        <v xml:space="preserve"> </v>
      </c>
    </row>
    <row r="2698" spans="1:14" x14ac:dyDescent="0.25">
      <c r="A2698" s="11" t="s">
        <v>2526</v>
      </c>
      <c r="B2698" s="11" t="s">
        <v>6</v>
      </c>
      <c r="C2698" s="11" t="s">
        <v>6</v>
      </c>
      <c r="D2698" s="11">
        <v>1</v>
      </c>
      <c r="E2698" s="11" t="s">
        <v>7</v>
      </c>
      <c r="F2698" s="20">
        <v>46276.791979166665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6" t="str">
        <f>IFERROR(VLOOKUP(A2698,Shipped!I:J,2,)," ")</f>
        <v xml:space="preserve"> </v>
      </c>
    </row>
    <row r="2699" spans="1:14" x14ac:dyDescent="0.25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6" t="str">
        <f>IFERROR(VLOOKUP(A2699,Shipped!I:J,2,)," ")</f>
        <v xml:space="preserve"> </v>
      </c>
    </row>
    <row r="2700" spans="1:14" x14ac:dyDescent="0.25">
      <c r="A2700" s="11" t="s">
        <v>2528</v>
      </c>
      <c r="B2700" s="11" t="s">
        <v>8</v>
      </c>
      <c r="C2700" s="11" t="s">
        <v>9</v>
      </c>
      <c r="D2700" s="11">
        <v>1</v>
      </c>
      <c r="E2700" s="11" t="s">
        <v>10</v>
      </c>
      <c r="F2700" s="20">
        <v>46280.935381944444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6" t="str">
        <f>IFERROR(VLOOKUP(A2700,Shipped!I:J,2,)," ")</f>
        <v xml:space="preserve"> </v>
      </c>
    </row>
    <row r="2701" spans="1:14" x14ac:dyDescent="0.25">
      <c r="A2701" s="11" t="s">
        <v>2529</v>
      </c>
      <c r="B2701" s="11" t="s">
        <v>8</v>
      </c>
      <c r="C2701" s="11" t="s">
        <v>9</v>
      </c>
      <c r="D2701" s="11">
        <v>1</v>
      </c>
      <c r="E2701" s="11" t="s">
        <v>10</v>
      </c>
      <c r="F2701" s="20">
        <v>46280.902499999997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6" t="str">
        <f>IFERROR(VLOOKUP(A2701,Shipped!I:J,2,)," ")</f>
        <v xml:space="preserve"> </v>
      </c>
    </row>
    <row r="2702" spans="1:14" x14ac:dyDescent="0.25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6" t="str">
        <f>IFERROR(VLOOKUP(A2702,Shipped!I:J,2,)," ")</f>
        <v xml:space="preserve"> </v>
      </c>
    </row>
    <row r="2703" spans="1:14" x14ac:dyDescent="0.25">
      <c r="A2703" s="11" t="s">
        <v>2531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46281.395578703705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6" t="str">
        <f>IFERROR(VLOOKUP(A2703,Shipped!I:J,2,)," ")</f>
        <v xml:space="preserve"> </v>
      </c>
    </row>
    <row r="2704" spans="1:14" x14ac:dyDescent="0.25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6" t="str">
        <f>IFERROR(VLOOKUP(A2704,Shipped!I:J,2,)," ")</f>
        <v xml:space="preserve"> </v>
      </c>
    </row>
    <row r="2705" spans="1:14" x14ac:dyDescent="0.25">
      <c r="A2705" s="11" t="s">
        <v>2533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46281.371793981481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6" t="str">
        <f>IFERROR(VLOOKUP(A2705,Shipped!I:J,2,)," ")</f>
        <v xml:space="preserve"> </v>
      </c>
    </row>
    <row r="2706" spans="1:14" x14ac:dyDescent="0.25">
      <c r="A2706" s="11" t="s">
        <v>2534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46281.33053240741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6" t="str">
        <f>IFERROR(VLOOKUP(A2706,Shipped!I:J,2,)," ")</f>
        <v xml:space="preserve"> </v>
      </c>
    </row>
    <row r="2707" spans="1:14" x14ac:dyDescent="0.25">
      <c r="A2707" s="11" t="s">
        <v>2535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46280.92690972222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6" t="str">
        <f>IFERROR(VLOOKUP(A2707,Shipped!I:J,2,)," ")</f>
        <v xml:space="preserve"> </v>
      </c>
    </row>
    <row r="2708" spans="1:14" x14ac:dyDescent="0.25">
      <c r="A2708" s="11" t="s">
        <v>2536</v>
      </c>
      <c r="B2708" s="11" t="s">
        <v>8</v>
      </c>
      <c r="C2708" s="11" t="s">
        <v>9</v>
      </c>
      <c r="D2708" s="11">
        <v>1</v>
      </c>
      <c r="E2708" s="11" t="s">
        <v>10</v>
      </c>
      <c r="F2708" s="20">
        <v>46281.401817129627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6" t="str">
        <f>IFERROR(VLOOKUP(A2708,Shipped!I:J,2,)," ")</f>
        <v xml:space="preserve"> </v>
      </c>
    </row>
    <row r="2709" spans="1:14" x14ac:dyDescent="0.25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6" t="str">
        <f>IFERROR(VLOOKUP(A2709,Shipped!I:J,2,)," ")</f>
        <v xml:space="preserve"> </v>
      </c>
    </row>
    <row r="2710" spans="1:14" x14ac:dyDescent="0.25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6" t="str">
        <f>IFERROR(VLOOKUP(A2710,Shipped!I:J,2,)," ")</f>
        <v xml:space="preserve"> </v>
      </c>
    </row>
    <row r="2711" spans="1:14" x14ac:dyDescent="0.25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6" t="str">
        <f>IFERROR(VLOOKUP(A2711,Shipped!I:J,2,)," ")</f>
        <v xml:space="preserve"> </v>
      </c>
    </row>
    <row r="2712" spans="1:14" x14ac:dyDescent="0.25">
      <c r="A2712" s="11" t="s">
        <v>2540</v>
      </c>
      <c r="B2712" s="11" t="s">
        <v>8</v>
      </c>
      <c r="C2712" s="11" t="s">
        <v>9</v>
      </c>
      <c r="D2712" s="11">
        <v>1</v>
      </c>
      <c r="E2712" s="11" t="s">
        <v>10</v>
      </c>
      <c r="F2712" s="20">
        <v>46281.324502314812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6" t="str">
        <f>IFERROR(VLOOKUP(A2712,Shipped!I:J,2,)," ")</f>
        <v xml:space="preserve"> </v>
      </c>
    </row>
    <row r="2713" spans="1:14" x14ac:dyDescent="0.25">
      <c r="A2713" s="11" t="s">
        <v>2541</v>
      </c>
      <c r="B2713" s="11" t="s">
        <v>8</v>
      </c>
      <c r="C2713" s="11" t="s">
        <v>9</v>
      </c>
      <c r="D2713" s="11">
        <v>1</v>
      </c>
      <c r="E2713" s="11" t="s">
        <v>10</v>
      </c>
      <c r="F2713" s="20">
        <v>46280.918182870373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6" t="str">
        <f>IFERROR(VLOOKUP(A2713,Shipped!I:J,2,)," ")</f>
        <v xml:space="preserve"> </v>
      </c>
    </row>
    <row r="2714" spans="1:14" x14ac:dyDescent="0.25">
      <c r="A2714" s="11" t="s">
        <v>2542</v>
      </c>
      <c r="B2714" s="11" t="s">
        <v>8</v>
      </c>
      <c r="C2714" s="11" t="s">
        <v>9</v>
      </c>
      <c r="D2714" s="11">
        <v>1</v>
      </c>
      <c r="E2714" s="11" t="s">
        <v>10</v>
      </c>
      <c r="F2714" s="20">
        <v>46280.923935185187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6" t="str">
        <f>IFERROR(VLOOKUP(A2714,Shipped!I:J,2,)," ")</f>
        <v xml:space="preserve"> </v>
      </c>
    </row>
    <row r="2715" spans="1:14" x14ac:dyDescent="0.25">
      <c r="A2715" s="11" t="s">
        <v>2543</v>
      </c>
      <c r="B2715" s="11" t="s">
        <v>8</v>
      </c>
      <c r="C2715" s="11" t="s">
        <v>9</v>
      </c>
      <c r="D2715" s="11">
        <v>1</v>
      </c>
      <c r="E2715" s="11" t="s">
        <v>10</v>
      </c>
      <c r="F2715" s="20">
        <v>46281.410810185182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6" t="str">
        <f>IFERROR(VLOOKUP(A2715,Shipped!I:J,2,)," ")</f>
        <v xml:space="preserve"> </v>
      </c>
    </row>
    <row r="2716" spans="1:14" x14ac:dyDescent="0.25">
      <c r="A2716" s="11" t="s">
        <v>2544</v>
      </c>
      <c r="B2716" s="11" t="s">
        <v>8</v>
      </c>
      <c r="C2716" s="11" t="s">
        <v>9</v>
      </c>
      <c r="D2716" s="11">
        <v>1</v>
      </c>
      <c r="E2716" s="11" t="s">
        <v>10</v>
      </c>
      <c r="F2716" s="20">
        <v>46281.337407407409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6" t="str">
        <f>IFERROR(VLOOKUP(A2716,Shipped!I:J,2,)," ")</f>
        <v xml:space="preserve"> </v>
      </c>
    </row>
    <row r="2717" spans="1:14" x14ac:dyDescent="0.25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6" t="str">
        <f>IFERROR(VLOOKUP(A2717,Shipped!I:J,2,)," ")</f>
        <v xml:space="preserve"> </v>
      </c>
    </row>
    <row r="2718" spans="1:14" x14ac:dyDescent="0.25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6" t="str">
        <f>IFERROR(VLOOKUP(A2718,Shipped!I:J,2,)," ")</f>
        <v xml:space="preserve"> </v>
      </c>
    </row>
    <row r="2719" spans="1:14" x14ac:dyDescent="0.25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6" t="str">
        <f>IFERROR(VLOOKUP(A2719,Shipped!I:J,2,)," ")</f>
        <v xml:space="preserve"> </v>
      </c>
    </row>
    <row r="2720" spans="1:14" x14ac:dyDescent="0.25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6" t="str">
        <f>IFERROR(VLOOKUP(A2720,Shipped!I:J,2,)," ")</f>
        <v xml:space="preserve"> </v>
      </c>
    </row>
    <row r="2721" spans="1:14" x14ac:dyDescent="0.25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6" t="str">
        <f>IFERROR(VLOOKUP(A2721,Shipped!I:J,2,)," ")</f>
        <v xml:space="preserve"> </v>
      </c>
    </row>
    <row r="2722" spans="1:14" x14ac:dyDescent="0.25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6" t="str">
        <f>IFERROR(VLOOKUP(A2722,Shipped!I:J,2,)," ")</f>
        <v xml:space="preserve"> </v>
      </c>
    </row>
    <row r="2723" spans="1:14" x14ac:dyDescent="0.25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6" t="str">
        <f>IFERROR(VLOOKUP(A2723,Shipped!I:J,2,)," ")</f>
        <v xml:space="preserve"> </v>
      </c>
    </row>
    <row r="2724" spans="1:14" x14ac:dyDescent="0.25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6" t="str">
        <f>IFERROR(VLOOKUP(A2724,Shipped!I:J,2,)," ")</f>
        <v xml:space="preserve"> </v>
      </c>
    </row>
    <row r="2725" spans="1:14" x14ac:dyDescent="0.25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6" t="str">
        <f>IFERROR(VLOOKUP(A2725,Shipped!I:J,2,)," ")</f>
        <v xml:space="preserve"> </v>
      </c>
    </row>
    <row r="2726" spans="1:14" x14ac:dyDescent="0.25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6" t="str">
        <f>IFERROR(VLOOKUP(A2726,Shipped!I:J,2,)," ")</f>
        <v xml:space="preserve"> </v>
      </c>
    </row>
    <row r="2727" spans="1:14" x14ac:dyDescent="0.25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6" t="str">
        <f>IFERROR(VLOOKUP(A2727,Shipped!I:J,2,)," ")</f>
        <v xml:space="preserve"> </v>
      </c>
    </row>
    <row r="2728" spans="1:14" x14ac:dyDescent="0.25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6" t="str">
        <f>IFERROR(VLOOKUP(A2728,Shipped!I:J,2,)," ")</f>
        <v xml:space="preserve"> </v>
      </c>
    </row>
    <row r="2729" spans="1:14" x14ac:dyDescent="0.25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6" t="str">
        <f>IFERROR(VLOOKUP(A2729,Shipped!I:J,2,)," ")</f>
        <v xml:space="preserve"> </v>
      </c>
    </row>
    <row r="2730" spans="1:14" x14ac:dyDescent="0.25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6" t="str">
        <f>IFERROR(VLOOKUP(A2730,Shipped!I:J,2,)," ")</f>
        <v xml:space="preserve"> </v>
      </c>
    </row>
    <row r="2731" spans="1:14" x14ac:dyDescent="0.25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6" t="str">
        <f>IFERROR(VLOOKUP(A2731,Shipped!I:J,2,)," ")</f>
        <v xml:space="preserve"> </v>
      </c>
    </row>
    <row r="2732" spans="1:14" x14ac:dyDescent="0.25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6" t="str">
        <f>IFERROR(VLOOKUP(A2732,Shipped!I:J,2,)," ")</f>
        <v xml:space="preserve"> </v>
      </c>
    </row>
    <row r="2733" spans="1:14" x14ac:dyDescent="0.25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6" t="str">
        <f>IFERROR(VLOOKUP(A2733,Shipped!I:J,2,)," ")</f>
        <v xml:space="preserve"> </v>
      </c>
    </row>
    <row r="2734" spans="1:14" x14ac:dyDescent="0.25">
      <c r="A2734" s="11" t="s">
        <v>2562</v>
      </c>
      <c r="B2734" s="11" t="s">
        <v>6</v>
      </c>
      <c r="C2734" s="11" t="s">
        <v>6</v>
      </c>
      <c r="D2734" s="11">
        <v>1</v>
      </c>
      <c r="E2734" s="11" t="s">
        <v>7</v>
      </c>
      <c r="F2734" s="20">
        <v>46279.451145833336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6" t="str">
        <f>IFERROR(VLOOKUP(A2734,Shipped!I:J,2,)," ")</f>
        <v xml:space="preserve"> </v>
      </c>
    </row>
    <row r="2735" spans="1:14" x14ac:dyDescent="0.25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6" t="str">
        <f>IFERROR(VLOOKUP(A2735,Shipped!I:J,2,)," ")</f>
        <v xml:space="preserve"> </v>
      </c>
    </row>
    <row r="2736" spans="1:14" x14ac:dyDescent="0.25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6" t="str">
        <f>IFERROR(VLOOKUP(A2736,Shipped!I:J,2,)," ")</f>
        <v xml:space="preserve"> </v>
      </c>
    </row>
    <row r="2737" spans="1:14" x14ac:dyDescent="0.25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6" t="str">
        <f>IFERROR(VLOOKUP(A2737,Shipped!I:J,2,)," ")</f>
        <v xml:space="preserve"> </v>
      </c>
    </row>
    <row r="2738" spans="1:14" x14ac:dyDescent="0.25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6" t="str">
        <f>IFERROR(VLOOKUP(A2738,Shipped!I:J,2,)," ")</f>
        <v xml:space="preserve"> </v>
      </c>
    </row>
    <row r="2739" spans="1:14" x14ac:dyDescent="0.25">
      <c r="A2739" s="11" t="s">
        <v>2567</v>
      </c>
      <c r="B2739" s="11" t="s">
        <v>6</v>
      </c>
      <c r="C2739" s="11" t="s">
        <v>6</v>
      </c>
      <c r="D2739" s="11">
        <v>1</v>
      </c>
      <c r="E2739" s="11" t="s">
        <v>7</v>
      </c>
      <c r="F2739" s="20">
        <v>46279.267245370371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6" t="str">
        <f>IFERROR(VLOOKUP(A2739,Shipped!I:J,2,)," ")</f>
        <v xml:space="preserve"> </v>
      </c>
    </row>
    <row r="2740" spans="1:14" x14ac:dyDescent="0.25">
      <c r="A2740" s="11" t="s">
        <v>2568</v>
      </c>
      <c r="B2740" s="11" t="s">
        <v>6</v>
      </c>
      <c r="C2740" s="11" t="s">
        <v>6</v>
      </c>
      <c r="D2740" s="11">
        <v>1</v>
      </c>
      <c r="E2740" s="11" t="s">
        <v>7</v>
      </c>
      <c r="F2740" s="20">
        <v>46279.266516203701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6" t="str">
        <f>IFERROR(VLOOKUP(A2740,Shipped!I:J,2,)," ")</f>
        <v xml:space="preserve"> </v>
      </c>
    </row>
    <row r="2741" spans="1:14" x14ac:dyDescent="0.25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6" t="str">
        <f>IFERROR(VLOOKUP(A2741,Shipped!I:J,2,)," ")</f>
        <v xml:space="preserve"> </v>
      </c>
    </row>
    <row r="2742" spans="1:14" x14ac:dyDescent="0.25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6" t="str">
        <f>IFERROR(VLOOKUP(A2742,Shipped!I:J,2,)," ")</f>
        <v xml:space="preserve"> </v>
      </c>
    </row>
    <row r="2743" spans="1:14" x14ac:dyDescent="0.25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6" t="str">
        <f>IFERROR(VLOOKUP(A2743,Shipped!I:J,2,)," ")</f>
        <v xml:space="preserve"> </v>
      </c>
    </row>
    <row r="2744" spans="1:14" x14ac:dyDescent="0.25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6" t="str">
        <f>IFERROR(VLOOKUP(A2744,Shipped!I:J,2,)," ")</f>
        <v xml:space="preserve"> </v>
      </c>
    </row>
    <row r="2745" spans="1:14" x14ac:dyDescent="0.25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6" t="str">
        <f>IFERROR(VLOOKUP(A2745,Shipped!I:J,2,)," ")</f>
        <v xml:space="preserve"> </v>
      </c>
    </row>
    <row r="2746" spans="1:14" x14ac:dyDescent="0.25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6" t="str">
        <f>IFERROR(VLOOKUP(A2746,Shipped!I:J,2,)," ")</f>
        <v xml:space="preserve"> </v>
      </c>
    </row>
    <row r="2747" spans="1:14" x14ac:dyDescent="0.25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6" t="str">
        <f>IFERROR(VLOOKUP(A2747,Shipped!I:J,2,)," ")</f>
        <v xml:space="preserve"> </v>
      </c>
    </row>
    <row r="2748" spans="1:14" x14ac:dyDescent="0.25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56" t="str">
        <f>IFERROR(VLOOKUP(A2748,Shipped!I:J,2,)," ")</f>
        <v xml:space="preserve"> </v>
      </c>
    </row>
    <row r="2749" spans="1:14" x14ac:dyDescent="0.25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56" t="str">
        <f>IFERROR(VLOOKUP(A2749,Shipped!I:J,2,)," ")</f>
        <v xml:space="preserve"> </v>
      </c>
    </row>
    <row r="2750" spans="1:14" x14ac:dyDescent="0.25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6" t="str">
        <f>IFERROR(VLOOKUP(A2750,Shipped!I:J,2,)," ")</f>
        <v xml:space="preserve"> </v>
      </c>
    </row>
    <row r="2751" spans="1:14" x14ac:dyDescent="0.25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56" t="str">
        <f>IFERROR(VLOOKUP(A2751,Shipped!I:J,2,)," ")</f>
        <v xml:space="preserve"> </v>
      </c>
    </row>
    <row r="2752" spans="1:14" x14ac:dyDescent="0.25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56" t="str">
        <f>IFERROR(VLOOKUP(A2752,Shipped!I:J,2,)," ")</f>
        <v xml:space="preserve"> </v>
      </c>
    </row>
    <row r="2753" spans="1:14" x14ac:dyDescent="0.25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6" t="str">
        <f>IFERROR(VLOOKUP(A2753,Shipped!I:J,2,)," ")</f>
        <v xml:space="preserve"> </v>
      </c>
    </row>
    <row r="2754" spans="1:14" x14ac:dyDescent="0.25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6" t="str">
        <f>IFERROR(VLOOKUP(A2754,Shipped!I:J,2,)," ")</f>
        <v xml:space="preserve"> </v>
      </c>
    </row>
    <row r="2755" spans="1:14" x14ac:dyDescent="0.25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6" t="str">
        <f>IFERROR(VLOOKUP(A2755,Shipped!I:J,2,)," ")</f>
        <v xml:space="preserve"> </v>
      </c>
    </row>
    <row r="2756" spans="1:14" x14ac:dyDescent="0.25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6" t="str">
        <f>IFERROR(VLOOKUP(A2756,Shipped!I:J,2,)," ")</f>
        <v xml:space="preserve"> </v>
      </c>
    </row>
    <row r="2757" spans="1:14" x14ac:dyDescent="0.25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6" t="str">
        <f>IFERROR(VLOOKUP(A2757,Shipped!I:J,2,)," ")</f>
        <v xml:space="preserve"> </v>
      </c>
    </row>
    <row r="2758" spans="1:14" x14ac:dyDescent="0.25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6" t="str">
        <f>IFERROR(VLOOKUP(A2758,Shipped!I:J,2,)," ")</f>
        <v xml:space="preserve"> </v>
      </c>
    </row>
    <row r="2759" spans="1:14" x14ac:dyDescent="0.25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6" t="str">
        <f>IFERROR(VLOOKUP(A2759,Shipped!I:J,2,)," ")</f>
        <v xml:space="preserve"> </v>
      </c>
    </row>
    <row r="2760" spans="1:14" x14ac:dyDescent="0.25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6" t="str">
        <f>IFERROR(VLOOKUP(A2760,Shipped!I:J,2,)," ")</f>
        <v xml:space="preserve"> </v>
      </c>
    </row>
    <row r="2761" spans="1:14" x14ac:dyDescent="0.25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6" t="str">
        <f>IFERROR(VLOOKUP(A2761,Shipped!I:J,2,)," ")</f>
        <v xml:space="preserve"> </v>
      </c>
    </row>
    <row r="2762" spans="1:14" x14ac:dyDescent="0.25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6" t="str">
        <f>IFERROR(VLOOKUP(A2762,Shipped!I:J,2,)," ")</f>
        <v xml:space="preserve"> </v>
      </c>
    </row>
    <row r="2763" spans="1:14" x14ac:dyDescent="0.25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6" t="str">
        <f>IFERROR(VLOOKUP(A2763,Shipped!I:J,2,)," ")</f>
        <v xml:space="preserve"> </v>
      </c>
    </row>
    <row r="2764" spans="1:14" x14ac:dyDescent="0.25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6" t="str">
        <f>IFERROR(VLOOKUP(A2764,Shipped!I:J,2,)," ")</f>
        <v xml:space="preserve"> </v>
      </c>
    </row>
    <row r="2765" spans="1:14" x14ac:dyDescent="0.25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6" t="str">
        <f>IFERROR(VLOOKUP(A2765,Shipped!I:J,2,)," ")</f>
        <v xml:space="preserve"> </v>
      </c>
    </row>
    <row r="2766" spans="1:14" x14ac:dyDescent="0.25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6" t="str">
        <f>IFERROR(VLOOKUP(A2766,Shipped!I:J,2,)," ")</f>
        <v xml:space="preserve"> </v>
      </c>
    </row>
    <row r="2767" spans="1:14" x14ac:dyDescent="0.25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6" t="str">
        <f>IFERROR(VLOOKUP(A2767,Shipped!I:J,2,)," ")</f>
        <v xml:space="preserve"> </v>
      </c>
    </row>
    <row r="2768" spans="1:14" x14ac:dyDescent="0.25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6" t="str">
        <f>IFERROR(VLOOKUP(A2768,Shipped!I:J,2,)," ")</f>
        <v xml:space="preserve"> </v>
      </c>
    </row>
    <row r="2769" spans="1:14" x14ac:dyDescent="0.25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6" t="str">
        <f>IFERROR(VLOOKUP(A2769,Shipped!I:J,2,)," ")</f>
        <v xml:space="preserve"> </v>
      </c>
    </row>
    <row r="2770" spans="1:14" x14ac:dyDescent="0.25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6" t="str">
        <f>IFERROR(VLOOKUP(A2770,Shipped!I:J,2,)," ")</f>
        <v xml:space="preserve"> </v>
      </c>
    </row>
    <row r="2771" spans="1:14" x14ac:dyDescent="0.25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6" t="str">
        <f>IFERROR(VLOOKUP(A2771,Shipped!I:J,2,)," ")</f>
        <v xml:space="preserve"> </v>
      </c>
    </row>
    <row r="2772" spans="1:14" x14ac:dyDescent="0.25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6" t="str">
        <f>IFERROR(VLOOKUP(A2772,Shipped!I:J,2,)," ")</f>
        <v xml:space="preserve"> </v>
      </c>
    </row>
    <row r="2773" spans="1:14" x14ac:dyDescent="0.25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6" t="str">
        <f>IFERROR(VLOOKUP(A2773,Shipped!I:J,2,)," ")</f>
        <v xml:space="preserve"> </v>
      </c>
    </row>
    <row r="2774" spans="1:14" x14ac:dyDescent="0.25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6" t="str">
        <f>IFERROR(VLOOKUP(A2774,Shipped!I:J,2,)," ")</f>
        <v xml:space="preserve"> </v>
      </c>
    </row>
    <row r="2775" spans="1:14" x14ac:dyDescent="0.25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6" t="str">
        <f>IFERROR(VLOOKUP(A2775,Shipped!I:J,2,)," ")</f>
        <v xml:space="preserve"> </v>
      </c>
    </row>
    <row r="2776" spans="1:14" x14ac:dyDescent="0.25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6" t="str">
        <f>IFERROR(VLOOKUP(A2776,Shipped!I:J,2,)," ")</f>
        <v xml:space="preserve"> </v>
      </c>
    </row>
    <row r="2777" spans="1:14" x14ac:dyDescent="0.25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6" t="str">
        <f>IFERROR(VLOOKUP(A2777,Shipped!I:J,2,)," ")</f>
        <v xml:space="preserve"> </v>
      </c>
    </row>
    <row r="2778" spans="1:14" x14ac:dyDescent="0.25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6" t="str">
        <f>IFERROR(VLOOKUP(A2778,Shipped!I:J,2,)," ")</f>
        <v xml:space="preserve"> </v>
      </c>
    </row>
    <row r="2779" spans="1:14" x14ac:dyDescent="0.25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6" t="str">
        <f>IFERROR(VLOOKUP(A2779,Shipped!I:J,2,)," ")</f>
        <v xml:space="preserve"> </v>
      </c>
    </row>
    <row r="2780" spans="1:14" x14ac:dyDescent="0.25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6" t="str">
        <f>IFERROR(VLOOKUP(A2780,Shipped!I:J,2,)," ")</f>
        <v xml:space="preserve"> </v>
      </c>
    </row>
    <row r="2781" spans="1:14" x14ac:dyDescent="0.25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6" t="str">
        <f>IFERROR(VLOOKUP(A2781,Shipped!I:J,2,)," ")</f>
        <v xml:space="preserve"> </v>
      </c>
    </row>
    <row r="2782" spans="1:14" x14ac:dyDescent="0.25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6" t="str">
        <f>IFERROR(VLOOKUP(A2782,Shipped!I:J,2,)," ")</f>
        <v xml:space="preserve"> </v>
      </c>
    </row>
    <row r="2783" spans="1:14" x14ac:dyDescent="0.25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6" t="str">
        <f>IFERROR(VLOOKUP(A2783,Shipped!I:J,2,)," ")</f>
        <v xml:space="preserve"> </v>
      </c>
    </row>
    <row r="2784" spans="1:14" x14ac:dyDescent="0.25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6" t="str">
        <f>IFERROR(VLOOKUP(A2784,Shipped!I:J,2,)," ")</f>
        <v xml:space="preserve"> </v>
      </c>
    </row>
    <row r="2785" spans="1:14" x14ac:dyDescent="0.25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6" t="str">
        <f>IFERROR(VLOOKUP(A2785,Shipped!I:J,2,)," ")</f>
        <v xml:space="preserve"> </v>
      </c>
    </row>
    <row r="2786" spans="1:14" x14ac:dyDescent="0.25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6" t="str">
        <f>IFERROR(VLOOKUP(A2786,Shipped!I:J,2,)," ")</f>
        <v xml:space="preserve"> </v>
      </c>
    </row>
    <row r="2787" spans="1:14" x14ac:dyDescent="0.25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6" t="str">
        <f>IFERROR(VLOOKUP(A2787,Shipped!I:J,2,)," ")</f>
        <v xml:space="preserve"> </v>
      </c>
    </row>
    <row r="2788" spans="1:14" x14ac:dyDescent="0.25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6" t="str">
        <f>IFERROR(VLOOKUP(A2788,Shipped!I:J,2,)," ")</f>
        <v xml:space="preserve"> </v>
      </c>
    </row>
    <row r="2789" spans="1:14" x14ac:dyDescent="0.25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6" t="str">
        <f>IFERROR(VLOOKUP(A2789,Shipped!I:J,2,)," ")</f>
        <v xml:space="preserve"> </v>
      </c>
    </row>
    <row r="2790" spans="1:14" x14ac:dyDescent="0.25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6" t="str">
        <f>IFERROR(VLOOKUP(A2790,Shipped!I:J,2,)," ")</f>
        <v xml:space="preserve"> </v>
      </c>
    </row>
    <row r="2791" spans="1:14" x14ac:dyDescent="0.25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6" t="str">
        <f>IFERROR(VLOOKUP(A2791,Shipped!I:J,2,)," ")</f>
        <v xml:space="preserve"> </v>
      </c>
    </row>
    <row r="2792" spans="1:14" x14ac:dyDescent="0.25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6" t="str">
        <f>IFERROR(VLOOKUP(A2792,Shipped!I:J,2,)," ")</f>
        <v xml:space="preserve"> </v>
      </c>
    </row>
    <row r="2793" spans="1:14" x14ac:dyDescent="0.25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6" t="str">
        <f>IFERROR(VLOOKUP(A2793,Shipped!I:J,2,)," ")</f>
        <v xml:space="preserve"> </v>
      </c>
    </row>
    <row r="2794" spans="1:14" x14ac:dyDescent="0.25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6" t="str">
        <f>IFERROR(VLOOKUP(A2794,Shipped!I:J,2,)," ")</f>
        <v xml:space="preserve"> </v>
      </c>
    </row>
    <row r="2795" spans="1:14" x14ac:dyDescent="0.25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6" t="str">
        <f>IFERROR(VLOOKUP(A2795,Shipped!I:J,2,)," ")</f>
        <v xml:space="preserve"> </v>
      </c>
    </row>
    <row r="2796" spans="1:14" x14ac:dyDescent="0.25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6" t="str">
        <f>IFERROR(VLOOKUP(A2796,Shipped!I:J,2,)," ")</f>
        <v xml:space="preserve"> </v>
      </c>
    </row>
    <row r="2797" spans="1:14" x14ac:dyDescent="0.25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6" t="str">
        <f>IFERROR(VLOOKUP(A2797,Shipped!I:J,2,)," ")</f>
        <v xml:space="preserve"> </v>
      </c>
    </row>
    <row r="2798" spans="1:14" x14ac:dyDescent="0.25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6" t="str">
        <f>IFERROR(VLOOKUP(A2798,Shipped!I:J,2,)," ")</f>
        <v xml:space="preserve"> </v>
      </c>
    </row>
    <row r="2799" spans="1:14" x14ac:dyDescent="0.25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6" t="str">
        <f>IFERROR(VLOOKUP(A2799,Shipped!I:J,2,)," ")</f>
        <v xml:space="preserve"> </v>
      </c>
    </row>
    <row r="2800" spans="1:14" x14ac:dyDescent="0.25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6" t="str">
        <f>IFERROR(VLOOKUP(A2800,Shipped!I:J,2,)," ")</f>
        <v xml:space="preserve"> </v>
      </c>
    </row>
    <row r="2801" spans="1:14" x14ac:dyDescent="0.25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6" t="str">
        <f>IFERROR(VLOOKUP(A2801,Shipped!I:J,2,)," ")</f>
        <v xml:space="preserve"> </v>
      </c>
    </row>
    <row r="2802" spans="1:14" x14ac:dyDescent="0.25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6" t="str">
        <f>IFERROR(VLOOKUP(A2802,Shipped!I:J,2,)," ")</f>
        <v xml:space="preserve"> </v>
      </c>
    </row>
    <row r="2803" spans="1:14" x14ac:dyDescent="0.25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6" t="str">
        <f>IFERROR(VLOOKUP(A2803,Shipped!I:J,2,)," ")</f>
        <v xml:space="preserve"> </v>
      </c>
    </row>
    <row r="2804" spans="1:14" x14ac:dyDescent="0.25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6" t="str">
        <f>IFERROR(VLOOKUP(A2804,Shipped!I:J,2,)," ")</f>
        <v xml:space="preserve"> </v>
      </c>
    </row>
    <row r="2805" spans="1:14" x14ac:dyDescent="0.25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6" t="str">
        <f>IFERROR(VLOOKUP(A2805,Shipped!I:J,2,)," ")</f>
        <v xml:space="preserve"> </v>
      </c>
    </row>
    <row r="2806" spans="1:14" x14ac:dyDescent="0.25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6" t="str">
        <f>IFERROR(VLOOKUP(A2806,Shipped!I:J,2,)," ")</f>
        <v xml:space="preserve"> </v>
      </c>
    </row>
    <row r="2807" spans="1:14" x14ac:dyDescent="0.25">
      <c r="A2807" s="11" t="s">
        <v>2635</v>
      </c>
      <c r="B2807" s="11" t="s">
        <v>8</v>
      </c>
      <c r="C2807" s="11" t="s">
        <v>9</v>
      </c>
      <c r="D2807" s="11">
        <v>1</v>
      </c>
      <c r="E2807" s="11" t="s">
        <v>10</v>
      </c>
      <c r="F2807" s="20">
        <v>46280.929652777777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6" t="str">
        <f>IFERROR(VLOOKUP(A2807,Shipped!I:J,2,)," ")</f>
        <v xml:space="preserve"> </v>
      </c>
    </row>
    <row r="2808" spans="1:14" x14ac:dyDescent="0.25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6" t="str">
        <f>IFERROR(VLOOKUP(A2808,Shipped!I:J,2,)," ")</f>
        <v xml:space="preserve"> </v>
      </c>
    </row>
    <row r="2809" spans="1:14" x14ac:dyDescent="0.25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6" t="str">
        <f>IFERROR(VLOOKUP(A2809,Shipped!I:J,2,)," ")</f>
        <v xml:space="preserve"> </v>
      </c>
    </row>
    <row r="2810" spans="1:14" x14ac:dyDescent="0.25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6" t="str">
        <f>IFERROR(VLOOKUP(A2810,Shipped!I:J,2,)," ")</f>
        <v xml:space="preserve"> </v>
      </c>
    </row>
    <row r="2811" spans="1:14" x14ac:dyDescent="0.25">
      <c r="A2811" s="11" t="s">
        <v>2639</v>
      </c>
      <c r="B2811" s="11" t="s">
        <v>8</v>
      </c>
      <c r="C2811" s="11" t="s">
        <v>9</v>
      </c>
      <c r="D2811" s="11">
        <v>1</v>
      </c>
      <c r="E2811" s="11" t="s">
        <v>10</v>
      </c>
      <c r="F2811" s="20">
        <v>46281.387835648151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6" t="str">
        <f>IFERROR(VLOOKUP(A2811,Shipped!I:J,2,)," ")</f>
        <v xml:space="preserve"> </v>
      </c>
    </row>
    <row r="2812" spans="1:14" x14ac:dyDescent="0.25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6" t="str">
        <f>IFERROR(VLOOKUP(A2812,Shipped!I:J,2,)," ")</f>
        <v xml:space="preserve"> </v>
      </c>
    </row>
    <row r="2813" spans="1:14" x14ac:dyDescent="0.25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6" t="str">
        <f>IFERROR(VLOOKUP(A2813,Shipped!I:J,2,)," ")</f>
        <v xml:space="preserve"> </v>
      </c>
    </row>
    <row r="2814" spans="1:14" x14ac:dyDescent="0.25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6" t="str">
        <f>IFERROR(VLOOKUP(A2814,Shipped!I:J,2,)," ")</f>
        <v xml:space="preserve"> </v>
      </c>
    </row>
    <row r="2815" spans="1:14" x14ac:dyDescent="0.25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6" t="str">
        <f>IFERROR(VLOOKUP(A2815,Shipped!I:J,2,)," ")</f>
        <v xml:space="preserve"> </v>
      </c>
    </row>
    <row r="2816" spans="1:14" x14ac:dyDescent="0.25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6" t="str">
        <f>IFERROR(VLOOKUP(A2816,Shipped!I:J,2,)," ")</f>
        <v xml:space="preserve"> </v>
      </c>
    </row>
    <row r="2817" spans="1:14" x14ac:dyDescent="0.25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6" t="str">
        <f>IFERROR(VLOOKUP(A2817,Shipped!I:J,2,)," ")</f>
        <v xml:space="preserve"> </v>
      </c>
    </row>
    <row r="2818" spans="1:14" x14ac:dyDescent="0.25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6" t="str">
        <f>IFERROR(VLOOKUP(A2818,Shipped!I:J,2,)," ")</f>
        <v xml:space="preserve"> </v>
      </c>
    </row>
    <row r="2819" spans="1:14" x14ac:dyDescent="0.25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6" t="str">
        <f>IFERROR(VLOOKUP(A2819,Shipped!I:J,2,)," ")</f>
        <v xml:space="preserve"> </v>
      </c>
    </row>
    <row r="2820" spans="1:14" x14ac:dyDescent="0.25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6" t="str">
        <f>IFERROR(VLOOKUP(A2820,Shipped!I:J,2,)," ")</f>
        <v xml:space="preserve"> </v>
      </c>
    </row>
    <row r="2821" spans="1:14" x14ac:dyDescent="0.25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6" t="str">
        <f>IFERROR(VLOOKUP(A2821,Shipped!I:J,2,)," ")</f>
        <v xml:space="preserve"> </v>
      </c>
    </row>
    <row r="2822" spans="1:14" x14ac:dyDescent="0.25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6" t="str">
        <f>IFERROR(VLOOKUP(A2822,Shipped!I:J,2,)," ")</f>
        <v xml:space="preserve"> </v>
      </c>
    </row>
    <row r="2823" spans="1:14" x14ac:dyDescent="0.25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6" t="str">
        <f>IFERROR(VLOOKUP(A2823,Shipped!I:J,2,)," ")</f>
        <v xml:space="preserve"> </v>
      </c>
    </row>
    <row r="2824" spans="1:14" x14ac:dyDescent="0.25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6" t="str">
        <f>IFERROR(VLOOKUP(A2824,Shipped!I:J,2,)," ")</f>
        <v xml:space="preserve"> </v>
      </c>
    </row>
    <row r="2825" spans="1:14" x14ac:dyDescent="0.25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6" t="str">
        <f>IFERROR(VLOOKUP(A2825,Shipped!I:J,2,)," ")</f>
        <v xml:space="preserve"> </v>
      </c>
    </row>
    <row r="2826" spans="1:14" x14ac:dyDescent="0.25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6" t="str">
        <f>IFERROR(VLOOKUP(A2826,Shipped!I:J,2,)," ")</f>
        <v xml:space="preserve"> </v>
      </c>
    </row>
    <row r="2827" spans="1:14" x14ac:dyDescent="0.25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6" t="str">
        <f>IFERROR(VLOOKUP(A2827,Shipped!I:J,2,)," ")</f>
        <v xml:space="preserve"> </v>
      </c>
    </row>
    <row r="2828" spans="1:14" x14ac:dyDescent="0.25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6" t="str">
        <f>IFERROR(VLOOKUP(A2828,Shipped!I:J,2,)," ")</f>
        <v xml:space="preserve"> </v>
      </c>
    </row>
    <row r="2829" spans="1:14" x14ac:dyDescent="0.25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6" t="str">
        <f>IFERROR(VLOOKUP(A2829,Shipped!I:J,2,)," ")</f>
        <v xml:space="preserve"> </v>
      </c>
    </row>
    <row r="2830" spans="1:14" x14ac:dyDescent="0.25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6" t="str">
        <f>IFERROR(VLOOKUP(A2830,Shipped!I:J,2,)," ")</f>
        <v xml:space="preserve"> </v>
      </c>
    </row>
    <row r="2831" spans="1:14" x14ac:dyDescent="0.25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6" t="str">
        <f>IFERROR(VLOOKUP(A2831,Shipped!I:J,2,)," ")</f>
        <v xml:space="preserve"> </v>
      </c>
    </row>
    <row r="2832" spans="1:14" x14ac:dyDescent="0.25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6" t="str">
        <f>IFERROR(VLOOKUP(A2832,Shipped!I:J,2,)," ")</f>
        <v xml:space="preserve"> </v>
      </c>
    </row>
    <row r="2833" spans="1:14" x14ac:dyDescent="0.25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6" t="str">
        <f>IFERROR(VLOOKUP(A2833,Shipped!I:J,2,)," ")</f>
        <v xml:space="preserve"> </v>
      </c>
    </row>
    <row r="2834" spans="1:14" x14ac:dyDescent="0.25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6" t="str">
        <f>IFERROR(VLOOKUP(A2834,Shipped!I:J,2,)," ")</f>
        <v xml:space="preserve"> </v>
      </c>
    </row>
    <row r="2835" spans="1:14" x14ac:dyDescent="0.25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6" t="str">
        <f>IFERROR(VLOOKUP(A2835,Shipped!I:J,2,)," ")</f>
        <v xml:space="preserve"> </v>
      </c>
    </row>
    <row r="2836" spans="1:14" x14ac:dyDescent="0.25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6" t="str">
        <f>IFERROR(VLOOKUP(A2836,Shipped!I:J,2,)," ")</f>
        <v xml:space="preserve"> </v>
      </c>
    </row>
    <row r="2837" spans="1:14" x14ac:dyDescent="0.25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6" t="str">
        <f>IFERROR(VLOOKUP(A2837,Shipped!I:J,2,)," ")</f>
        <v xml:space="preserve"> </v>
      </c>
    </row>
    <row r="2838" spans="1:14" x14ac:dyDescent="0.25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6" t="str">
        <f>IFERROR(VLOOKUP(A2838,Shipped!I:J,2,)," ")</f>
        <v xml:space="preserve"> </v>
      </c>
    </row>
    <row r="2839" spans="1:14" x14ac:dyDescent="0.25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6" t="str">
        <f>IFERROR(VLOOKUP(A2839,Shipped!I:J,2,)," ")</f>
        <v xml:space="preserve"> </v>
      </c>
    </row>
    <row r="2840" spans="1:14" x14ac:dyDescent="0.25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6" t="str">
        <f>IFERROR(VLOOKUP(A2840,Shipped!I:J,2,)," ")</f>
        <v xml:space="preserve"> </v>
      </c>
    </row>
    <row r="2841" spans="1:14" x14ac:dyDescent="0.25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6" t="str">
        <f>IFERROR(VLOOKUP(A2841,Shipped!I:J,2,)," ")</f>
        <v xml:space="preserve"> </v>
      </c>
    </row>
    <row r="2842" spans="1:14" x14ac:dyDescent="0.25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6" t="str">
        <f>IFERROR(VLOOKUP(A2842,Shipped!I:J,2,)," ")</f>
        <v xml:space="preserve"> </v>
      </c>
    </row>
    <row r="2843" spans="1:14" x14ac:dyDescent="0.25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6" t="str">
        <f>IFERROR(VLOOKUP(A2843,Shipped!I:J,2,)," ")</f>
        <v xml:space="preserve"> </v>
      </c>
    </row>
    <row r="2844" spans="1:14" x14ac:dyDescent="0.25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6" t="str">
        <f>IFERROR(VLOOKUP(A2844,Shipped!I:J,2,)," ")</f>
        <v xml:space="preserve"> </v>
      </c>
    </row>
    <row r="2845" spans="1:14" x14ac:dyDescent="0.25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6" t="str">
        <f>IFERROR(VLOOKUP(A2845,Shipped!I:J,2,)," ")</f>
        <v xml:space="preserve"> </v>
      </c>
    </row>
    <row r="2846" spans="1:14" x14ac:dyDescent="0.25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6" t="str">
        <f>IFERROR(VLOOKUP(A2846,Shipped!I:J,2,)," ")</f>
        <v xml:space="preserve"> </v>
      </c>
    </row>
    <row r="2847" spans="1:14" x14ac:dyDescent="0.25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6" t="str">
        <f>IFERROR(VLOOKUP(A2847,Shipped!I:J,2,)," ")</f>
        <v xml:space="preserve"> </v>
      </c>
    </row>
    <row r="2848" spans="1:14" x14ac:dyDescent="0.25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6" t="str">
        <f>IFERROR(VLOOKUP(A2848,Shipped!I:J,2,)," ")</f>
        <v xml:space="preserve"> </v>
      </c>
    </row>
    <row r="2849" spans="1:14" x14ac:dyDescent="0.25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6" t="str">
        <f>IFERROR(VLOOKUP(A2849,Shipped!I:J,2,)," ")</f>
        <v xml:space="preserve"> </v>
      </c>
    </row>
    <row r="2850" spans="1:14" x14ac:dyDescent="0.25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6" t="str">
        <f>IFERROR(VLOOKUP(A2850,Shipped!I:J,2,)," ")</f>
        <v xml:space="preserve"> </v>
      </c>
    </row>
    <row r="2851" spans="1:14" x14ac:dyDescent="0.25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6" t="str">
        <f>IFERROR(VLOOKUP(A2851,Shipped!I:J,2,)," ")</f>
        <v xml:space="preserve"> </v>
      </c>
    </row>
    <row r="2852" spans="1:14" x14ac:dyDescent="0.25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6" t="str">
        <f>IFERROR(VLOOKUP(A2852,Shipped!I:J,2,)," ")</f>
        <v xml:space="preserve"> </v>
      </c>
    </row>
    <row r="2853" spans="1:14" x14ac:dyDescent="0.25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6" t="str">
        <f>IFERROR(VLOOKUP(A2853,Shipped!I:J,2,)," ")</f>
        <v xml:space="preserve"> </v>
      </c>
    </row>
    <row r="2854" spans="1:14" x14ac:dyDescent="0.25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6" t="str">
        <f>IFERROR(VLOOKUP(A2854,Shipped!I:J,2,)," ")</f>
        <v xml:space="preserve"> </v>
      </c>
    </row>
    <row r="2855" spans="1:14" x14ac:dyDescent="0.25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6" t="str">
        <f>IFERROR(VLOOKUP(A2855,Shipped!I:J,2,)," ")</f>
        <v xml:space="preserve"> </v>
      </c>
    </row>
    <row r="2856" spans="1:14" x14ac:dyDescent="0.25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6" t="str">
        <f>IFERROR(VLOOKUP(A2856,Shipped!I:J,2,)," ")</f>
        <v xml:space="preserve"> </v>
      </c>
    </row>
    <row r="2857" spans="1:14" x14ac:dyDescent="0.25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6" t="str">
        <f>IFERROR(VLOOKUP(A2857,Shipped!I:J,2,)," ")</f>
        <v xml:space="preserve"> </v>
      </c>
    </row>
    <row r="2858" spans="1:14" x14ac:dyDescent="0.25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6" t="str">
        <f>IFERROR(VLOOKUP(A2858,Shipped!I:J,2,)," ")</f>
        <v xml:space="preserve"> </v>
      </c>
    </row>
    <row r="2859" spans="1:14" x14ac:dyDescent="0.25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6" t="str">
        <f>IFERROR(VLOOKUP(A2859,Shipped!I:J,2,)," ")</f>
        <v xml:space="preserve"> </v>
      </c>
    </row>
    <row r="2860" spans="1:14" x14ac:dyDescent="0.25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6" t="str">
        <f>IFERROR(VLOOKUP(A2860,Shipped!I:J,2,)," ")</f>
        <v xml:space="preserve"> </v>
      </c>
    </row>
    <row r="2861" spans="1:14" x14ac:dyDescent="0.25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6" t="str">
        <f>IFERROR(VLOOKUP(A2861,Shipped!I:J,2,)," ")</f>
        <v xml:space="preserve"> </v>
      </c>
    </row>
    <row r="2862" spans="1:14" x14ac:dyDescent="0.25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6" t="str">
        <f>IFERROR(VLOOKUP(A2862,Shipped!I:J,2,)," ")</f>
        <v xml:space="preserve"> </v>
      </c>
    </row>
    <row r="2863" spans="1:14" x14ac:dyDescent="0.25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6" t="str">
        <f>IFERROR(VLOOKUP(A2863,Shipped!I:J,2,)," ")</f>
        <v xml:space="preserve"> </v>
      </c>
    </row>
    <row r="2864" spans="1:14" x14ac:dyDescent="0.25">
      <c r="A2864" s="11" t="s">
        <v>2697</v>
      </c>
      <c r="B2864" s="11" t="s">
        <v>6</v>
      </c>
      <c r="C2864" s="11" t="s">
        <v>6</v>
      </c>
      <c r="D2864" s="11">
        <v>1</v>
      </c>
      <c r="E2864" s="11" t="s">
        <v>7</v>
      </c>
      <c r="F2864" s="20">
        <v>46279.800937499997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6" t="str">
        <f>IFERROR(VLOOKUP(A2864,Shipped!I:J,2,)," ")</f>
        <v xml:space="preserve"> </v>
      </c>
    </row>
    <row r="2865" spans="1:14" x14ac:dyDescent="0.25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6" t="str">
        <f>IFERROR(VLOOKUP(A2865,Shipped!I:J,2,)," ")</f>
        <v xml:space="preserve"> </v>
      </c>
    </row>
    <row r="2866" spans="1:14" x14ac:dyDescent="0.25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6" t="str">
        <f>IFERROR(VLOOKUP(A2866,Shipped!I:J,2,)," ")</f>
        <v xml:space="preserve"> </v>
      </c>
    </row>
    <row r="2867" spans="1:14" x14ac:dyDescent="0.25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6" t="str">
        <f>IFERROR(VLOOKUP(A2867,Shipped!I:J,2,)," ")</f>
        <v xml:space="preserve"> </v>
      </c>
    </row>
    <row r="2868" spans="1:14" x14ac:dyDescent="0.25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6" t="str">
        <f>IFERROR(VLOOKUP(A2868,Shipped!I:J,2,)," ")</f>
        <v xml:space="preserve"> </v>
      </c>
    </row>
    <row r="2869" spans="1:14" x14ac:dyDescent="0.25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6" t="str">
        <f>IFERROR(VLOOKUP(A2869,Shipped!I:J,2,)," ")</f>
        <v xml:space="preserve"> </v>
      </c>
    </row>
    <row r="2870" spans="1:14" x14ac:dyDescent="0.25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6" t="str">
        <f>IFERROR(VLOOKUP(A2870,Shipped!I:J,2,)," ")</f>
        <v xml:space="preserve"> </v>
      </c>
    </row>
    <row r="2871" spans="1:14" x14ac:dyDescent="0.25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6" t="str">
        <f>IFERROR(VLOOKUP(A2871,Shipped!I:J,2,)," ")</f>
        <v xml:space="preserve"> </v>
      </c>
    </row>
    <row r="2872" spans="1:14" x14ac:dyDescent="0.25">
      <c r="A2872" s="11" t="s">
        <v>2705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46280.498032407406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6" t="str">
        <f>IFERROR(VLOOKUP(A2872,Shipped!I:J,2,)," ")</f>
        <v xml:space="preserve"> </v>
      </c>
    </row>
    <row r="2873" spans="1:14" x14ac:dyDescent="0.25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6" t="str">
        <f>IFERROR(VLOOKUP(A2873,Shipped!I:J,2,)," ")</f>
        <v xml:space="preserve"> </v>
      </c>
    </row>
    <row r="2874" spans="1:14" x14ac:dyDescent="0.25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6" t="str">
        <f>IFERROR(VLOOKUP(A2874,Shipped!I:J,2,)," ")</f>
        <v xml:space="preserve"> </v>
      </c>
    </row>
    <row r="2875" spans="1:14" x14ac:dyDescent="0.25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6" t="str">
        <f>IFERROR(VLOOKUP(A2875,Shipped!I:J,2,)," ")</f>
        <v xml:space="preserve"> </v>
      </c>
    </row>
    <row r="2876" spans="1:14" x14ac:dyDescent="0.25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6" t="str">
        <f>IFERROR(VLOOKUP(A2876,Shipped!I:J,2,)," ")</f>
        <v xml:space="preserve"> </v>
      </c>
    </row>
    <row r="2877" spans="1:14" x14ac:dyDescent="0.25">
      <c r="A2877" s="11" t="s">
        <v>2710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46279.468171296299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6" t="str">
        <f>IFERROR(VLOOKUP(A2877,Shipped!I:J,2,)," ")</f>
        <v xml:space="preserve"> </v>
      </c>
    </row>
    <row r="2878" spans="1:14" x14ac:dyDescent="0.25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6" t="str">
        <f>IFERROR(VLOOKUP(A2878,Shipped!I:J,2,)," ")</f>
        <v xml:space="preserve"> </v>
      </c>
    </row>
    <row r="2879" spans="1:14" x14ac:dyDescent="0.25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6" t="str">
        <f>IFERROR(VLOOKUP(A2879,Shipped!I:J,2,)," ")</f>
        <v xml:space="preserve"> </v>
      </c>
    </row>
    <row r="2880" spans="1:14" x14ac:dyDescent="0.25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6" t="str">
        <f>IFERROR(VLOOKUP(A2880,Shipped!I:J,2,)," ")</f>
        <v xml:space="preserve"> </v>
      </c>
    </row>
    <row r="2881" spans="1:14" x14ac:dyDescent="0.25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6" t="str">
        <f>IFERROR(VLOOKUP(A2881,Shipped!I:J,2,)," ")</f>
        <v xml:space="preserve"> </v>
      </c>
    </row>
    <row r="2882" spans="1:14" x14ac:dyDescent="0.25">
      <c r="A2882" s="11" t="s">
        <v>2715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46279.469571759262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6" t="str">
        <f>IFERROR(VLOOKUP(A2882,Shipped!I:J,2,)," ")</f>
        <v xml:space="preserve"> </v>
      </c>
    </row>
    <row r="2883" spans="1:14" x14ac:dyDescent="0.25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6" t="str">
        <f>IFERROR(VLOOKUP(A2883,Shipped!I:J,2,)," ")</f>
        <v xml:space="preserve"> </v>
      </c>
    </row>
    <row r="2884" spans="1:14" x14ac:dyDescent="0.25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6" t="str">
        <f>IFERROR(VLOOKUP(A2884,Shipped!I:J,2,)," ")</f>
        <v xml:space="preserve"> </v>
      </c>
    </row>
    <row r="2885" spans="1:14" x14ac:dyDescent="0.25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6" t="str">
        <f>IFERROR(VLOOKUP(A2885,Shipped!I:J,2,)," ")</f>
        <v xml:space="preserve"> </v>
      </c>
    </row>
    <row r="2886" spans="1:14" x14ac:dyDescent="0.25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6" t="str">
        <f>IFERROR(VLOOKUP(A2886,Shipped!I:J,2,)," ")</f>
        <v xml:space="preserve"> </v>
      </c>
    </row>
    <row r="2887" spans="1:14" x14ac:dyDescent="0.25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6" t="str">
        <f>IFERROR(VLOOKUP(A2887,Shipped!I:J,2,)," ")</f>
        <v xml:space="preserve"> </v>
      </c>
    </row>
    <row r="2888" spans="1:14" x14ac:dyDescent="0.25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6" t="str">
        <f>IFERROR(VLOOKUP(A2888,Shipped!I:J,2,)," ")</f>
        <v xml:space="preserve"> </v>
      </c>
    </row>
    <row r="2889" spans="1:14" x14ac:dyDescent="0.25">
      <c r="A2889" s="11" t="s">
        <v>2722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46276.516215277778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6" t="str">
        <f>IFERROR(VLOOKUP(A2889,Shipped!I:J,2,)," ")</f>
        <v xml:space="preserve"> </v>
      </c>
    </row>
    <row r="2890" spans="1:14" x14ac:dyDescent="0.25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6" t="str">
        <f>IFERROR(VLOOKUP(A2890,Shipped!I:J,2,)," ")</f>
        <v xml:space="preserve"> </v>
      </c>
    </row>
    <row r="2891" spans="1:14" x14ac:dyDescent="0.25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6" t="str">
        <f>IFERROR(VLOOKUP(A2891,Shipped!I:J,2,)," ")</f>
        <v xml:space="preserve"> </v>
      </c>
    </row>
    <row r="2892" spans="1:14" x14ac:dyDescent="0.25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6" t="str">
        <f>IFERROR(VLOOKUP(A2892,Shipped!I:J,2,)," ")</f>
        <v xml:space="preserve"> </v>
      </c>
    </row>
    <row r="2893" spans="1:14" x14ac:dyDescent="0.25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6" t="str">
        <f>IFERROR(VLOOKUP(A2893,Shipped!I:J,2,)," ")</f>
        <v xml:space="preserve"> </v>
      </c>
    </row>
    <row r="2894" spans="1:14" x14ac:dyDescent="0.25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6" t="str">
        <f>IFERROR(VLOOKUP(A2894,Shipped!I:J,2,)," ")</f>
        <v xml:space="preserve"> </v>
      </c>
    </row>
    <row r="2895" spans="1:14" x14ac:dyDescent="0.25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6" t="str">
        <f>IFERROR(VLOOKUP(A2895,Shipped!I:J,2,)," ")</f>
        <v xml:space="preserve"> </v>
      </c>
    </row>
    <row r="2896" spans="1:14" x14ac:dyDescent="0.25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6" t="str">
        <f>IFERROR(VLOOKUP(A2896,Shipped!I:J,2,)," ")</f>
        <v xml:space="preserve"> </v>
      </c>
    </row>
    <row r="2897" spans="1:14" x14ac:dyDescent="0.25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6" t="str">
        <f>IFERROR(VLOOKUP(A2897,Shipped!I:J,2,)," ")</f>
        <v xml:space="preserve"> </v>
      </c>
    </row>
    <row r="2898" spans="1:14" x14ac:dyDescent="0.25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6" t="str">
        <f>IFERROR(VLOOKUP(A2898,Shipped!I:J,2,)," ")</f>
        <v xml:space="preserve"> </v>
      </c>
    </row>
    <row r="2899" spans="1:14" x14ac:dyDescent="0.25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6" t="str">
        <f>IFERROR(VLOOKUP(A2899,Shipped!I:J,2,)," ")</f>
        <v xml:space="preserve"> </v>
      </c>
    </row>
    <row r="2900" spans="1:14" x14ac:dyDescent="0.25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6" t="str">
        <f>IFERROR(VLOOKUP(A2900,Shipped!I:J,2,)," ")</f>
        <v xml:space="preserve"> </v>
      </c>
    </row>
    <row r="2901" spans="1:14" x14ac:dyDescent="0.25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6" t="str">
        <f>IFERROR(VLOOKUP(A2901,Shipped!I:J,2,)," ")</f>
        <v xml:space="preserve"> </v>
      </c>
    </row>
    <row r="2902" spans="1:14" x14ac:dyDescent="0.25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6" t="str">
        <f>IFERROR(VLOOKUP(A2902,Shipped!I:J,2,)," ")</f>
        <v xml:space="preserve"> </v>
      </c>
    </row>
    <row r="2903" spans="1:14" x14ac:dyDescent="0.25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6" t="str">
        <f>IFERROR(VLOOKUP(A2903,Shipped!I:J,2,)," ")</f>
        <v xml:space="preserve"> </v>
      </c>
    </row>
    <row r="2904" spans="1:14" x14ac:dyDescent="0.25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6" t="str">
        <f>IFERROR(VLOOKUP(A2904,Shipped!I:J,2,)," ")</f>
        <v xml:space="preserve"> </v>
      </c>
    </row>
    <row r="2905" spans="1:14" x14ac:dyDescent="0.25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6" t="str">
        <f>IFERROR(VLOOKUP(A2905,Shipped!I:J,2,)," ")</f>
        <v xml:space="preserve"> </v>
      </c>
    </row>
    <row r="2906" spans="1:14" x14ac:dyDescent="0.25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6" t="str">
        <f>IFERROR(VLOOKUP(A2906,Shipped!I:J,2,)," ")</f>
        <v xml:space="preserve"> </v>
      </c>
    </row>
    <row r="2907" spans="1:14" x14ac:dyDescent="0.25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6" t="str">
        <f>IFERROR(VLOOKUP(A2907,Shipped!I:J,2,)," ")</f>
        <v xml:space="preserve"> </v>
      </c>
    </row>
    <row r="2908" spans="1:14" x14ac:dyDescent="0.25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6" t="str">
        <f>IFERROR(VLOOKUP(A2908,Shipped!I:J,2,)," ")</f>
        <v xml:space="preserve"> </v>
      </c>
    </row>
    <row r="2909" spans="1:14" x14ac:dyDescent="0.25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6" t="str">
        <f>IFERROR(VLOOKUP(A2909,Shipped!I:J,2,)," ")</f>
        <v xml:space="preserve"> </v>
      </c>
    </row>
    <row r="2910" spans="1:14" x14ac:dyDescent="0.25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6" t="str">
        <f>IFERROR(VLOOKUP(A2910,Shipped!I:J,2,)," ")</f>
        <v xml:space="preserve"> </v>
      </c>
    </row>
    <row r="2911" spans="1:14" x14ac:dyDescent="0.25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6" t="str">
        <f>IFERROR(VLOOKUP(A2911,Shipped!I:J,2,)," ")</f>
        <v xml:space="preserve"> </v>
      </c>
    </row>
    <row r="2912" spans="1:14" x14ac:dyDescent="0.25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6" t="str">
        <f>IFERROR(VLOOKUP(A2912,Shipped!I:J,2,)," ")</f>
        <v xml:space="preserve"> </v>
      </c>
    </row>
    <row r="2913" spans="1:14" x14ac:dyDescent="0.25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6" t="str">
        <f>IFERROR(VLOOKUP(A2913,Shipped!I:J,2,)," ")</f>
        <v xml:space="preserve"> </v>
      </c>
    </row>
    <row r="2914" spans="1:14" x14ac:dyDescent="0.25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6" t="str">
        <f>IFERROR(VLOOKUP(A2914,Shipped!I:J,2,)," ")</f>
        <v xml:space="preserve"> </v>
      </c>
    </row>
    <row r="2915" spans="1:14" x14ac:dyDescent="0.25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6" t="str">
        <f>IFERROR(VLOOKUP(A2915,Shipped!I:J,2,)," ")</f>
        <v xml:space="preserve"> </v>
      </c>
    </row>
    <row r="2916" spans="1:14" x14ac:dyDescent="0.25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6" t="str">
        <f>IFERROR(VLOOKUP(A2916,Shipped!I:J,2,)," ")</f>
        <v xml:space="preserve"> </v>
      </c>
    </row>
    <row r="2917" spans="1:14" x14ac:dyDescent="0.25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56" t="str">
        <f>IFERROR(VLOOKUP(A2917,Shipped!I:J,2,)," ")</f>
        <v xml:space="preserve"> </v>
      </c>
    </row>
    <row r="2918" spans="1:14" x14ac:dyDescent="0.25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56" t="str">
        <f>IFERROR(VLOOKUP(A2918,Shipped!I:J,2,)," ")</f>
        <v xml:space="preserve"> </v>
      </c>
    </row>
    <row r="2919" spans="1:14" x14ac:dyDescent="0.25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56" t="str">
        <f>IFERROR(VLOOKUP(A2919,Shipped!I:J,2,)," ")</f>
        <v xml:space="preserve"> </v>
      </c>
    </row>
    <row r="2920" spans="1:14" x14ac:dyDescent="0.25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56" t="str">
        <f>IFERROR(VLOOKUP(A2920,Shipped!I:J,2,)," ")</f>
        <v xml:space="preserve"> </v>
      </c>
    </row>
    <row r="2921" spans="1:14" x14ac:dyDescent="0.25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56" t="str">
        <f>IFERROR(VLOOKUP(A2921,Shipped!I:J,2,)," ")</f>
        <v xml:space="preserve"> </v>
      </c>
    </row>
    <row r="2922" spans="1:14" x14ac:dyDescent="0.25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6" t="str">
        <f>IFERROR(VLOOKUP(A2922,Shipped!I:J,2,)," ")</f>
        <v xml:space="preserve"> </v>
      </c>
    </row>
    <row r="2923" spans="1:14" x14ac:dyDescent="0.25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56" t="str">
        <f>IFERROR(VLOOKUP(A2923,Shipped!I:J,2,)," ")</f>
        <v xml:space="preserve"> </v>
      </c>
    </row>
    <row r="2924" spans="1:14" x14ac:dyDescent="0.25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56" t="str">
        <f>IFERROR(VLOOKUP(A2924,Shipped!I:J,2,)," ")</f>
        <v xml:space="preserve"> </v>
      </c>
    </row>
    <row r="2925" spans="1:14" x14ac:dyDescent="0.25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56" t="str">
        <f>IFERROR(VLOOKUP(A2925,Shipped!I:J,2,)," ")</f>
        <v xml:space="preserve"> </v>
      </c>
    </row>
    <row r="2926" spans="1:14" x14ac:dyDescent="0.25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56" t="str">
        <f>IFERROR(VLOOKUP(A2926,Shipped!I:J,2,)," ")</f>
        <v xml:space="preserve"> </v>
      </c>
    </row>
    <row r="2927" spans="1:14" x14ac:dyDescent="0.25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56" t="str">
        <f>IFERROR(VLOOKUP(A2927,Shipped!I:J,2,)," ")</f>
        <v xml:space="preserve"> </v>
      </c>
    </row>
    <row r="2928" spans="1:14" x14ac:dyDescent="0.25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56" t="str">
        <f>IFERROR(VLOOKUP(A2928,Shipped!I:J,2,)," ")</f>
        <v xml:space="preserve"> </v>
      </c>
    </row>
    <row r="2929" spans="1:14" x14ac:dyDescent="0.25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56" t="str">
        <f>IFERROR(VLOOKUP(A2929,Shipped!I:J,2,)," ")</f>
        <v xml:space="preserve"> </v>
      </c>
    </row>
    <row r="2930" spans="1:14" x14ac:dyDescent="0.25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6" t="str">
        <f>IFERROR(VLOOKUP(A2930,Shipped!I:J,2,)," ")</f>
        <v xml:space="preserve"> </v>
      </c>
    </row>
    <row r="2931" spans="1:14" x14ac:dyDescent="0.25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6" t="str">
        <f>IFERROR(VLOOKUP(A2931,Shipped!I:J,2,)," ")</f>
        <v xml:space="preserve"> </v>
      </c>
    </row>
    <row r="2932" spans="1:14" x14ac:dyDescent="0.25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6" t="str">
        <f>IFERROR(VLOOKUP(A2932,Shipped!I:J,2,)," ")</f>
        <v xml:space="preserve"> </v>
      </c>
    </row>
    <row r="2933" spans="1:14" x14ac:dyDescent="0.25">
      <c r="A2933" s="11" t="s">
        <v>2766</v>
      </c>
      <c r="B2933" s="11" t="s">
        <v>6</v>
      </c>
      <c r="C2933" s="11" t="s">
        <v>6</v>
      </c>
      <c r="D2933" s="11">
        <v>1</v>
      </c>
      <c r="E2933" s="11" t="s">
        <v>7</v>
      </c>
      <c r="F2933" s="20">
        <v>46280.49664351852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6" t="str">
        <f>IFERROR(VLOOKUP(A2933,Shipped!I:J,2,)," ")</f>
        <v xml:space="preserve"> </v>
      </c>
    </row>
    <row r="2934" spans="1:14" x14ac:dyDescent="0.25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6" t="str">
        <f>IFERROR(VLOOKUP(A2934,Shipped!I:J,2,)," ")</f>
        <v xml:space="preserve"> </v>
      </c>
    </row>
    <row r="2935" spans="1:14" x14ac:dyDescent="0.25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6" t="str">
        <f>IFERROR(VLOOKUP(A2935,Shipped!I:J,2,)," ")</f>
        <v xml:space="preserve"> </v>
      </c>
    </row>
    <row r="2936" spans="1:14" x14ac:dyDescent="0.25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6" t="str">
        <f>IFERROR(VLOOKUP(A2936,Shipped!I:J,2,)," ")</f>
        <v xml:space="preserve"> </v>
      </c>
    </row>
    <row r="2937" spans="1:14" x14ac:dyDescent="0.25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6" t="str">
        <f>IFERROR(VLOOKUP(A2937,Shipped!I:J,2,)," ")</f>
        <v xml:space="preserve"> </v>
      </c>
    </row>
    <row r="2938" spans="1:14" x14ac:dyDescent="0.25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6" t="str">
        <f>IFERROR(VLOOKUP(A2938,Shipped!I:J,2,)," ")</f>
        <v xml:space="preserve"> </v>
      </c>
    </row>
    <row r="2939" spans="1:14" x14ac:dyDescent="0.25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6" t="str">
        <f>IFERROR(VLOOKUP(A2939,Shipped!I:J,2,)," ")</f>
        <v xml:space="preserve"> </v>
      </c>
    </row>
    <row r="2940" spans="1:14" x14ac:dyDescent="0.25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6" t="str">
        <f>IFERROR(VLOOKUP(A2940,Shipped!I:J,2,)," ")</f>
        <v xml:space="preserve"> </v>
      </c>
    </row>
    <row r="2941" spans="1:14" x14ac:dyDescent="0.25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6" t="str">
        <f>IFERROR(VLOOKUP(A2941,Shipped!I:J,2,)," ")</f>
        <v xml:space="preserve"> </v>
      </c>
    </row>
    <row r="2942" spans="1:14" x14ac:dyDescent="0.25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6" t="str">
        <f>IFERROR(VLOOKUP(A2942,Shipped!I:J,2,)," ")</f>
        <v xml:space="preserve"> </v>
      </c>
    </row>
    <row r="2943" spans="1:14" x14ac:dyDescent="0.25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6" t="str">
        <f>IFERROR(VLOOKUP(A2943,Shipped!I:J,2,)," ")</f>
        <v xml:space="preserve"> </v>
      </c>
    </row>
    <row r="2944" spans="1:14" x14ac:dyDescent="0.25">
      <c r="A2944" s="11" t="s">
        <v>2777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46279.800821759258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6" t="str">
        <f>IFERROR(VLOOKUP(A2944,Shipped!I:J,2,)," ")</f>
        <v xml:space="preserve"> </v>
      </c>
    </row>
    <row r="2945" spans="1:14" x14ac:dyDescent="0.25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6" t="str">
        <f>IFERROR(VLOOKUP(A2945,Shipped!I:J,2,)," ")</f>
        <v xml:space="preserve"> </v>
      </c>
    </row>
    <row r="2946" spans="1:14" x14ac:dyDescent="0.25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6" t="str">
        <f>IFERROR(VLOOKUP(A2946,Shipped!I:J,2,)," ")</f>
        <v xml:space="preserve"> </v>
      </c>
    </row>
    <row r="2947" spans="1:14" x14ac:dyDescent="0.25">
      <c r="A2947" s="11" t="s">
        <v>2780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46280.496307870373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6" t="str">
        <f>IFERROR(VLOOKUP(A2947,Shipped!I:J,2,)," ")</f>
        <v xml:space="preserve"> </v>
      </c>
    </row>
    <row r="2948" spans="1:14" x14ac:dyDescent="0.25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6" t="str">
        <f>IFERROR(VLOOKUP(A2948,Shipped!I:J,2,)," ")</f>
        <v xml:space="preserve"> </v>
      </c>
    </row>
    <row r="2949" spans="1:14" x14ac:dyDescent="0.25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6" t="str">
        <f>IFERROR(VLOOKUP(A2949,Shipped!I:J,2,)," ")</f>
        <v xml:space="preserve"> </v>
      </c>
    </row>
    <row r="2950" spans="1:14" x14ac:dyDescent="0.25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56" t="str">
        <f>IFERROR(VLOOKUP(A2950,Shipped!I:J,2,)," ")</f>
        <v xml:space="preserve"> </v>
      </c>
    </row>
    <row r="2951" spans="1:14" x14ac:dyDescent="0.25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56" t="str">
        <f>IFERROR(VLOOKUP(A2951,Shipped!I:J,2,)," ")</f>
        <v xml:space="preserve"> </v>
      </c>
    </row>
    <row r="2952" spans="1:14" x14ac:dyDescent="0.25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56" t="str">
        <f>IFERROR(VLOOKUP(A2952,Shipped!I:J,2,)," ")</f>
        <v xml:space="preserve"> </v>
      </c>
    </row>
    <row r="2953" spans="1:14" x14ac:dyDescent="0.25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56" t="str">
        <f>IFERROR(VLOOKUP(A2953,Shipped!I:J,2,)," ")</f>
        <v xml:space="preserve"> </v>
      </c>
    </row>
    <row r="2954" spans="1:14" x14ac:dyDescent="0.25">
      <c r="A2954" s="11" t="s">
        <v>2787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46280.494571759256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6" t="str">
        <f>IFERROR(VLOOKUP(A2954,Shipped!I:J,2,)," ")</f>
        <v xml:space="preserve"> </v>
      </c>
    </row>
    <row r="2955" spans="1:14" x14ac:dyDescent="0.25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6" t="str">
        <f>IFERROR(VLOOKUP(A2955,Shipped!I:J,2,)," ")</f>
        <v xml:space="preserve"> </v>
      </c>
    </row>
    <row r="2956" spans="1:14" x14ac:dyDescent="0.25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6" t="str">
        <f>IFERROR(VLOOKUP(A2956,Shipped!I:J,2,)," ")</f>
        <v xml:space="preserve"> </v>
      </c>
    </row>
    <row r="2957" spans="1:14" x14ac:dyDescent="0.25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6" t="str">
        <f>IFERROR(VLOOKUP(A2957,Shipped!I:J,2,)," ")</f>
        <v xml:space="preserve"> </v>
      </c>
    </row>
    <row r="2958" spans="1:14" x14ac:dyDescent="0.25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6" t="str">
        <f>IFERROR(VLOOKUP(A2958,Shipped!I:J,2,)," ")</f>
        <v xml:space="preserve"> </v>
      </c>
    </row>
    <row r="2959" spans="1:14" x14ac:dyDescent="0.25">
      <c r="A2959" s="11" t="s">
        <v>2792</v>
      </c>
      <c r="B2959" s="11" t="s">
        <v>6</v>
      </c>
      <c r="C2959" s="11" t="s">
        <v>6</v>
      </c>
      <c r="D2959" s="11">
        <v>1</v>
      </c>
      <c r="E2959" s="11" t="s">
        <v>7</v>
      </c>
      <c r="F2959" s="20">
        <v>46276.794062499997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6" t="str">
        <f>IFERROR(VLOOKUP(A2959,Shipped!I:J,2,)," ")</f>
        <v xml:space="preserve"> </v>
      </c>
    </row>
    <row r="2960" spans="1:14" x14ac:dyDescent="0.25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6" t="str">
        <f>IFERROR(VLOOKUP(A2960,Shipped!I:J,2,)," ")</f>
        <v xml:space="preserve"> </v>
      </c>
    </row>
    <row r="2961" spans="1:14" x14ac:dyDescent="0.25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6" t="str">
        <f>IFERROR(VLOOKUP(A2961,Shipped!I:J,2,)," ")</f>
        <v xml:space="preserve"> </v>
      </c>
    </row>
    <row r="2962" spans="1:14" x14ac:dyDescent="0.25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6" t="str">
        <f>IFERROR(VLOOKUP(A2962,Shipped!I:J,2,)," ")</f>
        <v xml:space="preserve"> </v>
      </c>
    </row>
    <row r="2963" spans="1:14" x14ac:dyDescent="0.25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6" t="str">
        <f>IFERROR(VLOOKUP(A2963,Shipped!I:J,2,)," ")</f>
        <v xml:space="preserve"> </v>
      </c>
    </row>
    <row r="2964" spans="1:14" x14ac:dyDescent="0.25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6" t="str">
        <f>IFERROR(VLOOKUP(A2964,Shipped!I:J,2,)," ")</f>
        <v xml:space="preserve"> </v>
      </c>
    </row>
    <row r="2965" spans="1:14" x14ac:dyDescent="0.25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6" t="str">
        <f>IFERROR(VLOOKUP(A2965,Shipped!I:J,2,)," ")</f>
        <v xml:space="preserve"> </v>
      </c>
    </row>
    <row r="2966" spans="1:14" x14ac:dyDescent="0.25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6" t="str">
        <f>IFERROR(VLOOKUP(A2966,Shipped!I:J,2,)," ")</f>
        <v xml:space="preserve"> </v>
      </c>
    </row>
    <row r="2967" spans="1:14" x14ac:dyDescent="0.25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6" t="str">
        <f>IFERROR(VLOOKUP(A2967,Shipped!I:J,2,)," ")</f>
        <v xml:space="preserve"> </v>
      </c>
    </row>
    <row r="2968" spans="1:14" x14ac:dyDescent="0.25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6" t="str">
        <f>IFERROR(VLOOKUP(A2968,Shipped!I:J,2,)," ")</f>
        <v xml:space="preserve"> </v>
      </c>
    </row>
    <row r="2969" spans="1:14" x14ac:dyDescent="0.25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6" t="str">
        <f>IFERROR(VLOOKUP(A2969,Shipped!I:J,2,)," ")</f>
        <v xml:space="preserve"> </v>
      </c>
    </row>
    <row r="2970" spans="1:14" x14ac:dyDescent="0.25">
      <c r="A2970" s="11" t="s">
        <v>2803</v>
      </c>
      <c r="B2970" s="11" t="s">
        <v>6</v>
      </c>
      <c r="C2970" s="11" t="s">
        <v>6</v>
      </c>
      <c r="D2970" s="11">
        <v>1</v>
      </c>
      <c r="E2970" s="11" t="s">
        <v>7</v>
      </c>
      <c r="F2970" s="20">
        <v>46279.456550925926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6" t="str">
        <f>IFERROR(VLOOKUP(A2970,Shipped!I:J,2,)," ")</f>
        <v xml:space="preserve"> </v>
      </c>
    </row>
    <row r="2971" spans="1:14" x14ac:dyDescent="0.25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6" t="str">
        <f>IFERROR(VLOOKUP(A2971,Shipped!I:J,2,)," ")</f>
        <v xml:space="preserve"> </v>
      </c>
    </row>
    <row r="2972" spans="1:14" x14ac:dyDescent="0.25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6" t="str">
        <f>IFERROR(VLOOKUP(A2972,Shipped!I:J,2,)," ")</f>
        <v xml:space="preserve"> </v>
      </c>
    </row>
    <row r="2973" spans="1:14" x14ac:dyDescent="0.25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6" t="str">
        <f>IFERROR(VLOOKUP(A2973,Shipped!I:J,2,)," ")</f>
        <v xml:space="preserve"> </v>
      </c>
    </row>
    <row r="2974" spans="1:14" x14ac:dyDescent="0.25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6" t="str">
        <f>IFERROR(VLOOKUP(A2974,Shipped!I:J,2,)," ")</f>
        <v xml:space="preserve"> </v>
      </c>
    </row>
    <row r="2975" spans="1:14" x14ac:dyDescent="0.25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56" t="str">
        <f>IFERROR(VLOOKUP(A2975,Shipped!I:J,2,)," ")</f>
        <v xml:space="preserve"> </v>
      </c>
    </row>
    <row r="2976" spans="1:14" x14ac:dyDescent="0.25">
      <c r="A2976" s="11" t="s">
        <v>2809</v>
      </c>
      <c r="B2976" s="11" t="s">
        <v>6</v>
      </c>
      <c r="C2976" s="11" t="s">
        <v>6</v>
      </c>
      <c r="D2976" s="11">
        <v>1</v>
      </c>
      <c r="E2976" s="11" t="s">
        <v>7</v>
      </c>
      <c r="F2976" s="20">
        <v>46279.266087962962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6" t="str">
        <f>IFERROR(VLOOKUP(A2976,Shipped!I:J,2,)," ")</f>
        <v xml:space="preserve"> </v>
      </c>
    </row>
    <row r="2977" spans="1:14" x14ac:dyDescent="0.25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6" t="str">
        <f>IFERROR(VLOOKUP(A2977,Shipped!I:J,2,)," ")</f>
        <v xml:space="preserve"> </v>
      </c>
    </row>
    <row r="2978" spans="1:14" x14ac:dyDescent="0.25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56" t="str">
        <f>IFERROR(VLOOKUP(A2978,Shipped!I:J,2,)," ")</f>
        <v xml:space="preserve"> </v>
      </c>
    </row>
    <row r="2979" spans="1:14" x14ac:dyDescent="0.25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6" t="str">
        <f>IFERROR(VLOOKUP(A2979,Shipped!I:J,2,)," ")</f>
        <v xml:space="preserve"> </v>
      </c>
    </row>
    <row r="2980" spans="1:14" x14ac:dyDescent="0.25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6" t="str">
        <f>IFERROR(VLOOKUP(A2980,Shipped!I:J,2,)," ")</f>
        <v xml:space="preserve"> </v>
      </c>
    </row>
    <row r="2981" spans="1:14" x14ac:dyDescent="0.25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6" t="str">
        <f>IFERROR(VLOOKUP(A2981,Shipped!I:J,2,)," ")</f>
        <v xml:space="preserve"> </v>
      </c>
    </row>
    <row r="2982" spans="1:14" x14ac:dyDescent="0.25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56" t="str">
        <f>IFERROR(VLOOKUP(A2982,Shipped!I:J,2,)," ")</f>
        <v xml:space="preserve"> </v>
      </c>
    </row>
    <row r="2983" spans="1:14" x14ac:dyDescent="0.25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56" t="str">
        <f>IFERROR(VLOOKUP(A2983,Shipped!I:J,2,)," ")</f>
        <v xml:space="preserve"> </v>
      </c>
    </row>
    <row r="2984" spans="1:14" x14ac:dyDescent="0.25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56" t="str">
        <f>IFERROR(VLOOKUP(A2984,Shipped!I:J,2,)," ")</f>
        <v xml:space="preserve"> </v>
      </c>
    </row>
    <row r="2985" spans="1:14" x14ac:dyDescent="0.25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56" t="str">
        <f>IFERROR(VLOOKUP(A2985,Shipped!I:J,2,)," ")</f>
        <v xml:space="preserve"> </v>
      </c>
    </row>
    <row r="2986" spans="1:14" x14ac:dyDescent="0.25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56" t="str">
        <f>IFERROR(VLOOKUP(A2986,Shipped!I:J,2,)," ")</f>
        <v xml:space="preserve"> </v>
      </c>
    </row>
    <row r="2987" spans="1:14" x14ac:dyDescent="0.25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6" t="str">
        <f>IFERROR(VLOOKUP(A2987,Shipped!I:J,2,)," ")</f>
        <v xml:space="preserve"> </v>
      </c>
    </row>
    <row r="2988" spans="1:14" x14ac:dyDescent="0.25">
      <c r="A2988" s="11" t="s">
        <v>2821</v>
      </c>
      <c r="B2988" s="11" t="s">
        <v>6</v>
      </c>
      <c r="C2988" s="11" t="s">
        <v>6</v>
      </c>
      <c r="D2988" s="11">
        <v>1</v>
      </c>
      <c r="E2988" s="11" t="s">
        <v>7</v>
      </c>
      <c r="F2988" s="20">
        <v>46276.789837962962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56" t="str">
        <f>IFERROR(VLOOKUP(A2988,Shipped!I:J,2,)," ")</f>
        <v xml:space="preserve"> </v>
      </c>
    </row>
    <row r="2989" spans="1:14" x14ac:dyDescent="0.25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56" t="str">
        <f>IFERROR(VLOOKUP(A2989,Shipped!I:J,2,)," ")</f>
        <v xml:space="preserve"> </v>
      </c>
    </row>
    <row r="2990" spans="1:14" x14ac:dyDescent="0.25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56" t="str">
        <f>IFERROR(VLOOKUP(A2990,Shipped!I:J,2,)," ")</f>
        <v xml:space="preserve"> </v>
      </c>
    </row>
    <row r="2991" spans="1:14" x14ac:dyDescent="0.25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56" t="str">
        <f>IFERROR(VLOOKUP(A2991,Shipped!I:J,2,)," ")</f>
        <v xml:space="preserve"> </v>
      </c>
    </row>
    <row r="2992" spans="1:14" x14ac:dyDescent="0.25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56" t="str">
        <f>IFERROR(VLOOKUP(A2992,Shipped!I:J,2,)," ")</f>
        <v xml:space="preserve"> </v>
      </c>
    </row>
    <row r="2993" spans="1:14" x14ac:dyDescent="0.25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56" t="str">
        <f>IFERROR(VLOOKUP(A2993,Shipped!I:J,2,)," ")</f>
        <v xml:space="preserve"> </v>
      </c>
    </row>
    <row r="2994" spans="1:14" x14ac:dyDescent="0.25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56" t="str">
        <f>IFERROR(VLOOKUP(A2994,Shipped!I:J,2,)," ")</f>
        <v xml:space="preserve"> </v>
      </c>
    </row>
    <row r="2995" spans="1:14" x14ac:dyDescent="0.25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6" t="str">
        <f>IFERROR(VLOOKUP(A2995,Shipped!I:J,2,)," ")</f>
        <v xml:space="preserve"> </v>
      </c>
    </row>
    <row r="2996" spans="1:14" x14ac:dyDescent="0.25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6" t="str">
        <f>IFERROR(VLOOKUP(A2996,Shipped!I:J,2,)," ")</f>
        <v xml:space="preserve"> </v>
      </c>
    </row>
    <row r="2997" spans="1:14" x14ac:dyDescent="0.25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6" t="str">
        <f>IFERROR(VLOOKUP(A2997,Shipped!I:J,2,)," ")</f>
        <v xml:space="preserve"> </v>
      </c>
    </row>
    <row r="2998" spans="1:14" x14ac:dyDescent="0.25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6" t="str">
        <f>IFERROR(VLOOKUP(A2998,Shipped!I:J,2,)," ")</f>
        <v xml:space="preserve"> </v>
      </c>
    </row>
    <row r="2999" spans="1:14" x14ac:dyDescent="0.25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6" t="str">
        <f>IFERROR(VLOOKUP(A2999,Shipped!I:J,2,)," ")</f>
        <v xml:space="preserve"> </v>
      </c>
    </row>
    <row r="3000" spans="1:14" x14ac:dyDescent="0.25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6" t="str">
        <f>IFERROR(VLOOKUP(A3000,Shipped!I:J,2,)," ")</f>
        <v xml:space="preserve"> </v>
      </c>
    </row>
    <row r="3001" spans="1:14" x14ac:dyDescent="0.25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6" t="str">
        <f>IFERROR(VLOOKUP(A3001,Shipped!I:J,2,)," ")</f>
        <v xml:space="preserve"> </v>
      </c>
    </row>
    <row r="3002" spans="1:14" x14ac:dyDescent="0.25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6" t="str">
        <f>IFERROR(VLOOKUP(A3002,Shipped!I:J,2,)," ")</f>
        <v xml:space="preserve"> </v>
      </c>
    </row>
    <row r="3003" spans="1:14" x14ac:dyDescent="0.25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6" t="str">
        <f>IFERROR(VLOOKUP(A3003,Shipped!I:J,2,)," ")</f>
        <v xml:space="preserve"> </v>
      </c>
    </row>
    <row r="3004" spans="1:14" x14ac:dyDescent="0.25">
      <c r="A3004" s="11" t="s">
        <v>2837</v>
      </c>
      <c r="B3004" s="11" t="s">
        <v>6</v>
      </c>
      <c r="C3004" s="11" t="s">
        <v>6</v>
      </c>
      <c r="D3004" s="11">
        <v>1</v>
      </c>
      <c r="E3004" s="11" t="s">
        <v>7</v>
      </c>
      <c r="F3004" s="20">
        <v>46281.448912037034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6" t="str">
        <f>IFERROR(VLOOKUP(A3004,Shipped!I:J,2,)," ")</f>
        <v xml:space="preserve"> </v>
      </c>
    </row>
    <row r="3005" spans="1:14" x14ac:dyDescent="0.25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6" t="str">
        <f>IFERROR(VLOOKUP(A3005,Shipped!I:J,2,)," ")</f>
        <v xml:space="preserve"> </v>
      </c>
    </row>
    <row r="3006" spans="1:14" x14ac:dyDescent="0.25">
      <c r="A3006" s="11" t="s">
        <v>2839</v>
      </c>
      <c r="B3006" s="11" t="s">
        <v>6</v>
      </c>
      <c r="C3006" s="11" t="s">
        <v>6</v>
      </c>
      <c r="D3006" s="11">
        <v>1</v>
      </c>
      <c r="E3006" s="11" t="s">
        <v>7</v>
      </c>
      <c r="F3006" s="20">
        <v>46281.450787037036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6" t="str">
        <f>IFERROR(VLOOKUP(A3006,Shipped!I:J,2,)," ")</f>
        <v xml:space="preserve"> </v>
      </c>
    </row>
    <row r="3007" spans="1:14" x14ac:dyDescent="0.25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6" t="str">
        <f>IFERROR(VLOOKUP(A3007,Shipped!I:J,2,)," ")</f>
        <v xml:space="preserve"> </v>
      </c>
    </row>
    <row r="3008" spans="1:14" x14ac:dyDescent="0.25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6" t="str">
        <f>IFERROR(VLOOKUP(A3008,Shipped!I:J,2,)," ")</f>
        <v xml:space="preserve"> </v>
      </c>
    </row>
    <row r="3009" spans="1:14" x14ac:dyDescent="0.25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6" t="str">
        <f>IFERROR(VLOOKUP(A3009,Shipped!I:J,2,)," ")</f>
        <v xml:space="preserve"> </v>
      </c>
    </row>
    <row r="3010" spans="1:14" x14ac:dyDescent="0.25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6" t="str">
        <f>IFERROR(VLOOKUP(A3010,Shipped!I:J,2,)," ")</f>
        <v xml:space="preserve"> </v>
      </c>
    </row>
    <row r="3011" spans="1:14" x14ac:dyDescent="0.25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6" t="str">
        <f>IFERROR(VLOOKUP(A3011,Shipped!I:J,2,)," ")</f>
        <v xml:space="preserve"> </v>
      </c>
    </row>
    <row r="3012" spans="1:14" x14ac:dyDescent="0.25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6" t="str">
        <f>IFERROR(VLOOKUP(A3012,Shipped!I:J,2,)," ")</f>
        <v xml:space="preserve"> </v>
      </c>
    </row>
    <row r="3013" spans="1:14" x14ac:dyDescent="0.25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6" t="str">
        <f>IFERROR(VLOOKUP(A3013,Shipped!I:J,2,)," ")</f>
        <v xml:space="preserve"> </v>
      </c>
    </row>
    <row r="3014" spans="1:14" x14ac:dyDescent="0.25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6" t="str">
        <f>IFERROR(VLOOKUP(A3014,Shipped!I:J,2,)," ")</f>
        <v xml:space="preserve"> </v>
      </c>
    </row>
    <row r="3015" spans="1:14" x14ac:dyDescent="0.25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56" t="str">
        <f>IFERROR(VLOOKUP(A3015,Shipped!I:J,2,)," ")</f>
        <v xml:space="preserve"> </v>
      </c>
    </row>
    <row r="3016" spans="1:14" x14ac:dyDescent="0.25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56" t="str">
        <f>IFERROR(VLOOKUP(A3016,Shipped!I:J,2,)," ")</f>
        <v xml:space="preserve"> </v>
      </c>
    </row>
    <row r="3017" spans="1:14" x14ac:dyDescent="0.25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56" t="str">
        <f>IFERROR(VLOOKUP(A3017,Shipped!I:J,2,)," ")</f>
        <v xml:space="preserve"> </v>
      </c>
    </row>
    <row r="3018" spans="1:14" x14ac:dyDescent="0.25">
      <c r="A3018" s="11" t="s">
        <v>2851</v>
      </c>
      <c r="B3018" s="11" t="s">
        <v>6</v>
      </c>
      <c r="C3018" s="11" t="s">
        <v>6</v>
      </c>
      <c r="D3018" s="11">
        <v>1</v>
      </c>
      <c r="E3018" s="11" t="s">
        <v>7</v>
      </c>
      <c r="F3018" s="20">
        <v>46276.790578703702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56" t="str">
        <f>IFERROR(VLOOKUP(A3018,Shipped!I:J,2,)," ")</f>
        <v xml:space="preserve"> </v>
      </c>
    </row>
    <row r="3019" spans="1:14" x14ac:dyDescent="0.25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6" t="str">
        <f>IFERROR(VLOOKUP(A3019,Shipped!I:J,2,)," ")</f>
        <v xml:space="preserve"> </v>
      </c>
    </row>
    <row r="3020" spans="1:14" x14ac:dyDescent="0.25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6" t="str">
        <f>IFERROR(VLOOKUP(A3020,Shipped!I:J,2,)," ")</f>
        <v xml:space="preserve"> </v>
      </c>
    </row>
    <row r="3021" spans="1:14" x14ac:dyDescent="0.25">
      <c r="A3021" s="11" t="s">
        <v>2854</v>
      </c>
      <c r="B3021" s="11" t="s">
        <v>6</v>
      </c>
      <c r="C3021" s="11" t="s">
        <v>6</v>
      </c>
      <c r="D3021" s="11">
        <v>1</v>
      </c>
      <c r="E3021" s="11" t="s">
        <v>7</v>
      </c>
      <c r="F3021" s="20">
        <v>46276.790347222224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6" t="str">
        <f>IFERROR(VLOOKUP(A3021,Shipped!I:J,2,)," ")</f>
        <v xml:space="preserve"> </v>
      </c>
    </row>
    <row r="3022" spans="1:14" x14ac:dyDescent="0.25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6" t="str">
        <f>IFERROR(VLOOKUP(A3022,Shipped!I:J,2,)," ")</f>
        <v xml:space="preserve"> </v>
      </c>
    </row>
    <row r="3023" spans="1:14" x14ac:dyDescent="0.25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6" t="str">
        <f>IFERROR(VLOOKUP(A3023,Shipped!I:J,2,)," ")</f>
        <v xml:space="preserve"> </v>
      </c>
    </row>
    <row r="3024" spans="1:14" x14ac:dyDescent="0.25">
      <c r="A3024" s="11" t="s">
        <v>2857</v>
      </c>
      <c r="B3024" s="11" t="s">
        <v>6</v>
      </c>
      <c r="C3024" s="11" t="s">
        <v>6</v>
      </c>
      <c r="D3024" s="11">
        <v>1</v>
      </c>
      <c r="E3024" s="11" t="s">
        <v>7</v>
      </c>
      <c r="F3024" s="20">
        <v>46276.515636574077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6" t="str">
        <f>IFERROR(VLOOKUP(A3024,Shipped!I:J,2,)," ")</f>
        <v xml:space="preserve"> </v>
      </c>
    </row>
    <row r="3025" spans="1:14" x14ac:dyDescent="0.25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6" t="str">
        <f>IFERROR(VLOOKUP(A3025,Shipped!I:J,2,)," ")</f>
        <v xml:space="preserve"> </v>
      </c>
    </row>
    <row r="3026" spans="1:14" x14ac:dyDescent="0.25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6" t="str">
        <f>IFERROR(VLOOKUP(A3026,Shipped!I:J,2,)," ")</f>
        <v xml:space="preserve"> </v>
      </c>
    </row>
    <row r="3027" spans="1:14" x14ac:dyDescent="0.25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56" t="str">
        <f>IFERROR(VLOOKUP(A3027,Shipped!I:J,2,)," ")</f>
        <v xml:space="preserve"> </v>
      </c>
    </row>
    <row r="3028" spans="1:14" x14ac:dyDescent="0.25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6" t="str">
        <f>IFERROR(VLOOKUP(A3028,Shipped!I:J,2,)," ")</f>
        <v xml:space="preserve"> </v>
      </c>
    </row>
    <row r="3029" spans="1:14" x14ac:dyDescent="0.25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6" t="str">
        <f>IFERROR(VLOOKUP(A3029,Shipped!I:J,2,)," ")</f>
        <v xml:space="preserve"> </v>
      </c>
    </row>
    <row r="3030" spans="1:14" x14ac:dyDescent="0.25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56" t="str">
        <f>IFERROR(VLOOKUP(A3030,Shipped!I:J,2,)," ")</f>
        <v xml:space="preserve"> </v>
      </c>
    </row>
    <row r="3031" spans="1:14" x14ac:dyDescent="0.25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6" t="str">
        <f>IFERROR(VLOOKUP(A3031,Shipped!I:J,2,)," ")</f>
        <v xml:space="preserve"> </v>
      </c>
    </row>
    <row r="3032" spans="1:14" x14ac:dyDescent="0.25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6" t="str">
        <f>IFERROR(VLOOKUP(A3032,Shipped!I:J,2,)," ")</f>
        <v xml:space="preserve"> </v>
      </c>
    </row>
    <row r="3033" spans="1:14" x14ac:dyDescent="0.25">
      <c r="A3033" s="11" t="s">
        <v>2866</v>
      </c>
      <c r="B3033" s="11" t="s">
        <v>6</v>
      </c>
      <c r="C3033" s="11" t="s">
        <v>6</v>
      </c>
      <c r="D3033" s="11">
        <v>1</v>
      </c>
      <c r="E3033" s="11" t="s">
        <v>7</v>
      </c>
      <c r="F3033" s="20">
        <v>46276.791041666664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6" t="str">
        <f>IFERROR(VLOOKUP(A3033,Shipped!I:J,2,)," ")</f>
        <v xml:space="preserve"> </v>
      </c>
    </row>
    <row r="3034" spans="1:14" x14ac:dyDescent="0.25">
      <c r="A3034" s="11" t="s">
        <v>2867</v>
      </c>
      <c r="B3034" s="11" t="s">
        <v>6</v>
      </c>
      <c r="C3034" s="11" t="s">
        <v>6</v>
      </c>
      <c r="D3034" s="11">
        <v>1</v>
      </c>
      <c r="E3034" s="11" t="s">
        <v>7</v>
      </c>
      <c r="F3034" s="20">
        <v>46276.517175925925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6" t="str">
        <f>IFERROR(VLOOKUP(A3034,Shipped!I:J,2,)," ")</f>
        <v xml:space="preserve"> </v>
      </c>
    </row>
    <row r="3035" spans="1:14" x14ac:dyDescent="0.25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6" t="str">
        <f>IFERROR(VLOOKUP(A3035,Shipped!I:J,2,)," ")</f>
        <v xml:space="preserve"> </v>
      </c>
    </row>
    <row r="3036" spans="1:14" x14ac:dyDescent="0.25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6" t="str">
        <f>IFERROR(VLOOKUP(A3036,Shipped!I:J,2,)," ")</f>
        <v xml:space="preserve"> </v>
      </c>
    </row>
    <row r="3037" spans="1:14" x14ac:dyDescent="0.25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6" t="str">
        <f>IFERROR(VLOOKUP(A3037,Shipped!I:J,2,)," ")</f>
        <v xml:space="preserve"> </v>
      </c>
    </row>
    <row r="3038" spans="1:14" x14ac:dyDescent="0.25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6" t="str">
        <f>IFERROR(VLOOKUP(A3038,Shipped!I:J,2,)," ")</f>
        <v xml:space="preserve"> </v>
      </c>
    </row>
    <row r="3039" spans="1:14" x14ac:dyDescent="0.25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6" t="str">
        <f>IFERROR(VLOOKUP(A3039,Shipped!I:J,2,)," ")</f>
        <v xml:space="preserve"> </v>
      </c>
    </row>
    <row r="3040" spans="1:14" x14ac:dyDescent="0.25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6" t="str">
        <f>IFERROR(VLOOKUP(A3040,Shipped!I:J,2,)," ")</f>
        <v xml:space="preserve"> </v>
      </c>
    </row>
    <row r="3041" spans="1:14" x14ac:dyDescent="0.25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6" t="str">
        <f>IFERROR(VLOOKUP(A3041,Shipped!I:J,2,)," ")</f>
        <v xml:space="preserve"> </v>
      </c>
    </row>
    <row r="3042" spans="1:14" x14ac:dyDescent="0.25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6" t="str">
        <f>IFERROR(VLOOKUP(A3042,Shipped!I:J,2,)," ")</f>
        <v xml:space="preserve"> </v>
      </c>
    </row>
    <row r="3043" spans="1:14" x14ac:dyDescent="0.25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6" t="str">
        <f>IFERROR(VLOOKUP(A3043,Shipped!I:J,2,)," ")</f>
        <v xml:space="preserve"> </v>
      </c>
    </row>
    <row r="3044" spans="1:14" x14ac:dyDescent="0.25">
      <c r="A3044" s="11" t="s">
        <v>2877</v>
      </c>
      <c r="B3044" s="11" t="s">
        <v>6</v>
      </c>
      <c r="C3044" s="11" t="s">
        <v>6</v>
      </c>
      <c r="D3044" s="11">
        <v>1</v>
      </c>
      <c r="E3044" s="11" t="s">
        <v>7</v>
      </c>
      <c r="F3044" s="20">
        <v>46279.800219907411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6" t="str">
        <f>IFERROR(VLOOKUP(A3044,Shipped!I:J,2,)," ")</f>
        <v xml:space="preserve"> </v>
      </c>
    </row>
    <row r="3045" spans="1:14" x14ac:dyDescent="0.25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6" t="str">
        <f>IFERROR(VLOOKUP(A3045,Shipped!I:J,2,)," ")</f>
        <v xml:space="preserve"> </v>
      </c>
    </row>
    <row r="3046" spans="1:14" x14ac:dyDescent="0.25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6" t="str">
        <f>IFERROR(VLOOKUP(A3046,Shipped!I:J,2,)," ")</f>
        <v xml:space="preserve"> </v>
      </c>
    </row>
    <row r="3047" spans="1:14" x14ac:dyDescent="0.25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6" t="str">
        <f>IFERROR(VLOOKUP(A3047,Shipped!I:J,2,)," ")</f>
        <v xml:space="preserve"> </v>
      </c>
    </row>
    <row r="3048" spans="1:14" x14ac:dyDescent="0.25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6" t="str">
        <f>IFERROR(VLOOKUP(A3048,Shipped!I:J,2,)," ")</f>
        <v xml:space="preserve"> </v>
      </c>
    </row>
    <row r="3049" spans="1:14" x14ac:dyDescent="0.25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6" t="str">
        <f>IFERROR(VLOOKUP(A3049,Shipped!I:J,2,)," ")</f>
        <v xml:space="preserve"> </v>
      </c>
    </row>
    <row r="3050" spans="1:14" x14ac:dyDescent="0.25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6" t="str">
        <f>IFERROR(VLOOKUP(A3050,Shipped!I:J,2,)," ")</f>
        <v xml:space="preserve"> </v>
      </c>
    </row>
    <row r="3051" spans="1:14" x14ac:dyDescent="0.25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6" t="str">
        <f>IFERROR(VLOOKUP(A3051,Shipped!I:J,2,)," ")</f>
        <v xml:space="preserve"> </v>
      </c>
    </row>
    <row r="3052" spans="1:14" x14ac:dyDescent="0.25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6" t="str">
        <f>IFERROR(VLOOKUP(A3052,Shipped!I:J,2,)," ")</f>
        <v xml:space="preserve"> </v>
      </c>
    </row>
    <row r="3053" spans="1:14" x14ac:dyDescent="0.25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6" t="str">
        <f>IFERROR(VLOOKUP(A3053,Shipped!I:J,2,)," ")</f>
        <v xml:space="preserve"> </v>
      </c>
    </row>
    <row r="3054" spans="1:14" x14ac:dyDescent="0.25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6" t="str">
        <f>IFERROR(VLOOKUP(A3054,Shipped!I:J,2,)," ")</f>
        <v xml:space="preserve"> </v>
      </c>
    </row>
    <row r="3055" spans="1:14" x14ac:dyDescent="0.25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6" t="str">
        <f>IFERROR(VLOOKUP(A3055,Shipped!I:J,2,)," ")</f>
        <v xml:space="preserve"> </v>
      </c>
    </row>
    <row r="3056" spans="1:14" x14ac:dyDescent="0.25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6" t="str">
        <f>IFERROR(VLOOKUP(A3056,Shipped!I:J,2,)," ")</f>
        <v xml:space="preserve"> </v>
      </c>
    </row>
    <row r="3057" spans="1:14" x14ac:dyDescent="0.25">
      <c r="A3057" s="11" t="s">
        <v>2890</v>
      </c>
      <c r="B3057" s="11" t="s">
        <v>6</v>
      </c>
      <c r="C3057" s="11" t="s">
        <v>6</v>
      </c>
      <c r="D3057" s="11">
        <v>1</v>
      </c>
      <c r="E3057" s="11" t="s">
        <v>7</v>
      </c>
      <c r="F3057" s="20">
        <v>46279.467129629629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6" t="str">
        <f>IFERROR(VLOOKUP(A3057,Shipped!I:J,2,)," ")</f>
        <v xml:space="preserve"> </v>
      </c>
    </row>
    <row r="3058" spans="1:14" x14ac:dyDescent="0.25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6" t="str">
        <f>IFERROR(VLOOKUP(A3058,Shipped!I:J,2,)," ")</f>
        <v xml:space="preserve"> </v>
      </c>
    </row>
    <row r="3059" spans="1:14" x14ac:dyDescent="0.25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6" t="str">
        <f>IFERROR(VLOOKUP(A3059,Shipped!I:J,2,)," ")</f>
        <v xml:space="preserve"> </v>
      </c>
    </row>
    <row r="3060" spans="1:14" x14ac:dyDescent="0.25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6" t="str">
        <f>IFERROR(VLOOKUP(A3060,Shipped!I:J,2,)," ")</f>
        <v xml:space="preserve"> </v>
      </c>
    </row>
    <row r="3061" spans="1:14" x14ac:dyDescent="0.25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6" t="str">
        <f>IFERROR(VLOOKUP(A3061,Shipped!I:J,2,)," ")</f>
        <v xml:space="preserve"> </v>
      </c>
    </row>
    <row r="3062" spans="1:14" x14ac:dyDescent="0.25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6" t="str">
        <f>IFERROR(VLOOKUP(A3062,Shipped!I:J,2,)," ")</f>
        <v xml:space="preserve"> </v>
      </c>
    </row>
    <row r="3063" spans="1:14" x14ac:dyDescent="0.25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6" t="str">
        <f>IFERROR(VLOOKUP(A3063,Shipped!I:J,2,)," ")</f>
        <v xml:space="preserve"> </v>
      </c>
    </row>
    <row r="3064" spans="1:14" x14ac:dyDescent="0.25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6" t="str">
        <f>IFERROR(VLOOKUP(A3064,Shipped!I:J,2,)," ")</f>
        <v xml:space="preserve"> </v>
      </c>
    </row>
    <row r="3065" spans="1:14" x14ac:dyDescent="0.25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6" t="str">
        <f>IFERROR(VLOOKUP(A3065,Shipped!I:J,2,)," ")</f>
        <v xml:space="preserve"> </v>
      </c>
    </row>
    <row r="3066" spans="1:14" x14ac:dyDescent="0.25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6" t="str">
        <f>IFERROR(VLOOKUP(A3066,Shipped!I:J,2,)," ")</f>
        <v xml:space="preserve"> </v>
      </c>
    </row>
    <row r="3067" spans="1:14" x14ac:dyDescent="0.25">
      <c r="A3067" s="11" t="s">
        <v>2900</v>
      </c>
      <c r="B3067" s="11" t="s">
        <v>6</v>
      </c>
      <c r="C3067" s="11" t="s">
        <v>6</v>
      </c>
      <c r="D3067" s="11">
        <v>1</v>
      </c>
      <c r="E3067" s="11" t="s">
        <v>7</v>
      </c>
      <c r="F3067" s="20">
        <v>46276.516458333332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6" t="str">
        <f>IFERROR(VLOOKUP(A3067,Shipped!I:J,2,)," ")</f>
        <v xml:space="preserve"> </v>
      </c>
    </row>
    <row r="3068" spans="1:14" x14ac:dyDescent="0.25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6" t="str">
        <f>IFERROR(VLOOKUP(A3068,Shipped!I:J,2,)," ")</f>
        <v xml:space="preserve"> </v>
      </c>
    </row>
    <row r="3069" spans="1:14" x14ac:dyDescent="0.25">
      <c r="A3069" s="11" t="s">
        <v>2902</v>
      </c>
      <c r="B3069" s="11" t="s">
        <v>6</v>
      </c>
      <c r="C3069" s="11" t="s">
        <v>6</v>
      </c>
      <c r="D3069" s="11">
        <v>1</v>
      </c>
      <c r="E3069" s="11" t="s">
        <v>7</v>
      </c>
      <c r="F3069" s="20">
        <v>46279.470671296294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6" t="str">
        <f>IFERROR(VLOOKUP(A3069,Shipped!I:J,2,)," ")</f>
        <v xml:space="preserve"> </v>
      </c>
    </row>
    <row r="3070" spans="1:14" x14ac:dyDescent="0.25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6" t="str">
        <f>IFERROR(VLOOKUP(A3070,Shipped!I:J,2,)," ")</f>
        <v xml:space="preserve"> </v>
      </c>
    </row>
    <row r="3071" spans="1:14" x14ac:dyDescent="0.25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6" t="str">
        <f>IFERROR(VLOOKUP(A3071,Shipped!I:J,2,)," ")</f>
        <v xml:space="preserve"> </v>
      </c>
    </row>
    <row r="3072" spans="1:14" x14ac:dyDescent="0.25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6" t="str">
        <f>IFERROR(VLOOKUP(A3072,Shipped!I:J,2,)," ")</f>
        <v xml:space="preserve"> </v>
      </c>
    </row>
    <row r="3073" spans="1:14" x14ac:dyDescent="0.25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6" t="str">
        <f>IFERROR(VLOOKUP(A3073,Shipped!I:J,2,)," ")</f>
        <v xml:space="preserve"> </v>
      </c>
    </row>
    <row r="3074" spans="1:14" x14ac:dyDescent="0.25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6" t="str">
        <f>IFERROR(VLOOKUP(A3074,Shipped!I:J,2,)," ")</f>
        <v xml:space="preserve"> </v>
      </c>
    </row>
    <row r="3075" spans="1:14" x14ac:dyDescent="0.25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6" t="str">
        <f>IFERROR(VLOOKUP(A3075,Shipped!I:J,2,)," ")</f>
        <v xml:space="preserve"> </v>
      </c>
    </row>
    <row r="3076" spans="1:14" x14ac:dyDescent="0.25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6" t="str">
        <f>IFERROR(VLOOKUP(A3076,Shipped!I:J,2,)," ")</f>
        <v xml:space="preserve"> </v>
      </c>
    </row>
    <row r="3077" spans="1:14" x14ac:dyDescent="0.25">
      <c r="A3077" s="11" t="s">
        <v>2910</v>
      </c>
      <c r="B3077" s="11" t="s">
        <v>6</v>
      </c>
      <c r="C3077" s="11" t="s">
        <v>6</v>
      </c>
      <c r="D3077" s="11">
        <v>1</v>
      </c>
      <c r="E3077" s="11" t="s">
        <v>7</v>
      </c>
      <c r="F3077" s="20">
        <v>46281.452800925923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6" t="str">
        <f>IFERROR(VLOOKUP(A3077,Shipped!I:J,2,)," ")</f>
        <v xml:space="preserve"> </v>
      </c>
    </row>
    <row r="3078" spans="1:14" x14ac:dyDescent="0.25">
      <c r="A3078" s="11" t="s">
        <v>2911</v>
      </c>
      <c r="B3078" s="11" t="s">
        <v>6</v>
      </c>
      <c r="C3078" s="11" t="s">
        <v>6</v>
      </c>
      <c r="D3078" s="11">
        <v>1</v>
      </c>
      <c r="E3078" s="11" t="s">
        <v>7</v>
      </c>
      <c r="F3078" s="20">
        <v>46281.451273148145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6" t="str">
        <f>IFERROR(VLOOKUP(A3078,Shipped!I:J,2,)," ")</f>
        <v xml:space="preserve"> </v>
      </c>
    </row>
    <row r="3079" spans="1:14" x14ac:dyDescent="0.25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6" t="str">
        <f>IFERROR(VLOOKUP(A3079,Shipped!I:J,2,)," ")</f>
        <v xml:space="preserve"> </v>
      </c>
    </row>
    <row r="3080" spans="1:14" x14ac:dyDescent="0.25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6" t="str">
        <f>IFERROR(VLOOKUP(A3080,Shipped!I:J,2,)," ")</f>
        <v xml:space="preserve"> </v>
      </c>
    </row>
    <row r="3081" spans="1:14" x14ac:dyDescent="0.25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6" t="str">
        <f>IFERROR(VLOOKUP(A3081,Shipped!I:J,2,)," ")</f>
        <v xml:space="preserve"> </v>
      </c>
    </row>
    <row r="3082" spans="1:14" x14ac:dyDescent="0.25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6" t="str">
        <f>IFERROR(VLOOKUP(A3082,Shipped!I:J,2,)," ")</f>
        <v xml:space="preserve"> </v>
      </c>
    </row>
    <row r="3083" spans="1:14" x14ac:dyDescent="0.25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6" t="str">
        <f>IFERROR(VLOOKUP(A3083,Shipped!I:J,2,)," ")</f>
        <v xml:space="preserve"> </v>
      </c>
    </row>
    <row r="3084" spans="1:14" x14ac:dyDescent="0.25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6" t="str">
        <f>IFERROR(VLOOKUP(A3084,Shipped!I:J,2,)," ")</f>
        <v xml:space="preserve"> </v>
      </c>
    </row>
    <row r="3085" spans="1:14" x14ac:dyDescent="0.25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6" t="str">
        <f>IFERROR(VLOOKUP(A3085,Shipped!I:J,2,)," ")</f>
        <v xml:space="preserve"> </v>
      </c>
    </row>
    <row r="3086" spans="1:14" x14ac:dyDescent="0.25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6" t="str">
        <f>IFERROR(VLOOKUP(A3086,Shipped!I:J,2,)," ")</f>
        <v xml:space="preserve"> </v>
      </c>
    </row>
    <row r="3087" spans="1:14" x14ac:dyDescent="0.25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6" t="str">
        <f>IFERROR(VLOOKUP(A3087,Shipped!I:J,2,)," ")</f>
        <v xml:space="preserve"> </v>
      </c>
    </row>
    <row r="3088" spans="1:14" x14ac:dyDescent="0.25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6" t="str">
        <f>IFERROR(VLOOKUP(A3088,Shipped!I:J,2,)," ")</f>
        <v xml:space="preserve"> </v>
      </c>
    </row>
    <row r="3089" spans="1:14" x14ac:dyDescent="0.25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6" t="str">
        <f>IFERROR(VLOOKUP(A3089,Shipped!I:J,2,)," ")</f>
        <v xml:space="preserve"> </v>
      </c>
    </row>
    <row r="3090" spans="1:14" x14ac:dyDescent="0.25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6" t="str">
        <f>IFERROR(VLOOKUP(A3090,Shipped!I:J,2,)," ")</f>
        <v xml:space="preserve"> </v>
      </c>
    </row>
    <row r="3091" spans="1:14" x14ac:dyDescent="0.25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6" t="str">
        <f>IFERROR(VLOOKUP(A3091,Shipped!I:J,2,)," ")</f>
        <v xml:space="preserve"> </v>
      </c>
    </row>
    <row r="3092" spans="1:14" x14ac:dyDescent="0.25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6" t="str">
        <f>IFERROR(VLOOKUP(A3092,Shipped!I:J,2,)," ")</f>
        <v xml:space="preserve"> </v>
      </c>
    </row>
    <row r="3093" spans="1:14" x14ac:dyDescent="0.25">
      <c r="A3093" s="11" t="s">
        <v>2926</v>
      </c>
      <c r="B3093" s="11" t="s">
        <v>8</v>
      </c>
      <c r="C3093" s="11" t="s">
        <v>9</v>
      </c>
      <c r="D3093" s="11">
        <v>1</v>
      </c>
      <c r="E3093" s="11" t="s">
        <v>10</v>
      </c>
      <c r="F3093" s="20">
        <v>46279.321250000001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6" t="str">
        <f>IFERROR(VLOOKUP(A3093,Shipped!I:J,2,)," ")</f>
        <v xml:space="preserve"> </v>
      </c>
    </row>
    <row r="3094" spans="1:14" x14ac:dyDescent="0.25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6" t="str">
        <f>IFERROR(VLOOKUP(A3094,Shipped!I:J,2,)," ")</f>
        <v xml:space="preserve"> </v>
      </c>
    </row>
    <row r="3095" spans="1:14" x14ac:dyDescent="0.25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6" t="str">
        <f>IFERROR(VLOOKUP(A3095,Shipped!I:J,2,)," ")</f>
        <v xml:space="preserve"> </v>
      </c>
    </row>
    <row r="3096" spans="1:14" x14ac:dyDescent="0.25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6" t="str">
        <f>IFERROR(VLOOKUP(A3096,Shipped!I:J,2,)," ")</f>
        <v xml:space="preserve"> </v>
      </c>
    </row>
    <row r="3097" spans="1:14" x14ac:dyDescent="0.25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6" t="str">
        <f>IFERROR(VLOOKUP(A3097,Shipped!I:J,2,)," ")</f>
        <v xml:space="preserve"> </v>
      </c>
    </row>
    <row r="3098" spans="1:14" x14ac:dyDescent="0.25">
      <c r="A3098" s="11" t="s">
        <v>2931</v>
      </c>
      <c r="B3098" s="11" t="s">
        <v>6</v>
      </c>
      <c r="C3098" s="11" t="s">
        <v>6</v>
      </c>
      <c r="D3098" s="11">
        <v>1</v>
      </c>
      <c r="E3098" s="11" t="s">
        <v>7</v>
      </c>
      <c r="F3098" s="20">
        <v>46279.256388888891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6" t="str">
        <f>IFERROR(VLOOKUP(A3098,Shipped!I:J,2,)," ")</f>
        <v xml:space="preserve"> </v>
      </c>
    </row>
    <row r="3099" spans="1:14" x14ac:dyDescent="0.25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6" t="str">
        <f>IFERROR(VLOOKUP(A3099,Shipped!I:J,2,)," ")</f>
        <v xml:space="preserve"> </v>
      </c>
    </row>
    <row r="3100" spans="1:14" x14ac:dyDescent="0.25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6" t="str">
        <f>IFERROR(VLOOKUP(A3100,Shipped!I:J,2,)," ")</f>
        <v xml:space="preserve"> </v>
      </c>
    </row>
    <row r="3101" spans="1:14" x14ac:dyDescent="0.25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6" t="str">
        <f>IFERROR(VLOOKUP(A3101,Shipped!I:J,2,)," ")</f>
        <v xml:space="preserve"> </v>
      </c>
    </row>
    <row r="3102" spans="1:14" x14ac:dyDescent="0.25">
      <c r="A3102" s="11" t="s">
        <v>2935</v>
      </c>
      <c r="B3102" s="11" t="s">
        <v>6</v>
      </c>
      <c r="C3102" s="11" t="s">
        <v>6</v>
      </c>
      <c r="D3102" s="11">
        <v>1</v>
      </c>
      <c r="E3102" s="11" t="s">
        <v>7</v>
      </c>
      <c r="F3102" s="20">
        <v>46279.452141203707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6" t="str">
        <f>IFERROR(VLOOKUP(A3102,Shipped!I:J,2,)," ")</f>
        <v xml:space="preserve"> </v>
      </c>
    </row>
    <row r="3103" spans="1:14" x14ac:dyDescent="0.25">
      <c r="A3103" s="11" t="s">
        <v>2936</v>
      </c>
      <c r="B3103" s="11" t="s">
        <v>8</v>
      </c>
      <c r="C3103" s="11" t="s">
        <v>9</v>
      </c>
      <c r="D3103" s="11">
        <v>1</v>
      </c>
      <c r="E3103" s="11" t="s">
        <v>10</v>
      </c>
      <c r="F3103" s="20">
        <v>46279.303368055553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6" t="str">
        <f>IFERROR(VLOOKUP(A3103,Shipped!I:J,2,)," ")</f>
        <v xml:space="preserve"> </v>
      </c>
    </row>
    <row r="3104" spans="1:14" x14ac:dyDescent="0.25">
      <c r="A3104" s="11" t="s">
        <v>2937</v>
      </c>
      <c r="B3104" s="11" t="s">
        <v>6</v>
      </c>
      <c r="C3104" s="11" t="s">
        <v>6</v>
      </c>
      <c r="D3104" s="11">
        <v>1</v>
      </c>
      <c r="E3104" s="11" t="s">
        <v>7</v>
      </c>
      <c r="F3104" s="20">
        <v>46279.263148148151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6" t="str">
        <f>IFERROR(VLOOKUP(A3104,Shipped!I:J,2,)," ")</f>
        <v xml:space="preserve"> </v>
      </c>
    </row>
    <row r="3105" spans="1:14" x14ac:dyDescent="0.25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6" t="str">
        <f>IFERROR(VLOOKUP(A3105,Shipped!I:J,2,)," ")</f>
        <v xml:space="preserve"> </v>
      </c>
    </row>
    <row r="3106" spans="1:14" x14ac:dyDescent="0.25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6" t="str">
        <f>IFERROR(VLOOKUP(A3106,Shipped!I:J,2,)," ")</f>
        <v xml:space="preserve"> </v>
      </c>
    </row>
    <row r="3107" spans="1:14" x14ac:dyDescent="0.25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6" t="str">
        <f>IFERROR(VLOOKUP(A3107,Shipped!I:J,2,)," ")</f>
        <v xml:space="preserve"> </v>
      </c>
    </row>
    <row r="3108" spans="1:14" x14ac:dyDescent="0.25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6" t="str">
        <f>IFERROR(VLOOKUP(A3108,Shipped!I:J,2,)," ")</f>
        <v xml:space="preserve"> </v>
      </c>
    </row>
    <row r="3109" spans="1:14" x14ac:dyDescent="0.25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6" t="str">
        <f>IFERROR(VLOOKUP(A3109,Shipped!I:J,2,)," ")</f>
        <v xml:space="preserve"> </v>
      </c>
    </row>
    <row r="3110" spans="1:14" x14ac:dyDescent="0.25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6" t="str">
        <f>IFERROR(VLOOKUP(A3110,Shipped!I:J,2,)," ")</f>
        <v xml:space="preserve"> </v>
      </c>
    </row>
    <row r="3111" spans="1:14" x14ac:dyDescent="0.25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6" t="str">
        <f>IFERROR(VLOOKUP(A3111,Shipped!I:J,2,)," ")</f>
        <v xml:space="preserve"> </v>
      </c>
    </row>
    <row r="3112" spans="1:14" x14ac:dyDescent="0.25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6" t="str">
        <f>IFERROR(VLOOKUP(A3112,Shipped!I:J,2,)," ")</f>
        <v xml:space="preserve"> </v>
      </c>
    </row>
    <row r="3113" spans="1:14" x14ac:dyDescent="0.25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6" t="str">
        <f>IFERROR(VLOOKUP(A3113,Shipped!I:J,2,)," ")</f>
        <v xml:space="preserve"> </v>
      </c>
    </row>
    <row r="3114" spans="1:14" x14ac:dyDescent="0.25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6" t="str">
        <f>IFERROR(VLOOKUP(A3114,Shipped!I:J,2,)," ")</f>
        <v xml:space="preserve"> </v>
      </c>
    </row>
    <row r="3115" spans="1:14" x14ac:dyDescent="0.25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6" t="str">
        <f>IFERROR(VLOOKUP(A3115,Shipped!I:J,2,)," ")</f>
        <v xml:space="preserve"> </v>
      </c>
    </row>
    <row r="3116" spans="1:14" x14ac:dyDescent="0.25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6" t="str">
        <f>IFERROR(VLOOKUP(A3116,Shipped!I:J,2,)," ")</f>
        <v xml:space="preserve"> </v>
      </c>
    </row>
    <row r="3117" spans="1:14" x14ac:dyDescent="0.25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6" t="str">
        <f>IFERROR(VLOOKUP(A3117,Shipped!I:J,2,)," ")</f>
        <v xml:space="preserve"> </v>
      </c>
    </row>
    <row r="3118" spans="1:14" x14ac:dyDescent="0.25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6" t="str">
        <f>IFERROR(VLOOKUP(A3118,Shipped!I:J,2,)," ")</f>
        <v xml:space="preserve"> </v>
      </c>
    </row>
    <row r="3119" spans="1:14" x14ac:dyDescent="0.25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6" t="str">
        <f>IFERROR(VLOOKUP(A3119,Shipped!I:J,2,)," ")</f>
        <v xml:space="preserve"> </v>
      </c>
    </row>
    <row r="3120" spans="1:14" x14ac:dyDescent="0.25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6" t="str">
        <f>IFERROR(VLOOKUP(A3120,Shipped!I:J,2,)," ")</f>
        <v xml:space="preserve"> </v>
      </c>
    </row>
    <row r="3121" spans="1:14" x14ac:dyDescent="0.25">
      <c r="A3121" s="11" t="s">
        <v>2954</v>
      </c>
      <c r="B3121" s="11" t="s">
        <v>8</v>
      </c>
      <c r="C3121" s="11" t="s">
        <v>9</v>
      </c>
      <c r="D3121" s="11">
        <v>1</v>
      </c>
      <c r="E3121" s="11" t="s">
        <v>10</v>
      </c>
      <c r="F3121" s="20">
        <v>46279.291192129633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6" t="str">
        <f>IFERROR(VLOOKUP(A3121,Shipped!I:J,2,)," ")</f>
        <v xml:space="preserve"> </v>
      </c>
    </row>
    <row r="3122" spans="1:14" x14ac:dyDescent="0.25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6" t="str">
        <f>IFERROR(VLOOKUP(A3122,Shipped!I:J,2,)," ")</f>
        <v xml:space="preserve"> </v>
      </c>
    </row>
    <row r="3123" spans="1:14" x14ac:dyDescent="0.25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6" t="str">
        <f>IFERROR(VLOOKUP(A3123,Shipped!I:J,2,)," ")</f>
        <v xml:space="preserve"> </v>
      </c>
    </row>
    <row r="3124" spans="1:14" x14ac:dyDescent="0.25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6" t="str">
        <f>IFERROR(VLOOKUP(A3124,Shipped!I:J,2,)," ")</f>
        <v xml:space="preserve"> </v>
      </c>
    </row>
    <row r="3125" spans="1:14" x14ac:dyDescent="0.25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6" t="str">
        <f>IFERROR(VLOOKUP(A3125,Shipped!I:J,2,)," ")</f>
        <v xml:space="preserve"> </v>
      </c>
    </row>
    <row r="3126" spans="1:14" x14ac:dyDescent="0.25">
      <c r="A3126" s="11" t="s">
        <v>2959</v>
      </c>
      <c r="B3126" s="11" t="s">
        <v>6</v>
      </c>
      <c r="C3126" s="11" t="s">
        <v>6</v>
      </c>
      <c r="D3126" s="11">
        <v>1</v>
      </c>
      <c r="E3126" s="11" t="s">
        <v>7</v>
      </c>
      <c r="F3126" s="20">
        <v>46279.256562499999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6" t="str">
        <f>IFERROR(VLOOKUP(A3126,Shipped!I:J,2,)," ")</f>
        <v xml:space="preserve"> </v>
      </c>
    </row>
    <row r="3127" spans="1:14" x14ac:dyDescent="0.25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6" t="str">
        <f>IFERROR(VLOOKUP(A3127,Shipped!I:J,2,)," ")</f>
        <v xml:space="preserve"> </v>
      </c>
    </row>
    <row r="3128" spans="1:14" x14ac:dyDescent="0.25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6" t="str">
        <f>IFERROR(VLOOKUP(A3128,Shipped!I:J,2,)," ")</f>
        <v xml:space="preserve"> </v>
      </c>
    </row>
    <row r="3129" spans="1:14" x14ac:dyDescent="0.25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6" t="str">
        <f>IFERROR(VLOOKUP(A3129,Shipped!I:J,2,)," ")</f>
        <v xml:space="preserve"> </v>
      </c>
    </row>
    <row r="3130" spans="1:14" x14ac:dyDescent="0.25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6" t="str">
        <f>IFERROR(VLOOKUP(A3130,Shipped!I:J,2,)," ")</f>
        <v xml:space="preserve"> </v>
      </c>
    </row>
    <row r="3131" spans="1:14" x14ac:dyDescent="0.25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6" t="str">
        <f>IFERROR(VLOOKUP(A3131,Shipped!I:J,2,)," ")</f>
        <v xml:space="preserve"> </v>
      </c>
    </row>
    <row r="3132" spans="1:14" x14ac:dyDescent="0.25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6" t="str">
        <f>IFERROR(VLOOKUP(A3132,Shipped!I:J,2,)," ")</f>
        <v xml:space="preserve"> </v>
      </c>
    </row>
    <row r="3133" spans="1:14" x14ac:dyDescent="0.25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6" t="str">
        <f>IFERROR(VLOOKUP(A3133,Shipped!I:J,2,)," ")</f>
        <v xml:space="preserve"> </v>
      </c>
    </row>
    <row r="3134" spans="1:14" x14ac:dyDescent="0.25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6" t="str">
        <f>IFERROR(VLOOKUP(A3134,Shipped!I:J,2,)," ")</f>
        <v xml:space="preserve"> </v>
      </c>
    </row>
    <row r="3135" spans="1:14" x14ac:dyDescent="0.25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6" t="str">
        <f>IFERROR(VLOOKUP(A3135,Shipped!I:J,2,)," ")</f>
        <v xml:space="preserve"> </v>
      </c>
    </row>
    <row r="3136" spans="1:14" x14ac:dyDescent="0.25">
      <c r="A3136" s="11" t="s">
        <v>2969</v>
      </c>
      <c r="B3136" s="11" t="s">
        <v>6</v>
      </c>
      <c r="C3136" s="11" t="s">
        <v>6</v>
      </c>
      <c r="D3136" s="11">
        <v>1</v>
      </c>
      <c r="E3136" s="11" t="s">
        <v>7</v>
      </c>
      <c r="F3136" s="20">
        <v>46279.453587962962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6" t="str">
        <f>IFERROR(VLOOKUP(A3136,Shipped!I:J,2,)," ")</f>
        <v xml:space="preserve"> </v>
      </c>
    </row>
    <row r="3137" spans="1:14" x14ac:dyDescent="0.25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6" t="str">
        <f>IFERROR(VLOOKUP(A3137,Shipped!I:J,2,)," ")</f>
        <v xml:space="preserve"> </v>
      </c>
    </row>
    <row r="3138" spans="1:14" x14ac:dyDescent="0.25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6" t="str">
        <f>IFERROR(VLOOKUP(A3138,Shipped!I:J,2,)," ")</f>
        <v xml:space="preserve"> </v>
      </c>
    </row>
    <row r="3139" spans="1:14" x14ac:dyDescent="0.25">
      <c r="A3139" s="11" t="s">
        <v>2972</v>
      </c>
      <c r="B3139" s="11" t="s">
        <v>6</v>
      </c>
      <c r="C3139" s="11" t="s">
        <v>6</v>
      </c>
      <c r="D3139" s="11">
        <v>1</v>
      </c>
      <c r="E3139" s="11" t="s">
        <v>7</v>
      </c>
      <c r="F3139" s="20">
        <v>46276.792928240742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6" t="str">
        <f>IFERROR(VLOOKUP(A3139,Shipped!I:J,2,)," ")</f>
        <v xml:space="preserve"> </v>
      </c>
    </row>
    <row r="3140" spans="1:14" x14ac:dyDescent="0.25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6" t="str">
        <f>IFERROR(VLOOKUP(A3140,Shipped!I:J,2,)," ")</f>
        <v xml:space="preserve"> </v>
      </c>
    </row>
    <row r="3141" spans="1:14" x14ac:dyDescent="0.25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6" t="str">
        <f>IFERROR(VLOOKUP(A3141,Shipped!I:J,2,)," ")</f>
        <v xml:space="preserve"> </v>
      </c>
    </row>
    <row r="3142" spans="1:14" x14ac:dyDescent="0.25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6" t="str">
        <f>IFERROR(VLOOKUP(A3142,Shipped!I:J,2,)," ")</f>
        <v xml:space="preserve"> </v>
      </c>
    </row>
    <row r="3143" spans="1:14" x14ac:dyDescent="0.25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6" t="str">
        <f>IFERROR(VLOOKUP(A3143,Shipped!I:J,2,)," ")</f>
        <v xml:space="preserve"> </v>
      </c>
    </row>
    <row r="3144" spans="1:14" x14ac:dyDescent="0.25">
      <c r="A3144" s="11" t="s">
        <v>2977</v>
      </c>
      <c r="B3144" s="11" t="s">
        <v>6</v>
      </c>
      <c r="C3144" s="11" t="s">
        <v>6</v>
      </c>
      <c r="D3144" s="11">
        <v>1</v>
      </c>
      <c r="E3144" s="11" t="s">
        <v>7</v>
      </c>
      <c r="F3144" s="20">
        <v>46276.79246527778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6" t="str">
        <f>IFERROR(VLOOKUP(A3144,Shipped!I:J,2,)," ")</f>
        <v xml:space="preserve"> </v>
      </c>
    </row>
    <row r="3145" spans="1:14" x14ac:dyDescent="0.25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6" t="str">
        <f>IFERROR(VLOOKUP(A3145,Shipped!I:J,2,)," ")</f>
        <v xml:space="preserve"> </v>
      </c>
    </row>
    <row r="3146" spans="1:14" x14ac:dyDescent="0.25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6" t="str">
        <f>IFERROR(VLOOKUP(A3146,Shipped!I:J,2,)," ")</f>
        <v xml:space="preserve"> </v>
      </c>
    </row>
    <row r="3147" spans="1:14" x14ac:dyDescent="0.25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6" t="str">
        <f>IFERROR(VLOOKUP(A3147,Shipped!I:J,2,)," ")</f>
        <v xml:space="preserve"> </v>
      </c>
    </row>
    <row r="3148" spans="1:14" x14ac:dyDescent="0.25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6" t="str">
        <f>IFERROR(VLOOKUP(A3148,Shipped!I:J,2,)," ")</f>
        <v xml:space="preserve"> </v>
      </c>
    </row>
    <row r="3149" spans="1:14" x14ac:dyDescent="0.25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6" t="str">
        <f>IFERROR(VLOOKUP(A3149,Shipped!I:J,2,)," ")</f>
        <v xml:space="preserve"> </v>
      </c>
    </row>
    <row r="3150" spans="1:14" x14ac:dyDescent="0.25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6" t="str">
        <f>IFERROR(VLOOKUP(A3150,Shipped!I:J,2,)," ")</f>
        <v xml:space="preserve"> </v>
      </c>
    </row>
    <row r="3151" spans="1:14" x14ac:dyDescent="0.25">
      <c r="A3151" s="11" t="s">
        <v>2984</v>
      </c>
      <c r="B3151" s="11" t="s">
        <v>6</v>
      </c>
      <c r="C3151" s="11" t="s">
        <v>6</v>
      </c>
      <c r="D3151" s="11">
        <v>1</v>
      </c>
      <c r="E3151" s="11" t="s">
        <v>7</v>
      </c>
      <c r="F3151" s="20">
        <v>46276.791875000003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6" t="str">
        <f>IFERROR(VLOOKUP(A3151,Shipped!I:J,2,)," ")</f>
        <v xml:space="preserve"> </v>
      </c>
    </row>
    <row r="3152" spans="1:14" x14ac:dyDescent="0.25">
      <c r="A3152" s="11" t="s">
        <v>2985</v>
      </c>
      <c r="B3152" s="11" t="s">
        <v>6</v>
      </c>
      <c r="C3152" s="11" t="s">
        <v>6</v>
      </c>
      <c r="D3152" s="11">
        <v>1</v>
      </c>
      <c r="E3152" s="11" t="s">
        <v>7</v>
      </c>
      <c r="F3152" s="20">
        <v>46279.453773148147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6" t="str">
        <f>IFERROR(VLOOKUP(A3152,Shipped!I:J,2,)," ")</f>
        <v xml:space="preserve"> </v>
      </c>
    </row>
    <row r="3153" spans="1:14" x14ac:dyDescent="0.25">
      <c r="A3153" s="11" t="s">
        <v>2986</v>
      </c>
      <c r="B3153" s="11" t="s">
        <v>6</v>
      </c>
      <c r="C3153" s="11" t="s">
        <v>6</v>
      </c>
      <c r="D3153" s="11">
        <v>1</v>
      </c>
      <c r="E3153" s="11" t="s">
        <v>7</v>
      </c>
      <c r="F3153" s="20">
        <v>46279.454351851855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6" t="str">
        <f>IFERROR(VLOOKUP(A3153,Shipped!I:J,2,)," ")</f>
        <v xml:space="preserve"> </v>
      </c>
    </row>
    <row r="3154" spans="1:14" x14ac:dyDescent="0.25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6" t="str">
        <f>IFERROR(VLOOKUP(A3154,Shipped!I:J,2,)," ")</f>
        <v xml:space="preserve"> </v>
      </c>
    </row>
    <row r="3155" spans="1:14" x14ac:dyDescent="0.25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6" t="str">
        <f>IFERROR(VLOOKUP(A3155,Shipped!I:J,2,)," ")</f>
        <v xml:space="preserve"> </v>
      </c>
    </row>
    <row r="3156" spans="1:14" x14ac:dyDescent="0.25">
      <c r="A3156" s="11" t="s">
        <v>2989</v>
      </c>
      <c r="B3156" s="11" t="s">
        <v>6</v>
      </c>
      <c r="C3156" s="11" t="s">
        <v>6</v>
      </c>
      <c r="D3156" s="11">
        <v>1</v>
      </c>
      <c r="E3156" s="11" t="s">
        <v>7</v>
      </c>
      <c r="F3156" s="20">
        <v>46279.449293981481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6" t="str">
        <f>IFERROR(VLOOKUP(A3156,Shipped!I:J,2,)," ")</f>
        <v xml:space="preserve"> </v>
      </c>
    </row>
    <row r="3157" spans="1:14" x14ac:dyDescent="0.25">
      <c r="A3157" s="11" t="s">
        <v>2990</v>
      </c>
      <c r="B3157" s="11" t="s">
        <v>6</v>
      </c>
      <c r="C3157" s="11" t="s">
        <v>6</v>
      </c>
      <c r="D3157" s="11">
        <v>1</v>
      </c>
      <c r="E3157" s="11" t="s">
        <v>7</v>
      </c>
      <c r="F3157" s="20">
        <v>46279.45416666667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6" t="str">
        <f>IFERROR(VLOOKUP(A3157,Shipped!I:J,2,)," ")</f>
        <v xml:space="preserve"> </v>
      </c>
    </row>
    <row r="3158" spans="1:14" x14ac:dyDescent="0.25">
      <c r="A3158" s="11" t="s">
        <v>2991</v>
      </c>
      <c r="B3158" s="11" t="s">
        <v>6</v>
      </c>
      <c r="C3158" s="11" t="s">
        <v>6</v>
      </c>
      <c r="D3158" s="11">
        <v>1</v>
      </c>
      <c r="E3158" s="11" t="s">
        <v>7</v>
      </c>
      <c r="F3158" s="20">
        <v>46279.451724537037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6" t="str">
        <f>IFERROR(VLOOKUP(A3158,Shipped!I:J,2,)," ")</f>
        <v xml:space="preserve"> </v>
      </c>
    </row>
    <row r="3159" spans="1:14" x14ac:dyDescent="0.25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6" t="str">
        <f>IFERROR(VLOOKUP(A3159,Shipped!I:J,2,)," ")</f>
        <v xml:space="preserve"> </v>
      </c>
    </row>
    <row r="3160" spans="1:14" x14ac:dyDescent="0.25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6" t="str">
        <f>IFERROR(VLOOKUP(A3160,Shipped!I:J,2,)," ")</f>
        <v xml:space="preserve"> </v>
      </c>
    </row>
    <row r="3161" spans="1:14" x14ac:dyDescent="0.25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6" t="str">
        <f>IFERROR(VLOOKUP(A3161,Shipped!I:J,2,)," ")</f>
        <v xml:space="preserve"> </v>
      </c>
    </row>
    <row r="3162" spans="1:14" x14ac:dyDescent="0.25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6" t="str">
        <f>IFERROR(VLOOKUP(A3162,Shipped!I:J,2,)," ")</f>
        <v xml:space="preserve"> </v>
      </c>
    </row>
    <row r="3163" spans="1:14" x14ac:dyDescent="0.25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6" t="str">
        <f>IFERROR(VLOOKUP(A3163,Shipped!I:J,2,)," ")</f>
        <v xml:space="preserve"> </v>
      </c>
    </row>
    <row r="3164" spans="1:14" x14ac:dyDescent="0.25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6" t="str">
        <f>IFERROR(VLOOKUP(A3164,Shipped!I:J,2,)," ")</f>
        <v xml:space="preserve"> </v>
      </c>
    </row>
    <row r="3165" spans="1:14" x14ac:dyDescent="0.25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6" t="str">
        <f>IFERROR(VLOOKUP(A3165,Shipped!I:J,2,)," ")</f>
        <v xml:space="preserve"> </v>
      </c>
    </row>
    <row r="3166" spans="1:14" x14ac:dyDescent="0.25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6" t="str">
        <f>IFERROR(VLOOKUP(A3166,Shipped!I:J,2,)," ")</f>
        <v xml:space="preserve"> </v>
      </c>
    </row>
    <row r="3167" spans="1:14" x14ac:dyDescent="0.25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6" t="str">
        <f>IFERROR(VLOOKUP(A3167,Shipped!I:J,2,)," ")</f>
        <v xml:space="preserve"> </v>
      </c>
    </row>
    <row r="3168" spans="1:14" x14ac:dyDescent="0.25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6" t="str">
        <f>IFERROR(VLOOKUP(A3168,Shipped!I:J,2,)," ")</f>
        <v xml:space="preserve"> </v>
      </c>
    </row>
    <row r="3169" spans="1:14" x14ac:dyDescent="0.25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6" t="str">
        <f>IFERROR(VLOOKUP(A3169,Shipped!I:J,2,)," ")</f>
        <v xml:space="preserve"> </v>
      </c>
    </row>
    <row r="3170" spans="1:14" x14ac:dyDescent="0.25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6" t="str">
        <f>IFERROR(VLOOKUP(A3170,Shipped!I:J,2,)," ")</f>
        <v xml:space="preserve"> </v>
      </c>
    </row>
    <row r="3171" spans="1:14" x14ac:dyDescent="0.25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6" t="str">
        <f>IFERROR(VLOOKUP(A3171,Shipped!I:J,2,)," ")</f>
        <v xml:space="preserve"> </v>
      </c>
    </row>
    <row r="3172" spans="1:14" x14ac:dyDescent="0.25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6" t="str">
        <f>IFERROR(VLOOKUP(A3172,Shipped!I:J,2,)," ")</f>
        <v xml:space="preserve"> </v>
      </c>
    </row>
    <row r="3173" spans="1:14" x14ac:dyDescent="0.25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6" t="str">
        <f>IFERROR(VLOOKUP(A3173,Shipped!I:J,2,)," ")</f>
        <v xml:space="preserve"> </v>
      </c>
    </row>
    <row r="3174" spans="1:14" x14ac:dyDescent="0.25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6" t="str">
        <f>IFERROR(VLOOKUP(A3174,Shipped!I:J,2,)," ")</f>
        <v xml:space="preserve"> </v>
      </c>
    </row>
    <row r="3175" spans="1:14" x14ac:dyDescent="0.25">
      <c r="A3175" s="11" t="s">
        <v>3008</v>
      </c>
      <c r="B3175" s="11" t="s">
        <v>6</v>
      </c>
      <c r="C3175" s="11" t="s">
        <v>6</v>
      </c>
      <c r="D3175" s="11">
        <v>1</v>
      </c>
      <c r="E3175" s="11" t="s">
        <v>7</v>
      </c>
      <c r="F3175" s="20">
        <v>46279.267835648148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6" t="str">
        <f>IFERROR(VLOOKUP(A3175,Shipped!I:J,2,)," ")</f>
        <v xml:space="preserve"> </v>
      </c>
    </row>
    <row r="3176" spans="1:14" x14ac:dyDescent="0.25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6" t="str">
        <f>IFERROR(VLOOKUP(A3176,Shipped!I:J,2,)," ")</f>
        <v xml:space="preserve"> </v>
      </c>
    </row>
    <row r="3177" spans="1:14" x14ac:dyDescent="0.25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6" t="str">
        <f>IFERROR(VLOOKUP(A3177,Shipped!I:J,2,)," ")</f>
        <v xml:space="preserve"> </v>
      </c>
    </row>
    <row r="3178" spans="1:14" x14ac:dyDescent="0.25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6" t="str">
        <f>IFERROR(VLOOKUP(A3178,Shipped!I:J,2,)," ")</f>
        <v xml:space="preserve"> </v>
      </c>
    </row>
    <row r="3179" spans="1:14" x14ac:dyDescent="0.25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6" t="str">
        <f>IFERROR(VLOOKUP(A3179,Shipped!I:J,2,)," ")</f>
        <v xml:space="preserve"> </v>
      </c>
    </row>
    <row r="3180" spans="1:14" x14ac:dyDescent="0.25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6" t="str">
        <f>IFERROR(VLOOKUP(A3180,Shipped!I:J,2,)," ")</f>
        <v xml:space="preserve"> </v>
      </c>
    </row>
    <row r="3181" spans="1:14" x14ac:dyDescent="0.25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6" t="str">
        <f>IFERROR(VLOOKUP(A3181,Shipped!I:J,2,)," ")</f>
        <v xml:space="preserve"> </v>
      </c>
    </row>
    <row r="3182" spans="1:14" x14ac:dyDescent="0.25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6" t="str">
        <f>IFERROR(VLOOKUP(A3182,Shipped!I:J,2,)," ")</f>
        <v xml:space="preserve"> </v>
      </c>
    </row>
    <row r="3183" spans="1:14" x14ac:dyDescent="0.25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6" t="str">
        <f>IFERROR(VLOOKUP(A3183,Shipped!I:J,2,)," ")</f>
        <v xml:space="preserve"> </v>
      </c>
    </row>
    <row r="3184" spans="1:14" x14ac:dyDescent="0.25">
      <c r="A3184" s="11" t="s">
        <v>3017</v>
      </c>
      <c r="B3184" s="11" t="s">
        <v>6</v>
      </c>
      <c r="C3184" s="11" t="s">
        <v>6</v>
      </c>
      <c r="D3184" s="11">
        <v>1</v>
      </c>
      <c r="E3184" s="11" t="s">
        <v>7</v>
      </c>
      <c r="F3184" s="20">
        <v>46279.256319444445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6" t="str">
        <f>IFERROR(VLOOKUP(A3184,Shipped!I:J,2,)," ")</f>
        <v xml:space="preserve"> </v>
      </c>
    </row>
    <row r="3185" spans="1:14" x14ac:dyDescent="0.25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6" t="str">
        <f>IFERROR(VLOOKUP(A3185,Shipped!I:J,2,)," ")</f>
        <v xml:space="preserve"> </v>
      </c>
    </row>
    <row r="3186" spans="1:14" x14ac:dyDescent="0.25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6" t="str">
        <f>IFERROR(VLOOKUP(A3186,Shipped!I:J,2,)," ")</f>
        <v xml:space="preserve"> </v>
      </c>
    </row>
    <row r="3187" spans="1:14" x14ac:dyDescent="0.25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6" t="str">
        <f>IFERROR(VLOOKUP(A3187,Shipped!I:J,2,)," ")</f>
        <v xml:space="preserve"> </v>
      </c>
    </row>
    <row r="3188" spans="1:14" x14ac:dyDescent="0.25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6" t="str">
        <f>IFERROR(VLOOKUP(A3188,Shipped!I:J,2,)," ")</f>
        <v xml:space="preserve"> </v>
      </c>
    </row>
    <row r="3189" spans="1:14" x14ac:dyDescent="0.25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6" t="str">
        <f>IFERROR(VLOOKUP(A3189,Shipped!I:J,2,)," ")</f>
        <v xml:space="preserve"> </v>
      </c>
    </row>
    <row r="3190" spans="1:14" x14ac:dyDescent="0.25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6" t="str">
        <f>IFERROR(VLOOKUP(A3190,Shipped!I:J,2,)," ")</f>
        <v xml:space="preserve"> </v>
      </c>
    </row>
    <row r="3191" spans="1:14" x14ac:dyDescent="0.25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6" t="str">
        <f>IFERROR(VLOOKUP(A3191,Shipped!I:J,2,)," ")</f>
        <v xml:space="preserve"> </v>
      </c>
    </row>
    <row r="3192" spans="1:14" x14ac:dyDescent="0.25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6" t="str">
        <f>IFERROR(VLOOKUP(A3192,Shipped!I:J,2,)," ")</f>
        <v xml:space="preserve"> </v>
      </c>
    </row>
    <row r="3193" spans="1:14" x14ac:dyDescent="0.25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6" t="str">
        <f>IFERROR(VLOOKUP(A3193,Shipped!I:J,2,)," ")</f>
        <v xml:space="preserve"> </v>
      </c>
    </row>
    <row r="3194" spans="1:14" x14ac:dyDescent="0.25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6" t="str">
        <f>IFERROR(VLOOKUP(A3194,Shipped!I:J,2,)," ")</f>
        <v xml:space="preserve"> </v>
      </c>
    </row>
    <row r="3195" spans="1:14" x14ac:dyDescent="0.25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6" t="str">
        <f>IFERROR(VLOOKUP(A3195,Shipped!I:J,2,)," ")</f>
        <v xml:space="preserve"> </v>
      </c>
    </row>
    <row r="3196" spans="1:14" x14ac:dyDescent="0.25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6" t="str">
        <f>IFERROR(VLOOKUP(A3196,Shipped!I:J,2,)," ")</f>
        <v xml:space="preserve"> </v>
      </c>
    </row>
    <row r="3197" spans="1:14" x14ac:dyDescent="0.25">
      <c r="A3197" s="11" t="s">
        <v>3030</v>
      </c>
      <c r="B3197" s="11" t="s">
        <v>155</v>
      </c>
      <c r="C3197" s="11" t="s">
        <v>156</v>
      </c>
      <c r="D3197" s="11">
        <v>1</v>
      </c>
      <c r="E3197" s="11" t="s">
        <v>151</v>
      </c>
      <c r="F3197" s="20">
        <v>46281.405636574076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6" t="str">
        <f>IFERROR(VLOOKUP(A3197,Shipped!I:J,2,)," ")</f>
        <v xml:space="preserve"> </v>
      </c>
    </row>
    <row r="3198" spans="1:14" x14ac:dyDescent="0.25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6" t="str">
        <f>IFERROR(VLOOKUP(A3198,Shipped!I:J,2,)," ")</f>
        <v xml:space="preserve"> </v>
      </c>
    </row>
    <row r="3199" spans="1:14" x14ac:dyDescent="0.25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6" t="str">
        <f>IFERROR(VLOOKUP(A3199,Shipped!I:J,2,)," ")</f>
        <v xml:space="preserve"> </v>
      </c>
    </row>
    <row r="3200" spans="1:14" x14ac:dyDescent="0.25">
      <c r="A3200" s="11" t="s">
        <v>3033</v>
      </c>
      <c r="B3200" s="11" t="s">
        <v>6</v>
      </c>
      <c r="C3200" s="11" t="s">
        <v>6</v>
      </c>
      <c r="D3200" s="11">
        <v>1</v>
      </c>
      <c r="E3200" s="11" t="s">
        <v>7</v>
      </c>
      <c r="F3200" s="20">
        <v>46279.265509259261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6" t="str">
        <f>IFERROR(VLOOKUP(A3200,Shipped!I:J,2,)," ")</f>
        <v xml:space="preserve"> </v>
      </c>
    </row>
    <row r="3201" spans="1:14" x14ac:dyDescent="0.25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6" t="str">
        <f>IFERROR(VLOOKUP(A3201,Shipped!I:J,2,)," ")</f>
        <v xml:space="preserve"> </v>
      </c>
    </row>
    <row r="3202" spans="1:14" x14ac:dyDescent="0.25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6" t="str">
        <f>IFERROR(VLOOKUP(A3202,Shipped!I:J,2,)," ")</f>
        <v xml:space="preserve"> </v>
      </c>
    </row>
    <row r="3203" spans="1:14" x14ac:dyDescent="0.25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6" t="str">
        <f>IFERROR(VLOOKUP(A3203,Shipped!I:J,2,)," ")</f>
        <v xml:space="preserve"> </v>
      </c>
    </row>
    <row r="3204" spans="1:14" x14ac:dyDescent="0.25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6" t="str">
        <f>IFERROR(VLOOKUP(A3204,Shipped!I:J,2,)," ")</f>
        <v xml:space="preserve"> </v>
      </c>
    </row>
    <row r="3205" spans="1:14" x14ac:dyDescent="0.25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6" t="str">
        <f>IFERROR(VLOOKUP(A3205,Shipped!I:J,2,)," ")</f>
        <v xml:space="preserve"> </v>
      </c>
    </row>
    <row r="3206" spans="1:14" x14ac:dyDescent="0.25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6" t="str">
        <f>IFERROR(VLOOKUP(A3206,Shipped!I:J,2,)," ")</f>
        <v xml:space="preserve"> </v>
      </c>
    </row>
    <row r="3207" spans="1:14" x14ac:dyDescent="0.25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6" t="str">
        <f>IFERROR(VLOOKUP(A3207,Shipped!I:J,2,)," ")</f>
        <v xml:space="preserve"> </v>
      </c>
    </row>
    <row r="3208" spans="1:14" x14ac:dyDescent="0.25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6" t="str">
        <f>IFERROR(VLOOKUP(A3208,Shipped!I:J,2,)," ")</f>
        <v xml:space="preserve"> </v>
      </c>
    </row>
    <row r="3209" spans="1:14" x14ac:dyDescent="0.25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6" t="str">
        <f>IFERROR(VLOOKUP(A3209,Shipped!I:J,2,)," ")</f>
        <v xml:space="preserve"> </v>
      </c>
    </row>
    <row r="3210" spans="1:14" x14ac:dyDescent="0.25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6" t="str">
        <f>IFERROR(VLOOKUP(A3210,Shipped!I:J,2,)," ")</f>
        <v xml:space="preserve"> </v>
      </c>
    </row>
    <row r="3211" spans="1:14" x14ac:dyDescent="0.25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6" t="str">
        <f>IFERROR(VLOOKUP(A3211,Shipped!I:J,2,)," ")</f>
        <v xml:space="preserve"> </v>
      </c>
    </row>
    <row r="3212" spans="1:14" x14ac:dyDescent="0.25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6" t="str">
        <f>IFERROR(VLOOKUP(A3212,Shipped!I:J,2,)," ")</f>
        <v xml:space="preserve"> </v>
      </c>
    </row>
    <row r="3213" spans="1:14" x14ac:dyDescent="0.25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6" t="str">
        <f>IFERROR(VLOOKUP(A3213,Shipped!I:J,2,)," ")</f>
        <v xml:space="preserve"> </v>
      </c>
    </row>
    <row r="3214" spans="1:14" x14ac:dyDescent="0.25">
      <c r="A3214" s="11" t="s">
        <v>3047</v>
      </c>
      <c r="B3214" s="11" t="s">
        <v>6</v>
      </c>
      <c r="C3214" s="11" t="s">
        <v>6</v>
      </c>
      <c r="D3214" s="11">
        <v>1</v>
      </c>
      <c r="E3214" s="11" t="s">
        <v>7</v>
      </c>
      <c r="F3214" s="20">
        <v>46279.255949074075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6" t="str">
        <f>IFERROR(VLOOKUP(A3214,Shipped!I:J,2,)," ")</f>
        <v xml:space="preserve"> </v>
      </c>
    </row>
    <row r="3215" spans="1:14" x14ac:dyDescent="0.25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6" t="str">
        <f>IFERROR(VLOOKUP(A3215,Shipped!I:J,2,)," ")</f>
        <v xml:space="preserve"> </v>
      </c>
    </row>
    <row r="3216" spans="1:14" x14ac:dyDescent="0.25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6" t="str">
        <f>IFERROR(VLOOKUP(A3216,Shipped!I:J,2,)," ")</f>
        <v xml:space="preserve"> </v>
      </c>
    </row>
    <row r="3217" spans="1:14" x14ac:dyDescent="0.25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6" t="str">
        <f>IFERROR(VLOOKUP(A3217,Shipped!I:J,2,)," ")</f>
        <v xml:space="preserve"> </v>
      </c>
    </row>
    <row r="3218" spans="1:14" x14ac:dyDescent="0.25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6" t="str">
        <f>IFERROR(VLOOKUP(A3218,Shipped!I:J,2,)," ")</f>
        <v xml:space="preserve"> </v>
      </c>
    </row>
    <row r="3219" spans="1:14" x14ac:dyDescent="0.25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6" t="str">
        <f>IFERROR(VLOOKUP(A3219,Shipped!I:J,2,)," ")</f>
        <v xml:space="preserve"> </v>
      </c>
    </row>
    <row r="3220" spans="1:14" x14ac:dyDescent="0.25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6" t="str">
        <f>IFERROR(VLOOKUP(A3220,Shipped!I:J,2,)," ")</f>
        <v xml:space="preserve"> </v>
      </c>
    </row>
    <row r="3221" spans="1:14" x14ac:dyDescent="0.25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56" t="str">
        <f>IFERROR(VLOOKUP(A3221,Shipped!I:J,2,)," ")</f>
        <v xml:space="preserve"> </v>
      </c>
    </row>
    <row r="3222" spans="1:14" x14ac:dyDescent="0.25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56" t="str">
        <f>IFERROR(VLOOKUP(A3222,Shipped!I:J,2,)," ")</f>
        <v xml:space="preserve"> </v>
      </c>
    </row>
    <row r="3223" spans="1:14" x14ac:dyDescent="0.25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56" t="str">
        <f>IFERROR(VLOOKUP(A3223,Shipped!I:J,2,)," ")</f>
        <v xml:space="preserve"> </v>
      </c>
    </row>
    <row r="3224" spans="1:14" x14ac:dyDescent="0.25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56" t="str">
        <f>IFERROR(VLOOKUP(A3224,Shipped!I:J,2,)," ")</f>
        <v xml:space="preserve"> </v>
      </c>
    </row>
    <row r="3225" spans="1:14" x14ac:dyDescent="0.25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56" t="str">
        <f>IFERROR(VLOOKUP(A3225,Shipped!I:J,2,)," ")</f>
        <v xml:space="preserve"> </v>
      </c>
    </row>
    <row r="3226" spans="1:14" x14ac:dyDescent="0.25">
      <c r="A3226" s="11" t="s">
        <v>3059</v>
      </c>
      <c r="B3226" s="11" t="s">
        <v>3826</v>
      </c>
      <c r="C3226" s="11" t="s">
        <v>3827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6" t="str">
        <f>IFERROR(VLOOKUP(A3226,Shipped!I:J,2,)," ")</f>
        <v xml:space="preserve"> </v>
      </c>
    </row>
    <row r="3227" spans="1:14" x14ac:dyDescent="0.25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56" t="str">
        <f>IFERROR(VLOOKUP(A3227,Shipped!I:J,2,)," ")</f>
        <v xml:space="preserve"> </v>
      </c>
    </row>
    <row r="3228" spans="1:14" x14ac:dyDescent="0.25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56" t="str">
        <f>IFERROR(VLOOKUP(A3228,Shipped!I:J,2,)," ")</f>
        <v xml:space="preserve"> </v>
      </c>
    </row>
    <row r="3229" spans="1:14" x14ac:dyDescent="0.25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56" t="str">
        <f>IFERROR(VLOOKUP(A3229,Shipped!I:J,2,)," ")</f>
        <v xml:space="preserve"> </v>
      </c>
    </row>
    <row r="3230" spans="1:14" x14ac:dyDescent="0.25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56" t="str">
        <f>IFERROR(VLOOKUP(A3230,Shipped!I:J,2,)," ")</f>
        <v xml:space="preserve"> </v>
      </c>
    </row>
    <row r="3231" spans="1:14" x14ac:dyDescent="0.25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56" t="str">
        <f>IFERROR(VLOOKUP(A3231,Shipped!I:J,2,)," ")</f>
        <v xml:space="preserve"> </v>
      </c>
    </row>
    <row r="3232" spans="1:14" x14ac:dyDescent="0.25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56" t="str">
        <f>IFERROR(VLOOKUP(A3232,Shipped!I:J,2,)," ")</f>
        <v xml:space="preserve"> </v>
      </c>
    </row>
    <row r="3233" spans="1:14" x14ac:dyDescent="0.25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56" t="str">
        <f>IFERROR(VLOOKUP(A3233,Shipped!I:J,2,)," ")</f>
        <v xml:space="preserve"> </v>
      </c>
    </row>
    <row r="3234" spans="1:14" x14ac:dyDescent="0.25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6" t="str">
        <f>IFERROR(VLOOKUP(A3234,Shipped!I:J,2,)," ")</f>
        <v xml:space="preserve"> </v>
      </c>
    </row>
    <row r="3235" spans="1:14" x14ac:dyDescent="0.25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6" t="str">
        <f>IFERROR(VLOOKUP(A3235,Shipped!I:J,2,)," ")</f>
        <v xml:space="preserve"> </v>
      </c>
    </row>
    <row r="3236" spans="1:14" x14ac:dyDescent="0.25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6" t="str">
        <f>IFERROR(VLOOKUP(A3236,Shipped!I:J,2,)," ")</f>
        <v xml:space="preserve"> </v>
      </c>
    </row>
    <row r="3237" spans="1:14" x14ac:dyDescent="0.25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6" t="str">
        <f>IFERROR(VLOOKUP(A3237,Shipped!I:J,2,)," ")</f>
        <v xml:space="preserve"> </v>
      </c>
    </row>
    <row r="3238" spans="1:14" x14ac:dyDescent="0.25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6" t="str">
        <f>IFERROR(VLOOKUP(A3238,Shipped!I:J,2,)," ")</f>
        <v xml:space="preserve"> </v>
      </c>
    </row>
    <row r="3239" spans="1:14" x14ac:dyDescent="0.25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6" t="str">
        <f>IFERROR(VLOOKUP(A3239,Shipped!I:J,2,)," ")</f>
        <v xml:space="preserve"> </v>
      </c>
    </row>
    <row r="3240" spans="1:14" x14ac:dyDescent="0.25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6" t="str">
        <f>IFERROR(VLOOKUP(A3240,Shipped!I:J,2,)," ")</f>
        <v xml:space="preserve"> </v>
      </c>
    </row>
    <row r="3241" spans="1:14" x14ac:dyDescent="0.25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6" t="str">
        <f>IFERROR(VLOOKUP(A3241,Shipped!I:J,2,)," ")</f>
        <v xml:space="preserve"> </v>
      </c>
    </row>
    <row r="3242" spans="1:14" x14ac:dyDescent="0.25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6" t="str">
        <f>IFERROR(VLOOKUP(A3242,Shipped!I:J,2,)," ")</f>
        <v xml:space="preserve"> </v>
      </c>
    </row>
    <row r="3243" spans="1:14" x14ac:dyDescent="0.25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6" t="str">
        <f>IFERROR(VLOOKUP(A3243,Shipped!I:J,2,)," ")</f>
        <v xml:space="preserve"> </v>
      </c>
    </row>
    <row r="3244" spans="1:14" x14ac:dyDescent="0.25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6" t="str">
        <f>IFERROR(VLOOKUP(A3244,Shipped!I:J,2,)," ")</f>
        <v xml:space="preserve"> </v>
      </c>
    </row>
    <row r="3245" spans="1:14" x14ac:dyDescent="0.25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6" t="str">
        <f>IFERROR(VLOOKUP(A3245,Shipped!I:J,2,)," ")</f>
        <v xml:space="preserve"> </v>
      </c>
    </row>
    <row r="3246" spans="1:14" x14ac:dyDescent="0.25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6" t="str">
        <f>IFERROR(VLOOKUP(A3246,Shipped!I:J,2,)," ")</f>
        <v xml:space="preserve"> </v>
      </c>
    </row>
    <row r="3247" spans="1:14" x14ac:dyDescent="0.25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6" t="str">
        <f>IFERROR(VLOOKUP(A3247,Shipped!I:J,2,)," ")</f>
        <v xml:space="preserve"> </v>
      </c>
    </row>
    <row r="3248" spans="1:14" x14ac:dyDescent="0.25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6" t="str">
        <f>IFERROR(VLOOKUP(A3248,Shipped!I:J,2,)," ")</f>
        <v xml:space="preserve"> </v>
      </c>
    </row>
    <row r="3249" spans="1:14" x14ac:dyDescent="0.25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6" t="str">
        <f>IFERROR(VLOOKUP(A3249,Shipped!I:J,2,)," ")</f>
        <v xml:space="preserve"> </v>
      </c>
    </row>
    <row r="3250" spans="1:14" x14ac:dyDescent="0.25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6" t="str">
        <f>IFERROR(VLOOKUP(A3250,Shipped!I:J,2,)," ")</f>
        <v xml:space="preserve"> </v>
      </c>
    </row>
    <row r="3251" spans="1:14" x14ac:dyDescent="0.25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6" t="str">
        <f>IFERROR(VLOOKUP(A3251,Shipped!I:J,2,)," ")</f>
        <v xml:space="preserve"> </v>
      </c>
    </row>
    <row r="3252" spans="1:14" x14ac:dyDescent="0.25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6" t="str">
        <f>IFERROR(VLOOKUP(A3252,Shipped!I:J,2,)," ")</f>
        <v xml:space="preserve"> </v>
      </c>
    </row>
    <row r="3253" spans="1:14" x14ac:dyDescent="0.25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56" t="str">
        <f>IFERROR(VLOOKUP(A3253,Shipped!I:J,2,)," ")</f>
        <v xml:space="preserve"> </v>
      </c>
    </row>
    <row r="3254" spans="1:14" x14ac:dyDescent="0.25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56" t="str">
        <f>IFERROR(VLOOKUP(A3254,Shipped!I:J,2,)," ")</f>
        <v xml:space="preserve"> </v>
      </c>
    </row>
    <row r="3255" spans="1:14" x14ac:dyDescent="0.25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56" t="str">
        <f>IFERROR(VLOOKUP(A3255,Shipped!I:J,2,)," ")</f>
        <v xml:space="preserve"> </v>
      </c>
    </row>
    <row r="3256" spans="1:14" x14ac:dyDescent="0.25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56" t="str">
        <f>IFERROR(VLOOKUP(A3256,Shipped!I:J,2,)," ")</f>
        <v xml:space="preserve"> </v>
      </c>
    </row>
    <row r="3257" spans="1:14" x14ac:dyDescent="0.25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56" t="str">
        <f>IFERROR(VLOOKUP(A3257,Shipped!I:J,2,)," ")</f>
        <v xml:space="preserve"> </v>
      </c>
    </row>
    <row r="3258" spans="1:14" x14ac:dyDescent="0.25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6" t="str">
        <f>IFERROR(VLOOKUP(A3258,Shipped!I:J,2,)," ")</f>
        <v xml:space="preserve"> </v>
      </c>
    </row>
    <row r="3259" spans="1:14" x14ac:dyDescent="0.25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6" t="str">
        <f>IFERROR(VLOOKUP(A3259,Shipped!I:J,2,)," ")</f>
        <v xml:space="preserve"> </v>
      </c>
    </row>
    <row r="3260" spans="1:14" x14ac:dyDescent="0.25">
      <c r="A3260" s="11" t="s">
        <v>3093</v>
      </c>
      <c r="B3260" s="11" t="s">
        <v>8</v>
      </c>
      <c r="C3260" s="11" t="s">
        <v>9</v>
      </c>
      <c r="D3260" s="11">
        <v>1</v>
      </c>
      <c r="E3260" s="11" t="s">
        <v>10</v>
      </c>
      <c r="F3260" s="20">
        <v>46279.306805555556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6" t="str">
        <f>IFERROR(VLOOKUP(A3260,Shipped!I:J,2,)," ")</f>
        <v xml:space="preserve"> </v>
      </c>
    </row>
    <row r="3261" spans="1:14" x14ac:dyDescent="0.25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6" t="str">
        <f>IFERROR(VLOOKUP(A3261,Shipped!I:J,2,)," ")</f>
        <v xml:space="preserve"> </v>
      </c>
    </row>
    <row r="3262" spans="1:14" x14ac:dyDescent="0.25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6" t="str">
        <f>IFERROR(VLOOKUP(A3262,Shipped!I:J,2,)," ")</f>
        <v xml:space="preserve"> </v>
      </c>
    </row>
    <row r="3263" spans="1:14" x14ac:dyDescent="0.25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6" t="str">
        <f>IFERROR(VLOOKUP(A3263,Shipped!I:J,2,)," ")</f>
        <v xml:space="preserve"> </v>
      </c>
    </row>
    <row r="3264" spans="1:14" x14ac:dyDescent="0.25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6" t="str">
        <f>IFERROR(VLOOKUP(A3264,Shipped!I:J,2,)," ")</f>
        <v xml:space="preserve"> </v>
      </c>
    </row>
    <row r="3265" spans="1:14" x14ac:dyDescent="0.25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6" t="str">
        <f>IFERROR(VLOOKUP(A3265,Shipped!I:J,2,)," ")</f>
        <v xml:space="preserve"> </v>
      </c>
    </row>
    <row r="3266" spans="1:14" x14ac:dyDescent="0.25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6" t="str">
        <f>IFERROR(VLOOKUP(A3266,Shipped!I:J,2,)," ")</f>
        <v xml:space="preserve"> </v>
      </c>
    </row>
    <row r="3267" spans="1:14" x14ac:dyDescent="0.25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6" t="str">
        <f>IFERROR(VLOOKUP(A3267,Shipped!I:J,2,)," ")</f>
        <v xml:space="preserve"> </v>
      </c>
    </row>
    <row r="3268" spans="1:14" x14ac:dyDescent="0.25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6" t="str">
        <f>IFERROR(VLOOKUP(A3268,Shipped!I:J,2,)," ")</f>
        <v xml:space="preserve"> </v>
      </c>
    </row>
    <row r="3269" spans="1:14" x14ac:dyDescent="0.25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6" t="str">
        <f>IFERROR(VLOOKUP(A3269,Shipped!I:J,2,)," ")</f>
        <v xml:space="preserve"> </v>
      </c>
    </row>
    <row r="3270" spans="1:14" x14ac:dyDescent="0.25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6" t="str">
        <f>IFERROR(VLOOKUP(A3270,Shipped!I:J,2,)," ")</f>
        <v xml:space="preserve"> </v>
      </c>
    </row>
    <row r="3271" spans="1:14" x14ac:dyDescent="0.25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6" t="str">
        <f>IFERROR(VLOOKUP(A3271,Shipped!I:J,2,)," ")</f>
        <v xml:space="preserve"> </v>
      </c>
    </row>
    <row r="3272" spans="1:14" x14ac:dyDescent="0.25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6" t="str">
        <f>IFERROR(VLOOKUP(A3272,Shipped!I:J,2,)," ")</f>
        <v xml:space="preserve"> </v>
      </c>
    </row>
    <row r="3273" spans="1:14" x14ac:dyDescent="0.25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56" t="str">
        <f>IFERROR(VLOOKUP(A3273,Shipped!I:J,2,)," ")</f>
        <v xml:space="preserve"> </v>
      </c>
    </row>
    <row r="3274" spans="1:14" x14ac:dyDescent="0.25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56" t="str">
        <f>IFERROR(VLOOKUP(A3274,Shipped!I:J,2,)," ")</f>
        <v xml:space="preserve"> </v>
      </c>
    </row>
    <row r="3275" spans="1:14" x14ac:dyDescent="0.25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56" t="str">
        <f>IFERROR(VLOOKUP(A3275,Shipped!I:J,2,)," ")</f>
        <v xml:space="preserve"> </v>
      </c>
    </row>
    <row r="3276" spans="1:14" x14ac:dyDescent="0.25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56" t="str">
        <f>IFERROR(VLOOKUP(A3276,Shipped!I:J,2,)," ")</f>
        <v xml:space="preserve"> </v>
      </c>
    </row>
    <row r="3277" spans="1:14" x14ac:dyDescent="0.25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56" t="str">
        <f>IFERROR(VLOOKUP(A3277,Shipped!I:J,2,)," ")</f>
        <v xml:space="preserve"> </v>
      </c>
    </row>
    <row r="3278" spans="1:14" x14ac:dyDescent="0.25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6" t="str">
        <f>IFERROR(VLOOKUP(A3278,Shipped!I:J,2,)," ")</f>
        <v xml:space="preserve"> </v>
      </c>
    </row>
    <row r="3279" spans="1:14" x14ac:dyDescent="0.25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56" t="str">
        <f>IFERROR(VLOOKUP(A3279,Shipped!I:J,2,)," ")</f>
        <v xml:space="preserve"> </v>
      </c>
    </row>
    <row r="3280" spans="1:14" x14ac:dyDescent="0.25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56" t="str">
        <f>IFERROR(VLOOKUP(A3280,Shipped!I:J,2,)," ")</f>
        <v xml:space="preserve"> </v>
      </c>
    </row>
    <row r="3281" spans="1:14" x14ac:dyDescent="0.25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56" t="str">
        <f>IFERROR(VLOOKUP(A3281,Shipped!I:J,2,)," ")</f>
        <v xml:space="preserve"> </v>
      </c>
    </row>
    <row r="3282" spans="1:14" x14ac:dyDescent="0.25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56" t="str">
        <f>IFERROR(VLOOKUP(A3282,Shipped!I:J,2,)," ")</f>
        <v xml:space="preserve"> </v>
      </c>
    </row>
    <row r="3283" spans="1:14" x14ac:dyDescent="0.25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56" t="str">
        <f>IFERROR(VLOOKUP(A3283,Shipped!I:J,2,)," ")</f>
        <v xml:space="preserve"> </v>
      </c>
    </row>
    <row r="3284" spans="1:14" x14ac:dyDescent="0.25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56" t="str">
        <f>IFERROR(VLOOKUP(A3284,Shipped!I:J,2,)," ")</f>
        <v xml:space="preserve"> </v>
      </c>
    </row>
    <row r="3285" spans="1:14" x14ac:dyDescent="0.25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56" t="str">
        <f>IFERROR(VLOOKUP(A3285,Shipped!I:J,2,)," ")</f>
        <v xml:space="preserve"> </v>
      </c>
    </row>
    <row r="3286" spans="1:14" x14ac:dyDescent="0.25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6" t="str">
        <f>IFERROR(VLOOKUP(A3286,Shipped!I:J,2,)," ")</f>
        <v xml:space="preserve"> </v>
      </c>
    </row>
    <row r="3287" spans="1:14" x14ac:dyDescent="0.25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6" t="str">
        <f>IFERROR(VLOOKUP(A3287,Shipped!I:J,2,)," ")</f>
        <v xml:space="preserve"> </v>
      </c>
    </row>
    <row r="3288" spans="1:14" x14ac:dyDescent="0.25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6" t="str">
        <f>IFERROR(VLOOKUP(A3288,Shipped!I:J,2,)," ")</f>
        <v xml:space="preserve"> </v>
      </c>
    </row>
    <row r="3289" spans="1:14" x14ac:dyDescent="0.25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6" t="str">
        <f>IFERROR(VLOOKUP(A3289,Shipped!I:J,2,)," ")</f>
        <v xml:space="preserve"> </v>
      </c>
    </row>
    <row r="3290" spans="1:14" x14ac:dyDescent="0.25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6" t="str">
        <f>IFERROR(VLOOKUP(A3290,Shipped!I:J,2,)," ")</f>
        <v xml:space="preserve"> </v>
      </c>
    </row>
    <row r="3291" spans="1:14" x14ac:dyDescent="0.25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6" t="str">
        <f>IFERROR(VLOOKUP(A3291,Shipped!I:J,2,)," ")</f>
        <v xml:space="preserve"> </v>
      </c>
    </row>
    <row r="3292" spans="1:14" x14ac:dyDescent="0.25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6" t="str">
        <f>IFERROR(VLOOKUP(A3292,Shipped!I:J,2,)," ")</f>
        <v xml:space="preserve"> </v>
      </c>
    </row>
    <row r="3293" spans="1:14" x14ac:dyDescent="0.25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6" t="str">
        <f>IFERROR(VLOOKUP(A3293,Shipped!I:J,2,)," ")</f>
        <v xml:space="preserve"> </v>
      </c>
    </row>
    <row r="3294" spans="1:14" x14ac:dyDescent="0.25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6" t="str">
        <f>IFERROR(VLOOKUP(A3294,Shipped!I:J,2,)," ")</f>
        <v xml:space="preserve"> </v>
      </c>
    </row>
    <row r="3295" spans="1:14" x14ac:dyDescent="0.25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6" t="str">
        <f>IFERROR(VLOOKUP(A3295,Shipped!I:J,2,)," ")</f>
        <v xml:space="preserve"> </v>
      </c>
    </row>
    <row r="3296" spans="1:14" x14ac:dyDescent="0.25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6" t="str">
        <f>IFERROR(VLOOKUP(A3296,Shipped!I:J,2,)," ")</f>
        <v xml:space="preserve"> </v>
      </c>
    </row>
    <row r="3297" spans="1:14" x14ac:dyDescent="0.25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6" t="str">
        <f>IFERROR(VLOOKUP(A3297,Shipped!I:J,2,)," ")</f>
        <v xml:space="preserve"> </v>
      </c>
    </row>
    <row r="3298" spans="1:14" x14ac:dyDescent="0.25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6" t="str">
        <f>IFERROR(VLOOKUP(A3298,Shipped!I:J,2,)," ")</f>
        <v xml:space="preserve"> </v>
      </c>
    </row>
    <row r="3299" spans="1:14" x14ac:dyDescent="0.25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6" t="str">
        <f>IFERROR(VLOOKUP(A3299,Shipped!I:J,2,)," ")</f>
        <v xml:space="preserve"> </v>
      </c>
    </row>
    <row r="3300" spans="1:14" x14ac:dyDescent="0.25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6" t="str">
        <f>IFERROR(VLOOKUP(A3300,Shipped!I:J,2,)," ")</f>
        <v xml:space="preserve"> </v>
      </c>
    </row>
    <row r="3301" spans="1:14" x14ac:dyDescent="0.25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6" t="str">
        <f>IFERROR(VLOOKUP(A3301,Shipped!I:J,2,)," ")</f>
        <v xml:space="preserve"> </v>
      </c>
    </row>
    <row r="3302" spans="1:14" x14ac:dyDescent="0.25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6" t="str">
        <f>IFERROR(VLOOKUP(A3302,Shipped!I:J,2,)," ")</f>
        <v xml:space="preserve"> </v>
      </c>
    </row>
    <row r="3303" spans="1:14" x14ac:dyDescent="0.25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6" t="str">
        <f>IFERROR(VLOOKUP(A3303,Shipped!I:J,2,)," ")</f>
        <v xml:space="preserve"> </v>
      </c>
    </row>
    <row r="3304" spans="1:14" x14ac:dyDescent="0.25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6" t="str">
        <f>IFERROR(VLOOKUP(A3304,Shipped!I:J,2,)," ")</f>
        <v xml:space="preserve"> </v>
      </c>
    </row>
    <row r="3305" spans="1:14" x14ac:dyDescent="0.25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6" t="str">
        <f>IFERROR(VLOOKUP(A3305,Shipped!I:J,2,)," ")</f>
        <v xml:space="preserve"> </v>
      </c>
    </row>
    <row r="3306" spans="1:14" x14ac:dyDescent="0.25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56" t="str">
        <f>IFERROR(VLOOKUP(A3306,Shipped!I:J,2,)," ")</f>
        <v xml:space="preserve"> </v>
      </c>
    </row>
    <row r="3307" spans="1:14" x14ac:dyDescent="0.25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56" t="str">
        <f>IFERROR(VLOOKUP(A3307,Shipped!I:J,2,)," ")</f>
        <v xml:space="preserve"> </v>
      </c>
    </row>
    <row r="3308" spans="1:14" x14ac:dyDescent="0.25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56" t="str">
        <f>IFERROR(VLOOKUP(A3308,Shipped!I:J,2,)," ")</f>
        <v xml:space="preserve"> </v>
      </c>
    </row>
    <row r="3309" spans="1:14" x14ac:dyDescent="0.25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56">
        <f>IFERROR(VLOOKUP(A3309,Shipped!I:J,2,)," ")</f>
        <v>46220</v>
      </c>
    </row>
    <row r="3310" spans="1:14" x14ac:dyDescent="0.25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56">
        <f>IFERROR(VLOOKUP(A3310,Shipped!I:J,2,)," ")</f>
        <v>46209</v>
      </c>
    </row>
    <row r="3311" spans="1:14" x14ac:dyDescent="0.25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56" t="str">
        <f>IFERROR(VLOOKUP(A3311,Shipped!I:J,2,)," ")</f>
        <v xml:space="preserve"> </v>
      </c>
    </row>
    <row r="3312" spans="1:14" x14ac:dyDescent="0.25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56">
        <f>IFERROR(VLOOKUP(A3312,Shipped!I:J,2,)," ")</f>
        <v>46220</v>
      </c>
    </row>
    <row r="3313" spans="1:14" x14ac:dyDescent="0.25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56">
        <f>IFERROR(VLOOKUP(A3313,Shipped!I:J,2,)," ")</f>
        <v>46209</v>
      </c>
    </row>
    <row r="3314" spans="1:14" x14ac:dyDescent="0.25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56" t="str">
        <f>IFERROR(VLOOKUP(A3314,Shipped!I:J,2,)," ")</f>
        <v xml:space="preserve"> </v>
      </c>
    </row>
    <row r="3315" spans="1:14" x14ac:dyDescent="0.25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56" t="str">
        <f>IFERROR(VLOOKUP(A3315,Shipped!I:J,2,)," ")</f>
        <v xml:space="preserve"> </v>
      </c>
    </row>
    <row r="3316" spans="1:14" x14ac:dyDescent="0.25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56">
        <f>IFERROR(VLOOKUP(A3316,Shipped!I:J,2,)," ")</f>
        <v>46220</v>
      </c>
    </row>
    <row r="3317" spans="1:14" x14ac:dyDescent="0.25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56">
        <f>IFERROR(VLOOKUP(A3317,Shipped!I:J,2,)," ")</f>
        <v>46220</v>
      </c>
    </row>
    <row r="3318" spans="1:14" x14ac:dyDescent="0.25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56" t="str">
        <f>IFERROR(VLOOKUP(A3318,Shipped!I:J,2,)," ")</f>
        <v xml:space="preserve"> </v>
      </c>
    </row>
    <row r="3319" spans="1:14" x14ac:dyDescent="0.25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56">
        <f>IFERROR(VLOOKUP(A3319,Shipped!I:J,2,)," ")</f>
        <v>46220</v>
      </c>
    </row>
    <row r="3320" spans="1:14" x14ac:dyDescent="0.25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56">
        <f>IFERROR(VLOOKUP(A3320,Shipped!I:J,2,)," ")</f>
        <v>46220</v>
      </c>
    </row>
    <row r="3321" spans="1:14" x14ac:dyDescent="0.25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56">
        <f>IFERROR(VLOOKUP(A3321,Shipped!I:J,2,)," ")</f>
        <v>46220</v>
      </c>
    </row>
    <row r="3322" spans="1:14" x14ac:dyDescent="0.25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56">
        <f>IFERROR(VLOOKUP(A3322,Shipped!I:J,2,)," ")</f>
        <v>46220</v>
      </c>
    </row>
    <row r="3323" spans="1:14" x14ac:dyDescent="0.25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56" t="str">
        <f>IFERROR(VLOOKUP(A3323,Shipped!I:J,2,)," ")</f>
        <v xml:space="preserve"> </v>
      </c>
    </row>
    <row r="3324" spans="1:14" x14ac:dyDescent="0.25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56" t="str">
        <f>IFERROR(VLOOKUP(A3324,Shipped!I:J,2,)," ")</f>
        <v xml:space="preserve"> </v>
      </c>
    </row>
    <row r="3325" spans="1:14" x14ac:dyDescent="0.25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56" t="str">
        <f>IFERROR(VLOOKUP(A3325,Shipped!I:J,2,)," ")</f>
        <v xml:space="preserve"> </v>
      </c>
    </row>
    <row r="3326" spans="1:14" x14ac:dyDescent="0.25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56" t="str">
        <f>IFERROR(VLOOKUP(A3326,Shipped!I:J,2,)," ")</f>
        <v xml:space="preserve"> </v>
      </c>
    </row>
    <row r="3327" spans="1:14" x14ac:dyDescent="0.25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56" t="str">
        <f>IFERROR(VLOOKUP(A3327,Shipped!I:J,2,)," ")</f>
        <v xml:space="preserve"> </v>
      </c>
    </row>
    <row r="3328" spans="1:14" x14ac:dyDescent="0.25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56" t="str">
        <f>IFERROR(VLOOKUP(A3328,Shipped!I:J,2,)," ")</f>
        <v xml:space="preserve"> </v>
      </c>
    </row>
    <row r="3329" spans="1:14" x14ac:dyDescent="0.25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56" t="str">
        <f>IFERROR(VLOOKUP(A3329,Shipped!I:J,2,)," ")</f>
        <v xml:space="preserve"> </v>
      </c>
    </row>
    <row r="3330" spans="1:14" x14ac:dyDescent="0.25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56" t="str">
        <f>IFERROR(VLOOKUP(A3330,Shipped!I:J,2,)," ")</f>
        <v xml:space="preserve"> </v>
      </c>
    </row>
    <row r="3331" spans="1:14" x14ac:dyDescent="0.25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56" t="str">
        <f>IFERROR(VLOOKUP(A3331,Shipped!I:J,2,)," ")</f>
        <v xml:space="preserve"> </v>
      </c>
    </row>
    <row r="3332" spans="1:14" x14ac:dyDescent="0.25">
      <c r="A3332" s="11" t="s">
        <v>3145</v>
      </c>
      <c r="B3332" s="11" t="s">
        <v>6</v>
      </c>
      <c r="C3332" s="11" t="s">
        <v>6</v>
      </c>
      <c r="D3332" s="11">
        <v>1</v>
      </c>
      <c r="E3332" s="11" t="s">
        <v>7</v>
      </c>
      <c r="F3332" s="20">
        <v>46281.473761574074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56" t="str">
        <f>IFERROR(VLOOKUP(A3332,Shipped!I:J,2,)," ")</f>
        <v xml:space="preserve"> </v>
      </c>
    </row>
    <row r="3333" spans="1:14" x14ac:dyDescent="0.25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56" t="str">
        <f>IFERROR(VLOOKUP(A3333,Shipped!I:J,2,)," ")</f>
        <v xml:space="preserve"> </v>
      </c>
    </row>
    <row r="3334" spans="1:14" x14ac:dyDescent="0.25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56" t="str">
        <f>IFERROR(VLOOKUP(A3334,Shipped!I:J,2,)," ")</f>
        <v xml:space="preserve"> </v>
      </c>
    </row>
    <row r="3335" spans="1:14" x14ac:dyDescent="0.25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56" t="str">
        <f>IFERROR(VLOOKUP(A3335,Shipped!I:J,2,)," ")</f>
        <v xml:space="preserve"> </v>
      </c>
    </row>
    <row r="3336" spans="1:14" x14ac:dyDescent="0.25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56" t="str">
        <f>IFERROR(VLOOKUP(A3336,Shipped!I:J,2,)," ")</f>
        <v xml:space="preserve"> </v>
      </c>
    </row>
    <row r="3337" spans="1:14" x14ac:dyDescent="0.25">
      <c r="A3337" s="11" t="s">
        <v>3150</v>
      </c>
      <c r="B3337" s="11" t="s">
        <v>6</v>
      </c>
      <c r="C3337" s="11" t="s">
        <v>6</v>
      </c>
      <c r="D3337" s="11">
        <v>1</v>
      </c>
      <c r="E3337" s="11" t="s">
        <v>7</v>
      </c>
      <c r="F3337" s="20">
        <v>46279.497835648152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56" t="str">
        <f>IFERROR(VLOOKUP(A3337,Shipped!I:J,2,)," ")</f>
        <v xml:space="preserve"> </v>
      </c>
    </row>
    <row r="3338" spans="1:14" x14ac:dyDescent="0.25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56" t="str">
        <f>IFERROR(VLOOKUP(A3338,Shipped!I:J,2,)," ")</f>
        <v xml:space="preserve"> </v>
      </c>
    </row>
    <row r="3339" spans="1:14" x14ac:dyDescent="0.25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56" t="str">
        <f>IFERROR(VLOOKUP(A3339,Shipped!I:J,2,)," ")</f>
        <v xml:space="preserve"> </v>
      </c>
    </row>
    <row r="3340" spans="1:14" x14ac:dyDescent="0.25">
      <c r="A3340" s="11" t="s">
        <v>3153</v>
      </c>
      <c r="B3340" s="11" t="s">
        <v>11</v>
      </c>
      <c r="C3340" s="11" t="s">
        <v>12</v>
      </c>
      <c r="D3340" s="11">
        <v>1</v>
      </c>
      <c r="E3340" s="11" t="s">
        <v>13</v>
      </c>
      <c r="F3340" s="20">
        <v>46281.580439814818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56" t="str">
        <f>IFERROR(VLOOKUP(A3340,Shipped!I:J,2,)," ")</f>
        <v xml:space="preserve"> </v>
      </c>
    </row>
    <row r="3341" spans="1:14" x14ac:dyDescent="0.25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56" t="str">
        <f>IFERROR(VLOOKUP(A3341,Shipped!I:J,2,)," ")</f>
        <v xml:space="preserve"> </v>
      </c>
    </row>
    <row r="3342" spans="1:14" x14ac:dyDescent="0.25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56" t="str">
        <f>IFERROR(VLOOKUP(A3342,Shipped!I:J,2,)," ")</f>
        <v xml:space="preserve"> </v>
      </c>
    </row>
    <row r="3343" spans="1:14" x14ac:dyDescent="0.25">
      <c r="A3343" s="11" t="s">
        <v>3156</v>
      </c>
      <c r="B3343" s="11" t="s">
        <v>6</v>
      </c>
      <c r="C3343" s="11" t="s">
        <v>6</v>
      </c>
      <c r="D3343" s="11">
        <v>1</v>
      </c>
      <c r="E3343" s="11" t="s">
        <v>7</v>
      </c>
      <c r="F3343" s="20">
        <v>46279.811527777776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56" t="str">
        <f>IFERROR(VLOOKUP(A3343,Shipped!I:J,2,)," ")</f>
        <v xml:space="preserve"> </v>
      </c>
    </row>
    <row r="3344" spans="1:14" x14ac:dyDescent="0.25">
      <c r="A3344" s="11" t="s">
        <v>3157</v>
      </c>
      <c r="B3344" s="11" t="s">
        <v>6</v>
      </c>
      <c r="C3344" s="11" t="s">
        <v>6</v>
      </c>
      <c r="D3344" s="11">
        <v>1</v>
      </c>
      <c r="E3344" s="11" t="s">
        <v>7</v>
      </c>
      <c r="F3344" s="20">
        <v>46279.489641203705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56" t="str">
        <f>IFERROR(VLOOKUP(A3344,Shipped!I:J,2,)," ")</f>
        <v xml:space="preserve"> </v>
      </c>
    </row>
    <row r="3345" spans="1:14" x14ac:dyDescent="0.25">
      <c r="A3345" s="11" t="s">
        <v>3158</v>
      </c>
      <c r="B3345" s="11" t="s">
        <v>6</v>
      </c>
      <c r="C3345" s="11" t="s">
        <v>6</v>
      </c>
      <c r="D3345" s="11">
        <v>1</v>
      </c>
      <c r="E3345" s="11" t="s">
        <v>7</v>
      </c>
      <c r="F3345" s="20">
        <v>46276.806759259256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56" t="str">
        <f>IFERROR(VLOOKUP(A3345,Shipped!I:J,2,)," ")</f>
        <v xml:space="preserve"> </v>
      </c>
    </row>
    <row r="3346" spans="1:14" x14ac:dyDescent="0.25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56" t="str">
        <f>IFERROR(VLOOKUP(A3346,Shipped!I:J,2,)," ")</f>
        <v xml:space="preserve"> </v>
      </c>
    </row>
    <row r="3347" spans="1:14" x14ac:dyDescent="0.25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56" t="str">
        <f>IFERROR(VLOOKUP(A3347,Shipped!I:J,2,)," ")</f>
        <v xml:space="preserve"> </v>
      </c>
    </row>
    <row r="3348" spans="1:14" x14ac:dyDescent="0.25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56" t="str">
        <f>IFERROR(VLOOKUP(A3348,Shipped!I:J,2,)," ")</f>
        <v xml:space="preserve"> </v>
      </c>
    </row>
    <row r="3349" spans="1:14" x14ac:dyDescent="0.25">
      <c r="A3349" s="11" t="s">
        <v>3162</v>
      </c>
      <c r="B3349" s="11" t="s">
        <v>83</v>
      </c>
      <c r="C3349" s="11" t="s">
        <v>84</v>
      </c>
      <c r="D3349" s="11">
        <v>1</v>
      </c>
      <c r="E3349" s="11" t="s">
        <v>85</v>
      </c>
      <c r="F3349" s="20">
        <v>46279.746724537035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56" t="str">
        <f>IFERROR(VLOOKUP(A3349,Shipped!I:J,2,)," ")</f>
        <v xml:space="preserve"> </v>
      </c>
    </row>
    <row r="3350" spans="1:14" x14ac:dyDescent="0.25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56" t="str">
        <f>IFERROR(VLOOKUP(A3350,Shipped!I:J,2,)," ")</f>
        <v xml:space="preserve"> </v>
      </c>
    </row>
    <row r="3351" spans="1:14" x14ac:dyDescent="0.25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56" t="str">
        <f>IFERROR(VLOOKUP(A3351,Shipped!I:J,2,)," ")</f>
        <v xml:space="preserve"> </v>
      </c>
    </row>
    <row r="3352" spans="1:14" x14ac:dyDescent="0.25">
      <c r="A3352" s="11" t="s">
        <v>3165</v>
      </c>
      <c r="B3352" s="11" t="s">
        <v>8</v>
      </c>
      <c r="C3352" s="11" t="s">
        <v>9</v>
      </c>
      <c r="D3352" s="11">
        <v>1</v>
      </c>
      <c r="E3352" s="11" t="s">
        <v>10</v>
      </c>
      <c r="F3352" s="20">
        <v>46281.658912037034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56" t="str">
        <f>IFERROR(VLOOKUP(A3352,Shipped!I:J,2,)," ")</f>
        <v xml:space="preserve"> </v>
      </c>
    </row>
    <row r="3353" spans="1:14" x14ac:dyDescent="0.25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3814</v>
      </c>
      <c r="N3353" s="56" t="str">
        <f>IFERROR(VLOOKUP(A3353,Shipped!I:J,2,)," ")</f>
        <v xml:space="preserve"> </v>
      </c>
    </row>
    <row r="3354" spans="1:14" x14ac:dyDescent="0.25">
      <c r="A3354" s="11" t="s">
        <v>3167</v>
      </c>
      <c r="B3354" s="11" t="s">
        <v>3824</v>
      </c>
      <c r="C3354" s="11" t="s">
        <v>3825</v>
      </c>
      <c r="D3354" s="11">
        <v>1</v>
      </c>
      <c r="E3354" s="11" t="s">
        <v>151</v>
      </c>
      <c r="F3354" s="20">
        <v>46280.55300925926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56" t="str">
        <f>IFERROR(VLOOKUP(A3354,Shipped!I:J,2,)," ")</f>
        <v xml:space="preserve"> </v>
      </c>
    </row>
    <row r="3355" spans="1:14" x14ac:dyDescent="0.25">
      <c r="A3355" s="11" t="s">
        <v>3168</v>
      </c>
      <c r="B3355" s="11" t="s">
        <v>152</v>
      </c>
      <c r="C3355" s="11" t="s">
        <v>153</v>
      </c>
      <c r="D3355" s="11">
        <v>1</v>
      </c>
      <c r="E3355" s="11" t="s">
        <v>13</v>
      </c>
      <c r="F3355" s="20">
        <v>46281.377291666664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3814</v>
      </c>
      <c r="N3355" s="56" t="str">
        <f>IFERROR(VLOOKUP(A3355,Shipped!I:J,2,)," ")</f>
        <v xml:space="preserve"> </v>
      </c>
    </row>
    <row r="3356" spans="1:14" x14ac:dyDescent="0.25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56" t="str">
        <f>IFERROR(VLOOKUP(A3356,Shipped!I:J,2,)," ")</f>
        <v xml:space="preserve"> </v>
      </c>
    </row>
    <row r="3357" spans="1:14" x14ac:dyDescent="0.25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56" t="str">
        <f>IFERROR(VLOOKUP(A3357,Shipped!I:J,2,)," ")</f>
        <v xml:space="preserve"> </v>
      </c>
    </row>
    <row r="3358" spans="1:14" x14ac:dyDescent="0.25">
      <c r="A3358" s="11" t="s">
        <v>3171</v>
      </c>
      <c r="B3358" s="11" t="s">
        <v>83</v>
      </c>
      <c r="C3358" s="11" t="s">
        <v>84</v>
      </c>
      <c r="D3358" s="11">
        <v>1</v>
      </c>
      <c r="E3358" s="11" t="s">
        <v>85</v>
      </c>
      <c r="F3358" s="20">
        <v>46279.771898148145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56" t="str">
        <f>IFERROR(VLOOKUP(A3358,Shipped!I:J,2,)," ")</f>
        <v xml:space="preserve"> </v>
      </c>
    </row>
    <row r="3359" spans="1:14" x14ac:dyDescent="0.25">
      <c r="A3359" s="11" t="s">
        <v>3172</v>
      </c>
      <c r="B3359" s="11" t="s">
        <v>6</v>
      </c>
      <c r="C3359" s="11" t="s">
        <v>6</v>
      </c>
      <c r="D3359" s="11">
        <v>1</v>
      </c>
      <c r="E3359" s="11" t="s">
        <v>7</v>
      </c>
      <c r="F3359" s="20">
        <v>46276.549722222226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56" t="str">
        <f>IFERROR(VLOOKUP(A3359,Shipped!I:J,2,)," ")</f>
        <v xml:space="preserve"> </v>
      </c>
    </row>
    <row r="3360" spans="1:14" x14ac:dyDescent="0.25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56" t="str">
        <f>IFERROR(VLOOKUP(A3360,Shipped!I:J,2,)," ")</f>
        <v xml:space="preserve"> </v>
      </c>
    </row>
    <row r="3361" spans="1:14" x14ac:dyDescent="0.25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56" t="str">
        <f>IFERROR(VLOOKUP(A3361,Shipped!I:J,2,)," ")</f>
        <v xml:space="preserve"> </v>
      </c>
    </row>
    <row r="3362" spans="1:14" x14ac:dyDescent="0.25">
      <c r="A3362" s="11" t="s">
        <v>3175</v>
      </c>
      <c r="B3362" s="11" t="s">
        <v>2684</v>
      </c>
      <c r="C3362" s="11" t="s">
        <v>2685</v>
      </c>
      <c r="D3362" s="11">
        <v>1</v>
      </c>
      <c r="E3362" s="11" t="s">
        <v>151</v>
      </c>
      <c r="F3362" s="20">
        <v>46281.593101851853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56" t="str">
        <f>IFERROR(VLOOKUP(A3362,Shipped!I:J,2,)," ")</f>
        <v xml:space="preserve"> </v>
      </c>
    </row>
    <row r="3363" spans="1:14" x14ac:dyDescent="0.25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56" t="str">
        <f>IFERROR(VLOOKUP(A3363,Shipped!I:J,2,)," ")</f>
        <v xml:space="preserve"> </v>
      </c>
    </row>
    <row r="3364" spans="1:14" x14ac:dyDescent="0.25">
      <c r="A3364" s="11" t="s">
        <v>3177</v>
      </c>
      <c r="B3364" s="11" t="s">
        <v>6</v>
      </c>
      <c r="C3364" s="11" t="s">
        <v>6</v>
      </c>
      <c r="D3364" s="11">
        <v>1</v>
      </c>
      <c r="E3364" s="11" t="s">
        <v>7</v>
      </c>
      <c r="F3364" s="20">
        <v>46276.553981481484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56" t="str">
        <f>IFERROR(VLOOKUP(A3364,Shipped!I:J,2,)," ")</f>
        <v xml:space="preserve"> </v>
      </c>
    </row>
    <row r="3365" spans="1:14" x14ac:dyDescent="0.25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56" t="str">
        <f>IFERROR(VLOOKUP(A3365,Shipped!I:J,2,)," ")</f>
        <v xml:space="preserve"> </v>
      </c>
    </row>
    <row r="3366" spans="1:14" x14ac:dyDescent="0.25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56" t="str">
        <f>IFERROR(VLOOKUP(A3366,Shipped!I:J,2,)," ")</f>
        <v xml:space="preserve"> </v>
      </c>
    </row>
    <row r="3367" spans="1:14" x14ac:dyDescent="0.25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56" t="str">
        <f>IFERROR(VLOOKUP(A3367,Shipped!I:J,2,)," ")</f>
        <v xml:space="preserve"> </v>
      </c>
    </row>
    <row r="3368" spans="1:14" x14ac:dyDescent="0.25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56" t="str">
        <f>IFERROR(VLOOKUP(A3368,Shipped!I:J,2,)," ")</f>
        <v xml:space="preserve"> </v>
      </c>
    </row>
    <row r="3369" spans="1:14" x14ac:dyDescent="0.25">
      <c r="A3369" s="11" t="s">
        <v>3182</v>
      </c>
      <c r="B3369" s="11" t="s">
        <v>6</v>
      </c>
      <c r="C3369" s="11" t="s">
        <v>6</v>
      </c>
      <c r="D3369" s="11">
        <v>1</v>
      </c>
      <c r="E3369" s="11" t="s">
        <v>7</v>
      </c>
      <c r="F3369" s="20">
        <v>46280.54619212963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56" t="str">
        <f>IFERROR(VLOOKUP(A3369,Shipped!I:J,2,)," ")</f>
        <v xml:space="preserve"> </v>
      </c>
    </row>
    <row r="3370" spans="1:14" x14ac:dyDescent="0.25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56" t="str">
        <f>IFERROR(VLOOKUP(A3370,Shipped!I:J,2,)," ")</f>
        <v xml:space="preserve"> </v>
      </c>
    </row>
    <row r="3371" spans="1:14" x14ac:dyDescent="0.25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56" t="str">
        <f>IFERROR(VLOOKUP(A3371,Shipped!I:J,2,)," ")</f>
        <v xml:space="preserve"> </v>
      </c>
    </row>
    <row r="3372" spans="1:14" x14ac:dyDescent="0.25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56" t="str">
        <f>IFERROR(VLOOKUP(A3372,Shipped!I:J,2,)," ")</f>
        <v xml:space="preserve"> </v>
      </c>
    </row>
    <row r="3373" spans="1:14" x14ac:dyDescent="0.25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56" t="str">
        <f>IFERROR(VLOOKUP(A3373,Shipped!I:J,2,)," ")</f>
        <v xml:space="preserve"> </v>
      </c>
    </row>
    <row r="3374" spans="1:14" x14ac:dyDescent="0.25">
      <c r="A3374" s="11" t="s">
        <v>3187</v>
      </c>
      <c r="B3374" s="11" t="s">
        <v>3508</v>
      </c>
      <c r="C3374" s="11" t="s">
        <v>3509</v>
      </c>
      <c r="D3374" s="11">
        <v>1</v>
      </c>
      <c r="E3374" s="11" t="s">
        <v>151</v>
      </c>
      <c r="F3374" s="20">
        <v>46279.389027777775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56" t="str">
        <f>IFERROR(VLOOKUP(A3374,Shipped!I:J,2,)," ")</f>
        <v xml:space="preserve"> </v>
      </c>
    </row>
    <row r="3375" spans="1:14" x14ac:dyDescent="0.25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56" t="str">
        <f>IFERROR(VLOOKUP(A3375,Shipped!I:J,2,)," ")</f>
        <v xml:space="preserve"> </v>
      </c>
    </row>
    <row r="3376" spans="1:14" x14ac:dyDescent="0.25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56" t="str">
        <f>IFERROR(VLOOKUP(A3376,Shipped!I:J,2,)," ")</f>
        <v xml:space="preserve"> </v>
      </c>
    </row>
    <row r="3377" spans="1:14" x14ac:dyDescent="0.25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56" t="str">
        <f>IFERROR(VLOOKUP(A3377,Shipped!I:J,2,)," ")</f>
        <v xml:space="preserve"> </v>
      </c>
    </row>
    <row r="3378" spans="1:14" x14ac:dyDescent="0.25">
      <c r="A3378" s="11" t="s">
        <v>3191</v>
      </c>
      <c r="B3378" s="11" t="s">
        <v>6</v>
      </c>
      <c r="C3378" s="11" t="s">
        <v>6</v>
      </c>
      <c r="D3378" s="11">
        <v>1</v>
      </c>
      <c r="E3378" s="11" t="s">
        <v>7</v>
      </c>
      <c r="F3378" s="20">
        <v>46276.606122685182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56" t="str">
        <f>IFERROR(VLOOKUP(A3378,Shipped!I:J,2,)," ")</f>
        <v xml:space="preserve"> </v>
      </c>
    </row>
    <row r="3379" spans="1:14" x14ac:dyDescent="0.25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56" t="str">
        <f>IFERROR(VLOOKUP(A3379,Shipped!I:J,2,)," ")</f>
        <v xml:space="preserve"> </v>
      </c>
    </row>
    <row r="3380" spans="1:14" x14ac:dyDescent="0.25">
      <c r="A3380" s="11" t="s">
        <v>3193</v>
      </c>
      <c r="B3380" s="11" t="s">
        <v>152</v>
      </c>
      <c r="C3380" s="11" t="s">
        <v>153</v>
      </c>
      <c r="D3380" s="11">
        <v>1</v>
      </c>
      <c r="E3380" s="11" t="s">
        <v>13</v>
      </c>
      <c r="F3380" s="20">
        <v>46281.617824074077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56" t="str">
        <f>IFERROR(VLOOKUP(A3380,Shipped!I:J,2,)," ")</f>
        <v xml:space="preserve"> </v>
      </c>
    </row>
    <row r="3381" spans="1:14" x14ac:dyDescent="0.25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56" t="str">
        <f>IFERROR(VLOOKUP(A3381,Shipped!I:J,2,)," ")</f>
        <v xml:space="preserve"> </v>
      </c>
    </row>
    <row r="3382" spans="1:14" x14ac:dyDescent="0.25">
      <c r="A3382" s="11" t="s">
        <v>3195</v>
      </c>
      <c r="B3382" s="11" t="s">
        <v>152</v>
      </c>
      <c r="C3382" s="11" t="s">
        <v>153</v>
      </c>
      <c r="D3382" s="11">
        <v>1</v>
      </c>
      <c r="E3382" s="11" t="s">
        <v>13</v>
      </c>
      <c r="F3382" s="20">
        <v>46281.617245370369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56" t="str">
        <f>IFERROR(VLOOKUP(A3382,Shipped!I:J,2,)," ")</f>
        <v xml:space="preserve"> </v>
      </c>
    </row>
    <row r="3383" spans="1:14" x14ac:dyDescent="0.25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56" t="str">
        <f>IFERROR(VLOOKUP(A3383,Shipped!I:J,2,)," ")</f>
        <v xml:space="preserve"> </v>
      </c>
    </row>
    <row r="3384" spans="1:14" x14ac:dyDescent="0.25">
      <c r="A3384" s="11" t="s">
        <v>3197</v>
      </c>
      <c r="B3384" s="11" t="s">
        <v>152</v>
      </c>
      <c r="C3384" s="11" t="s">
        <v>153</v>
      </c>
      <c r="D3384" s="11">
        <v>1</v>
      </c>
      <c r="E3384" s="11" t="s">
        <v>13</v>
      </c>
      <c r="F3384" s="20">
        <v>46281.618564814817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56" t="str">
        <f>IFERROR(VLOOKUP(A3384,Shipped!I:J,2,)," ")</f>
        <v xml:space="preserve"> </v>
      </c>
    </row>
    <row r="3385" spans="1:14" x14ac:dyDescent="0.25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56" t="str">
        <f>IFERROR(VLOOKUP(A3385,Shipped!I:J,2,)," ")</f>
        <v xml:space="preserve"> </v>
      </c>
    </row>
    <row r="3386" spans="1:14" x14ac:dyDescent="0.25">
      <c r="A3386" s="11" t="s">
        <v>3199</v>
      </c>
      <c r="B3386" s="11" t="s">
        <v>2226</v>
      </c>
      <c r="C3386" s="11" t="s">
        <v>2227</v>
      </c>
      <c r="D3386" s="11">
        <v>1</v>
      </c>
      <c r="E3386" s="11" t="s">
        <v>151</v>
      </c>
      <c r="F3386" s="20">
        <v>46279.402997685182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56" t="str">
        <f>IFERROR(VLOOKUP(A3386,Shipped!I:J,2,)," ")</f>
        <v xml:space="preserve"> </v>
      </c>
    </row>
    <row r="3387" spans="1:14" x14ac:dyDescent="0.25">
      <c r="A3387" s="11" t="s">
        <v>3200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46279.487141203703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56" t="str">
        <f>IFERROR(VLOOKUP(A3387,Shipped!I:J,2,)," ")</f>
        <v xml:space="preserve"> </v>
      </c>
    </row>
    <row r="3388" spans="1:14" x14ac:dyDescent="0.25">
      <c r="A3388" s="11" t="s">
        <v>3201</v>
      </c>
      <c r="B3388" s="11" t="s">
        <v>152</v>
      </c>
      <c r="C3388" s="11" t="s">
        <v>153</v>
      </c>
      <c r="D3388" s="11">
        <v>1</v>
      </c>
      <c r="E3388" s="11" t="s">
        <v>13</v>
      </c>
      <c r="F3388" s="20">
        <v>46281.616203703707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56" t="str">
        <f>IFERROR(VLOOKUP(A3388,Shipped!I:J,2,)," ")</f>
        <v xml:space="preserve"> </v>
      </c>
    </row>
    <row r="3389" spans="1:14" x14ac:dyDescent="0.25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6" t="str">
        <f>IFERROR(VLOOKUP(A3389,Shipped!I:J,2,)," ")</f>
        <v xml:space="preserve"> </v>
      </c>
    </row>
    <row r="3390" spans="1:14" x14ac:dyDescent="0.25">
      <c r="A3390" s="11" t="s">
        <v>3203</v>
      </c>
      <c r="B3390" s="11" t="s">
        <v>3503</v>
      </c>
      <c r="C3390" s="11" t="s">
        <v>3504</v>
      </c>
      <c r="D3390" s="11">
        <v>1</v>
      </c>
      <c r="E3390" s="11" t="s">
        <v>13</v>
      </c>
      <c r="F3390" s="20">
        <v>46280.611122685186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6" t="str">
        <f>IFERROR(VLOOKUP(A3390,Shipped!I:J,2,)," ")</f>
        <v xml:space="preserve"> </v>
      </c>
    </row>
    <row r="3391" spans="1:14" x14ac:dyDescent="0.25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6" t="str">
        <f>IFERROR(VLOOKUP(A3391,Shipped!I:J,2,)," ")</f>
        <v xml:space="preserve"> </v>
      </c>
    </row>
    <row r="3392" spans="1:14" x14ac:dyDescent="0.25">
      <c r="A3392" s="11" t="s">
        <v>3205</v>
      </c>
      <c r="B3392" s="11" t="s">
        <v>954</v>
      </c>
      <c r="C3392" s="11" t="s">
        <v>955</v>
      </c>
      <c r="D3392" s="11">
        <v>1</v>
      </c>
      <c r="E3392" s="11" t="s">
        <v>13</v>
      </c>
      <c r="F3392" s="20">
        <v>46282.32199074074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6" t="str">
        <f>IFERROR(VLOOKUP(A3392,Shipped!I:J,2,)," ")</f>
        <v xml:space="preserve"> </v>
      </c>
    </row>
    <row r="3393" spans="1:14" x14ac:dyDescent="0.25">
      <c r="A3393" s="11" t="s">
        <v>3206</v>
      </c>
      <c r="B3393" s="11" t="s">
        <v>2684</v>
      </c>
      <c r="C3393" s="11" t="s">
        <v>2685</v>
      </c>
      <c r="D3393" s="11">
        <v>1</v>
      </c>
      <c r="E3393" s="11" t="s">
        <v>151</v>
      </c>
      <c r="F3393" s="20">
        <v>46276.520115740743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6" t="str">
        <f>IFERROR(VLOOKUP(A3393,Shipped!I:J,2,)," ")</f>
        <v xml:space="preserve"> </v>
      </c>
    </row>
    <row r="3394" spans="1:14" x14ac:dyDescent="0.25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56">
        <f>IFERROR(VLOOKUP(A3394,Shipped!I:J,2,)," ")</f>
        <v>46253</v>
      </c>
    </row>
    <row r="3395" spans="1:14" x14ac:dyDescent="0.25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56">
        <f>IFERROR(VLOOKUP(A3395,Shipped!I:J,2,)," ")</f>
        <v>46261</v>
      </c>
    </row>
    <row r="3396" spans="1:14" x14ac:dyDescent="0.25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56">
        <f>IFERROR(VLOOKUP(A3396,Shipped!I:J,2,)," ")</f>
        <v>46253</v>
      </c>
    </row>
    <row r="3397" spans="1:14" x14ac:dyDescent="0.25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56">
        <f>IFERROR(VLOOKUP(A3397,Shipped!I:J,2,)," ")</f>
        <v>46261</v>
      </c>
    </row>
    <row r="3398" spans="1:14" x14ac:dyDescent="0.25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56" t="str">
        <f>IFERROR(VLOOKUP(A3398,Shipped!I:J,2,)," ")</f>
        <v xml:space="preserve"> </v>
      </c>
    </row>
    <row r="3399" spans="1:14" x14ac:dyDescent="0.25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56">
        <f>IFERROR(VLOOKUP(A3399,Shipped!I:J,2,)," ")</f>
        <v>46253</v>
      </c>
    </row>
    <row r="3400" spans="1:14" x14ac:dyDescent="0.25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56">
        <f>IFERROR(VLOOKUP(A3400,Shipped!I:J,2,)," ")</f>
        <v>46253</v>
      </c>
    </row>
    <row r="3401" spans="1:14" x14ac:dyDescent="0.25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56" t="str">
        <f>IFERROR(VLOOKUP(A3401,Shipped!I:J,2,)," ")</f>
        <v xml:space="preserve"> </v>
      </c>
    </row>
    <row r="3402" spans="1:14" x14ac:dyDescent="0.25">
      <c r="A3402" s="11" t="s">
        <v>3828</v>
      </c>
      <c r="B3402" s="11" t="s">
        <v>3816</v>
      </c>
      <c r="C3402" s="11" t="s">
        <v>3817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56" t="str">
        <f>IFERROR(VLOOKUP(A3402,Shipped!I:J,2,)," ")</f>
        <v xml:space="preserve"> </v>
      </c>
    </row>
    <row r="3403" spans="1:14" x14ac:dyDescent="0.25">
      <c r="A3403" s="11" t="s">
        <v>3829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56">
        <f>IFERROR(VLOOKUP(A3403,Shipped!I:J,2,)," ")</f>
        <v>46267</v>
      </c>
    </row>
    <row r="3404" spans="1:14" x14ac:dyDescent="0.25">
      <c r="A3404" s="11" t="s">
        <v>3830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56" t="str">
        <f>IFERROR(VLOOKUP(A3404,Shipped!I:J,2,)," ")</f>
        <v xml:space="preserve"> </v>
      </c>
    </row>
    <row r="3405" spans="1:14" x14ac:dyDescent="0.25">
      <c r="A3405" s="11" t="s">
        <v>3831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56" t="str">
        <f>IFERROR(VLOOKUP(A3405,Shipped!I:J,2,)," ")</f>
        <v xml:space="preserve"> </v>
      </c>
    </row>
    <row r="3406" spans="1:14" x14ac:dyDescent="0.25">
      <c r="A3406" s="11" t="s">
        <v>3832</v>
      </c>
      <c r="B3406" s="11" t="s">
        <v>3816</v>
      </c>
      <c r="C3406" s="11" t="s">
        <v>3817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56">
        <f>IFERROR(VLOOKUP(A3406,Shipped!I:J,2,)," ")</f>
        <v>46269</v>
      </c>
    </row>
    <row r="3407" spans="1:14" x14ac:dyDescent="0.25">
      <c r="A3407" s="11" t="s">
        <v>3833</v>
      </c>
      <c r="B3407" s="11" t="s">
        <v>2189</v>
      </c>
      <c r="C3407" s="11" t="s">
        <v>2190</v>
      </c>
      <c r="D3407" s="11">
        <v>1</v>
      </c>
      <c r="E3407" s="11" t="s">
        <v>151</v>
      </c>
      <c r="F3407" s="20">
        <v>46280.497291666667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56" t="str">
        <f>IFERROR(VLOOKUP(A3407,Shipped!I:J,2,)," ")</f>
        <v xml:space="preserve"> </v>
      </c>
    </row>
    <row r="3408" spans="1:14" x14ac:dyDescent="0.25">
      <c r="A3408" s="11" t="s">
        <v>3834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56" t="str">
        <f>IFERROR(VLOOKUP(A3408,Shipped!I:J,2,)," ")</f>
        <v xml:space="preserve"> </v>
      </c>
    </row>
    <row r="3409" spans="1:14" x14ac:dyDescent="0.25">
      <c r="A3409" s="11" t="s">
        <v>3835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56" t="str">
        <f>IFERROR(VLOOKUP(A3409,Shipped!I:J,2,)," ")</f>
        <v xml:space="preserve"> </v>
      </c>
    </row>
    <row r="3410" spans="1:14" x14ac:dyDescent="0.25">
      <c r="A3410" s="11" t="s">
        <v>3836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56" t="str">
        <f>IFERROR(VLOOKUP(A3410,Shipped!I:J,2,)," ")</f>
        <v xml:space="preserve"> </v>
      </c>
    </row>
    <row r="3411" spans="1:14" x14ac:dyDescent="0.25">
      <c r="A3411" s="11" t="s">
        <v>3837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56" t="str">
        <f>IFERROR(VLOOKUP(A3411,Shipped!I:J,2,)," ")</f>
        <v xml:space="preserve"> </v>
      </c>
    </row>
    <row r="3412" spans="1:14" x14ac:dyDescent="0.25">
      <c r="A3412" s="11" t="s">
        <v>3838</v>
      </c>
      <c r="B3412" s="11" t="s">
        <v>4098</v>
      </c>
      <c r="C3412" s="11" t="s">
        <v>4099</v>
      </c>
      <c r="D3412" s="11">
        <v>1</v>
      </c>
      <c r="E3412" s="11" t="s">
        <v>13</v>
      </c>
      <c r="F3412" s="20">
        <v>46282.307384259257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56" t="str">
        <f>IFERROR(VLOOKUP(A3412,Shipped!I:J,2,)," ")</f>
        <v xml:space="preserve"> </v>
      </c>
    </row>
    <row r="3413" spans="1:14" x14ac:dyDescent="0.25">
      <c r="A3413" s="11" t="s">
        <v>3839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56" t="str">
        <f>IFERROR(VLOOKUP(A3413,Shipped!I:J,2,)," ")</f>
        <v xml:space="preserve"> </v>
      </c>
    </row>
    <row r="3414" spans="1:14" x14ac:dyDescent="0.25">
      <c r="A3414" s="11" t="s">
        <v>3840</v>
      </c>
      <c r="B3414" s="11" t="s">
        <v>2189</v>
      </c>
      <c r="C3414" s="11" t="s">
        <v>2190</v>
      </c>
      <c r="D3414" s="11">
        <v>1</v>
      </c>
      <c r="E3414" s="11" t="s">
        <v>151</v>
      </c>
      <c r="F3414" s="20">
        <v>46281.567337962966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56" t="str">
        <f>IFERROR(VLOOKUP(A3414,Shipped!I:J,2,)," ")</f>
        <v xml:space="preserve"> </v>
      </c>
    </row>
    <row r="3415" spans="1:14" x14ac:dyDescent="0.25">
      <c r="A3415" s="11" t="s">
        <v>3841</v>
      </c>
      <c r="B3415" s="11" t="s">
        <v>11</v>
      </c>
      <c r="C3415" s="11" t="s">
        <v>12</v>
      </c>
      <c r="D3415" s="11">
        <v>1</v>
      </c>
      <c r="E3415" s="11" t="s">
        <v>13</v>
      </c>
      <c r="F3415" s="20">
        <v>46276.723993055559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56" t="str">
        <f>IFERROR(VLOOKUP(A3415,Shipped!I:J,2,)," ")</f>
        <v xml:space="preserve"> </v>
      </c>
    </row>
    <row r="3416" spans="1:14" x14ac:dyDescent="0.25">
      <c r="A3416" s="11" t="s">
        <v>3842</v>
      </c>
      <c r="B3416" s="11" t="s">
        <v>4098</v>
      </c>
      <c r="C3416" s="11" t="s">
        <v>4099</v>
      </c>
      <c r="D3416" s="11">
        <v>1</v>
      </c>
      <c r="E3416" s="11" t="s">
        <v>13</v>
      </c>
      <c r="F3416" s="20">
        <v>46282.309560185182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56" t="str">
        <f>IFERROR(VLOOKUP(A3416,Shipped!I:J,2,)," ")</f>
        <v xml:space="preserve"> </v>
      </c>
    </row>
    <row r="3417" spans="1:14" x14ac:dyDescent="0.25">
      <c r="A3417" s="11" t="s">
        <v>3843</v>
      </c>
      <c r="B3417" s="11" t="s">
        <v>11</v>
      </c>
      <c r="C3417" s="11" t="s">
        <v>12</v>
      </c>
      <c r="D3417" s="11">
        <v>1</v>
      </c>
      <c r="E3417" s="11" t="s">
        <v>13</v>
      </c>
      <c r="F3417" s="20">
        <v>46282.29146990741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56" t="str">
        <f>IFERROR(VLOOKUP(A3417,Shipped!I:J,2,)," ")</f>
        <v xml:space="preserve"> </v>
      </c>
    </row>
    <row r="3418" spans="1:14" x14ac:dyDescent="0.25">
      <c r="A3418" s="11" t="s">
        <v>3844</v>
      </c>
      <c r="B3418" s="11" t="s">
        <v>2189</v>
      </c>
      <c r="C3418" s="11" t="s">
        <v>2190</v>
      </c>
      <c r="D3418" s="11">
        <v>1</v>
      </c>
      <c r="E3418" s="11" t="s">
        <v>151</v>
      </c>
      <c r="F3418" s="20">
        <v>46280.464525462965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56" t="str">
        <f>IFERROR(VLOOKUP(A3418,Shipped!I:J,2,)," ")</f>
        <v xml:space="preserve"> </v>
      </c>
    </row>
    <row r="3419" spans="1:14" x14ac:dyDescent="0.25">
      <c r="A3419" s="11" t="s">
        <v>3845</v>
      </c>
      <c r="B3419" s="11" t="s">
        <v>4098</v>
      </c>
      <c r="C3419" s="11" t="s">
        <v>4099</v>
      </c>
      <c r="D3419" s="11">
        <v>1</v>
      </c>
      <c r="E3419" s="11" t="s">
        <v>13</v>
      </c>
      <c r="F3419" s="20">
        <v>46282.307662037034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56" t="str">
        <f>IFERROR(VLOOKUP(A3419,Shipped!I:J,2,)," ")</f>
        <v xml:space="preserve"> </v>
      </c>
    </row>
    <row r="3420" spans="1:14" x14ac:dyDescent="0.25">
      <c r="A3420" s="11" t="s">
        <v>3846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56" t="str">
        <f>IFERROR(VLOOKUP(A3420,Shipped!I:J,2,)," ")</f>
        <v xml:space="preserve"> </v>
      </c>
    </row>
    <row r="3421" spans="1:14" x14ac:dyDescent="0.25">
      <c r="A3421" s="11" t="s">
        <v>3847</v>
      </c>
      <c r="B3421" s="11" t="s">
        <v>2189</v>
      </c>
      <c r="C3421" s="11" t="s">
        <v>2190</v>
      </c>
      <c r="D3421" s="11">
        <v>1</v>
      </c>
      <c r="E3421" s="11" t="s">
        <v>151</v>
      </c>
      <c r="F3421" s="20">
        <v>46280.433263888888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56" t="str">
        <f>IFERROR(VLOOKUP(A3421,Shipped!I:J,2,)," ")</f>
        <v xml:space="preserve"> </v>
      </c>
    </row>
    <row r="3422" spans="1:14" x14ac:dyDescent="0.25">
      <c r="A3422" s="11" t="s">
        <v>3848</v>
      </c>
      <c r="B3422" s="11" t="s">
        <v>2189</v>
      </c>
      <c r="C3422" s="11" t="s">
        <v>2190</v>
      </c>
      <c r="D3422" s="11">
        <v>1</v>
      </c>
      <c r="E3422" s="11" t="s">
        <v>151</v>
      </c>
      <c r="F3422" s="20">
        <v>46281.460787037038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56" t="str">
        <f>IFERROR(VLOOKUP(A3422,Shipped!I:J,2,)," ")</f>
        <v xml:space="preserve"> </v>
      </c>
    </row>
    <row r="3423" spans="1:14" x14ac:dyDescent="0.25">
      <c r="A3423" s="11" t="s">
        <v>3849</v>
      </c>
      <c r="B3423" s="11" t="s">
        <v>2189</v>
      </c>
      <c r="C3423" s="11" t="s">
        <v>2190</v>
      </c>
      <c r="D3423" s="11">
        <v>1</v>
      </c>
      <c r="E3423" s="11" t="s">
        <v>151</v>
      </c>
      <c r="F3423" s="20">
        <v>46281.625821759262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56" t="str">
        <f>IFERROR(VLOOKUP(A3423,Shipped!I:J,2,)," ")</f>
        <v xml:space="preserve"> </v>
      </c>
    </row>
    <row r="3424" spans="1:14" x14ac:dyDescent="0.25">
      <c r="A3424" s="11" t="s">
        <v>3850</v>
      </c>
      <c r="B3424" s="11" t="s">
        <v>2152</v>
      </c>
      <c r="C3424" s="11" t="s">
        <v>2153</v>
      </c>
      <c r="D3424" s="11">
        <v>1</v>
      </c>
      <c r="E3424" s="11" t="s">
        <v>76</v>
      </c>
      <c r="F3424" s="20">
        <v>46281.830914351849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56" t="str">
        <f>IFERROR(VLOOKUP(A3424,Shipped!I:J,2,)," ")</f>
        <v xml:space="preserve"> </v>
      </c>
    </row>
    <row r="3425" spans="1:14" x14ac:dyDescent="0.25">
      <c r="A3425" s="11" t="s">
        <v>3851</v>
      </c>
      <c r="B3425" s="11" t="s">
        <v>2152</v>
      </c>
      <c r="C3425" s="11" t="s">
        <v>2153</v>
      </c>
      <c r="D3425" s="11">
        <v>1</v>
      </c>
      <c r="E3425" s="11" t="s">
        <v>76</v>
      </c>
      <c r="F3425" s="20">
        <v>46281.871979166666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56" t="str">
        <f>IFERROR(VLOOKUP(A3425,Shipped!I:J,2,)," ")</f>
        <v xml:space="preserve"> </v>
      </c>
    </row>
    <row r="3426" spans="1:14" x14ac:dyDescent="0.25">
      <c r="A3426" s="11" t="s">
        <v>3852</v>
      </c>
      <c r="B3426" s="11" t="s">
        <v>2152</v>
      </c>
      <c r="C3426" s="11" t="s">
        <v>2153</v>
      </c>
      <c r="D3426" s="11">
        <v>1</v>
      </c>
      <c r="E3426" s="11" t="s">
        <v>76</v>
      </c>
      <c r="F3426" s="20">
        <v>46282.275231481479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56" t="str">
        <f>IFERROR(VLOOKUP(A3426,Shipped!I:J,2,)," ")</f>
        <v xml:space="preserve"> </v>
      </c>
    </row>
    <row r="3427" spans="1:14" x14ac:dyDescent="0.25">
      <c r="A3427" s="11" t="s">
        <v>3853</v>
      </c>
      <c r="B3427" s="11" t="s">
        <v>2152</v>
      </c>
      <c r="C3427" s="11" t="s">
        <v>2153</v>
      </c>
      <c r="D3427" s="11">
        <v>1</v>
      </c>
      <c r="E3427" s="11" t="s">
        <v>76</v>
      </c>
      <c r="F3427" s="20">
        <v>46282.308738425927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56" t="str">
        <f>IFERROR(VLOOKUP(A3427,Shipped!I:J,2,)," ")</f>
        <v xml:space="preserve"> </v>
      </c>
    </row>
    <row r="3428" spans="1:14" x14ac:dyDescent="0.25">
      <c r="A3428" s="11" t="s">
        <v>3854</v>
      </c>
      <c r="B3428" s="11" t="s">
        <v>2152</v>
      </c>
      <c r="C3428" s="11" t="s">
        <v>2153</v>
      </c>
      <c r="D3428" s="11">
        <v>1</v>
      </c>
      <c r="E3428" s="11" t="s">
        <v>76</v>
      </c>
      <c r="F3428" s="20">
        <v>46282.320092592592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56" t="str">
        <f>IFERROR(VLOOKUP(A3428,Shipped!I:J,2,)," ")</f>
        <v xml:space="preserve"> </v>
      </c>
    </row>
    <row r="3429" spans="1:14" x14ac:dyDescent="0.25">
      <c r="A3429" s="11" t="s">
        <v>3855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56" t="str">
        <f>IFERROR(VLOOKUP(A3429,Shipped!I:J,2,)," ")</f>
        <v xml:space="preserve"> </v>
      </c>
    </row>
    <row r="3430" spans="1:14" x14ac:dyDescent="0.25">
      <c r="A3430" s="11" t="s">
        <v>3856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56" t="str">
        <f>IFERROR(VLOOKUP(A3430,Shipped!I:J,2,)," ")</f>
        <v xml:space="preserve"> </v>
      </c>
    </row>
    <row r="3431" spans="1:14" x14ac:dyDescent="0.25">
      <c r="A3431" s="11" t="s">
        <v>3857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56" t="str">
        <f>IFERROR(VLOOKUP(A3431,Shipped!I:J,2,)," ")</f>
        <v xml:space="preserve"> </v>
      </c>
    </row>
    <row r="3432" spans="1:14" x14ac:dyDescent="0.25">
      <c r="A3432" s="11" t="s">
        <v>3858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56" t="str">
        <f>IFERROR(VLOOKUP(A3432,Shipped!I:J,2,)," ")</f>
        <v xml:space="preserve"> </v>
      </c>
    </row>
    <row r="3433" spans="1:14" x14ac:dyDescent="0.25">
      <c r="A3433" s="11" t="s">
        <v>3859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56" t="str">
        <f>IFERROR(VLOOKUP(A3433,Shipped!I:J,2,)," ")</f>
        <v xml:space="preserve"> </v>
      </c>
    </row>
    <row r="3434" spans="1:14" x14ac:dyDescent="0.25">
      <c r="A3434" s="11" t="s">
        <v>3860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56" t="str">
        <f>IFERROR(VLOOKUP(A3434,Shipped!I:J,2,)," ")</f>
        <v xml:space="preserve"> </v>
      </c>
    </row>
    <row r="3435" spans="1:14" x14ac:dyDescent="0.25">
      <c r="A3435" s="11" t="s">
        <v>3861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56" t="str">
        <f>IFERROR(VLOOKUP(A3435,Shipped!I:J,2,)," ")</f>
        <v xml:space="preserve"> </v>
      </c>
    </row>
    <row r="3436" spans="1:14" x14ac:dyDescent="0.25">
      <c r="A3436" s="11" t="s">
        <v>3862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56" t="str">
        <f>IFERROR(VLOOKUP(A3436,Shipped!I:J,2,)," ")</f>
        <v xml:space="preserve"> </v>
      </c>
    </row>
    <row r="3437" spans="1:14" x14ac:dyDescent="0.25">
      <c r="A3437" s="11" t="s">
        <v>3863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56" t="str">
        <f>IFERROR(VLOOKUP(A3437,Shipped!I:J,2,)," ")</f>
        <v xml:space="preserve"> </v>
      </c>
    </row>
    <row r="3438" spans="1:14" x14ac:dyDescent="0.25">
      <c r="A3438" s="11" t="s">
        <v>3864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56" t="str">
        <f>IFERROR(VLOOKUP(A3438,Shipped!I:J,2,)," ")</f>
        <v xml:space="preserve"> </v>
      </c>
    </row>
    <row r="3439" spans="1:14" x14ac:dyDescent="0.25">
      <c r="A3439" s="11" t="s">
        <v>3865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56" t="str">
        <f>IFERROR(VLOOKUP(A3439,Shipped!I:J,2,)," ")</f>
        <v xml:space="preserve"> </v>
      </c>
    </row>
    <row r="3440" spans="1:14" x14ac:dyDescent="0.25">
      <c r="A3440" s="11" t="s">
        <v>3866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56" t="str">
        <f>IFERROR(VLOOKUP(A3440,Shipped!I:J,2,)," ")</f>
        <v xml:space="preserve"> </v>
      </c>
    </row>
    <row r="3441" spans="1:14" x14ac:dyDescent="0.25">
      <c r="A3441" s="11" t="s">
        <v>3867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56" t="str">
        <f>IFERROR(VLOOKUP(A3441,Shipped!I:J,2,)," ")</f>
        <v xml:space="preserve"> </v>
      </c>
    </row>
    <row r="3442" spans="1:14" x14ac:dyDescent="0.25">
      <c r="A3442" s="11" t="s">
        <v>3868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56" t="str">
        <f>IFERROR(VLOOKUP(A3442,Shipped!I:J,2,)," ")</f>
        <v xml:space="preserve"> </v>
      </c>
    </row>
    <row r="3443" spans="1:14" x14ac:dyDescent="0.25">
      <c r="A3443" s="11" t="s">
        <v>3869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56" t="str">
        <f>IFERROR(VLOOKUP(A3443,Shipped!I:J,2,)," ")</f>
        <v xml:space="preserve"> </v>
      </c>
    </row>
    <row r="3444" spans="1:14" x14ac:dyDescent="0.25">
      <c r="A3444" s="11" t="s">
        <v>3870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56" t="str">
        <f>IFERROR(VLOOKUP(A3444,Shipped!I:J,2,)," ")</f>
        <v xml:space="preserve"> </v>
      </c>
    </row>
    <row r="3445" spans="1:14" x14ac:dyDescent="0.25">
      <c r="A3445" s="11" t="s">
        <v>3871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56" t="str">
        <f>IFERROR(VLOOKUP(A3445,Shipped!I:J,2,)," ")</f>
        <v xml:space="preserve"> </v>
      </c>
    </row>
    <row r="3446" spans="1:14" x14ac:dyDescent="0.25">
      <c r="A3446" s="11" t="s">
        <v>3872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56" t="str">
        <f>IFERROR(VLOOKUP(A3446,Shipped!I:J,2,)," ")</f>
        <v xml:space="preserve"> </v>
      </c>
    </row>
    <row r="3447" spans="1:14" x14ac:dyDescent="0.25">
      <c r="A3447" s="11" t="s">
        <v>3873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56" t="str">
        <f>IFERROR(VLOOKUP(A3447,Shipped!I:J,2,)," ")</f>
        <v xml:space="preserve"> </v>
      </c>
    </row>
    <row r="3448" spans="1:14" x14ac:dyDescent="0.25">
      <c r="A3448" s="11" t="s">
        <v>3874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56" t="str">
        <f>IFERROR(VLOOKUP(A3448,Shipped!I:J,2,)," ")</f>
        <v xml:space="preserve"> </v>
      </c>
    </row>
    <row r="3449" spans="1:14" x14ac:dyDescent="0.25">
      <c r="A3449" s="11" t="s">
        <v>3875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56" t="str">
        <f>IFERROR(VLOOKUP(A3449,Shipped!I:J,2,)," ")</f>
        <v xml:space="preserve"> </v>
      </c>
    </row>
    <row r="3450" spans="1:14" x14ac:dyDescent="0.25">
      <c r="A3450" s="11" t="s">
        <v>3876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56" t="str">
        <f>IFERROR(VLOOKUP(A3450,Shipped!I:J,2,)," ")</f>
        <v xml:space="preserve"> </v>
      </c>
    </row>
    <row r="3451" spans="1:14" x14ac:dyDescent="0.25">
      <c r="A3451" s="11" t="s">
        <v>3877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56" t="str">
        <f>IFERROR(VLOOKUP(A3451,Shipped!I:J,2,)," ")</f>
        <v xml:space="preserve"> </v>
      </c>
    </row>
    <row r="3452" spans="1:14" x14ac:dyDescent="0.25">
      <c r="A3452" s="11" t="s">
        <v>3878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56" t="str">
        <f>IFERROR(VLOOKUP(A3452,Shipped!I:J,2,)," ")</f>
        <v xml:space="preserve"> </v>
      </c>
    </row>
    <row r="3453" spans="1:14" x14ac:dyDescent="0.25">
      <c r="A3453" s="11" t="s">
        <v>3879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56" t="str">
        <f>IFERROR(VLOOKUP(A3453,Shipped!I:J,2,)," ")</f>
        <v xml:space="preserve"> </v>
      </c>
    </row>
    <row r="3454" spans="1:14" x14ac:dyDescent="0.25">
      <c r="A3454" s="11" t="s">
        <v>3880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56" t="str">
        <f>IFERROR(VLOOKUP(A3454,Shipped!I:J,2,)," ")</f>
        <v xml:space="preserve"> </v>
      </c>
    </row>
    <row r="3455" spans="1:14" x14ac:dyDescent="0.25">
      <c r="A3455" s="11" t="s">
        <v>3881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56" t="str">
        <f>IFERROR(VLOOKUP(A3455,Shipped!I:J,2,)," ")</f>
        <v xml:space="preserve"> </v>
      </c>
    </row>
    <row r="3456" spans="1:14" x14ac:dyDescent="0.25">
      <c r="A3456" s="11" t="s">
        <v>3882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56" t="str">
        <f>IFERROR(VLOOKUP(A3456,Shipped!I:J,2,)," ")</f>
        <v xml:space="preserve"> </v>
      </c>
    </row>
    <row r="3457" spans="1:14" x14ac:dyDescent="0.25">
      <c r="A3457" s="11" t="s">
        <v>3883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56" t="str">
        <f>IFERROR(VLOOKUP(A3457,Shipped!I:J,2,)," ")</f>
        <v xml:space="preserve"> </v>
      </c>
    </row>
    <row r="3458" spans="1:14" x14ac:dyDescent="0.25">
      <c r="A3458" s="11" t="s">
        <v>3884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56" t="str">
        <f>IFERROR(VLOOKUP(A3458,Shipped!I:J,2,)," ")</f>
        <v xml:space="preserve"> </v>
      </c>
    </row>
    <row r="3459" spans="1:14" x14ac:dyDescent="0.25">
      <c r="A3459" s="11" t="s">
        <v>3885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56" t="str">
        <f>IFERROR(VLOOKUP(A3459,Shipped!I:J,2,)," ")</f>
        <v xml:space="preserve"> </v>
      </c>
    </row>
    <row r="3460" spans="1:14" x14ac:dyDescent="0.25">
      <c r="A3460" s="11" t="s">
        <v>3886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56" t="str">
        <f>IFERROR(VLOOKUP(A3460,Shipped!I:J,2,)," ")</f>
        <v xml:space="preserve"> </v>
      </c>
    </row>
    <row r="3461" spans="1:14" x14ac:dyDescent="0.25">
      <c r="A3461" s="11" t="s">
        <v>3887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56" t="str">
        <f>IFERROR(VLOOKUP(A3461,Shipped!I:J,2,)," ")</f>
        <v xml:space="preserve"> </v>
      </c>
    </row>
    <row r="3462" spans="1:14" x14ac:dyDescent="0.25">
      <c r="A3462" s="11" t="s">
        <v>3888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56" t="str">
        <f>IFERROR(VLOOKUP(A3462,Shipped!I:J,2,)," ")</f>
        <v xml:space="preserve"> </v>
      </c>
    </row>
    <row r="3463" spans="1:14" x14ac:dyDescent="0.25">
      <c r="A3463" s="11" t="s">
        <v>3889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56" t="str">
        <f>IFERROR(VLOOKUP(A3463,Shipped!I:J,2,)," ")</f>
        <v xml:space="preserve"> </v>
      </c>
    </row>
    <row r="3464" spans="1:14" x14ac:dyDescent="0.25">
      <c r="A3464" s="11" t="s">
        <v>3890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56" t="str">
        <f>IFERROR(VLOOKUP(A3464,Shipped!I:J,2,)," ")</f>
        <v xml:space="preserve"> </v>
      </c>
    </row>
    <row r="3465" spans="1:14" x14ac:dyDescent="0.25">
      <c r="A3465" s="11" t="s">
        <v>3891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6" t="str">
        <f>IFERROR(VLOOKUP(A3465,Shipped!I:J,2,)," ")</f>
        <v xml:space="preserve"> </v>
      </c>
    </row>
    <row r="3466" spans="1:14" x14ac:dyDescent="0.25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56">
        <f>IFERROR(VLOOKUP(A3466,Shipped!I:J,2,)," ")</f>
        <v>46269</v>
      </c>
    </row>
    <row r="3467" spans="1:14" x14ac:dyDescent="0.25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56" t="str">
        <f>IFERROR(VLOOKUP(A3467,Shipped!I:J,2,)," ")</f>
        <v xml:space="preserve"> </v>
      </c>
    </row>
    <row r="3468" spans="1:14" x14ac:dyDescent="0.25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56">
        <f>IFERROR(VLOOKUP(A3468,Shipped!I:J,2,)," ")</f>
        <v>46253</v>
      </c>
    </row>
    <row r="3469" spans="1:14" x14ac:dyDescent="0.25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56">
        <f>IFERROR(VLOOKUP(A3469,Shipped!I:J,2,)," ")</f>
        <v>46253</v>
      </c>
    </row>
    <row r="3470" spans="1:14" x14ac:dyDescent="0.25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56">
        <f>IFERROR(VLOOKUP(A3470,Shipped!I:J,2,)," ")</f>
        <v>46253</v>
      </c>
    </row>
    <row r="3471" spans="1:14" x14ac:dyDescent="0.25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56">
        <f>IFERROR(VLOOKUP(A3471,Shipped!I:J,2,)," ")</f>
        <v>46253</v>
      </c>
    </row>
    <row r="3472" spans="1:14" x14ac:dyDescent="0.25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56">
        <f>IFERROR(VLOOKUP(A3472,Shipped!I:J,2,)," ")</f>
        <v>46253</v>
      </c>
    </row>
    <row r="3473" spans="1:14" x14ac:dyDescent="0.25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56">
        <f>IFERROR(VLOOKUP(A3473,Shipped!I:J,2,)," ")</f>
        <v>46253</v>
      </c>
    </row>
    <row r="3474" spans="1:14" x14ac:dyDescent="0.25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56">
        <f>IFERROR(VLOOKUP(A3474,Shipped!I:J,2,)," ")</f>
        <v>46253</v>
      </c>
    </row>
    <row r="3475" spans="1:14" x14ac:dyDescent="0.25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56">
        <f>IFERROR(VLOOKUP(A3475,Shipped!I:J,2,)," ")</f>
        <v>46253</v>
      </c>
    </row>
    <row r="3476" spans="1:14" x14ac:dyDescent="0.25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56">
        <f>IFERROR(VLOOKUP(A3476,Shipped!I:J,2,)," ")</f>
        <v>46253</v>
      </c>
    </row>
    <row r="3477" spans="1:14" x14ac:dyDescent="0.25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56">
        <f>IFERROR(VLOOKUP(A3477,Shipped!I:J,2,)," ")</f>
        <v>46253</v>
      </c>
    </row>
    <row r="3478" spans="1:14" x14ac:dyDescent="0.25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56">
        <f>IFERROR(VLOOKUP(A3478,Shipped!I:J,2,)," ")</f>
        <v>46253</v>
      </c>
    </row>
    <row r="3479" spans="1:14" x14ac:dyDescent="0.25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56" t="str">
        <f>IFERROR(VLOOKUP(A3479,Shipped!I:J,2,)," ")</f>
        <v xml:space="preserve"> </v>
      </c>
    </row>
    <row r="3480" spans="1:14" x14ac:dyDescent="0.25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56" t="str">
        <f>IFERROR(VLOOKUP(A3480,Shipped!I:J,2,)," ")</f>
        <v xml:space="preserve"> </v>
      </c>
    </row>
    <row r="3481" spans="1:14" x14ac:dyDescent="0.25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56" t="str">
        <f>IFERROR(VLOOKUP(A3481,Shipped!I:J,2,)," ")</f>
        <v xml:space="preserve"> </v>
      </c>
    </row>
    <row r="3482" spans="1:14" x14ac:dyDescent="0.25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56" t="str">
        <f>IFERROR(VLOOKUP(A3482,Shipped!I:J,2,)," ")</f>
        <v xml:space="preserve"> </v>
      </c>
    </row>
    <row r="3483" spans="1:14" x14ac:dyDescent="0.25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56" t="str">
        <f>IFERROR(VLOOKUP(A3483,Shipped!I:J,2,)," ")</f>
        <v xml:space="preserve"> </v>
      </c>
    </row>
    <row r="3484" spans="1:14" x14ac:dyDescent="0.25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56" t="str">
        <f>IFERROR(VLOOKUP(A3484,Shipped!I:J,2,)," ")</f>
        <v xml:space="preserve"> </v>
      </c>
    </row>
    <row r="3485" spans="1:14" x14ac:dyDescent="0.25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56" t="str">
        <f>IFERROR(VLOOKUP(A3485,Shipped!I:J,2,)," ")</f>
        <v xml:space="preserve"> </v>
      </c>
    </row>
    <row r="3486" spans="1:14" x14ac:dyDescent="0.25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56" t="str">
        <f>IFERROR(VLOOKUP(A3486,Shipped!I:J,2,)," ")</f>
        <v xml:space="preserve"> </v>
      </c>
    </row>
    <row r="3487" spans="1:14" x14ac:dyDescent="0.25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56" t="str">
        <f>IFERROR(VLOOKUP(A3487,Shipped!I:J,2,)," ")</f>
        <v xml:space="preserve"> </v>
      </c>
    </row>
    <row r="3488" spans="1:14" x14ac:dyDescent="0.25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56" t="str">
        <f>IFERROR(VLOOKUP(A3488,Shipped!I:J,2,)," ")</f>
        <v xml:space="preserve"> </v>
      </c>
    </row>
    <row r="3489" spans="1:14" x14ac:dyDescent="0.25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56" t="str">
        <f>IFERROR(VLOOKUP(A3489,Shipped!I:J,2,)," ")</f>
        <v xml:space="preserve"> </v>
      </c>
    </row>
    <row r="3490" spans="1:14" x14ac:dyDescent="0.25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56" t="str">
        <f>IFERROR(VLOOKUP(A3490,Shipped!I:J,2,)," ")</f>
        <v xml:space="preserve"> </v>
      </c>
    </row>
    <row r="3491" spans="1:14" x14ac:dyDescent="0.25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56" t="str">
        <f>IFERROR(VLOOKUP(A3491,Shipped!I:J,2,)," ")</f>
        <v xml:space="preserve"> </v>
      </c>
    </row>
    <row r="3492" spans="1:14" x14ac:dyDescent="0.25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56" t="str">
        <f>IFERROR(VLOOKUP(A3492,Shipped!I:J,2,)," ")</f>
        <v xml:space="preserve"> </v>
      </c>
    </row>
    <row r="3493" spans="1:14" x14ac:dyDescent="0.25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56" t="str">
        <f>IFERROR(VLOOKUP(A3493,Shipped!I:J,2,)," ")</f>
        <v xml:space="preserve"> </v>
      </c>
    </row>
    <row r="3494" spans="1:14" x14ac:dyDescent="0.25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56" t="str">
        <f>IFERROR(VLOOKUP(A3494,Shipped!I:J,2,)," ")</f>
        <v xml:space="preserve"> </v>
      </c>
    </row>
    <row r="3495" spans="1:14" x14ac:dyDescent="0.25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56" t="str">
        <f>IFERROR(VLOOKUP(A3495,Shipped!I:J,2,)," ")</f>
        <v xml:space="preserve"> </v>
      </c>
    </row>
    <row r="3496" spans="1:14" x14ac:dyDescent="0.25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56" t="str">
        <f>IFERROR(VLOOKUP(A3496,Shipped!I:J,2,)," ")</f>
        <v xml:space="preserve"> </v>
      </c>
    </row>
    <row r="3497" spans="1:14" x14ac:dyDescent="0.25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56" t="str">
        <f>IFERROR(VLOOKUP(A3497,Shipped!I:J,2,)," ")</f>
        <v xml:space="preserve"> </v>
      </c>
    </row>
    <row r="3498" spans="1:14" x14ac:dyDescent="0.25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56" t="str">
        <f>IFERROR(VLOOKUP(A3498,Shipped!I:J,2,)," ")</f>
        <v xml:space="preserve"> </v>
      </c>
    </row>
    <row r="3499" spans="1:14" x14ac:dyDescent="0.25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56" t="str">
        <f>IFERROR(VLOOKUP(A3499,Shipped!I:J,2,)," ")</f>
        <v xml:space="preserve"> </v>
      </c>
    </row>
    <row r="3500" spans="1:14" x14ac:dyDescent="0.25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56" t="str">
        <f>IFERROR(VLOOKUP(A3500,Shipped!I:J,2,)," ")</f>
        <v xml:space="preserve"> </v>
      </c>
    </row>
    <row r="3501" spans="1:14" x14ac:dyDescent="0.25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56" t="str">
        <f>IFERROR(VLOOKUP(A3501,Shipped!I:J,2,)," ")</f>
        <v xml:space="preserve"> </v>
      </c>
    </row>
    <row r="3502" spans="1:14" x14ac:dyDescent="0.25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56" t="str">
        <f>IFERROR(VLOOKUP(A3502,Shipped!I:J,2,)," ")</f>
        <v xml:space="preserve"> </v>
      </c>
    </row>
    <row r="3503" spans="1:14" x14ac:dyDescent="0.25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56" t="str">
        <f>IFERROR(VLOOKUP(A3503,Shipped!I:J,2,)," ")</f>
        <v xml:space="preserve"> </v>
      </c>
    </row>
    <row r="3504" spans="1:14" x14ac:dyDescent="0.25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56" t="str">
        <f>IFERROR(VLOOKUP(A3504,Shipped!I:J,2,)," ")</f>
        <v xml:space="preserve"> </v>
      </c>
    </row>
    <row r="3505" spans="1:14" x14ac:dyDescent="0.25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56">
        <f>IFERROR(VLOOKUP(A3505,Shipped!I:J,2,)," ")</f>
        <v>46211</v>
      </c>
    </row>
    <row r="3506" spans="1:14" x14ac:dyDescent="0.25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56" t="str">
        <f>IFERROR(VLOOKUP(A3506,Shipped!I:J,2,)," ")</f>
        <v xml:space="preserve"> </v>
      </c>
    </row>
    <row r="3507" spans="1:14" x14ac:dyDescent="0.25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56" t="str">
        <f>IFERROR(VLOOKUP(A3507,Shipped!I:J,2,)," ")</f>
        <v xml:space="preserve"> </v>
      </c>
    </row>
    <row r="3508" spans="1:14" x14ac:dyDescent="0.25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56" t="str">
        <f>IFERROR(VLOOKUP(A3508,Shipped!I:J,2,)," ")</f>
        <v xml:space="preserve"> </v>
      </c>
    </row>
    <row r="3509" spans="1:14" x14ac:dyDescent="0.25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56" t="str">
        <f>IFERROR(VLOOKUP(A3509,Shipped!I:J,2,)," ")</f>
        <v xml:space="preserve"> </v>
      </c>
    </row>
    <row r="3510" spans="1:14" x14ac:dyDescent="0.25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56" t="str">
        <f>IFERROR(VLOOKUP(A3510,Shipped!I:J,2,)," ")</f>
        <v xml:space="preserve"> </v>
      </c>
    </row>
    <row r="3511" spans="1:14" x14ac:dyDescent="0.25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56" t="str">
        <f>IFERROR(VLOOKUP(A3511,Shipped!I:J,2,)," ")</f>
        <v xml:space="preserve"> </v>
      </c>
    </row>
    <row r="3512" spans="1:14" x14ac:dyDescent="0.25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56" t="str">
        <f>IFERROR(VLOOKUP(A3512,Shipped!I:J,2,)," ")</f>
        <v xml:space="preserve"> </v>
      </c>
    </row>
    <row r="3513" spans="1:14" x14ac:dyDescent="0.25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56" t="str">
        <f>IFERROR(VLOOKUP(A3513,Shipped!I:J,2,)," ")</f>
        <v xml:space="preserve"> </v>
      </c>
    </row>
    <row r="3514" spans="1:14" x14ac:dyDescent="0.25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56" t="str">
        <f>IFERROR(VLOOKUP(A3514,Shipped!I:J,2,)," ")</f>
        <v xml:space="preserve"> </v>
      </c>
    </row>
    <row r="3515" spans="1:14" x14ac:dyDescent="0.25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56" t="str">
        <f>IFERROR(VLOOKUP(A3515,Shipped!I:J,2,)," ")</f>
        <v xml:space="preserve"> </v>
      </c>
    </row>
    <row r="3516" spans="1:14" x14ac:dyDescent="0.25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56" t="str">
        <f>IFERROR(VLOOKUP(A3516,Shipped!I:J,2,)," ")</f>
        <v xml:space="preserve"> </v>
      </c>
    </row>
    <row r="3517" spans="1:14" x14ac:dyDescent="0.25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56" t="str">
        <f>IFERROR(VLOOKUP(A3517,Shipped!I:J,2,)," ")</f>
        <v xml:space="preserve"> </v>
      </c>
    </row>
    <row r="3518" spans="1:14" x14ac:dyDescent="0.25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56" t="str">
        <f>IFERROR(VLOOKUP(A3518,Shipped!I:J,2,)," ")</f>
        <v xml:space="preserve"> </v>
      </c>
    </row>
    <row r="3519" spans="1:14" x14ac:dyDescent="0.25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56" t="str">
        <f>IFERROR(VLOOKUP(A3519,Shipped!I:J,2,)," ")</f>
        <v xml:space="preserve"> </v>
      </c>
    </row>
    <row r="3520" spans="1:14" x14ac:dyDescent="0.25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56" t="str">
        <f>IFERROR(VLOOKUP(A3520,Shipped!I:J,2,)," ")</f>
        <v xml:space="preserve"> </v>
      </c>
    </row>
    <row r="3521" spans="1:14" x14ac:dyDescent="0.25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56" t="str">
        <f>IFERROR(VLOOKUP(A3521,Shipped!I:J,2,)," ")</f>
        <v xml:space="preserve"> </v>
      </c>
    </row>
    <row r="3522" spans="1:14" x14ac:dyDescent="0.25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56" t="str">
        <f>IFERROR(VLOOKUP(A3522,Shipped!I:J,2,)," ")</f>
        <v xml:space="preserve"> </v>
      </c>
    </row>
    <row r="3523" spans="1:14" x14ac:dyDescent="0.25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6" t="str">
        <f>IFERROR(VLOOKUP(A3523,Shipped!I:J,2,)," ")</f>
        <v xml:space="preserve"> </v>
      </c>
    </row>
    <row r="3524" spans="1:14" x14ac:dyDescent="0.25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6" t="str">
        <f>IFERROR(VLOOKUP(A3524,Shipped!I:J,2,)," ")</f>
        <v xml:space="preserve"> </v>
      </c>
    </row>
    <row r="3525" spans="1:14" x14ac:dyDescent="0.25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6" t="str">
        <f>IFERROR(VLOOKUP(A3525,Shipped!I:J,2,)," ")</f>
        <v xml:space="preserve"> </v>
      </c>
    </row>
    <row r="3526" spans="1:14" x14ac:dyDescent="0.25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6" t="str">
        <f>IFERROR(VLOOKUP(A3526,Shipped!I:J,2,)," ")</f>
        <v xml:space="preserve"> </v>
      </c>
    </row>
    <row r="3527" spans="1:14" x14ac:dyDescent="0.25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6" t="str">
        <f>IFERROR(VLOOKUP(A3527,Shipped!I:J,2,)," ")</f>
        <v xml:space="preserve"> </v>
      </c>
    </row>
    <row r="3528" spans="1:14" x14ac:dyDescent="0.25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6" t="str">
        <f>IFERROR(VLOOKUP(A3528,Shipped!I:J,2,)," ")</f>
        <v xml:space="preserve"> </v>
      </c>
    </row>
    <row r="3529" spans="1:14" x14ac:dyDescent="0.25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6" t="str">
        <f>IFERROR(VLOOKUP(A3529,Shipped!I:J,2,)," ")</f>
        <v xml:space="preserve"> </v>
      </c>
    </row>
    <row r="3530" spans="1:14" x14ac:dyDescent="0.25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6" t="str">
        <f>IFERROR(VLOOKUP(A3530,Shipped!I:J,2,)," ")</f>
        <v xml:space="preserve"> </v>
      </c>
    </row>
    <row r="3531" spans="1:14" x14ac:dyDescent="0.25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6" t="str">
        <f>IFERROR(VLOOKUP(A3531,Shipped!I:J,2,)," ")</f>
        <v xml:space="preserve"> </v>
      </c>
    </row>
    <row r="3532" spans="1:14" x14ac:dyDescent="0.25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56" t="str">
        <f>IFERROR(VLOOKUP(A3532,Shipped!I:J,2,)," ")</f>
        <v xml:space="preserve"> </v>
      </c>
    </row>
    <row r="3533" spans="1:14" x14ac:dyDescent="0.25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56" t="str">
        <f>IFERROR(VLOOKUP(A3533,Shipped!I:J,2,)," ")</f>
        <v xml:space="preserve"> </v>
      </c>
    </row>
    <row r="3534" spans="1:14" x14ac:dyDescent="0.25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56" t="str">
        <f>IFERROR(VLOOKUP(A3534,Shipped!I:J,2,)," ")</f>
        <v xml:space="preserve"> </v>
      </c>
    </row>
    <row r="3535" spans="1:14" x14ac:dyDescent="0.25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56" t="str">
        <f>IFERROR(VLOOKUP(A3535,Shipped!I:J,2,)," ")</f>
        <v xml:space="preserve"> </v>
      </c>
    </row>
    <row r="3536" spans="1:14" x14ac:dyDescent="0.25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6" t="str">
        <f>IFERROR(VLOOKUP(A3536,Shipped!I:J,2,)," ")</f>
        <v xml:space="preserve"> </v>
      </c>
    </row>
    <row r="3537" spans="1:14" x14ac:dyDescent="0.25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6" t="str">
        <f>IFERROR(VLOOKUP(A3537,Shipped!I:J,2,)," ")</f>
        <v xml:space="preserve"> </v>
      </c>
    </row>
    <row r="3538" spans="1:14" x14ac:dyDescent="0.25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6" t="str">
        <f>IFERROR(VLOOKUP(A3538,Shipped!I:J,2,)," ")</f>
        <v xml:space="preserve"> </v>
      </c>
    </row>
    <row r="3539" spans="1:14" x14ac:dyDescent="0.25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6" t="str">
        <f>IFERROR(VLOOKUP(A3539,Shipped!I:J,2,)," ")</f>
        <v xml:space="preserve"> </v>
      </c>
    </row>
    <row r="3540" spans="1:14" x14ac:dyDescent="0.25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6" t="str">
        <f>IFERROR(VLOOKUP(A3540,Shipped!I:J,2,)," ")</f>
        <v xml:space="preserve"> </v>
      </c>
    </row>
    <row r="3541" spans="1:14" x14ac:dyDescent="0.25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6" t="str">
        <f>IFERROR(VLOOKUP(A3541,Shipped!I:J,2,)," ")</f>
        <v xml:space="preserve"> </v>
      </c>
    </row>
    <row r="3542" spans="1:14" x14ac:dyDescent="0.25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6" t="str">
        <f>IFERROR(VLOOKUP(A3542,Shipped!I:J,2,)," ")</f>
        <v xml:space="preserve"> </v>
      </c>
    </row>
    <row r="3543" spans="1:14" x14ac:dyDescent="0.25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6" t="str">
        <f>IFERROR(VLOOKUP(A3543,Shipped!I:J,2,)," ")</f>
        <v xml:space="preserve"> </v>
      </c>
    </row>
    <row r="3544" spans="1:14" x14ac:dyDescent="0.25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6" t="str">
        <f>IFERROR(VLOOKUP(A3544,Shipped!I:J,2,)," ")</f>
        <v xml:space="preserve"> </v>
      </c>
    </row>
    <row r="3545" spans="1:14" x14ac:dyDescent="0.25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6" t="str">
        <f>IFERROR(VLOOKUP(A3545,Shipped!I:J,2,)," ")</f>
        <v xml:space="preserve"> </v>
      </c>
    </row>
    <row r="3546" spans="1:14" x14ac:dyDescent="0.25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6" t="str">
        <f>IFERROR(VLOOKUP(A3546,Shipped!I:J,2,)," ")</f>
        <v xml:space="preserve"> </v>
      </c>
    </row>
    <row r="3547" spans="1:14" x14ac:dyDescent="0.25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6" t="str">
        <f>IFERROR(VLOOKUP(A3547,Shipped!I:J,2,)," ")</f>
        <v xml:space="preserve"> </v>
      </c>
    </row>
    <row r="3548" spans="1:14" x14ac:dyDescent="0.25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6" t="str">
        <f>IFERROR(VLOOKUP(A3548,Shipped!I:J,2,)," ")</f>
        <v xml:space="preserve"> </v>
      </c>
    </row>
    <row r="3549" spans="1:14" x14ac:dyDescent="0.25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6" t="str">
        <f>IFERROR(VLOOKUP(A3549,Shipped!I:J,2,)," ")</f>
        <v xml:space="preserve"> </v>
      </c>
    </row>
    <row r="3550" spans="1:14" x14ac:dyDescent="0.25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6" t="str">
        <f>IFERROR(VLOOKUP(A3550,Shipped!I:J,2,)," ")</f>
        <v xml:space="preserve"> </v>
      </c>
    </row>
    <row r="3551" spans="1:14" x14ac:dyDescent="0.25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6" t="str">
        <f>IFERROR(VLOOKUP(A3551,Shipped!I:J,2,)," ")</f>
        <v xml:space="preserve"> </v>
      </c>
    </row>
    <row r="3552" spans="1:14" x14ac:dyDescent="0.25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6" t="str">
        <f>IFERROR(VLOOKUP(A3552,Shipped!I:J,2,)," ")</f>
        <v xml:space="preserve"> </v>
      </c>
    </row>
    <row r="3553" spans="1:14" x14ac:dyDescent="0.25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6" t="str">
        <f>IFERROR(VLOOKUP(A3553,Shipped!I:J,2,)," ")</f>
        <v xml:space="preserve"> </v>
      </c>
    </row>
    <row r="3554" spans="1:14" x14ac:dyDescent="0.25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6" t="str">
        <f>IFERROR(VLOOKUP(A3554,Shipped!I:J,2,)," ")</f>
        <v xml:space="preserve"> </v>
      </c>
    </row>
    <row r="3555" spans="1:14" x14ac:dyDescent="0.25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6" t="str">
        <f>IFERROR(VLOOKUP(A3555,Shipped!I:J,2,)," ")</f>
        <v xml:space="preserve"> </v>
      </c>
    </row>
    <row r="3556" spans="1:14" x14ac:dyDescent="0.25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6" t="str">
        <f>IFERROR(VLOOKUP(A3556,Shipped!I:J,2,)," ")</f>
        <v xml:space="preserve"> </v>
      </c>
    </row>
    <row r="3557" spans="1:14" x14ac:dyDescent="0.25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6">
        <f>IFERROR(VLOOKUP(A3557,Shipped!I:J,2,)," ")</f>
        <v>46211</v>
      </c>
    </row>
    <row r="3558" spans="1:14" x14ac:dyDescent="0.25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6" t="str">
        <f>IFERROR(VLOOKUP(A3558,Shipped!I:J,2,)," ")</f>
        <v xml:space="preserve"> </v>
      </c>
    </row>
    <row r="3559" spans="1:14" x14ac:dyDescent="0.25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6" t="str">
        <f>IFERROR(VLOOKUP(A3559,Shipped!I:J,2,)," ")</f>
        <v xml:space="preserve"> </v>
      </c>
    </row>
    <row r="3560" spans="1:14" x14ac:dyDescent="0.25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6" t="str">
        <f>IFERROR(VLOOKUP(A3560,Shipped!I:J,2,)," ")</f>
        <v xml:space="preserve"> </v>
      </c>
    </row>
    <row r="3561" spans="1:14" x14ac:dyDescent="0.25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6" t="str">
        <f>IFERROR(VLOOKUP(A3561,Shipped!I:J,2,)," ")</f>
        <v xml:space="preserve"> </v>
      </c>
    </row>
    <row r="3562" spans="1:14" x14ac:dyDescent="0.25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6" t="str">
        <f>IFERROR(VLOOKUP(A3562,Shipped!I:J,2,)," ")</f>
        <v xml:space="preserve"> </v>
      </c>
    </row>
    <row r="3563" spans="1:14" x14ac:dyDescent="0.25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6" t="str">
        <f>IFERROR(VLOOKUP(A3563,Shipped!I:J,2,)," ")</f>
        <v xml:space="preserve"> </v>
      </c>
    </row>
    <row r="3564" spans="1:14" x14ac:dyDescent="0.25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6" t="str">
        <f>IFERROR(VLOOKUP(A3564,Shipped!I:J,2,)," ")</f>
        <v xml:space="preserve"> </v>
      </c>
    </row>
    <row r="3565" spans="1:14" x14ac:dyDescent="0.25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6" t="str">
        <f>IFERROR(VLOOKUP(A3565,Shipped!I:J,2,)," ")</f>
        <v xml:space="preserve"> </v>
      </c>
    </row>
    <row r="3566" spans="1:14" x14ac:dyDescent="0.25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6" t="str">
        <f>IFERROR(VLOOKUP(A3566,Shipped!I:J,2,)," ")</f>
        <v xml:space="preserve"> </v>
      </c>
    </row>
    <row r="3567" spans="1:14" x14ac:dyDescent="0.25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6" t="str">
        <f>IFERROR(VLOOKUP(A3567,Shipped!I:J,2,)," ")</f>
        <v xml:space="preserve"> </v>
      </c>
    </row>
    <row r="3568" spans="1:14" x14ac:dyDescent="0.25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6" t="str">
        <f>IFERROR(VLOOKUP(A3568,Shipped!I:J,2,)," ")</f>
        <v xml:space="preserve"> </v>
      </c>
    </row>
    <row r="3569" spans="1:14" x14ac:dyDescent="0.25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6" t="str">
        <f>IFERROR(VLOOKUP(A3569,Shipped!I:J,2,)," ")</f>
        <v xml:space="preserve"> </v>
      </c>
    </row>
    <row r="3570" spans="1:14" x14ac:dyDescent="0.25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6" t="str">
        <f>IFERROR(VLOOKUP(A3570,Shipped!I:J,2,)," ")</f>
        <v xml:space="preserve"> </v>
      </c>
    </row>
    <row r="3571" spans="1:14" x14ac:dyDescent="0.25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6" t="str">
        <f>IFERROR(VLOOKUP(A3571,Shipped!I:J,2,)," ")</f>
        <v xml:space="preserve"> </v>
      </c>
    </row>
    <row r="3572" spans="1:14" x14ac:dyDescent="0.25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6" t="str">
        <f>IFERROR(VLOOKUP(A3572,Shipped!I:J,2,)," ")</f>
        <v xml:space="preserve"> </v>
      </c>
    </row>
    <row r="3573" spans="1:14" x14ac:dyDescent="0.25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6" t="str">
        <f>IFERROR(VLOOKUP(A3573,Shipped!I:J,2,)," ")</f>
        <v xml:space="preserve"> </v>
      </c>
    </row>
    <row r="3574" spans="1:14" x14ac:dyDescent="0.25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6" t="str">
        <f>IFERROR(VLOOKUP(A3574,Shipped!I:J,2,)," ")</f>
        <v xml:space="preserve"> </v>
      </c>
    </row>
    <row r="3575" spans="1:14" x14ac:dyDescent="0.25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6" t="str">
        <f>IFERROR(VLOOKUP(A3575,Shipped!I:J,2,)," ")</f>
        <v xml:space="preserve"> </v>
      </c>
    </row>
    <row r="3576" spans="1:14" x14ac:dyDescent="0.25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6" t="str">
        <f>IFERROR(VLOOKUP(A3576,Shipped!I:J,2,)," ")</f>
        <v xml:space="preserve"> </v>
      </c>
    </row>
    <row r="3577" spans="1:14" x14ac:dyDescent="0.25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6" t="str">
        <f>IFERROR(VLOOKUP(A3577,Shipped!I:J,2,)," ")</f>
        <v xml:space="preserve"> </v>
      </c>
    </row>
    <row r="3578" spans="1:14" x14ac:dyDescent="0.25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6" t="str">
        <f>IFERROR(VLOOKUP(A3578,Shipped!I:J,2,)," ")</f>
        <v xml:space="preserve"> </v>
      </c>
    </row>
    <row r="3579" spans="1:14" x14ac:dyDescent="0.25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6" t="str">
        <f>IFERROR(VLOOKUP(A3579,Shipped!I:J,2,)," ")</f>
        <v xml:space="preserve"> </v>
      </c>
    </row>
    <row r="3580" spans="1:14" x14ac:dyDescent="0.25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6" t="str">
        <f>IFERROR(VLOOKUP(A3580,Shipped!I:J,2,)," ")</f>
        <v xml:space="preserve"> </v>
      </c>
    </row>
    <row r="3581" spans="1:14" x14ac:dyDescent="0.25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6" t="str">
        <f>IFERROR(VLOOKUP(A3581,Shipped!I:J,2,)," ")</f>
        <v xml:space="preserve"> </v>
      </c>
    </row>
    <row r="3582" spans="1:14" x14ac:dyDescent="0.25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6" t="str">
        <f>IFERROR(VLOOKUP(A3582,Shipped!I:J,2,)," ")</f>
        <v xml:space="preserve"> </v>
      </c>
    </row>
    <row r="3583" spans="1:14" x14ac:dyDescent="0.25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6" t="str">
        <f>IFERROR(VLOOKUP(A3583,Shipped!I:J,2,)," ")</f>
        <v xml:space="preserve"> </v>
      </c>
    </row>
    <row r="3584" spans="1:14" x14ac:dyDescent="0.25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6" t="str">
        <f>IFERROR(VLOOKUP(A3584,Shipped!I:J,2,)," ")</f>
        <v xml:space="preserve"> </v>
      </c>
    </row>
    <row r="3585" spans="1:14" x14ac:dyDescent="0.25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6" t="str">
        <f>IFERROR(VLOOKUP(A3585,Shipped!I:J,2,)," ")</f>
        <v xml:space="preserve"> </v>
      </c>
    </row>
    <row r="3586" spans="1:14" x14ac:dyDescent="0.25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56" t="str">
        <f>IFERROR(VLOOKUP(A3586,Shipped!I:J,2,)," ")</f>
        <v xml:space="preserve"> </v>
      </c>
    </row>
    <row r="3587" spans="1:14" x14ac:dyDescent="0.25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6" t="str">
        <f>IFERROR(VLOOKUP(A3587,Shipped!I:J,2,)," ")</f>
        <v xml:space="preserve"> </v>
      </c>
    </row>
    <row r="3588" spans="1:14" x14ac:dyDescent="0.25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6" t="str">
        <f>IFERROR(VLOOKUP(A3588,Shipped!I:J,2,)," ")</f>
        <v xml:space="preserve"> </v>
      </c>
    </row>
    <row r="3589" spans="1:14" x14ac:dyDescent="0.25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6" t="str">
        <f>IFERROR(VLOOKUP(A3589,Shipped!I:J,2,)," ")</f>
        <v xml:space="preserve"> </v>
      </c>
    </row>
    <row r="3590" spans="1:14" x14ac:dyDescent="0.25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6" t="str">
        <f>IFERROR(VLOOKUP(A3590,Shipped!I:J,2,)," ")</f>
        <v xml:space="preserve"> </v>
      </c>
    </row>
    <row r="3591" spans="1:14" x14ac:dyDescent="0.25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6" t="str">
        <f>IFERROR(VLOOKUP(A3591,Shipped!I:J,2,)," ")</f>
        <v xml:space="preserve"> </v>
      </c>
    </row>
    <row r="3592" spans="1:14" x14ac:dyDescent="0.25">
      <c r="A3592" s="11" t="s">
        <v>1155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46279.80777777778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6" t="str">
        <f>IFERROR(VLOOKUP(A3592,Shipped!I:J,2,)," ")</f>
        <v xml:space="preserve"> </v>
      </c>
    </row>
    <row r="3593" spans="1:14" x14ac:dyDescent="0.25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6" t="str">
        <f>IFERROR(VLOOKUP(A3593,Shipped!I:J,2,)," ")</f>
        <v xml:space="preserve"> </v>
      </c>
    </row>
    <row r="3594" spans="1:14" x14ac:dyDescent="0.25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6" t="str">
        <f>IFERROR(VLOOKUP(A3594,Shipped!I:J,2,)," ")</f>
        <v xml:space="preserve"> </v>
      </c>
    </row>
    <row r="3595" spans="1:14" x14ac:dyDescent="0.25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6" t="str">
        <f>IFERROR(VLOOKUP(A3595,Shipped!I:J,2,)," ")</f>
        <v xml:space="preserve"> </v>
      </c>
    </row>
    <row r="3596" spans="1:14" x14ac:dyDescent="0.25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6" t="str">
        <f>IFERROR(VLOOKUP(A3596,Shipped!I:J,2,)," ")</f>
        <v xml:space="preserve"> </v>
      </c>
    </row>
    <row r="3597" spans="1:14" x14ac:dyDescent="0.25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6" t="str">
        <f>IFERROR(VLOOKUP(A3597,Shipped!I:J,2,)," ")</f>
        <v xml:space="preserve"> </v>
      </c>
    </row>
    <row r="3598" spans="1:14" x14ac:dyDescent="0.25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6" t="str">
        <f>IFERROR(VLOOKUP(A3598,Shipped!I:J,2,)," ")</f>
        <v xml:space="preserve"> </v>
      </c>
    </row>
    <row r="3599" spans="1:14" x14ac:dyDescent="0.25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6" t="str">
        <f>IFERROR(VLOOKUP(A3599,Shipped!I:J,2,)," ")</f>
        <v xml:space="preserve"> </v>
      </c>
    </row>
    <row r="3600" spans="1:14" x14ac:dyDescent="0.25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6" t="str">
        <f>IFERROR(VLOOKUP(A3600,Shipped!I:J,2,)," ")</f>
        <v xml:space="preserve"> </v>
      </c>
    </row>
    <row r="3601" spans="1:14" x14ac:dyDescent="0.25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6" t="str">
        <f>IFERROR(VLOOKUP(A3601,Shipped!I:J,2,)," ")</f>
        <v xml:space="preserve"> </v>
      </c>
    </row>
    <row r="3602" spans="1:14" x14ac:dyDescent="0.25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6" t="str">
        <f>IFERROR(VLOOKUP(A3602,Shipped!I:J,2,)," ")</f>
        <v xml:space="preserve"> </v>
      </c>
    </row>
    <row r="3603" spans="1:14" x14ac:dyDescent="0.25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6" t="str">
        <f>IFERROR(VLOOKUP(A3603,Shipped!I:J,2,)," ")</f>
        <v xml:space="preserve"> </v>
      </c>
    </row>
    <row r="3604" spans="1:14" x14ac:dyDescent="0.25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6" t="str">
        <f>IFERROR(VLOOKUP(A3604,Shipped!I:J,2,)," ")</f>
        <v xml:space="preserve"> </v>
      </c>
    </row>
    <row r="3605" spans="1:14" x14ac:dyDescent="0.25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6" t="str">
        <f>IFERROR(VLOOKUP(A3605,Shipped!I:J,2,)," ")</f>
        <v xml:space="preserve"> </v>
      </c>
    </row>
    <row r="3606" spans="1:14" x14ac:dyDescent="0.25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6" t="str">
        <f>IFERROR(VLOOKUP(A3606,Shipped!I:J,2,)," ")</f>
        <v xml:space="preserve"> </v>
      </c>
    </row>
    <row r="3607" spans="1:14" x14ac:dyDescent="0.25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6">
        <f>IFERROR(VLOOKUP(A3607,Shipped!I:J,2,)," ")</f>
        <v>46226</v>
      </c>
    </row>
    <row r="3608" spans="1:14" x14ac:dyDescent="0.25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6">
        <f>IFERROR(VLOOKUP(A3608,Shipped!I:J,2,)," ")</f>
        <v>46226</v>
      </c>
    </row>
    <row r="3609" spans="1:14" x14ac:dyDescent="0.25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6">
        <f>IFERROR(VLOOKUP(A3609,Shipped!I:J,2,)," ")</f>
        <v>46230</v>
      </c>
    </row>
    <row r="3610" spans="1:14" x14ac:dyDescent="0.25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6">
        <f>IFERROR(VLOOKUP(A3610,Shipped!I:J,2,)," ")</f>
        <v>46226</v>
      </c>
    </row>
    <row r="3611" spans="1:14" x14ac:dyDescent="0.25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6">
        <f>IFERROR(VLOOKUP(A3611,Shipped!I:J,2,)," ")</f>
        <v>46230</v>
      </c>
    </row>
    <row r="3612" spans="1:14" x14ac:dyDescent="0.25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6">
        <f>IFERROR(VLOOKUP(A3612,Shipped!I:J,2,)," ")</f>
        <v>46230</v>
      </c>
    </row>
    <row r="3613" spans="1:14" x14ac:dyDescent="0.25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6">
        <f>IFERROR(VLOOKUP(A3613,Shipped!I:J,2,)," ")</f>
        <v>46226</v>
      </c>
    </row>
    <row r="3614" spans="1:14" x14ac:dyDescent="0.25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6">
        <f>IFERROR(VLOOKUP(A3614,Shipped!I:J,2,)," ")</f>
        <v>46226</v>
      </c>
    </row>
    <row r="3615" spans="1:14" x14ac:dyDescent="0.25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6">
        <f>IFERROR(VLOOKUP(A3615,Shipped!I:J,2,)," ")</f>
        <v>46226</v>
      </c>
    </row>
    <row r="3616" spans="1:14" x14ac:dyDescent="0.25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6">
        <f>IFERROR(VLOOKUP(A3616,Shipped!I:J,2,)," ")</f>
        <v>46230</v>
      </c>
    </row>
    <row r="3617" spans="1:14" x14ac:dyDescent="0.25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6" t="str">
        <f>IFERROR(VLOOKUP(A3617,Shipped!I:J,2,)," ")</f>
        <v xml:space="preserve"> </v>
      </c>
    </row>
    <row r="3618" spans="1:14" x14ac:dyDescent="0.25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6">
        <f>IFERROR(VLOOKUP(A3618,Shipped!I:J,2,)," ")</f>
        <v>46226</v>
      </c>
    </row>
    <row r="3619" spans="1:14" x14ac:dyDescent="0.25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6">
        <f>IFERROR(VLOOKUP(A3619,Shipped!I:J,2,)," ")</f>
        <v>46226</v>
      </c>
    </row>
    <row r="3620" spans="1:14" x14ac:dyDescent="0.25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6">
        <f>IFERROR(VLOOKUP(A3620,Shipped!I:J,2,)," ")</f>
        <v>46226</v>
      </c>
    </row>
    <row r="3621" spans="1:14" x14ac:dyDescent="0.25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6">
        <f>IFERROR(VLOOKUP(A3621,Shipped!I:J,2,)," ")</f>
        <v>46226</v>
      </c>
    </row>
    <row r="3622" spans="1:14" x14ac:dyDescent="0.25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6">
        <f>IFERROR(VLOOKUP(A3622,Shipped!I:J,2,)," ")</f>
        <v>46226</v>
      </c>
    </row>
    <row r="3623" spans="1:14" x14ac:dyDescent="0.25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6">
        <f>IFERROR(VLOOKUP(A3623,Shipped!I:J,2,)," ")</f>
        <v>46238</v>
      </c>
    </row>
    <row r="3624" spans="1:14" x14ac:dyDescent="0.25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6">
        <f>IFERROR(VLOOKUP(A3624,Shipped!I:J,2,)," ")</f>
        <v>46226</v>
      </c>
    </row>
    <row r="3625" spans="1:14" x14ac:dyDescent="0.25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6">
        <f>IFERROR(VLOOKUP(A3625,Shipped!I:J,2,)," ")</f>
        <v>46230</v>
      </c>
    </row>
    <row r="3626" spans="1:14" x14ac:dyDescent="0.25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6">
        <f>IFERROR(VLOOKUP(A3626,Shipped!I:J,2,)," ")</f>
        <v>46226</v>
      </c>
    </row>
    <row r="3627" spans="1:14" x14ac:dyDescent="0.25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6">
        <f>IFERROR(VLOOKUP(A3627,Shipped!I:J,2,)," ")</f>
        <v>46226</v>
      </c>
    </row>
    <row r="3628" spans="1:14" x14ac:dyDescent="0.25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6">
        <f>IFERROR(VLOOKUP(A3628,Shipped!I:J,2,)," ")</f>
        <v>46226</v>
      </c>
    </row>
    <row r="3629" spans="1:14" x14ac:dyDescent="0.25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56">
        <f>IFERROR(VLOOKUP(A3629,Shipped!I:J,2,)," ")</f>
        <v>46238</v>
      </c>
    </row>
    <row r="3630" spans="1:14" x14ac:dyDescent="0.25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6">
        <f>IFERROR(VLOOKUP(A3630,Shipped!I:J,2,)," ")</f>
        <v>46226</v>
      </c>
    </row>
    <row r="3631" spans="1:14" x14ac:dyDescent="0.25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6">
        <f>IFERROR(VLOOKUP(A3631,Shipped!I:J,2,)," ")</f>
        <v>46226</v>
      </c>
    </row>
    <row r="3632" spans="1:14" x14ac:dyDescent="0.25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6">
        <f>IFERROR(VLOOKUP(A3632,Shipped!I:J,2,)," ")</f>
        <v>46226</v>
      </c>
    </row>
    <row r="3633" spans="1:14" x14ac:dyDescent="0.25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56" t="str">
        <f>IFERROR(VLOOKUP(A3633,Shipped!I:J,2,)," ")</f>
        <v xml:space="preserve"> </v>
      </c>
    </row>
    <row r="3634" spans="1:14" x14ac:dyDescent="0.25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56" t="str">
        <f>IFERROR(VLOOKUP(A3634,Shipped!I:J,2,)," ")</f>
        <v xml:space="preserve"> </v>
      </c>
    </row>
    <row r="3635" spans="1:14" x14ac:dyDescent="0.25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56" t="str">
        <f>IFERROR(VLOOKUP(A3635,Shipped!I:J,2,)," ")</f>
        <v xml:space="preserve"> </v>
      </c>
    </row>
    <row r="3636" spans="1:14" x14ac:dyDescent="0.25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56" t="str">
        <f>IFERROR(VLOOKUP(A3636,Shipped!I:J,2,)," ")</f>
        <v xml:space="preserve"> </v>
      </c>
    </row>
    <row r="3637" spans="1:14" x14ac:dyDescent="0.25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56">
        <f>IFERROR(VLOOKUP(A3637,Shipped!I:J,2,)," ")</f>
        <v>46169</v>
      </c>
    </row>
    <row r="3638" spans="1:14" x14ac:dyDescent="0.25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56" t="str">
        <f>IFERROR(VLOOKUP(A3638,Shipped!I:J,2,)," ")</f>
        <v xml:space="preserve"> </v>
      </c>
    </row>
    <row r="3639" spans="1:14" x14ac:dyDescent="0.25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56" t="str">
        <f>IFERROR(VLOOKUP(A3639,Shipped!I:J,2,)," ")</f>
        <v xml:space="preserve"> </v>
      </c>
    </row>
    <row r="3640" spans="1:14" x14ac:dyDescent="0.25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56" t="str">
        <f>IFERROR(VLOOKUP(A3640,Shipped!I:J,2,)," ")</f>
        <v xml:space="preserve"> </v>
      </c>
    </row>
    <row r="3641" spans="1:14" x14ac:dyDescent="0.25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56" t="str">
        <f>IFERROR(VLOOKUP(A3641,Shipped!I:J,2,)," ")</f>
        <v xml:space="preserve"> </v>
      </c>
    </row>
    <row r="3642" spans="1:14" x14ac:dyDescent="0.25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56" t="str">
        <f>IFERROR(VLOOKUP(A3642,Shipped!I:J,2,)," ")</f>
        <v xml:space="preserve"> </v>
      </c>
    </row>
    <row r="3643" spans="1:14" x14ac:dyDescent="0.25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56" t="str">
        <f>IFERROR(VLOOKUP(A3643,Shipped!I:J,2,)," ")</f>
        <v xml:space="preserve"> </v>
      </c>
    </row>
    <row r="3644" spans="1:14" x14ac:dyDescent="0.25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56" t="str">
        <f>IFERROR(VLOOKUP(A3644,Shipped!I:J,2,)," ")</f>
        <v xml:space="preserve"> </v>
      </c>
    </row>
    <row r="3645" spans="1:14" x14ac:dyDescent="0.25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56" t="str">
        <f>IFERROR(VLOOKUP(A3645,Shipped!I:J,2,)," ")</f>
        <v xml:space="preserve"> </v>
      </c>
    </row>
    <row r="3646" spans="1:14" x14ac:dyDescent="0.25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56" t="str">
        <f>IFERROR(VLOOKUP(A3646,Shipped!I:J,2,)," ")</f>
        <v xml:space="preserve"> </v>
      </c>
    </row>
    <row r="3647" spans="1:14" x14ac:dyDescent="0.25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56" t="str">
        <f>IFERROR(VLOOKUP(A3647,Shipped!I:J,2,)," ")</f>
        <v xml:space="preserve"> </v>
      </c>
    </row>
    <row r="3648" spans="1:14" x14ac:dyDescent="0.25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56" t="str">
        <f>IFERROR(VLOOKUP(A3648,Shipped!I:J,2,)," ")</f>
        <v xml:space="preserve"> </v>
      </c>
    </row>
    <row r="3649" spans="1:14" x14ac:dyDescent="0.25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56" t="str">
        <f>IFERROR(VLOOKUP(A3649,Shipped!I:J,2,)," ")</f>
        <v xml:space="preserve"> </v>
      </c>
    </row>
    <row r="3650" spans="1:14" x14ac:dyDescent="0.25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56" t="str">
        <f>IFERROR(VLOOKUP(A3650,Shipped!I:J,2,)," ")</f>
        <v xml:space="preserve"> </v>
      </c>
    </row>
    <row r="3651" spans="1:14" x14ac:dyDescent="0.25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6" t="str">
        <f>IFERROR(VLOOKUP(A3651,Shipped!I:J,2,)," ")</f>
        <v xml:space="preserve"> </v>
      </c>
    </row>
    <row r="3652" spans="1:14" x14ac:dyDescent="0.25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6" t="str">
        <f>IFERROR(VLOOKUP(A3652,Shipped!I:J,2,)," ")</f>
        <v xml:space="preserve"> </v>
      </c>
    </row>
    <row r="3653" spans="1:14" x14ac:dyDescent="0.25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6">
        <f>IFERROR(VLOOKUP(A3653,Shipped!I:J,2,)," ")</f>
        <v>46233</v>
      </c>
    </row>
    <row r="3654" spans="1:14" x14ac:dyDescent="0.25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6">
        <f>IFERROR(VLOOKUP(A3654,Shipped!I:J,2,)," ")</f>
        <v>46233</v>
      </c>
    </row>
    <row r="3655" spans="1:14" x14ac:dyDescent="0.25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6">
        <f>IFERROR(VLOOKUP(A3655,Shipped!I:J,2,)," ")</f>
        <v>46233</v>
      </c>
    </row>
    <row r="3656" spans="1:14" x14ac:dyDescent="0.25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6">
        <f>IFERROR(VLOOKUP(A3656,Shipped!I:J,2,)," ")</f>
        <v>46233</v>
      </c>
    </row>
    <row r="3657" spans="1:14" x14ac:dyDescent="0.25">
      <c r="A3657" s="11" t="s">
        <v>3895</v>
      </c>
      <c r="B3657" s="11" t="s">
        <v>956</v>
      </c>
      <c r="C3657" s="11" t="s">
        <v>957</v>
      </c>
      <c r="D3657" s="11">
        <v>1</v>
      </c>
      <c r="E3657" s="11" t="s">
        <v>13</v>
      </c>
      <c r="F3657" s="20">
        <v>46280.264305555553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6" t="str">
        <f>IFERROR(VLOOKUP(A3657,Shipped!I:J,2,)," ")</f>
        <v xml:space="preserve"> </v>
      </c>
    </row>
    <row r="3658" spans="1:14" x14ac:dyDescent="0.25">
      <c r="A3658" s="11" t="s">
        <v>3896</v>
      </c>
      <c r="B3658" s="11" t="s">
        <v>3435</v>
      </c>
      <c r="C3658" s="11" t="s">
        <v>3436</v>
      </c>
      <c r="D3658" s="11">
        <v>1</v>
      </c>
      <c r="E3658" s="11" t="s">
        <v>13</v>
      </c>
      <c r="F3658" s="20">
        <v>46279.444930555554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6" t="str">
        <f>IFERROR(VLOOKUP(A3658,Shipped!I:J,2,)," ")</f>
        <v xml:space="preserve"> </v>
      </c>
    </row>
    <row r="3659" spans="1:14" x14ac:dyDescent="0.25">
      <c r="A3659" s="11" t="s">
        <v>3897</v>
      </c>
      <c r="B3659" s="11" t="s">
        <v>956</v>
      </c>
      <c r="C3659" s="11" t="s">
        <v>957</v>
      </c>
      <c r="D3659" s="11">
        <v>1</v>
      </c>
      <c r="E3659" s="11" t="s">
        <v>13</v>
      </c>
      <c r="F3659" s="20">
        <v>46279.480775462966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6" t="str">
        <f>IFERROR(VLOOKUP(A3659,Shipped!I:J,2,)," ")</f>
        <v xml:space="preserve"> </v>
      </c>
    </row>
    <row r="3660" spans="1:14" x14ac:dyDescent="0.25">
      <c r="A3660" s="11" t="s">
        <v>3898</v>
      </c>
      <c r="B3660" s="11" t="s">
        <v>956</v>
      </c>
      <c r="C3660" s="11" t="s">
        <v>957</v>
      </c>
      <c r="D3660" s="11">
        <v>1</v>
      </c>
      <c r="E3660" s="11" t="s">
        <v>13</v>
      </c>
      <c r="F3660" s="20">
        <v>46279.480613425927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6" t="str">
        <f>IFERROR(VLOOKUP(A3660,Shipped!I:J,2,)," ")</f>
        <v xml:space="preserve"> </v>
      </c>
    </row>
    <row r="3661" spans="1:14" x14ac:dyDescent="0.25">
      <c r="A3661" s="11" t="s">
        <v>3899</v>
      </c>
      <c r="B3661" s="11" t="s">
        <v>152</v>
      </c>
      <c r="C3661" s="11" t="s">
        <v>153</v>
      </c>
      <c r="D3661" s="11">
        <v>1</v>
      </c>
      <c r="E3661" s="11" t="s">
        <v>13</v>
      </c>
      <c r="F3661" s="20">
        <v>46282.236631944441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6" t="str">
        <f>IFERROR(VLOOKUP(A3661,Shipped!I:J,2,)," ")</f>
        <v xml:space="preserve"> </v>
      </c>
    </row>
    <row r="3662" spans="1:14" x14ac:dyDescent="0.25">
      <c r="A3662" s="11" t="s">
        <v>3900</v>
      </c>
      <c r="B3662" s="11" t="s">
        <v>956</v>
      </c>
      <c r="C3662" s="11" t="s">
        <v>957</v>
      </c>
      <c r="D3662" s="11">
        <v>1</v>
      </c>
      <c r="E3662" s="11" t="s">
        <v>13</v>
      </c>
      <c r="F3662" s="20">
        <v>46279.23715277778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6" t="str">
        <f>IFERROR(VLOOKUP(A3662,Shipped!I:J,2,)," ")</f>
        <v xml:space="preserve"> </v>
      </c>
    </row>
    <row r="3663" spans="1:14" x14ac:dyDescent="0.25">
      <c r="A3663" s="11" t="s">
        <v>3901</v>
      </c>
      <c r="B3663" s="11" t="s">
        <v>956</v>
      </c>
      <c r="C3663" s="11" t="s">
        <v>957</v>
      </c>
      <c r="D3663" s="11">
        <v>1</v>
      </c>
      <c r="E3663" s="11" t="s">
        <v>13</v>
      </c>
      <c r="F3663" s="20">
        <v>46279.482534722221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6" t="str">
        <f>IFERROR(VLOOKUP(A3663,Shipped!I:J,2,)," ")</f>
        <v xml:space="preserve"> </v>
      </c>
    </row>
    <row r="3664" spans="1:14" x14ac:dyDescent="0.25">
      <c r="A3664" s="11" t="s">
        <v>3902</v>
      </c>
      <c r="B3664" s="11" t="s">
        <v>956</v>
      </c>
      <c r="C3664" s="11" t="s">
        <v>957</v>
      </c>
      <c r="D3664" s="11">
        <v>1</v>
      </c>
      <c r="E3664" s="11" t="s">
        <v>13</v>
      </c>
      <c r="F3664" s="20">
        <v>46279.482824074075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6" t="str">
        <f>IFERROR(VLOOKUP(A3664,Shipped!I:J,2,)," ")</f>
        <v xml:space="preserve"> </v>
      </c>
    </row>
    <row r="3665" spans="1:14" x14ac:dyDescent="0.25">
      <c r="A3665" s="11" t="s">
        <v>3903</v>
      </c>
      <c r="B3665" s="11" t="s">
        <v>956</v>
      </c>
      <c r="C3665" s="11" t="s">
        <v>957</v>
      </c>
      <c r="D3665" s="11">
        <v>1</v>
      </c>
      <c r="E3665" s="11" t="s">
        <v>13</v>
      </c>
      <c r="F3665" s="20">
        <v>46279.483229166668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6" t="str">
        <f>IFERROR(VLOOKUP(A3665,Shipped!I:J,2,)," ")</f>
        <v xml:space="preserve"> </v>
      </c>
    </row>
    <row r="3666" spans="1:14" x14ac:dyDescent="0.25">
      <c r="A3666" s="11" t="s">
        <v>3904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46279.483611111114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6" t="str">
        <f>IFERROR(VLOOKUP(A3666,Shipped!I:J,2,)," ")</f>
        <v xml:space="preserve"> </v>
      </c>
    </row>
    <row r="3667" spans="1:14" x14ac:dyDescent="0.25">
      <c r="A3667" s="11" t="s">
        <v>3905</v>
      </c>
      <c r="B3667" s="11" t="s">
        <v>956</v>
      </c>
      <c r="C3667" s="11" t="s">
        <v>957</v>
      </c>
      <c r="D3667" s="11">
        <v>1</v>
      </c>
      <c r="E3667" s="11" t="s">
        <v>13</v>
      </c>
      <c r="F3667" s="20">
        <v>46279.483865740738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6" t="str">
        <f>IFERROR(VLOOKUP(A3667,Shipped!I:J,2,)," ")</f>
        <v xml:space="preserve"> </v>
      </c>
    </row>
    <row r="3668" spans="1:14" x14ac:dyDescent="0.25">
      <c r="A3668" s="11" t="s">
        <v>3906</v>
      </c>
      <c r="B3668" s="11" t="s">
        <v>956</v>
      </c>
      <c r="C3668" s="11" t="s">
        <v>957</v>
      </c>
      <c r="D3668" s="11">
        <v>1</v>
      </c>
      <c r="E3668" s="11" t="s">
        <v>13</v>
      </c>
      <c r="F3668" s="20">
        <v>46279.4840625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6" t="str">
        <f>IFERROR(VLOOKUP(A3668,Shipped!I:J,2,)," ")</f>
        <v xml:space="preserve"> </v>
      </c>
    </row>
    <row r="3669" spans="1:14" x14ac:dyDescent="0.25">
      <c r="A3669" s="11" t="s">
        <v>3907</v>
      </c>
      <c r="B3669" s="11" t="s">
        <v>956</v>
      </c>
      <c r="C3669" s="11" t="s">
        <v>957</v>
      </c>
      <c r="D3669" s="11">
        <v>1</v>
      </c>
      <c r="E3669" s="11" t="s">
        <v>13</v>
      </c>
      <c r="F3669" s="20">
        <v>46279.484502314815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6" t="str">
        <f>IFERROR(VLOOKUP(A3669,Shipped!I:J,2,)," ")</f>
        <v xml:space="preserve"> </v>
      </c>
    </row>
    <row r="3670" spans="1:14" x14ac:dyDescent="0.25">
      <c r="A3670" s="11" t="s">
        <v>3908</v>
      </c>
      <c r="B3670" s="11" t="s">
        <v>956</v>
      </c>
      <c r="C3670" s="11" t="s">
        <v>957</v>
      </c>
      <c r="D3670" s="11">
        <v>1</v>
      </c>
      <c r="E3670" s="11" t="s">
        <v>13</v>
      </c>
      <c r="F3670" s="20">
        <v>46279.484664351854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6" t="str">
        <f>IFERROR(VLOOKUP(A3670,Shipped!I:J,2,)," ")</f>
        <v xml:space="preserve"> </v>
      </c>
    </row>
    <row r="3671" spans="1:14" x14ac:dyDescent="0.25">
      <c r="A3671" s="11" t="s">
        <v>3909</v>
      </c>
      <c r="B3671" s="11" t="s">
        <v>956</v>
      </c>
      <c r="C3671" s="11" t="s">
        <v>957</v>
      </c>
      <c r="D3671" s="11">
        <v>1</v>
      </c>
      <c r="E3671" s="11" t="s">
        <v>13</v>
      </c>
      <c r="F3671" s="20">
        <v>46279.486840277779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6" t="str">
        <f>IFERROR(VLOOKUP(A3671,Shipped!I:J,2,)," ")</f>
        <v xml:space="preserve"> </v>
      </c>
    </row>
    <row r="3672" spans="1:14" x14ac:dyDescent="0.25">
      <c r="A3672" s="11" t="s">
        <v>3910</v>
      </c>
      <c r="B3672" s="11" t="s">
        <v>956</v>
      </c>
      <c r="C3672" s="11" t="s">
        <v>957</v>
      </c>
      <c r="D3672" s="11">
        <v>1</v>
      </c>
      <c r="E3672" s="11" t="s">
        <v>13</v>
      </c>
      <c r="F3672" s="20">
        <v>46279.48704861111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6" t="str">
        <f>IFERROR(VLOOKUP(A3672,Shipped!I:J,2,)," ")</f>
        <v xml:space="preserve"> </v>
      </c>
    </row>
    <row r="3673" spans="1:14" x14ac:dyDescent="0.25">
      <c r="A3673" s="11" t="s">
        <v>3911</v>
      </c>
      <c r="B3673" s="11" t="s">
        <v>956</v>
      </c>
      <c r="C3673" s="11" t="s">
        <v>957</v>
      </c>
      <c r="D3673" s="11">
        <v>1</v>
      </c>
      <c r="E3673" s="11" t="s">
        <v>13</v>
      </c>
      <c r="F3673" s="20">
        <v>46279.487303240741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6" t="str">
        <f>IFERROR(VLOOKUP(A3673,Shipped!I:J,2,)," ")</f>
        <v xml:space="preserve"> </v>
      </c>
    </row>
    <row r="3674" spans="1:14" x14ac:dyDescent="0.25">
      <c r="A3674" s="11" t="s">
        <v>3912</v>
      </c>
      <c r="B3674" s="11" t="s">
        <v>956</v>
      </c>
      <c r="C3674" s="11" t="s">
        <v>957</v>
      </c>
      <c r="D3674" s="11">
        <v>1</v>
      </c>
      <c r="E3674" s="11" t="s">
        <v>13</v>
      </c>
      <c r="F3674" s="20">
        <v>46279.487604166665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6" t="str">
        <f>IFERROR(VLOOKUP(A3674,Shipped!I:J,2,)," ")</f>
        <v xml:space="preserve"> </v>
      </c>
    </row>
    <row r="3675" spans="1:14" x14ac:dyDescent="0.25">
      <c r="A3675" s="11" t="s">
        <v>3913</v>
      </c>
      <c r="B3675" s="11" t="s">
        <v>956</v>
      </c>
      <c r="C3675" s="11" t="s">
        <v>957</v>
      </c>
      <c r="D3675" s="11">
        <v>1</v>
      </c>
      <c r="E3675" s="11" t="s">
        <v>13</v>
      </c>
      <c r="F3675" s="20">
        <v>46279.48777777778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6" t="str">
        <f>IFERROR(VLOOKUP(A3675,Shipped!I:J,2,)," ")</f>
        <v xml:space="preserve"> </v>
      </c>
    </row>
    <row r="3676" spans="1:14" x14ac:dyDescent="0.25">
      <c r="A3676" s="11" t="s">
        <v>3914</v>
      </c>
      <c r="B3676" s="11" t="s">
        <v>956</v>
      </c>
      <c r="C3676" s="11" t="s">
        <v>957</v>
      </c>
      <c r="D3676" s="11">
        <v>1</v>
      </c>
      <c r="E3676" s="11" t="s">
        <v>13</v>
      </c>
      <c r="F3676" s="20">
        <v>46279.488032407404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6" t="str">
        <f>IFERROR(VLOOKUP(A3676,Shipped!I:J,2,)," ")</f>
        <v xml:space="preserve"> </v>
      </c>
    </row>
    <row r="3677" spans="1:14" x14ac:dyDescent="0.25">
      <c r="A3677" s="11" t="s">
        <v>3915</v>
      </c>
      <c r="B3677" s="11" t="s">
        <v>956</v>
      </c>
      <c r="C3677" s="11" t="s">
        <v>957</v>
      </c>
      <c r="D3677" s="11">
        <v>1</v>
      </c>
      <c r="E3677" s="11" t="s">
        <v>13</v>
      </c>
      <c r="F3677" s="20">
        <v>46279.488298611112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6" t="str">
        <f>IFERROR(VLOOKUP(A3677,Shipped!I:J,2,)," ")</f>
        <v xml:space="preserve"> </v>
      </c>
    </row>
    <row r="3678" spans="1:14" x14ac:dyDescent="0.25">
      <c r="A3678" s="11" t="s">
        <v>3916</v>
      </c>
      <c r="B3678" s="11" t="s">
        <v>956</v>
      </c>
      <c r="C3678" s="11" t="s">
        <v>957</v>
      </c>
      <c r="D3678" s="11">
        <v>1</v>
      </c>
      <c r="E3678" s="11" t="s">
        <v>13</v>
      </c>
      <c r="F3678" s="20">
        <v>46279.488576388889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6" t="str">
        <f>IFERROR(VLOOKUP(A3678,Shipped!I:J,2,)," ")</f>
        <v xml:space="preserve"> </v>
      </c>
    </row>
    <row r="3679" spans="1:14" x14ac:dyDescent="0.25">
      <c r="A3679" s="11" t="s">
        <v>3917</v>
      </c>
      <c r="B3679" s="11" t="s">
        <v>956</v>
      </c>
      <c r="C3679" s="11" t="s">
        <v>957</v>
      </c>
      <c r="D3679" s="11">
        <v>1</v>
      </c>
      <c r="E3679" s="11" t="s">
        <v>13</v>
      </c>
      <c r="F3679" s="20">
        <v>46279.489085648151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6" t="str">
        <f>IFERROR(VLOOKUP(A3679,Shipped!I:J,2,)," ")</f>
        <v xml:space="preserve"> </v>
      </c>
    </row>
    <row r="3680" spans="1:14" x14ac:dyDescent="0.25">
      <c r="A3680" s="11" t="s">
        <v>3918</v>
      </c>
      <c r="B3680" s="11" t="s">
        <v>956</v>
      </c>
      <c r="C3680" s="11" t="s">
        <v>957</v>
      </c>
      <c r="D3680" s="11">
        <v>1</v>
      </c>
      <c r="E3680" s="11" t="s">
        <v>13</v>
      </c>
      <c r="F3680" s="20">
        <v>46279.489305555559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6" t="str">
        <f>IFERROR(VLOOKUP(A3680,Shipped!I:J,2,)," ")</f>
        <v xml:space="preserve"> </v>
      </c>
    </row>
    <row r="3681" spans="1:14" x14ac:dyDescent="0.25">
      <c r="A3681" s="11" t="s">
        <v>3919</v>
      </c>
      <c r="B3681" s="11" t="s">
        <v>956</v>
      </c>
      <c r="C3681" s="11" t="s">
        <v>957</v>
      </c>
      <c r="D3681" s="11">
        <v>1</v>
      </c>
      <c r="E3681" s="11" t="s">
        <v>13</v>
      </c>
      <c r="F3681" s="20">
        <v>46279.491226851853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6" t="str">
        <f>IFERROR(VLOOKUP(A3681,Shipped!I:J,2,)," ")</f>
        <v xml:space="preserve"> </v>
      </c>
    </row>
    <row r="3682" spans="1:14" x14ac:dyDescent="0.25">
      <c r="A3682" s="11" t="s">
        <v>3920</v>
      </c>
      <c r="B3682" s="11" t="s">
        <v>956</v>
      </c>
      <c r="C3682" s="11" t="s">
        <v>957</v>
      </c>
      <c r="D3682" s="11">
        <v>1</v>
      </c>
      <c r="E3682" s="11" t="s">
        <v>13</v>
      </c>
      <c r="F3682" s="20">
        <v>46279.49150462963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6" t="str">
        <f>IFERROR(VLOOKUP(A3682,Shipped!I:J,2,)," ")</f>
        <v xml:space="preserve"> </v>
      </c>
    </row>
    <row r="3683" spans="1:14" x14ac:dyDescent="0.25">
      <c r="A3683" s="11" t="s">
        <v>3921</v>
      </c>
      <c r="B3683" s="11" t="s">
        <v>956</v>
      </c>
      <c r="C3683" s="11" t="s">
        <v>957</v>
      </c>
      <c r="D3683" s="11">
        <v>1</v>
      </c>
      <c r="E3683" s="11" t="s">
        <v>13</v>
      </c>
      <c r="F3683" s="20">
        <v>46279.491759259261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6" t="str">
        <f>IFERROR(VLOOKUP(A3683,Shipped!I:J,2,)," ")</f>
        <v xml:space="preserve"> </v>
      </c>
    </row>
    <row r="3684" spans="1:14" x14ac:dyDescent="0.25">
      <c r="A3684" s="11" t="s">
        <v>3922</v>
      </c>
      <c r="B3684" s="11" t="s">
        <v>956</v>
      </c>
      <c r="C3684" s="11" t="s">
        <v>957</v>
      </c>
      <c r="D3684" s="11">
        <v>1</v>
      </c>
      <c r="E3684" s="11" t="s">
        <v>13</v>
      </c>
      <c r="F3684" s="20">
        <v>46279.492013888892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6" t="str">
        <f>IFERROR(VLOOKUP(A3684,Shipped!I:J,2,)," ")</f>
        <v xml:space="preserve"> </v>
      </c>
    </row>
    <row r="3685" spans="1:14" x14ac:dyDescent="0.25">
      <c r="A3685" s="11" t="s">
        <v>3923</v>
      </c>
      <c r="B3685" s="11" t="s">
        <v>956</v>
      </c>
      <c r="C3685" s="11" t="s">
        <v>957</v>
      </c>
      <c r="D3685" s="11">
        <v>1</v>
      </c>
      <c r="E3685" s="11" t="s">
        <v>13</v>
      </c>
      <c r="F3685" s="20">
        <v>46279.492245370369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6" t="str">
        <f>IFERROR(VLOOKUP(A3685,Shipped!I:J,2,)," ")</f>
        <v xml:space="preserve"> </v>
      </c>
    </row>
    <row r="3686" spans="1:14" x14ac:dyDescent="0.25">
      <c r="A3686" s="11" t="s">
        <v>3924</v>
      </c>
      <c r="B3686" s="11" t="s">
        <v>956</v>
      </c>
      <c r="C3686" s="11" t="s">
        <v>957</v>
      </c>
      <c r="D3686" s="11">
        <v>1</v>
      </c>
      <c r="E3686" s="11" t="s">
        <v>13</v>
      </c>
      <c r="F3686" s="20">
        <v>46279.49255787037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6" t="str">
        <f>IFERROR(VLOOKUP(A3686,Shipped!I:J,2,)," ")</f>
        <v xml:space="preserve"> </v>
      </c>
    </row>
    <row r="3687" spans="1:14" x14ac:dyDescent="0.25">
      <c r="A3687" s="11" t="s">
        <v>3925</v>
      </c>
      <c r="B3687" s="11" t="s">
        <v>956</v>
      </c>
      <c r="C3687" s="11" t="s">
        <v>957</v>
      </c>
      <c r="D3687" s="11">
        <v>1</v>
      </c>
      <c r="E3687" s="11" t="s">
        <v>13</v>
      </c>
      <c r="F3687" s="20">
        <v>46279.492766203701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6" t="str">
        <f>IFERROR(VLOOKUP(A3687,Shipped!I:J,2,)," ")</f>
        <v xml:space="preserve"> </v>
      </c>
    </row>
    <row r="3688" spans="1:14" x14ac:dyDescent="0.25">
      <c r="A3688" s="11" t="s">
        <v>3926</v>
      </c>
      <c r="B3688" s="11" t="s">
        <v>956</v>
      </c>
      <c r="C3688" s="11" t="s">
        <v>957</v>
      </c>
      <c r="D3688" s="11">
        <v>1</v>
      </c>
      <c r="E3688" s="11" t="s">
        <v>13</v>
      </c>
      <c r="F3688" s="20">
        <v>46279.493078703701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6" t="str">
        <f>IFERROR(VLOOKUP(A3688,Shipped!I:J,2,)," ")</f>
        <v xml:space="preserve"> </v>
      </c>
    </row>
    <row r="3689" spans="1:14" x14ac:dyDescent="0.25">
      <c r="A3689" s="11" t="s">
        <v>3927</v>
      </c>
      <c r="B3689" s="11" t="s">
        <v>956</v>
      </c>
      <c r="C3689" s="11" t="s">
        <v>957</v>
      </c>
      <c r="D3689" s="11">
        <v>1</v>
      </c>
      <c r="E3689" s="11" t="s">
        <v>13</v>
      </c>
      <c r="F3689" s="20">
        <v>46279.493321759262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6" t="str">
        <f>IFERROR(VLOOKUP(A3689,Shipped!I:J,2,)," ")</f>
        <v xml:space="preserve"> </v>
      </c>
    </row>
    <row r="3690" spans="1:14" x14ac:dyDescent="0.25">
      <c r="A3690" s="11" t="s">
        <v>3928</v>
      </c>
      <c r="B3690" s="11" t="s">
        <v>956</v>
      </c>
      <c r="C3690" s="11" t="s">
        <v>957</v>
      </c>
      <c r="D3690" s="11">
        <v>1</v>
      </c>
      <c r="E3690" s="11" t="s">
        <v>13</v>
      </c>
      <c r="F3690" s="20">
        <v>46279.493587962963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6" t="str">
        <f>IFERROR(VLOOKUP(A3690,Shipped!I:J,2,)," ")</f>
        <v xml:space="preserve"> </v>
      </c>
    </row>
    <row r="3691" spans="1:14" x14ac:dyDescent="0.25">
      <c r="A3691" s="11" t="s">
        <v>3929</v>
      </c>
      <c r="B3691" s="11" t="s">
        <v>956</v>
      </c>
      <c r="C3691" s="11" t="s">
        <v>957</v>
      </c>
      <c r="D3691" s="11">
        <v>1</v>
      </c>
      <c r="E3691" s="11" t="s">
        <v>13</v>
      </c>
      <c r="F3691" s="20">
        <v>46279.496412037035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6" t="str">
        <f>IFERROR(VLOOKUP(A3691,Shipped!I:J,2,)," ")</f>
        <v xml:space="preserve"> </v>
      </c>
    </row>
    <row r="3692" spans="1:14" x14ac:dyDescent="0.25">
      <c r="A3692" s="11" t="s">
        <v>3930</v>
      </c>
      <c r="B3692" s="11" t="s">
        <v>956</v>
      </c>
      <c r="C3692" s="11" t="s">
        <v>957</v>
      </c>
      <c r="D3692" s="11">
        <v>1</v>
      </c>
      <c r="E3692" s="11" t="s">
        <v>13</v>
      </c>
      <c r="F3692" s="20">
        <v>46279.496666666666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6" t="str">
        <f>IFERROR(VLOOKUP(A3692,Shipped!I:J,2,)," ")</f>
        <v xml:space="preserve"> </v>
      </c>
    </row>
    <row r="3693" spans="1:14" x14ac:dyDescent="0.25">
      <c r="A3693" s="11" t="s">
        <v>3931</v>
      </c>
      <c r="B3693" s="11" t="s">
        <v>956</v>
      </c>
      <c r="C3693" s="11" t="s">
        <v>957</v>
      </c>
      <c r="D3693" s="11">
        <v>1</v>
      </c>
      <c r="E3693" s="11" t="s">
        <v>13</v>
      </c>
      <c r="F3693" s="20">
        <v>46279.496932870374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6" t="str">
        <f>IFERROR(VLOOKUP(A3693,Shipped!I:J,2,)," ")</f>
        <v xml:space="preserve"> </v>
      </c>
    </row>
    <row r="3694" spans="1:14" x14ac:dyDescent="0.25">
      <c r="A3694" s="11" t="s">
        <v>3932</v>
      </c>
      <c r="B3694" s="11" t="s">
        <v>956</v>
      </c>
      <c r="C3694" s="11" t="s">
        <v>957</v>
      </c>
      <c r="D3694" s="11">
        <v>1</v>
      </c>
      <c r="E3694" s="11" t="s">
        <v>13</v>
      </c>
      <c r="F3694" s="20">
        <v>46279.497361111113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6" t="str">
        <f>IFERROR(VLOOKUP(A3694,Shipped!I:J,2,)," ")</f>
        <v xml:space="preserve"> </v>
      </c>
    </row>
    <row r="3695" spans="1:14" x14ac:dyDescent="0.25">
      <c r="A3695" s="11" t="s">
        <v>3933</v>
      </c>
      <c r="B3695" s="11" t="s">
        <v>956</v>
      </c>
      <c r="C3695" s="11" t="s">
        <v>957</v>
      </c>
      <c r="D3695" s="11">
        <v>1</v>
      </c>
      <c r="E3695" s="11" t="s">
        <v>13</v>
      </c>
      <c r="F3695" s="20">
        <v>46279.497511574074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6" t="str">
        <f>IFERROR(VLOOKUP(A3695,Shipped!I:J,2,)," ")</f>
        <v xml:space="preserve"> </v>
      </c>
    </row>
    <row r="3696" spans="1:14" x14ac:dyDescent="0.25">
      <c r="A3696" s="11" t="s">
        <v>3934</v>
      </c>
      <c r="B3696" s="11" t="s">
        <v>3774</v>
      </c>
      <c r="C3696" s="11" t="s">
        <v>3775</v>
      </c>
      <c r="D3696" s="11">
        <v>1</v>
      </c>
      <c r="E3696" s="11" t="s">
        <v>85</v>
      </c>
      <c r="F3696" s="20">
        <v>46282.234120370369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6" t="str">
        <f>IFERROR(VLOOKUP(A3696,Shipped!I:J,2,)," ")</f>
        <v xml:space="preserve"> </v>
      </c>
    </row>
    <row r="3697" spans="1:14" x14ac:dyDescent="0.25">
      <c r="A3697" s="11" t="s">
        <v>3935</v>
      </c>
      <c r="B3697" s="11" t="s">
        <v>956</v>
      </c>
      <c r="C3697" s="11" t="s">
        <v>957</v>
      </c>
      <c r="D3697" s="11">
        <v>1</v>
      </c>
      <c r="E3697" s="11" t="s">
        <v>13</v>
      </c>
      <c r="F3697" s="20">
        <v>46279.498113425929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6" t="str">
        <f>IFERROR(VLOOKUP(A3697,Shipped!I:J,2,)," ")</f>
        <v xml:space="preserve"> </v>
      </c>
    </row>
    <row r="3698" spans="1:14" x14ac:dyDescent="0.25">
      <c r="A3698" s="11" t="s">
        <v>3936</v>
      </c>
      <c r="B3698" s="11" t="s">
        <v>956</v>
      </c>
      <c r="C3698" s="11" t="s">
        <v>957</v>
      </c>
      <c r="D3698" s="11">
        <v>1</v>
      </c>
      <c r="E3698" s="11" t="s">
        <v>13</v>
      </c>
      <c r="F3698" s="20">
        <v>46279.498391203706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6" t="str">
        <f>IFERROR(VLOOKUP(A3698,Shipped!I:J,2,)," ")</f>
        <v xml:space="preserve"> </v>
      </c>
    </row>
    <row r="3699" spans="1:14" x14ac:dyDescent="0.25">
      <c r="A3699" s="11" t="s">
        <v>3937</v>
      </c>
      <c r="B3699" s="11" t="s">
        <v>956</v>
      </c>
      <c r="C3699" s="11" t="s">
        <v>957</v>
      </c>
      <c r="D3699" s="11">
        <v>1</v>
      </c>
      <c r="E3699" s="11" t="s">
        <v>13</v>
      </c>
      <c r="F3699" s="20">
        <v>46279.498692129629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6" t="str">
        <f>IFERROR(VLOOKUP(A3699,Shipped!I:J,2,)," ")</f>
        <v xml:space="preserve"> </v>
      </c>
    </row>
    <row r="3700" spans="1:14" x14ac:dyDescent="0.25">
      <c r="A3700" s="11" t="s">
        <v>3938</v>
      </c>
      <c r="B3700" s="11" t="s">
        <v>956</v>
      </c>
      <c r="C3700" s="11" t="s">
        <v>957</v>
      </c>
      <c r="D3700" s="11">
        <v>1</v>
      </c>
      <c r="E3700" s="11" t="s">
        <v>13</v>
      </c>
      <c r="F3700" s="20">
        <v>46279.498865740738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6" t="str">
        <f>IFERROR(VLOOKUP(A3700,Shipped!I:J,2,)," ")</f>
        <v xml:space="preserve"> </v>
      </c>
    </row>
    <row r="3701" spans="1:14" x14ac:dyDescent="0.25">
      <c r="A3701" s="11" t="s">
        <v>3939</v>
      </c>
      <c r="B3701" s="11" t="s">
        <v>956</v>
      </c>
      <c r="C3701" s="11" t="s">
        <v>957</v>
      </c>
      <c r="D3701" s="11">
        <v>1</v>
      </c>
      <c r="E3701" s="11" t="s">
        <v>13</v>
      </c>
      <c r="F3701" s="20">
        <v>46279.51353009259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6" t="str">
        <f>IFERROR(VLOOKUP(A3701,Shipped!I:J,2,)," ")</f>
        <v xml:space="preserve"> </v>
      </c>
    </row>
    <row r="3702" spans="1:14" x14ac:dyDescent="0.25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6">
        <f>IFERROR(VLOOKUP(A3702,Shipped!I:J,2,)," ")</f>
        <v>46267</v>
      </c>
    </row>
    <row r="3703" spans="1:14" x14ac:dyDescent="0.25">
      <c r="A3703" s="11" t="s">
        <v>3763</v>
      </c>
      <c r="B3703" s="11" t="s">
        <v>6</v>
      </c>
      <c r="C3703" s="11" t="s">
        <v>6</v>
      </c>
      <c r="D3703" s="11">
        <v>1</v>
      </c>
      <c r="E3703" s="11" t="s">
        <v>7</v>
      </c>
      <c r="F3703" s="20">
        <v>46279.319236111114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6" t="str">
        <f>IFERROR(VLOOKUP(A3703,Shipped!I:J,2,)," ")</f>
        <v xml:space="preserve"> </v>
      </c>
    </row>
    <row r="3704" spans="1:14" x14ac:dyDescent="0.25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6">
        <f>IFERROR(VLOOKUP(A3704,Shipped!I:J,2,)," ")</f>
        <v>46267</v>
      </c>
    </row>
    <row r="3705" spans="1:14" x14ac:dyDescent="0.25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6" t="str">
        <f>IFERROR(VLOOKUP(A3705,Shipped!I:J,2,)," ")</f>
        <v xml:space="preserve"> </v>
      </c>
    </row>
    <row r="3706" spans="1:14" x14ac:dyDescent="0.25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6" t="str">
        <f>IFERROR(VLOOKUP(A3706,Shipped!I:J,2,)," ")</f>
        <v xml:space="preserve"> </v>
      </c>
    </row>
    <row r="3707" spans="1:14" x14ac:dyDescent="0.25">
      <c r="A3707" s="11" t="s">
        <v>3767</v>
      </c>
      <c r="B3707" s="11" t="s">
        <v>6</v>
      </c>
      <c r="C3707" s="11" t="s">
        <v>6</v>
      </c>
      <c r="D3707" s="11">
        <v>1</v>
      </c>
      <c r="E3707" s="11" t="s">
        <v>7</v>
      </c>
      <c r="F3707" s="20">
        <v>46279.319791666669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6" t="str">
        <f>IFERROR(VLOOKUP(A3707,Shipped!I:J,2,)," ")</f>
        <v xml:space="preserve"> </v>
      </c>
    </row>
    <row r="3708" spans="1:14" x14ac:dyDescent="0.25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6" t="str">
        <f>IFERROR(VLOOKUP(A3708,Shipped!I:J,2,)," ")</f>
        <v xml:space="preserve"> </v>
      </c>
    </row>
    <row r="3709" spans="1:14" x14ac:dyDescent="0.25">
      <c r="A3709" s="11" t="s">
        <v>3769</v>
      </c>
      <c r="B3709" s="11" t="s">
        <v>8</v>
      </c>
      <c r="C3709" s="11" t="s">
        <v>9</v>
      </c>
      <c r="D3709" s="11">
        <v>1</v>
      </c>
      <c r="E3709" s="11" t="s">
        <v>10</v>
      </c>
      <c r="F3709" s="20">
        <v>46281.722407407404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6" t="str">
        <f>IFERROR(VLOOKUP(A3709,Shipped!I:J,2,)," ")</f>
        <v xml:space="preserve"> </v>
      </c>
    </row>
    <row r="3710" spans="1:14" x14ac:dyDescent="0.25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6" t="str">
        <f>IFERROR(VLOOKUP(A3710,Shipped!I:J,2,)," ")</f>
        <v xml:space="preserve"> </v>
      </c>
    </row>
    <row r="3711" spans="1:14" x14ac:dyDescent="0.25">
      <c r="A3711" s="11" t="s">
        <v>3771</v>
      </c>
      <c r="B3711" s="11" t="s">
        <v>8</v>
      </c>
      <c r="C3711" s="11" t="s">
        <v>9</v>
      </c>
      <c r="D3711" s="11">
        <v>1</v>
      </c>
      <c r="E3711" s="11" t="s">
        <v>10</v>
      </c>
      <c r="F3711" s="20">
        <v>46281.750706018516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6" t="str">
        <f>IFERROR(VLOOKUP(A3711,Shipped!I:J,2,)," ")</f>
        <v xml:space="preserve"> </v>
      </c>
    </row>
    <row r="3712" spans="1:14" x14ac:dyDescent="0.25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56">
        <f>IFERROR(VLOOKUP(A3712,Shipped!I:J,2,)," ")</f>
        <v>46230</v>
      </c>
    </row>
    <row r="3713" spans="1:14" x14ac:dyDescent="0.25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56">
        <f>IFERROR(VLOOKUP(A3713,Shipped!I:J,2,)," ")</f>
        <v>46230</v>
      </c>
    </row>
    <row r="3714" spans="1:14" x14ac:dyDescent="0.25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56">
        <f>IFERROR(VLOOKUP(A3714,Shipped!I:J,2,)," ")</f>
        <v>46230</v>
      </c>
    </row>
    <row r="3715" spans="1:14" x14ac:dyDescent="0.25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56">
        <f>IFERROR(VLOOKUP(A3715,Shipped!I:J,2,)," ")</f>
        <v>46220</v>
      </c>
    </row>
    <row r="3716" spans="1:14" x14ac:dyDescent="0.25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56">
        <f>IFERROR(VLOOKUP(A3716,Shipped!I:J,2,)," ")</f>
        <v>46220</v>
      </c>
    </row>
    <row r="3717" spans="1:14" x14ac:dyDescent="0.25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56">
        <f>IFERROR(VLOOKUP(A3717,Shipped!I:J,2,)," ")</f>
        <v>46220</v>
      </c>
    </row>
    <row r="3718" spans="1:14" x14ac:dyDescent="0.25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56">
        <f>IFERROR(VLOOKUP(A3718,Shipped!I:J,2,)," ")</f>
        <v>46226</v>
      </c>
    </row>
    <row r="3719" spans="1:14" x14ac:dyDescent="0.25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56">
        <f>IFERROR(VLOOKUP(A3719,Shipped!I:J,2,)," ")</f>
        <v>46220</v>
      </c>
    </row>
    <row r="3720" spans="1:14" x14ac:dyDescent="0.25">
      <c r="A3720" s="11" t="s">
        <v>3991</v>
      </c>
      <c r="B3720" s="11" t="s">
        <v>3893</v>
      </c>
      <c r="C3720" s="11" t="s">
        <v>3894</v>
      </c>
      <c r="D3720" s="11">
        <v>1</v>
      </c>
      <c r="E3720" s="11" t="s">
        <v>76</v>
      </c>
      <c r="F3720" s="20">
        <v>46276.797118055554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56" t="str">
        <f>IFERROR(VLOOKUP(A3720,Shipped!I:J,2,)," ")</f>
        <v xml:space="preserve"> </v>
      </c>
    </row>
    <row r="3721" spans="1:14" x14ac:dyDescent="0.25">
      <c r="A3721" s="11" t="s">
        <v>3992</v>
      </c>
      <c r="B3721" s="11" t="s">
        <v>4098</v>
      </c>
      <c r="C3721" s="11" t="s">
        <v>4099</v>
      </c>
      <c r="D3721" s="11">
        <v>1</v>
      </c>
      <c r="E3721" s="11" t="s">
        <v>13</v>
      </c>
      <c r="F3721" s="20">
        <v>46282.308032407411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56" t="str">
        <f>IFERROR(VLOOKUP(A3721,Shipped!I:J,2,)," ")</f>
        <v xml:space="preserve"> </v>
      </c>
    </row>
    <row r="3722" spans="1:14" x14ac:dyDescent="0.25">
      <c r="A3722" s="11" t="s">
        <v>3993</v>
      </c>
      <c r="B3722" s="11" t="s">
        <v>4088</v>
      </c>
      <c r="C3722" s="11" t="s">
        <v>4089</v>
      </c>
      <c r="D3722" s="11">
        <v>1</v>
      </c>
      <c r="E3722" s="11" t="s">
        <v>13</v>
      </c>
      <c r="F3722" s="20">
        <v>46281.597002314818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56" t="str">
        <f>IFERROR(VLOOKUP(A3722,Shipped!I:J,2,)," ")</f>
        <v xml:space="preserve"> </v>
      </c>
    </row>
    <row r="3723" spans="1:14" x14ac:dyDescent="0.25">
      <c r="A3723" s="11" t="s">
        <v>3994</v>
      </c>
      <c r="B3723" s="11" t="s">
        <v>2152</v>
      </c>
      <c r="C3723" s="11" t="s">
        <v>2153</v>
      </c>
      <c r="D3723" s="11">
        <v>1</v>
      </c>
      <c r="E3723" s="11" t="s">
        <v>76</v>
      </c>
      <c r="F3723" s="20">
        <v>46280.387233796297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  <c r="N3723" s="56" t="str">
        <f>IFERROR(VLOOKUP(A3723,Shipped!I:J,2,)," ")</f>
        <v xml:space="preserve"> </v>
      </c>
    </row>
    <row r="3724" spans="1:14" x14ac:dyDescent="0.25">
      <c r="A3724" s="11" t="s">
        <v>3995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  <c r="N3724" s="56" t="str">
        <f>IFERROR(VLOOKUP(A3724,Shipped!I:J,2,)," ")</f>
        <v xml:space="preserve"> </v>
      </c>
    </row>
    <row r="3725" spans="1:14" x14ac:dyDescent="0.25">
      <c r="A3725" s="11" t="s">
        <v>3996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  <c r="N3725" s="56" t="str">
        <f>IFERROR(VLOOKUP(A3725,Shipped!I:J,2,)," ")</f>
        <v xml:space="preserve"> </v>
      </c>
    </row>
    <row r="3726" spans="1:14" x14ac:dyDescent="0.25">
      <c r="A3726" s="11" t="s">
        <v>3997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  <c r="N3726" s="56" t="str">
        <f>IFERROR(VLOOKUP(A3726,Shipped!I:J,2,)," ")</f>
        <v xml:space="preserve"> </v>
      </c>
    </row>
    <row r="3727" spans="1:14" x14ac:dyDescent="0.25">
      <c r="A3727" s="11" t="s">
        <v>3998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  <c r="N3727" s="56" t="str">
        <f>IFERROR(VLOOKUP(A3727,Shipped!I:J,2,)," ")</f>
        <v xml:space="preserve"> </v>
      </c>
    </row>
    <row r="3728" spans="1:14" x14ac:dyDescent="0.25">
      <c r="A3728" s="11" t="s">
        <v>3999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  <c r="N3728" s="56" t="str">
        <f>IFERROR(VLOOKUP(A3728,Shipped!I:J,2,)," ")</f>
        <v xml:space="preserve"> </v>
      </c>
    </row>
    <row r="3729" spans="1:14" x14ac:dyDescent="0.25">
      <c r="A3729" s="11" t="s">
        <v>4000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  <c r="N3729" s="56" t="str">
        <f>IFERROR(VLOOKUP(A3729,Shipped!I:J,2,)," ")</f>
        <v xml:space="preserve"> </v>
      </c>
    </row>
    <row r="3730" spans="1:14" x14ac:dyDescent="0.25">
      <c r="A3730" s="11" t="s">
        <v>4001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  <c r="N3730" s="56" t="str">
        <f>IFERROR(VLOOKUP(A3730,Shipped!I:J,2,)," ")</f>
        <v xml:space="preserve"> </v>
      </c>
    </row>
    <row r="3731" spans="1:14" x14ac:dyDescent="0.25">
      <c r="A3731" s="11" t="s">
        <v>4002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  <c r="N3731" s="56" t="str">
        <f>IFERROR(VLOOKUP(A3731,Shipped!I:J,2,)," ")</f>
        <v xml:space="preserve"> </v>
      </c>
    </row>
    <row r="3732" spans="1:14" x14ac:dyDescent="0.25">
      <c r="A3732" s="11" t="s">
        <v>4003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  <c r="N3732" s="56" t="str">
        <f>IFERROR(VLOOKUP(A3732,Shipped!I:J,2,)," ")</f>
        <v xml:space="preserve"> </v>
      </c>
    </row>
    <row r="3733" spans="1:14" x14ac:dyDescent="0.25">
      <c r="A3733" s="11" t="s">
        <v>4004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  <c r="N3733" s="56" t="str">
        <f>IFERROR(VLOOKUP(A3733,Shipped!I:J,2,)," ")</f>
        <v xml:space="preserve"> </v>
      </c>
    </row>
    <row r="3734" spans="1:14" x14ac:dyDescent="0.25">
      <c r="A3734" s="11" t="s">
        <v>4005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  <c r="N3734" s="56" t="str">
        <f>IFERROR(VLOOKUP(A3734,Shipped!I:J,2,)," ")</f>
        <v xml:space="preserve"> </v>
      </c>
    </row>
    <row r="3735" spans="1:14" x14ac:dyDescent="0.25">
      <c r="A3735" s="11" t="s">
        <v>4006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  <c r="N3735" s="56" t="str">
        <f>IFERROR(VLOOKUP(A3735,Shipped!I:J,2,)," ")</f>
        <v xml:space="preserve"> </v>
      </c>
    </row>
    <row r="3736" spans="1:14" x14ac:dyDescent="0.25">
      <c r="A3736" s="11" t="s">
        <v>4007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  <c r="N3736" s="56" t="str">
        <f>IFERROR(VLOOKUP(A3736,Shipped!I:J,2,)," ")</f>
        <v xml:space="preserve"> </v>
      </c>
    </row>
    <row r="3737" spans="1:14" x14ac:dyDescent="0.25">
      <c r="A3737" s="11" t="s">
        <v>4008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  <c r="N3737" s="56" t="str">
        <f>IFERROR(VLOOKUP(A3737,Shipped!I:J,2,)," ")</f>
        <v xml:space="preserve"> </v>
      </c>
    </row>
    <row r="3738" spans="1:14" x14ac:dyDescent="0.25">
      <c r="A3738" s="11" t="s">
        <v>4009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  <c r="N3738" s="56" t="str">
        <f>IFERROR(VLOOKUP(A3738,Shipped!I:J,2,)," ")</f>
        <v xml:space="preserve"> </v>
      </c>
    </row>
    <row r="3739" spans="1:14" x14ac:dyDescent="0.25">
      <c r="A3739" s="11" t="s">
        <v>4010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  <c r="N3739" s="56" t="str">
        <f>IFERROR(VLOOKUP(A3739,Shipped!I:J,2,)," ")</f>
        <v xml:space="preserve"> </v>
      </c>
    </row>
    <row r="3740" spans="1:14" x14ac:dyDescent="0.25">
      <c r="A3740" s="11" t="s">
        <v>4011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  <c r="N3740" s="56" t="str">
        <f>IFERROR(VLOOKUP(A3740,Shipped!I:J,2,)," ")</f>
        <v xml:space="preserve"> </v>
      </c>
    </row>
    <row r="3741" spans="1:14" x14ac:dyDescent="0.25">
      <c r="A3741" s="11" t="s">
        <v>4012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  <c r="N3741" s="56" t="str">
        <f>IFERROR(VLOOKUP(A3741,Shipped!I:J,2,)," ")</f>
        <v xml:space="preserve"> </v>
      </c>
    </row>
    <row r="3742" spans="1:14" x14ac:dyDescent="0.25">
      <c r="A3742" s="11" t="s">
        <v>4013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  <c r="N3742" s="56" t="str">
        <f>IFERROR(VLOOKUP(A3742,Shipped!I:J,2,)," ")</f>
        <v xml:space="preserve"> </v>
      </c>
    </row>
    <row r="3743" spans="1:14" x14ac:dyDescent="0.25">
      <c r="A3743" s="11" t="s">
        <v>4014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  <c r="N3743" s="56" t="str">
        <f>IFERROR(VLOOKUP(A3743,Shipped!I:J,2,)," ")</f>
        <v xml:space="preserve"> </v>
      </c>
    </row>
    <row r="3744" spans="1:14" x14ac:dyDescent="0.25">
      <c r="A3744" s="11" t="s">
        <v>4015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  <c r="N3744" s="56" t="str">
        <f>IFERROR(VLOOKUP(A3744,Shipped!I:J,2,)," ")</f>
        <v xml:space="preserve"> </v>
      </c>
    </row>
    <row r="3745" spans="1:14" x14ac:dyDescent="0.25">
      <c r="A3745" s="11" t="s">
        <v>4016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  <c r="N3745" s="56" t="str">
        <f>IFERROR(VLOOKUP(A3745,Shipped!I:J,2,)," ")</f>
        <v xml:space="preserve"> </v>
      </c>
    </row>
    <row r="3746" spans="1:14" x14ac:dyDescent="0.25">
      <c r="A3746" s="11" t="s">
        <v>4017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  <c r="N3746" s="56" t="str">
        <f>IFERROR(VLOOKUP(A3746,Shipped!I:J,2,)," ")</f>
        <v xml:space="preserve"> </v>
      </c>
    </row>
    <row r="3747" spans="1:14" x14ac:dyDescent="0.25">
      <c r="A3747" s="11" t="s">
        <v>4018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  <c r="N3747" s="56" t="str">
        <f>IFERROR(VLOOKUP(A3747,Shipped!I:J,2,)," ")</f>
        <v xml:space="preserve"> </v>
      </c>
    </row>
    <row r="3748" spans="1:14" x14ac:dyDescent="0.25">
      <c r="A3748" s="11" t="s">
        <v>4019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  <c r="N3748" s="56" t="str">
        <f>IFERROR(VLOOKUP(A3748,Shipped!I:J,2,)," ")</f>
        <v xml:space="preserve"> </v>
      </c>
    </row>
    <row r="3749" spans="1:14" x14ac:dyDescent="0.25">
      <c r="A3749" s="11" t="s">
        <v>4020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  <c r="N3749" s="56" t="str">
        <f>IFERROR(VLOOKUP(A3749,Shipped!I:J,2,)," ")</f>
        <v xml:space="preserve"> </v>
      </c>
    </row>
    <row r="3750" spans="1:14" x14ac:dyDescent="0.25">
      <c r="A3750" s="11" t="s">
        <v>4021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  <c r="N3750" s="56" t="str">
        <f>IFERROR(VLOOKUP(A3750,Shipped!I:J,2,)," ")</f>
        <v xml:space="preserve"> </v>
      </c>
    </row>
    <row r="3751" spans="1:14" x14ac:dyDescent="0.25">
      <c r="A3751" s="11" t="s">
        <v>4022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  <c r="N3751" s="56" t="str">
        <f>IFERROR(VLOOKUP(A3751,Shipped!I:J,2,)," ")</f>
        <v xml:space="preserve"> </v>
      </c>
    </row>
    <row r="3752" spans="1:14" x14ac:dyDescent="0.25">
      <c r="A3752" s="11" t="s">
        <v>4023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  <c r="N3752" s="56" t="str">
        <f>IFERROR(VLOOKUP(A3752,Shipped!I:J,2,)," ")</f>
        <v xml:space="preserve"> </v>
      </c>
    </row>
    <row r="3753" spans="1:14" x14ac:dyDescent="0.25">
      <c r="A3753" s="11" t="s">
        <v>4024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  <c r="N3753" s="56" t="str">
        <f>IFERROR(VLOOKUP(A3753,Shipped!I:J,2,)," ")</f>
        <v xml:space="preserve"> </v>
      </c>
    </row>
    <row r="3754" spans="1:14" x14ac:dyDescent="0.25">
      <c r="A3754" s="11" t="s">
        <v>4025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  <c r="N3754" s="56" t="str">
        <f>IFERROR(VLOOKUP(A3754,Shipped!I:J,2,)," ")</f>
        <v xml:space="preserve"> </v>
      </c>
    </row>
    <row r="3755" spans="1:14" x14ac:dyDescent="0.25">
      <c r="A3755" s="11" t="s">
        <v>4026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  <c r="N3755" s="56" t="str">
        <f>IFERROR(VLOOKUP(A3755,Shipped!I:J,2,)," ")</f>
        <v xml:space="preserve"> </v>
      </c>
    </row>
    <row r="3756" spans="1:14" x14ac:dyDescent="0.25">
      <c r="A3756" s="11" t="s">
        <v>4027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  <c r="N3756" s="56" t="str">
        <f>IFERROR(VLOOKUP(A3756,Shipped!I:J,2,)," ")</f>
        <v xml:space="preserve"> </v>
      </c>
    </row>
    <row r="3757" spans="1:14" x14ac:dyDescent="0.25">
      <c r="A3757" s="11" t="s">
        <v>4028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  <c r="N3757" s="56" t="str">
        <f>IFERROR(VLOOKUP(A3757,Shipped!I:J,2,)," ")</f>
        <v xml:space="preserve"> </v>
      </c>
    </row>
    <row r="3758" spans="1:14" x14ac:dyDescent="0.25">
      <c r="A3758" s="11" t="s">
        <v>4029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  <c r="N3758" s="56" t="str">
        <f>IFERROR(VLOOKUP(A3758,Shipped!I:J,2,)," ")</f>
        <v xml:space="preserve"> </v>
      </c>
    </row>
    <row r="3759" spans="1:14" x14ac:dyDescent="0.25">
      <c r="A3759" s="11" t="s">
        <v>4030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  <c r="N3759" s="56" t="str">
        <f>IFERROR(VLOOKUP(A3759,Shipped!I:J,2,)," ")</f>
        <v xml:space="preserve"> </v>
      </c>
    </row>
    <row r="3760" spans="1:14" x14ac:dyDescent="0.25">
      <c r="A3760" s="11" t="s">
        <v>4031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  <c r="N3760" s="56" t="str">
        <f>IFERROR(VLOOKUP(A3760,Shipped!I:J,2,)," ")</f>
        <v xml:space="preserve"> </v>
      </c>
    </row>
    <row r="3761" spans="1:14" x14ac:dyDescent="0.25">
      <c r="A3761" s="11" t="s">
        <v>4032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  <c r="N3761" s="56" t="str">
        <f>IFERROR(VLOOKUP(A3761,Shipped!I:J,2,)," ")</f>
        <v xml:space="preserve"> </v>
      </c>
    </row>
    <row r="3762" spans="1:14" x14ac:dyDescent="0.25">
      <c r="A3762" s="11" t="s">
        <v>4033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  <c r="N3762" s="56" t="str">
        <f>IFERROR(VLOOKUP(A3762,Shipped!I:J,2,)," ")</f>
        <v xml:space="preserve"> </v>
      </c>
    </row>
    <row r="3763" spans="1:14" x14ac:dyDescent="0.25">
      <c r="A3763" s="11" t="s">
        <v>4034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  <c r="N3763" s="56" t="str">
        <f>IFERROR(VLOOKUP(A3763,Shipped!I:J,2,)," ")</f>
        <v xml:space="preserve"> </v>
      </c>
    </row>
    <row r="3764" spans="1:14" x14ac:dyDescent="0.25">
      <c r="A3764" s="11" t="s">
        <v>4035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  <c r="N3764" s="56" t="str">
        <f>IFERROR(VLOOKUP(A3764,Shipped!I:J,2,)," ")</f>
        <v xml:space="preserve"> </v>
      </c>
    </row>
  </sheetData>
  <autoFilter ref="A1:P3764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93"/>
  <sheetViews>
    <sheetView tabSelected="1" zoomScale="175" zoomScaleNormal="175" workbookViewId="0">
      <pane ySplit="1" topLeftCell="A101" activePane="bottomLeft" state="frozen"/>
      <selection pane="bottomLeft" activeCell="G107" sqref="G107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21.85546875" bestFit="1" customWidth="1"/>
    <col min="4" max="4" width="22" bestFit="1" customWidth="1"/>
    <col min="5" max="5" width="22.140625" bestFit="1" customWidth="1"/>
    <col min="6" max="6" width="12.140625" bestFit="1" customWidth="1"/>
  </cols>
  <sheetData>
    <row r="1" spans="1:7" x14ac:dyDescent="0.25">
      <c r="A1" s="2" t="s">
        <v>1434</v>
      </c>
      <c r="B1" s="11" t="s">
        <v>1172</v>
      </c>
    </row>
    <row r="2" spans="1:7" x14ac:dyDescent="0.25">
      <c r="A2" s="2" t="s">
        <v>1435</v>
      </c>
      <c r="B2" s="11" t="s">
        <v>4094</v>
      </c>
    </row>
    <row r="4" spans="1:7" x14ac:dyDescent="0.25">
      <c r="A4" s="2" t="s">
        <v>73</v>
      </c>
      <c r="B4" s="2" t="s">
        <v>67</v>
      </c>
      <c r="C4" s="2" t="s">
        <v>68</v>
      </c>
      <c r="D4" s="2" t="s">
        <v>2</v>
      </c>
      <c r="E4" s="2" t="s">
        <v>4</v>
      </c>
      <c r="F4" t="s">
        <v>75</v>
      </c>
    </row>
    <row r="5" spans="1:7" x14ac:dyDescent="0.25">
      <c r="A5" s="3">
        <v>1</v>
      </c>
      <c r="B5" s="3" t="s">
        <v>65</v>
      </c>
      <c r="C5" s="3" t="s">
        <v>69</v>
      </c>
      <c r="D5" s="3" t="s">
        <v>6</v>
      </c>
      <c r="E5" s="3" t="s">
        <v>7</v>
      </c>
      <c r="F5" s="4">
        <v>64</v>
      </c>
    </row>
    <row r="6" spans="1:7" x14ac:dyDescent="0.25">
      <c r="D6" s="3" t="s">
        <v>18</v>
      </c>
      <c r="E6" s="3" t="s">
        <v>19</v>
      </c>
      <c r="F6" s="4">
        <v>6</v>
      </c>
    </row>
    <row r="7" spans="1:7" x14ac:dyDescent="0.25">
      <c r="A7" s="3">
        <v>2</v>
      </c>
      <c r="B7" s="3" t="s">
        <v>64</v>
      </c>
      <c r="C7" s="3" t="s">
        <v>70</v>
      </c>
      <c r="D7" s="3" t="s">
        <v>6</v>
      </c>
      <c r="E7" s="3" t="s">
        <v>7</v>
      </c>
      <c r="F7" s="4">
        <v>64</v>
      </c>
    </row>
    <row r="8" spans="1:7" x14ac:dyDescent="0.25">
      <c r="D8" s="3" t="s">
        <v>18</v>
      </c>
      <c r="E8" s="3" t="s">
        <v>19</v>
      </c>
      <c r="F8" s="4">
        <v>16</v>
      </c>
    </row>
    <row r="9" spans="1:7" x14ac:dyDescent="0.25">
      <c r="A9" s="3">
        <v>3</v>
      </c>
      <c r="B9" s="3" t="s">
        <v>63</v>
      </c>
      <c r="C9" s="3" t="s">
        <v>71</v>
      </c>
      <c r="D9" s="3" t="s">
        <v>6</v>
      </c>
      <c r="E9" s="3" t="s">
        <v>7</v>
      </c>
      <c r="F9" s="4">
        <v>11</v>
      </c>
    </row>
    <row r="10" spans="1:7" x14ac:dyDescent="0.25">
      <c r="D10" s="3" t="s">
        <v>18</v>
      </c>
      <c r="E10" s="3" t="s">
        <v>19</v>
      </c>
      <c r="F10" s="4">
        <v>14</v>
      </c>
    </row>
    <row r="11" spans="1:7" x14ac:dyDescent="0.25">
      <c r="A11" s="3">
        <v>4</v>
      </c>
      <c r="B11" s="3" t="s">
        <v>66</v>
      </c>
      <c r="C11" s="3" t="s">
        <v>72</v>
      </c>
      <c r="D11" s="6" t="s">
        <v>18</v>
      </c>
      <c r="E11" s="6" t="s">
        <v>19</v>
      </c>
      <c r="F11" s="16">
        <v>20</v>
      </c>
      <c r="G11" s="4"/>
    </row>
    <row r="12" spans="1:7" x14ac:dyDescent="0.25">
      <c r="A12" s="3">
        <v>5</v>
      </c>
      <c r="B12" s="3" t="s">
        <v>80</v>
      </c>
      <c r="C12" s="3" t="s">
        <v>81</v>
      </c>
      <c r="D12" s="3" t="s">
        <v>12</v>
      </c>
      <c r="E12" s="3" t="s">
        <v>13</v>
      </c>
      <c r="F12" s="4">
        <v>2</v>
      </c>
    </row>
    <row r="13" spans="1:7" x14ac:dyDescent="0.25">
      <c r="D13" s="3" t="s">
        <v>6</v>
      </c>
      <c r="E13" s="3" t="s">
        <v>7</v>
      </c>
      <c r="F13" s="4">
        <v>11</v>
      </c>
    </row>
    <row r="14" spans="1:7" x14ac:dyDescent="0.25">
      <c r="D14" s="3" t="s">
        <v>18</v>
      </c>
      <c r="E14" s="3" t="s">
        <v>19</v>
      </c>
      <c r="F14" s="4">
        <v>24</v>
      </c>
    </row>
    <row r="15" spans="1:7" x14ac:dyDescent="0.25">
      <c r="A15" s="3">
        <v>6</v>
      </c>
      <c r="B15" s="3" t="s">
        <v>82</v>
      </c>
      <c r="C15" s="3" t="s">
        <v>81</v>
      </c>
      <c r="D15" s="3" t="s">
        <v>12</v>
      </c>
      <c r="E15" s="3" t="s">
        <v>13</v>
      </c>
      <c r="F15" s="4">
        <v>1</v>
      </c>
    </row>
    <row r="16" spans="1:7" x14ac:dyDescent="0.25">
      <c r="D16" s="3" t="s">
        <v>6</v>
      </c>
      <c r="E16" s="3" t="s">
        <v>7</v>
      </c>
      <c r="F16" s="4">
        <v>12</v>
      </c>
    </row>
    <row r="17" spans="1:6" x14ac:dyDescent="0.25">
      <c r="D17" s="3" t="s">
        <v>18</v>
      </c>
      <c r="E17" s="3" t="s">
        <v>19</v>
      </c>
      <c r="F17" s="4">
        <v>24</v>
      </c>
    </row>
    <row r="18" spans="1:6" x14ac:dyDescent="0.25">
      <c r="A18" s="3">
        <v>7</v>
      </c>
      <c r="B18" s="3" t="s">
        <v>77</v>
      </c>
      <c r="C18" s="3" t="s">
        <v>78</v>
      </c>
      <c r="D18" s="3" t="s">
        <v>9</v>
      </c>
      <c r="E18" s="3" t="s">
        <v>10</v>
      </c>
      <c r="F18" s="4">
        <v>1</v>
      </c>
    </row>
    <row r="19" spans="1:6" x14ac:dyDescent="0.25">
      <c r="D19" s="3" t="s">
        <v>12</v>
      </c>
      <c r="E19" s="3" t="s">
        <v>13</v>
      </c>
      <c r="F19" s="4">
        <v>5</v>
      </c>
    </row>
    <row r="20" spans="1:6" x14ac:dyDescent="0.25">
      <c r="D20" s="3" t="s">
        <v>6</v>
      </c>
      <c r="E20" s="3" t="s">
        <v>7</v>
      </c>
      <c r="F20" s="4">
        <v>8</v>
      </c>
    </row>
    <row r="21" spans="1:6" x14ac:dyDescent="0.25">
      <c r="D21" s="3" t="s">
        <v>18</v>
      </c>
      <c r="E21" s="3" t="s">
        <v>19</v>
      </c>
      <c r="F21" s="4">
        <v>23</v>
      </c>
    </row>
    <row r="22" spans="1:6" x14ac:dyDescent="0.25">
      <c r="A22" s="3">
        <v>8</v>
      </c>
      <c r="B22" s="3" t="s">
        <v>79</v>
      </c>
      <c r="C22" s="3" t="s">
        <v>78</v>
      </c>
      <c r="D22" s="3" t="s">
        <v>12</v>
      </c>
      <c r="E22" s="3" t="s">
        <v>13</v>
      </c>
      <c r="F22" s="4">
        <v>3</v>
      </c>
    </row>
    <row r="23" spans="1:6" x14ac:dyDescent="0.25">
      <c r="D23" s="3" t="s">
        <v>6</v>
      </c>
      <c r="E23" s="3" t="s">
        <v>7</v>
      </c>
      <c r="F23" s="4">
        <v>20</v>
      </c>
    </row>
    <row r="24" spans="1:6" x14ac:dyDescent="0.25">
      <c r="D24" s="3" t="s">
        <v>18</v>
      </c>
      <c r="E24" s="3" t="s">
        <v>19</v>
      </c>
      <c r="F24" s="4">
        <v>14</v>
      </c>
    </row>
    <row r="25" spans="1:6" x14ac:dyDescent="0.25">
      <c r="A25" s="3">
        <v>9</v>
      </c>
      <c r="B25" s="3" t="s">
        <v>88</v>
      </c>
      <c r="C25" s="3" t="s">
        <v>90</v>
      </c>
      <c r="D25" s="3" t="s">
        <v>6</v>
      </c>
      <c r="E25" s="3" t="s">
        <v>7</v>
      </c>
      <c r="F25" s="4">
        <v>16</v>
      </c>
    </row>
    <row r="26" spans="1:6" x14ac:dyDescent="0.25">
      <c r="D26" s="3" t="s">
        <v>18</v>
      </c>
      <c r="E26" s="3" t="s">
        <v>19</v>
      </c>
      <c r="F26" s="4">
        <v>13</v>
      </c>
    </row>
    <row r="27" spans="1:6" x14ac:dyDescent="0.25">
      <c r="A27" s="3">
        <v>10</v>
      </c>
      <c r="B27" s="3" t="s">
        <v>89</v>
      </c>
      <c r="C27" s="3" t="s">
        <v>91</v>
      </c>
      <c r="D27" s="3" t="s">
        <v>18</v>
      </c>
      <c r="E27" s="3" t="s">
        <v>19</v>
      </c>
      <c r="F27" s="4">
        <v>15</v>
      </c>
    </row>
    <row r="28" spans="1:6" x14ac:dyDescent="0.25">
      <c r="A28" s="3">
        <v>11</v>
      </c>
      <c r="B28" s="3" t="s">
        <v>139</v>
      </c>
      <c r="C28" s="3" t="s">
        <v>81</v>
      </c>
      <c r="D28" s="3" t="s">
        <v>9</v>
      </c>
      <c r="E28" s="3" t="s">
        <v>10</v>
      </c>
      <c r="F28" s="4">
        <v>8</v>
      </c>
    </row>
    <row r="29" spans="1:6" x14ac:dyDescent="0.25">
      <c r="D29" s="3" t="s">
        <v>12</v>
      </c>
      <c r="E29" s="3" t="s">
        <v>13</v>
      </c>
      <c r="F29" s="4">
        <v>5</v>
      </c>
    </row>
    <row r="30" spans="1:6" x14ac:dyDescent="0.25">
      <c r="D30" s="3" t="s">
        <v>6</v>
      </c>
      <c r="E30" s="3" t="s">
        <v>7</v>
      </c>
      <c r="F30" s="4">
        <v>37</v>
      </c>
    </row>
    <row r="31" spans="1:6" x14ac:dyDescent="0.25">
      <c r="D31" s="3" t="s">
        <v>18</v>
      </c>
      <c r="E31" s="3" t="s">
        <v>19</v>
      </c>
      <c r="F31" s="4">
        <v>81</v>
      </c>
    </row>
    <row r="32" spans="1:6" x14ac:dyDescent="0.25">
      <c r="D32" s="3" t="s">
        <v>84</v>
      </c>
      <c r="E32" s="3" t="s">
        <v>85</v>
      </c>
      <c r="F32" s="4">
        <v>1</v>
      </c>
    </row>
    <row r="33" spans="1:6" x14ac:dyDescent="0.25">
      <c r="A33" s="3">
        <v>12</v>
      </c>
      <c r="B33" s="3" t="s">
        <v>138</v>
      </c>
      <c r="C33" s="3" t="s">
        <v>78</v>
      </c>
      <c r="D33" s="3" t="s">
        <v>6</v>
      </c>
      <c r="E33" s="3" t="s">
        <v>7</v>
      </c>
      <c r="F33" s="4">
        <v>32</v>
      </c>
    </row>
    <row r="34" spans="1:6" x14ac:dyDescent="0.25">
      <c r="D34" s="3" t="s">
        <v>18</v>
      </c>
      <c r="E34" s="3" t="s">
        <v>19</v>
      </c>
      <c r="F34" s="4">
        <v>100</v>
      </c>
    </row>
    <row r="35" spans="1:6" x14ac:dyDescent="0.25">
      <c r="A35" s="3">
        <v>13</v>
      </c>
      <c r="B35" s="3" t="s">
        <v>140</v>
      </c>
      <c r="C35" s="3" t="s">
        <v>150</v>
      </c>
      <c r="D35" s="3" t="s">
        <v>9</v>
      </c>
      <c r="E35" s="3" t="s">
        <v>10</v>
      </c>
      <c r="F35" s="4">
        <v>1</v>
      </c>
    </row>
    <row r="36" spans="1:6" x14ac:dyDescent="0.25">
      <c r="D36" s="3" t="s">
        <v>12</v>
      </c>
      <c r="E36" s="3" t="s">
        <v>13</v>
      </c>
      <c r="F36" s="4">
        <v>1</v>
      </c>
    </row>
    <row r="37" spans="1:6" x14ac:dyDescent="0.25">
      <c r="D37" s="3" t="s">
        <v>6</v>
      </c>
      <c r="E37" s="3" t="s">
        <v>7</v>
      </c>
      <c r="F37" s="4">
        <v>38</v>
      </c>
    </row>
    <row r="38" spans="1:6" x14ac:dyDescent="0.25">
      <c r="D38" s="3" t="s">
        <v>3825</v>
      </c>
      <c r="E38" s="3" t="s">
        <v>151</v>
      </c>
      <c r="F38" s="4">
        <v>1</v>
      </c>
    </row>
    <row r="39" spans="1:6" x14ac:dyDescent="0.25">
      <c r="A39" s="18">
        <v>14</v>
      </c>
      <c r="B39" s="18" t="s">
        <v>148</v>
      </c>
      <c r="C39" s="18" t="s">
        <v>243</v>
      </c>
      <c r="D39" s="18" t="s">
        <v>18</v>
      </c>
      <c r="E39" s="18" t="s">
        <v>19</v>
      </c>
      <c r="F39" s="19">
        <v>30</v>
      </c>
    </row>
    <row r="40" spans="1:6" x14ac:dyDescent="0.25">
      <c r="A40" s="3">
        <v>15</v>
      </c>
      <c r="B40" s="3" t="s">
        <v>157</v>
      </c>
      <c r="C40" s="3" t="s">
        <v>159</v>
      </c>
      <c r="D40" s="3" t="s">
        <v>6</v>
      </c>
      <c r="E40" s="3" t="s">
        <v>7</v>
      </c>
      <c r="F40" s="4">
        <v>44</v>
      </c>
    </row>
    <row r="41" spans="1:6" x14ac:dyDescent="0.25">
      <c r="D41" s="3" t="s">
        <v>18</v>
      </c>
      <c r="E41" s="3" t="s">
        <v>19</v>
      </c>
      <c r="F41" s="4">
        <v>18</v>
      </c>
    </row>
    <row r="42" spans="1:6" x14ac:dyDescent="0.25">
      <c r="A42" s="3">
        <v>16</v>
      </c>
      <c r="B42" s="3" t="s">
        <v>158</v>
      </c>
      <c r="C42" s="3" t="s">
        <v>160</v>
      </c>
      <c r="D42" s="3" t="s">
        <v>9</v>
      </c>
      <c r="E42" s="3" t="s">
        <v>10</v>
      </c>
      <c r="F42" s="4">
        <v>1</v>
      </c>
    </row>
    <row r="43" spans="1:6" x14ac:dyDescent="0.25">
      <c r="D43" s="3" t="s">
        <v>6</v>
      </c>
      <c r="E43" s="3" t="s">
        <v>7</v>
      </c>
      <c r="F43" s="4">
        <v>47</v>
      </c>
    </row>
    <row r="44" spans="1:6" x14ac:dyDescent="0.25">
      <c r="D44" s="3" t="s">
        <v>18</v>
      </c>
      <c r="E44" s="3" t="s">
        <v>19</v>
      </c>
      <c r="F44" s="4">
        <v>14</v>
      </c>
    </row>
    <row r="45" spans="1:6" x14ac:dyDescent="0.25">
      <c r="A45" s="3">
        <v>20</v>
      </c>
      <c r="B45" s="3" t="s">
        <v>245</v>
      </c>
      <c r="C45" s="3" t="s">
        <v>150</v>
      </c>
      <c r="D45" s="3" t="s">
        <v>6</v>
      </c>
      <c r="E45" s="3" t="s">
        <v>7</v>
      </c>
      <c r="F45" s="4">
        <v>45</v>
      </c>
    </row>
    <row r="46" spans="1:6" x14ac:dyDescent="0.25">
      <c r="D46" s="3" t="s">
        <v>153</v>
      </c>
      <c r="E46" s="3" t="s">
        <v>13</v>
      </c>
      <c r="F46" s="4">
        <v>1</v>
      </c>
    </row>
    <row r="47" spans="1:6" x14ac:dyDescent="0.25">
      <c r="D47" s="3" t="s">
        <v>1221</v>
      </c>
      <c r="E47" s="3" t="s">
        <v>10</v>
      </c>
      <c r="F47" s="4">
        <v>1</v>
      </c>
    </row>
    <row r="48" spans="1:6" x14ac:dyDescent="0.25">
      <c r="A48" s="3">
        <v>21</v>
      </c>
      <c r="B48" s="3" t="s">
        <v>247</v>
      </c>
      <c r="C48" s="3" t="s">
        <v>159</v>
      </c>
      <c r="D48" s="3" t="s">
        <v>9</v>
      </c>
      <c r="E48" s="3" t="s">
        <v>10</v>
      </c>
      <c r="F48" s="4">
        <v>23</v>
      </c>
    </row>
    <row r="49" spans="1:6" x14ac:dyDescent="0.25">
      <c r="D49" s="3" t="s">
        <v>6</v>
      </c>
      <c r="E49" s="3" t="s">
        <v>7</v>
      </c>
      <c r="F49" s="4">
        <v>163</v>
      </c>
    </row>
    <row r="50" spans="1:6" x14ac:dyDescent="0.25">
      <c r="D50" s="3" t="s">
        <v>18</v>
      </c>
      <c r="E50" s="3" t="s">
        <v>19</v>
      </c>
      <c r="F50" s="4">
        <v>1</v>
      </c>
    </row>
    <row r="51" spans="1:6" x14ac:dyDescent="0.25">
      <c r="D51" s="3" t="s">
        <v>156</v>
      </c>
      <c r="E51" s="3" t="s">
        <v>151</v>
      </c>
      <c r="F51" s="4">
        <v>1</v>
      </c>
    </row>
    <row r="52" spans="1:6" x14ac:dyDescent="0.25">
      <c r="A52" s="18">
        <v>22</v>
      </c>
      <c r="B52" s="3" t="s">
        <v>246</v>
      </c>
      <c r="C52" s="3" t="s">
        <v>160</v>
      </c>
      <c r="D52" s="3" t="s">
        <v>9</v>
      </c>
      <c r="E52" s="3" t="s">
        <v>10</v>
      </c>
      <c r="F52" s="4">
        <v>16</v>
      </c>
    </row>
    <row r="53" spans="1:6" x14ac:dyDescent="0.25">
      <c r="A53" s="12"/>
      <c r="D53" s="3" t="s">
        <v>12</v>
      </c>
      <c r="E53" s="3" t="s">
        <v>13</v>
      </c>
      <c r="F53" s="4">
        <v>1</v>
      </c>
    </row>
    <row r="54" spans="1:6" x14ac:dyDescent="0.25">
      <c r="A54" s="12"/>
      <c r="D54" s="3" t="s">
        <v>6</v>
      </c>
      <c r="E54" s="3" t="s">
        <v>7</v>
      </c>
      <c r="F54" s="4">
        <v>168</v>
      </c>
    </row>
    <row r="55" spans="1:6" x14ac:dyDescent="0.25">
      <c r="A55" s="12"/>
      <c r="D55" s="3" t="s">
        <v>18</v>
      </c>
      <c r="E55" s="3" t="s">
        <v>19</v>
      </c>
      <c r="F55" s="4">
        <v>1</v>
      </c>
    </row>
    <row r="56" spans="1:6" x14ac:dyDescent="0.25">
      <c r="A56" s="12"/>
      <c r="D56" s="3" t="s">
        <v>84</v>
      </c>
      <c r="E56" s="3" t="s">
        <v>85</v>
      </c>
      <c r="F56" s="4">
        <v>1</v>
      </c>
    </row>
    <row r="57" spans="1:6" x14ac:dyDescent="0.25">
      <c r="A57" s="12"/>
      <c r="D57" s="3" t="s">
        <v>156</v>
      </c>
      <c r="E57" s="3" t="s">
        <v>151</v>
      </c>
      <c r="F57" s="4">
        <v>1</v>
      </c>
    </row>
    <row r="58" spans="1:6" x14ac:dyDescent="0.25">
      <c r="A58" s="18">
        <v>23</v>
      </c>
      <c r="B58" s="3" t="s">
        <v>264</v>
      </c>
      <c r="C58" s="3" t="s">
        <v>243</v>
      </c>
      <c r="D58" s="3" t="s">
        <v>18</v>
      </c>
      <c r="E58" s="3" t="s">
        <v>19</v>
      </c>
      <c r="F58" s="4">
        <v>42</v>
      </c>
    </row>
    <row r="59" spans="1:6" x14ac:dyDescent="0.25">
      <c r="A59" s="12"/>
      <c r="D59" s="3" t="s">
        <v>2190</v>
      </c>
      <c r="E59" s="3" t="s">
        <v>151</v>
      </c>
      <c r="F59" s="4">
        <v>1</v>
      </c>
    </row>
    <row r="60" spans="1:6" x14ac:dyDescent="0.25">
      <c r="A60" s="12"/>
      <c r="D60" s="3" t="s">
        <v>2153</v>
      </c>
      <c r="E60" s="3" t="s">
        <v>76</v>
      </c>
      <c r="F60" s="4">
        <v>4</v>
      </c>
    </row>
    <row r="61" spans="1:6" x14ac:dyDescent="0.25">
      <c r="A61" s="18">
        <v>24</v>
      </c>
      <c r="B61" s="3" t="s">
        <v>258</v>
      </c>
      <c r="C61" s="3" t="s">
        <v>243</v>
      </c>
      <c r="D61" s="3" t="s">
        <v>18</v>
      </c>
      <c r="E61" s="3" t="s">
        <v>19</v>
      </c>
      <c r="F61" s="4">
        <v>11</v>
      </c>
    </row>
    <row r="62" spans="1:6" x14ac:dyDescent="0.25">
      <c r="A62" s="3">
        <v>25</v>
      </c>
      <c r="B62" s="3" t="s">
        <v>259</v>
      </c>
      <c r="C62" s="3" t="s">
        <v>159</v>
      </c>
      <c r="D62" s="3" t="s">
        <v>9</v>
      </c>
      <c r="E62" s="3" t="s">
        <v>10</v>
      </c>
      <c r="F62" s="4">
        <v>2</v>
      </c>
    </row>
    <row r="63" spans="1:6" x14ac:dyDescent="0.25">
      <c r="D63" s="3" t="s">
        <v>12</v>
      </c>
      <c r="E63" s="3" t="s">
        <v>13</v>
      </c>
      <c r="F63" s="4">
        <v>2</v>
      </c>
    </row>
    <row r="64" spans="1:6" x14ac:dyDescent="0.25">
      <c r="D64" s="3" t="s">
        <v>6</v>
      </c>
      <c r="E64" s="3" t="s">
        <v>7</v>
      </c>
      <c r="F64" s="4">
        <v>129</v>
      </c>
    </row>
    <row r="65" spans="1:7" x14ac:dyDescent="0.25">
      <c r="D65" s="3" t="s">
        <v>18</v>
      </c>
      <c r="E65" s="3" t="s">
        <v>19</v>
      </c>
      <c r="F65" s="4">
        <v>6</v>
      </c>
    </row>
    <row r="66" spans="1:7" x14ac:dyDescent="0.25">
      <c r="D66" s="3" t="s">
        <v>156</v>
      </c>
      <c r="E66" s="3" t="s">
        <v>151</v>
      </c>
      <c r="F66" s="4">
        <v>1</v>
      </c>
    </row>
    <row r="67" spans="1:7" x14ac:dyDescent="0.25">
      <c r="A67" s="3">
        <v>26</v>
      </c>
      <c r="B67" s="3" t="s">
        <v>260</v>
      </c>
      <c r="C67" s="3" t="s">
        <v>160</v>
      </c>
      <c r="D67" s="3" t="s">
        <v>9</v>
      </c>
      <c r="E67" s="3" t="s">
        <v>10</v>
      </c>
      <c r="F67" s="4">
        <v>6</v>
      </c>
    </row>
    <row r="68" spans="1:7" x14ac:dyDescent="0.25">
      <c r="D68" s="3" t="s">
        <v>6</v>
      </c>
      <c r="E68" s="3" t="s">
        <v>7</v>
      </c>
      <c r="F68" s="4">
        <v>121</v>
      </c>
    </row>
    <row r="69" spans="1:7" x14ac:dyDescent="0.25">
      <c r="D69" s="3" t="s">
        <v>18</v>
      </c>
      <c r="E69" s="3" t="s">
        <v>19</v>
      </c>
      <c r="F69" s="4">
        <v>7</v>
      </c>
    </row>
    <row r="70" spans="1:7" x14ac:dyDescent="0.25">
      <c r="D70" s="3" t="s">
        <v>84</v>
      </c>
      <c r="E70" s="3" t="s">
        <v>85</v>
      </c>
      <c r="F70" s="4">
        <v>3</v>
      </c>
    </row>
    <row r="71" spans="1:7" x14ac:dyDescent="0.25">
      <c r="D71" s="3" t="s">
        <v>156</v>
      </c>
      <c r="E71" s="3" t="s">
        <v>151</v>
      </c>
      <c r="F71" s="4">
        <v>1</v>
      </c>
    </row>
    <row r="72" spans="1:7" x14ac:dyDescent="0.25">
      <c r="D72" s="3" t="s">
        <v>957</v>
      </c>
      <c r="E72" s="3" t="s">
        <v>13</v>
      </c>
      <c r="F72" s="4">
        <v>1</v>
      </c>
    </row>
    <row r="73" spans="1:7" x14ac:dyDescent="0.25">
      <c r="D73" s="3" t="s">
        <v>1218</v>
      </c>
      <c r="E73" s="3" t="s">
        <v>13</v>
      </c>
      <c r="F73" s="4">
        <v>1</v>
      </c>
    </row>
    <row r="74" spans="1:7" x14ac:dyDescent="0.25">
      <c r="A74" s="3">
        <v>34</v>
      </c>
      <c r="B74" s="3" t="s">
        <v>1171</v>
      </c>
      <c r="C74" s="3" t="s">
        <v>1176</v>
      </c>
      <c r="D74" s="3" t="s">
        <v>9</v>
      </c>
      <c r="E74" s="3" t="s">
        <v>10</v>
      </c>
      <c r="F74" s="4">
        <v>7</v>
      </c>
    </row>
    <row r="75" spans="1:7" s="12" customFormat="1" x14ac:dyDescent="0.25">
      <c r="A75"/>
      <c r="B75"/>
      <c r="C75"/>
      <c r="D75" s="3" t="s">
        <v>6</v>
      </c>
      <c r="E75" s="3" t="s">
        <v>7</v>
      </c>
      <c r="F75" s="4">
        <v>9</v>
      </c>
    </row>
    <row r="76" spans="1:7" s="12" customFormat="1" x14ac:dyDescent="0.25">
      <c r="A76"/>
      <c r="B76"/>
      <c r="C76"/>
      <c r="D76" s="3" t="s">
        <v>18</v>
      </c>
      <c r="E76" s="3" t="s">
        <v>19</v>
      </c>
      <c r="F76" s="4">
        <v>10</v>
      </c>
      <c r="G76" s="58" t="s">
        <v>4097</v>
      </c>
    </row>
    <row r="77" spans="1:7" s="12" customFormat="1" x14ac:dyDescent="0.25">
      <c r="A77"/>
      <c r="B77"/>
      <c r="C77"/>
      <c r="D77" s="3" t="s">
        <v>156</v>
      </c>
      <c r="E77" s="3" t="s">
        <v>151</v>
      </c>
      <c r="F77" s="4">
        <v>3</v>
      </c>
      <c r="G77" s="58" t="s">
        <v>4097</v>
      </c>
    </row>
    <row r="78" spans="1:7" s="12" customFormat="1" x14ac:dyDescent="0.25">
      <c r="A78" s="3">
        <v>35</v>
      </c>
      <c r="B78" s="3" t="s">
        <v>1347</v>
      </c>
      <c r="C78" s="3" t="s">
        <v>1348</v>
      </c>
      <c r="D78" s="3" t="s">
        <v>9</v>
      </c>
      <c r="E78" s="3" t="s">
        <v>10</v>
      </c>
      <c r="F78" s="4">
        <v>7</v>
      </c>
    </row>
    <row r="79" spans="1:7" s="12" customFormat="1" x14ac:dyDescent="0.25">
      <c r="A79"/>
      <c r="B79"/>
      <c r="C79"/>
      <c r="D79" s="3" t="s">
        <v>12</v>
      </c>
      <c r="E79" s="3" t="s">
        <v>13</v>
      </c>
      <c r="F79" s="4">
        <v>3</v>
      </c>
    </row>
    <row r="80" spans="1:7" s="12" customFormat="1" x14ac:dyDescent="0.25">
      <c r="A80"/>
      <c r="B80"/>
      <c r="C80"/>
      <c r="D80" s="3" t="s">
        <v>6</v>
      </c>
      <c r="E80" s="3" t="s">
        <v>7</v>
      </c>
      <c r="F80" s="4">
        <v>36</v>
      </c>
    </row>
    <row r="81" spans="1:7" s="12" customFormat="1" x14ac:dyDescent="0.25">
      <c r="A81"/>
      <c r="B81"/>
      <c r="C81"/>
      <c r="D81" s="3" t="s">
        <v>18</v>
      </c>
      <c r="E81" s="3" t="s">
        <v>19</v>
      </c>
      <c r="F81" s="4">
        <v>13</v>
      </c>
    </row>
    <row r="82" spans="1:7" s="12" customFormat="1" x14ac:dyDescent="0.25">
      <c r="A82"/>
      <c r="B82"/>
      <c r="C82"/>
      <c r="D82" s="3" t="s">
        <v>84</v>
      </c>
      <c r="E82" s="3" t="s">
        <v>85</v>
      </c>
      <c r="F82" s="4">
        <v>3</v>
      </c>
    </row>
    <row r="83" spans="1:7" s="12" customFormat="1" x14ac:dyDescent="0.25">
      <c r="A83"/>
      <c r="B83"/>
      <c r="C83"/>
      <c r="D83" s="3" t="s">
        <v>156</v>
      </c>
      <c r="E83" s="3" t="s">
        <v>151</v>
      </c>
      <c r="F83" s="4">
        <v>12</v>
      </c>
    </row>
    <row r="84" spans="1:7" s="12" customFormat="1" x14ac:dyDescent="0.25">
      <c r="A84" s="3">
        <v>36</v>
      </c>
      <c r="B84" s="3" t="s">
        <v>1173</v>
      </c>
      <c r="C84" s="3" t="s">
        <v>1213</v>
      </c>
      <c r="D84" s="3" t="s">
        <v>9</v>
      </c>
      <c r="E84" s="3" t="s">
        <v>10</v>
      </c>
      <c r="F84" s="4">
        <v>22</v>
      </c>
    </row>
    <row r="85" spans="1:7" s="12" customFormat="1" x14ac:dyDescent="0.25">
      <c r="A85"/>
      <c r="B85"/>
      <c r="C85"/>
      <c r="D85" s="3" t="s">
        <v>12</v>
      </c>
      <c r="E85" s="3" t="s">
        <v>13</v>
      </c>
      <c r="F85" s="4">
        <v>2</v>
      </c>
    </row>
    <row r="86" spans="1:7" s="12" customFormat="1" x14ac:dyDescent="0.25">
      <c r="A86"/>
      <c r="B86"/>
      <c r="C86"/>
      <c r="D86" s="3" t="s">
        <v>6</v>
      </c>
      <c r="E86" s="3" t="s">
        <v>7</v>
      </c>
      <c r="F86" s="4">
        <v>36</v>
      </c>
    </row>
    <row r="87" spans="1:7" s="12" customFormat="1" x14ac:dyDescent="0.25">
      <c r="A87"/>
      <c r="B87"/>
      <c r="C87"/>
      <c r="D87" s="3" t="s">
        <v>18</v>
      </c>
      <c r="E87" s="3" t="s">
        <v>19</v>
      </c>
      <c r="F87" s="4">
        <v>10</v>
      </c>
    </row>
    <row r="88" spans="1:7" s="12" customFormat="1" x14ac:dyDescent="0.25">
      <c r="A88"/>
      <c r="B88"/>
      <c r="C88"/>
      <c r="D88" s="3" t="s">
        <v>955</v>
      </c>
      <c r="E88" s="3" t="s">
        <v>13</v>
      </c>
      <c r="F88" s="4">
        <v>1</v>
      </c>
    </row>
    <row r="89" spans="1:7" s="12" customFormat="1" x14ac:dyDescent="0.25">
      <c r="A89"/>
      <c r="B89"/>
      <c r="C89"/>
      <c r="D89" s="3" t="s">
        <v>2685</v>
      </c>
      <c r="E89" s="3" t="s">
        <v>151</v>
      </c>
      <c r="F89" s="4">
        <v>2</v>
      </c>
    </row>
    <row r="90" spans="1:7" s="12" customFormat="1" x14ac:dyDescent="0.25">
      <c r="A90"/>
      <c r="B90"/>
      <c r="C90"/>
      <c r="D90" s="3" t="s">
        <v>3952</v>
      </c>
      <c r="E90" s="3" t="s">
        <v>3953</v>
      </c>
      <c r="F90" s="4">
        <v>1</v>
      </c>
    </row>
    <row r="91" spans="1:7" s="12" customFormat="1" x14ac:dyDescent="0.25">
      <c r="A91" s="3">
        <v>45</v>
      </c>
      <c r="B91" s="3" t="s">
        <v>2154</v>
      </c>
      <c r="C91" s="3" t="s">
        <v>3744</v>
      </c>
      <c r="D91" s="3" t="s">
        <v>6</v>
      </c>
      <c r="E91" s="3" t="s">
        <v>47</v>
      </c>
      <c r="F91" s="4">
        <v>4</v>
      </c>
      <c r="G91" s="58" t="s">
        <v>4105</v>
      </c>
    </row>
    <row r="92" spans="1:7" s="12" customFormat="1" x14ac:dyDescent="0.25">
      <c r="A92"/>
      <c r="B92"/>
      <c r="C92"/>
      <c r="D92" s="3" t="s">
        <v>18</v>
      </c>
      <c r="E92" s="3" t="s">
        <v>19</v>
      </c>
      <c r="F92" s="4">
        <v>1</v>
      </c>
    </row>
    <row r="93" spans="1:7" s="12" customFormat="1" x14ac:dyDescent="0.25">
      <c r="A93"/>
      <c r="B93"/>
      <c r="C93"/>
      <c r="D93" s="3" t="s">
        <v>156</v>
      </c>
      <c r="E93" s="3" t="s">
        <v>151</v>
      </c>
      <c r="F93" s="4">
        <v>1</v>
      </c>
      <c r="G93" s="12" t="s">
        <v>4106</v>
      </c>
    </row>
    <row r="94" spans="1:7" s="12" customFormat="1" x14ac:dyDescent="0.25">
      <c r="A94"/>
      <c r="B94"/>
      <c r="C94"/>
      <c r="D94" s="3" t="s">
        <v>2190</v>
      </c>
      <c r="E94" s="3" t="s">
        <v>151</v>
      </c>
      <c r="F94" s="4">
        <v>1</v>
      </c>
    </row>
    <row r="95" spans="1:7" s="12" customFormat="1" x14ac:dyDescent="0.25">
      <c r="A95"/>
      <c r="B95"/>
      <c r="C95"/>
      <c r="D95" s="3" t="s">
        <v>2153</v>
      </c>
      <c r="E95" s="3" t="s">
        <v>76</v>
      </c>
      <c r="F95" s="4">
        <v>1</v>
      </c>
    </row>
    <row r="96" spans="1:7" x14ac:dyDescent="0.25">
      <c r="D96" s="3" t="s">
        <v>3990</v>
      </c>
      <c r="E96" s="3" t="s">
        <v>76</v>
      </c>
      <c r="F96" s="4">
        <v>1</v>
      </c>
    </row>
    <row r="97" spans="1:7" x14ac:dyDescent="0.25">
      <c r="D97" s="3" t="s">
        <v>4103</v>
      </c>
      <c r="E97" s="3" t="s">
        <v>76</v>
      </c>
      <c r="F97" s="4">
        <v>2</v>
      </c>
    </row>
    <row r="98" spans="1:7" s="12" customFormat="1" x14ac:dyDescent="0.25">
      <c r="A98"/>
      <c r="B98"/>
      <c r="C98"/>
      <c r="D98" s="3" t="s">
        <v>4099</v>
      </c>
      <c r="E98" s="3" t="s">
        <v>13</v>
      </c>
      <c r="F98" s="4">
        <v>3</v>
      </c>
    </row>
    <row r="99" spans="1:7" s="12" customFormat="1" x14ac:dyDescent="0.25">
      <c r="A99"/>
      <c r="B99"/>
      <c r="C99"/>
      <c r="D99" s="3" t="s">
        <v>4101</v>
      </c>
      <c r="E99" s="3" t="s">
        <v>13</v>
      </c>
      <c r="F99" s="4">
        <v>1</v>
      </c>
    </row>
    <row r="100" spans="1:7" s="12" customFormat="1" x14ac:dyDescent="0.25">
      <c r="A100" s="3">
        <v>48</v>
      </c>
      <c r="B100" s="3" t="s">
        <v>2221</v>
      </c>
      <c r="C100" s="3" t="s">
        <v>1213</v>
      </c>
      <c r="D100" s="3" t="s">
        <v>12</v>
      </c>
      <c r="E100" s="3" t="s">
        <v>13</v>
      </c>
      <c r="F100" s="4">
        <v>59</v>
      </c>
      <c r="G100" s="59" t="s">
        <v>4107</v>
      </c>
    </row>
    <row r="101" spans="1:7" s="12" customFormat="1" x14ac:dyDescent="0.25">
      <c r="A101"/>
      <c r="B101"/>
      <c r="C101"/>
      <c r="D101" s="3" t="s">
        <v>84</v>
      </c>
      <c r="E101" s="3" t="s">
        <v>85</v>
      </c>
      <c r="F101" s="4">
        <v>4</v>
      </c>
    </row>
    <row r="102" spans="1:7" s="12" customFormat="1" x14ac:dyDescent="0.25">
      <c r="A102"/>
      <c r="B102"/>
      <c r="C102"/>
      <c r="D102" s="3" t="s">
        <v>957</v>
      </c>
      <c r="E102" s="3" t="s">
        <v>13</v>
      </c>
      <c r="F102" s="4">
        <v>19</v>
      </c>
    </row>
    <row r="103" spans="1:7" s="12" customFormat="1" x14ac:dyDescent="0.25">
      <c r="A103"/>
      <c r="B103"/>
      <c r="C103"/>
      <c r="D103" s="3" t="s">
        <v>955</v>
      </c>
      <c r="E103" s="3" t="s">
        <v>13</v>
      </c>
      <c r="F103" s="4">
        <v>111</v>
      </c>
    </row>
    <row r="104" spans="1:7" s="12" customFormat="1" x14ac:dyDescent="0.25">
      <c r="A104"/>
      <c r="B104"/>
      <c r="C104"/>
      <c r="D104" s="3" t="s">
        <v>2227</v>
      </c>
      <c r="E104" s="3" t="s">
        <v>151</v>
      </c>
      <c r="F104" s="4">
        <v>20</v>
      </c>
    </row>
    <row r="105" spans="1:7" s="12" customFormat="1" x14ac:dyDescent="0.25">
      <c r="A105"/>
      <c r="B105"/>
      <c r="C105"/>
      <c r="D105" s="3" t="s">
        <v>2685</v>
      </c>
      <c r="E105" s="3" t="s">
        <v>151</v>
      </c>
      <c r="F105" s="4">
        <v>12</v>
      </c>
    </row>
    <row r="106" spans="1:7" s="12" customFormat="1" x14ac:dyDescent="0.25">
      <c r="A106"/>
      <c r="B106"/>
      <c r="C106"/>
      <c r="D106" s="3" t="s">
        <v>3775</v>
      </c>
      <c r="E106" s="3" t="s">
        <v>85</v>
      </c>
      <c r="F106" s="4">
        <v>1</v>
      </c>
    </row>
    <row r="107" spans="1:7" s="12" customFormat="1" x14ac:dyDescent="0.25">
      <c r="A107" s="3">
        <v>49</v>
      </c>
      <c r="B107" s="3" t="s">
        <v>2222</v>
      </c>
      <c r="C107" s="3" t="s">
        <v>1348</v>
      </c>
      <c r="D107" s="3" t="s">
        <v>6</v>
      </c>
      <c r="E107" s="3" t="s">
        <v>47</v>
      </c>
      <c r="F107" s="4">
        <v>166</v>
      </c>
      <c r="G107" s="59" t="s">
        <v>4107</v>
      </c>
    </row>
    <row r="108" spans="1:7" s="12" customFormat="1" x14ac:dyDescent="0.25">
      <c r="A108"/>
      <c r="B108"/>
      <c r="C108"/>
      <c r="D108" s="3" t="s">
        <v>957</v>
      </c>
      <c r="E108" s="3" t="s">
        <v>13</v>
      </c>
      <c r="F108" s="4">
        <v>42</v>
      </c>
      <c r="G108" s="58"/>
    </row>
    <row r="109" spans="1:7" s="12" customFormat="1" x14ac:dyDescent="0.25">
      <c r="A109"/>
      <c r="B109"/>
      <c r="C109"/>
      <c r="D109" s="3" t="s">
        <v>955</v>
      </c>
      <c r="E109" s="3" t="s">
        <v>13</v>
      </c>
      <c r="F109" s="4">
        <v>1</v>
      </c>
    </row>
    <row r="110" spans="1:7" s="12" customFormat="1" x14ac:dyDescent="0.25">
      <c r="A110"/>
      <c r="B110"/>
      <c r="C110"/>
      <c r="D110" s="3" t="s">
        <v>2227</v>
      </c>
      <c r="E110" s="3" t="s">
        <v>151</v>
      </c>
      <c r="F110" s="4">
        <v>5</v>
      </c>
    </row>
    <row r="111" spans="1:7" s="12" customFormat="1" x14ac:dyDescent="0.25">
      <c r="A111"/>
      <c r="B111"/>
      <c r="C111"/>
      <c r="D111" s="3" t="s">
        <v>3775</v>
      </c>
      <c r="E111" s="3" t="s">
        <v>85</v>
      </c>
      <c r="F111" s="4">
        <v>12</v>
      </c>
    </row>
    <row r="112" spans="1:7" s="12" customFormat="1" x14ac:dyDescent="0.25">
      <c r="A112" s="3">
        <v>52</v>
      </c>
      <c r="B112" s="3" t="s">
        <v>3142</v>
      </c>
      <c r="C112" s="3" t="s">
        <v>1176</v>
      </c>
      <c r="D112" s="3" t="s">
        <v>12</v>
      </c>
      <c r="E112" s="3" t="s">
        <v>13</v>
      </c>
      <c r="F112" s="4">
        <v>1</v>
      </c>
      <c r="G112" s="59" t="s">
        <v>4108</v>
      </c>
    </row>
    <row r="113" spans="1:7" s="12" customFormat="1" x14ac:dyDescent="0.25">
      <c r="A113"/>
      <c r="B113"/>
      <c r="C113"/>
      <c r="D113" s="3" t="s">
        <v>153</v>
      </c>
      <c r="E113" s="3" t="s">
        <v>13</v>
      </c>
      <c r="F113" s="4">
        <v>1</v>
      </c>
    </row>
    <row r="114" spans="1:7" s="12" customFormat="1" x14ac:dyDescent="0.25">
      <c r="A114"/>
      <c r="B114"/>
      <c r="C114"/>
      <c r="D114" s="3" t="s">
        <v>957</v>
      </c>
      <c r="E114" s="3" t="s">
        <v>13</v>
      </c>
      <c r="F114" s="35">
        <v>27</v>
      </c>
    </row>
    <row r="115" spans="1:7" s="12" customFormat="1" x14ac:dyDescent="0.25">
      <c r="A115"/>
      <c r="B115"/>
      <c r="C115"/>
      <c r="D115" s="3" t="s">
        <v>955</v>
      </c>
      <c r="E115" s="3" t="s">
        <v>13</v>
      </c>
      <c r="F115" s="4">
        <v>3</v>
      </c>
    </row>
    <row r="116" spans="1:7" s="12" customFormat="1" x14ac:dyDescent="0.25">
      <c r="A116"/>
      <c r="B116"/>
      <c r="C116"/>
      <c r="D116" s="3" t="s">
        <v>2685</v>
      </c>
      <c r="E116" s="3" t="s">
        <v>151</v>
      </c>
      <c r="F116" s="4">
        <v>3</v>
      </c>
    </row>
    <row r="117" spans="1:7" s="12" customFormat="1" x14ac:dyDescent="0.25">
      <c r="A117"/>
      <c r="B117"/>
      <c r="C117"/>
      <c r="D117" s="3" t="s">
        <v>3436</v>
      </c>
      <c r="E117" s="3" t="s">
        <v>13</v>
      </c>
      <c r="F117" s="35">
        <v>6</v>
      </c>
    </row>
    <row r="118" spans="1:7" s="12" customFormat="1" x14ac:dyDescent="0.25">
      <c r="A118"/>
      <c r="B118"/>
      <c r="C118"/>
      <c r="D118" s="3" t="s">
        <v>3504</v>
      </c>
      <c r="E118" s="3" t="s">
        <v>13</v>
      </c>
      <c r="F118" s="35">
        <v>8</v>
      </c>
    </row>
    <row r="119" spans="1:7" s="12" customFormat="1" x14ac:dyDescent="0.25">
      <c r="A119"/>
      <c r="B119"/>
      <c r="C119"/>
      <c r="D119" s="3" t="s">
        <v>3509</v>
      </c>
      <c r="E119" s="3" t="s">
        <v>151</v>
      </c>
      <c r="F119" s="35">
        <v>3</v>
      </c>
    </row>
    <row r="120" spans="1:7" s="12" customFormat="1" x14ac:dyDescent="0.25">
      <c r="A120" s="3" t="s">
        <v>74</v>
      </c>
      <c r="B120"/>
      <c r="C120"/>
      <c r="D120"/>
      <c r="E120"/>
      <c r="F120" s="4">
        <v>2303</v>
      </c>
    </row>
    <row r="121" spans="1:7" s="12" customFormat="1" x14ac:dyDescent="0.25">
      <c r="A121"/>
      <c r="B121"/>
      <c r="C121"/>
      <c r="D121"/>
      <c r="E121"/>
      <c r="F121"/>
    </row>
    <row r="122" spans="1:7" s="12" customFormat="1" x14ac:dyDescent="0.25">
      <c r="A122"/>
      <c r="B122"/>
      <c r="C122"/>
      <c r="D122"/>
      <c r="E122"/>
      <c r="F122"/>
      <c r="G122" s="12" t="s">
        <v>4091</v>
      </c>
    </row>
    <row r="123" spans="1:7" s="12" customFormat="1" x14ac:dyDescent="0.25">
      <c r="A123"/>
      <c r="B123"/>
      <c r="C123"/>
      <c r="D123"/>
      <c r="E123"/>
      <c r="F123"/>
    </row>
    <row r="124" spans="1:7" s="12" customFormat="1" x14ac:dyDescent="0.25">
      <c r="A124"/>
      <c r="B124"/>
      <c r="C124"/>
      <c r="D124"/>
      <c r="E124"/>
      <c r="F124"/>
    </row>
    <row r="125" spans="1:7" s="12" customFormat="1" x14ac:dyDescent="0.25">
      <c r="A125"/>
      <c r="B125"/>
      <c r="C125"/>
      <c r="D125"/>
      <c r="E125"/>
      <c r="F125"/>
    </row>
    <row r="126" spans="1:7" s="12" customFormat="1" x14ac:dyDescent="0.25">
      <c r="A126"/>
      <c r="B126"/>
      <c r="C126"/>
      <c r="D126"/>
      <c r="E126"/>
      <c r="F126"/>
    </row>
    <row r="155" spans="7:7" x14ac:dyDescent="0.25">
      <c r="G155" s="11" t="s">
        <v>4090</v>
      </c>
    </row>
    <row r="157" spans="7:7" x14ac:dyDescent="0.25">
      <c r="G157" s="3"/>
    </row>
    <row r="161" spans="7:7" x14ac:dyDescent="0.25">
      <c r="G161" s="11" t="s">
        <v>4093</v>
      </c>
    </row>
    <row r="180" spans="7:7" x14ac:dyDescent="0.25">
      <c r="G180" s="11" t="s">
        <v>4092</v>
      </c>
    </row>
    <row r="181" spans="7:7" x14ac:dyDescent="0.25">
      <c r="G181" s="11" t="s">
        <v>4091</v>
      </c>
    </row>
    <row r="193" spans="7:7" x14ac:dyDescent="0.25">
      <c r="G193" s="11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3"/>
  <sheetViews>
    <sheetView workbookViewId="0">
      <selection activeCell="S21" sqref="S21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15.5703125" bestFit="1" customWidth="1"/>
    <col min="10" max="10" width="14.42578125" bestFit="1" customWidth="1"/>
  </cols>
  <sheetData>
    <row r="1" spans="1:10" x14ac:dyDescent="0.25">
      <c r="A1" s="30" t="s">
        <v>0</v>
      </c>
      <c r="B1" s="31" t="s">
        <v>3823</v>
      </c>
      <c r="I1" s="8" t="s">
        <v>0</v>
      </c>
      <c r="J1" s="8" t="s">
        <v>149</v>
      </c>
    </row>
    <row r="2" spans="1:10" x14ac:dyDescent="0.25">
      <c r="A2" s="32" t="s">
        <v>1256</v>
      </c>
      <c r="B2" s="34">
        <v>46230</v>
      </c>
      <c r="I2" s="11" t="s">
        <v>1590</v>
      </c>
      <c r="J2" s="7">
        <v>46248</v>
      </c>
    </row>
    <row r="3" spans="1:10" x14ac:dyDescent="0.25">
      <c r="A3" s="33" t="s">
        <v>1247</v>
      </c>
      <c r="B3" s="34">
        <v>46230</v>
      </c>
      <c r="I3" s="11" t="s">
        <v>1593</v>
      </c>
      <c r="J3" s="7">
        <v>46248</v>
      </c>
    </row>
    <row r="4" spans="1:10" x14ac:dyDescent="0.25">
      <c r="A4" s="32" t="s">
        <v>1256</v>
      </c>
      <c r="B4" s="34">
        <v>46248</v>
      </c>
      <c r="I4" s="11" t="s">
        <v>1595</v>
      </c>
      <c r="J4" s="7">
        <v>46105</v>
      </c>
    </row>
    <row r="5" spans="1:10" x14ac:dyDescent="0.25">
      <c r="A5" s="33" t="s">
        <v>1247</v>
      </c>
      <c r="B5" s="34">
        <v>46248</v>
      </c>
      <c r="I5" s="11" t="s">
        <v>1596</v>
      </c>
      <c r="J5" s="7">
        <v>46105</v>
      </c>
    </row>
    <row r="6" spans="1:10" x14ac:dyDescent="0.25">
      <c r="A6" s="32" t="s">
        <v>1700</v>
      </c>
      <c r="B6" s="34">
        <v>46248</v>
      </c>
      <c r="I6" s="11" t="s">
        <v>1597</v>
      </c>
      <c r="J6" s="7">
        <v>46248</v>
      </c>
    </row>
    <row r="7" spans="1:10" x14ac:dyDescent="0.25">
      <c r="A7" s="33" t="s">
        <v>1979</v>
      </c>
      <c r="B7" s="34">
        <v>46248</v>
      </c>
      <c r="I7" s="11" t="s">
        <v>1598</v>
      </c>
      <c r="J7" s="7">
        <v>46105</v>
      </c>
    </row>
    <row r="8" spans="1:10" x14ac:dyDescent="0.25">
      <c r="A8" s="32" t="s">
        <v>1943</v>
      </c>
      <c r="B8" s="34">
        <v>46248</v>
      </c>
      <c r="I8" s="11" t="s">
        <v>1599</v>
      </c>
      <c r="J8" s="7">
        <v>46156</v>
      </c>
    </row>
    <row r="9" spans="1:10" x14ac:dyDescent="0.25">
      <c r="A9" s="33" t="s">
        <v>1974</v>
      </c>
      <c r="B9" s="34">
        <v>46248</v>
      </c>
      <c r="I9" s="11" t="s">
        <v>1602</v>
      </c>
      <c r="J9" s="7">
        <v>46248</v>
      </c>
    </row>
    <row r="10" spans="1:10" x14ac:dyDescent="0.25">
      <c r="A10" s="32" t="s">
        <v>1894</v>
      </c>
      <c r="B10" s="34">
        <v>46248</v>
      </c>
      <c r="I10" s="11" t="s">
        <v>1605</v>
      </c>
      <c r="J10" s="7">
        <v>46097</v>
      </c>
    </row>
    <row r="11" spans="1:10" x14ac:dyDescent="0.25">
      <c r="A11" s="33" t="s">
        <v>1999</v>
      </c>
      <c r="B11" s="34">
        <v>46248</v>
      </c>
      <c r="I11" s="11" t="s">
        <v>1606</v>
      </c>
      <c r="J11" s="7">
        <v>46248</v>
      </c>
    </row>
    <row r="12" spans="1:10" x14ac:dyDescent="0.25">
      <c r="A12" s="32" t="s">
        <v>1993</v>
      </c>
      <c r="B12" s="34">
        <v>46248</v>
      </c>
      <c r="I12" s="11" t="s">
        <v>1609</v>
      </c>
      <c r="J12" s="7">
        <v>46128</v>
      </c>
    </row>
    <row r="13" spans="1:10" x14ac:dyDescent="0.25">
      <c r="A13" s="33" t="s">
        <v>1978</v>
      </c>
      <c r="B13" s="34">
        <v>46248</v>
      </c>
      <c r="I13" s="11" t="s">
        <v>1610</v>
      </c>
      <c r="J13" s="7">
        <v>46248</v>
      </c>
    </row>
    <row r="14" spans="1:10" x14ac:dyDescent="0.25">
      <c r="A14" s="32" t="s">
        <v>1870</v>
      </c>
      <c r="B14" s="34">
        <v>46248</v>
      </c>
      <c r="I14" s="11" t="s">
        <v>1611</v>
      </c>
      <c r="J14" s="7">
        <v>46248</v>
      </c>
    </row>
    <row r="15" spans="1:10" x14ac:dyDescent="0.25">
      <c r="A15" s="33" t="s">
        <v>1921</v>
      </c>
      <c r="B15" s="34">
        <v>46248</v>
      </c>
      <c r="I15" s="11" t="s">
        <v>1612</v>
      </c>
      <c r="J15" s="7">
        <v>46248</v>
      </c>
    </row>
    <row r="16" spans="1:10" x14ac:dyDescent="0.25">
      <c r="A16" s="32" t="s">
        <v>1868</v>
      </c>
      <c r="B16" s="34">
        <v>46248</v>
      </c>
      <c r="I16" s="11" t="s">
        <v>1613</v>
      </c>
      <c r="J16" s="7">
        <v>46248</v>
      </c>
    </row>
    <row r="17" spans="1:10" x14ac:dyDescent="0.25">
      <c r="A17" s="33" t="s">
        <v>1898</v>
      </c>
      <c r="B17" s="34">
        <v>46248</v>
      </c>
      <c r="I17" s="11" t="s">
        <v>1615</v>
      </c>
      <c r="J17" s="7">
        <v>46248</v>
      </c>
    </row>
    <row r="18" spans="1:10" x14ac:dyDescent="0.25">
      <c r="A18" s="32" t="s">
        <v>1873</v>
      </c>
      <c r="B18" s="34">
        <v>46248</v>
      </c>
      <c r="I18" s="11" t="s">
        <v>1616</v>
      </c>
      <c r="J18" s="7">
        <v>46097</v>
      </c>
    </row>
    <row r="19" spans="1:10" x14ac:dyDescent="0.25">
      <c r="A19" s="33" t="s">
        <v>1986</v>
      </c>
      <c r="B19" s="34">
        <v>46248</v>
      </c>
      <c r="I19" s="11" t="s">
        <v>1617</v>
      </c>
      <c r="J19" s="7">
        <v>46105</v>
      </c>
    </row>
    <row r="20" spans="1:10" x14ac:dyDescent="0.25">
      <c r="A20" s="32" t="s">
        <v>1913</v>
      </c>
      <c r="B20" s="34">
        <v>46248</v>
      </c>
      <c r="I20" s="11" t="s">
        <v>1618</v>
      </c>
      <c r="J20" s="7">
        <v>46112</v>
      </c>
    </row>
    <row r="21" spans="1:10" x14ac:dyDescent="0.25">
      <c r="A21" s="33" t="s">
        <v>1733</v>
      </c>
      <c r="B21" s="34">
        <v>46248</v>
      </c>
      <c r="I21" s="11" t="s">
        <v>1620</v>
      </c>
      <c r="J21" s="7">
        <v>46248</v>
      </c>
    </row>
    <row r="22" spans="1:10" x14ac:dyDescent="0.25">
      <c r="A22" s="32" t="s">
        <v>1941</v>
      </c>
      <c r="B22" s="34">
        <v>46248</v>
      </c>
      <c r="I22" s="11" t="s">
        <v>1621</v>
      </c>
      <c r="J22" s="7">
        <v>46105</v>
      </c>
    </row>
    <row r="23" spans="1:10" x14ac:dyDescent="0.25">
      <c r="A23" s="33" t="s">
        <v>1902</v>
      </c>
      <c r="B23" s="34">
        <v>46248</v>
      </c>
      <c r="I23" s="11" t="s">
        <v>1622</v>
      </c>
      <c r="J23" s="7">
        <v>46248</v>
      </c>
    </row>
    <row r="24" spans="1:10" x14ac:dyDescent="0.25">
      <c r="A24" s="32" t="s">
        <v>1977</v>
      </c>
      <c r="B24" s="34">
        <v>46248</v>
      </c>
      <c r="I24" s="11" t="s">
        <v>1623</v>
      </c>
      <c r="J24" s="7">
        <v>46248</v>
      </c>
    </row>
    <row r="25" spans="1:10" x14ac:dyDescent="0.25">
      <c r="A25" s="33" t="s">
        <v>1987</v>
      </c>
      <c r="B25" s="34">
        <v>46248</v>
      </c>
      <c r="I25" s="11" t="s">
        <v>1625</v>
      </c>
      <c r="J25" s="7">
        <v>46097</v>
      </c>
    </row>
    <row r="26" spans="1:10" x14ac:dyDescent="0.25">
      <c r="A26" s="32" t="s">
        <v>1997</v>
      </c>
      <c r="B26" s="34">
        <v>46248</v>
      </c>
      <c r="I26" s="11" t="s">
        <v>1634</v>
      </c>
      <c r="J26" s="7">
        <v>46112</v>
      </c>
    </row>
    <row r="27" spans="1:10" x14ac:dyDescent="0.25">
      <c r="A27" s="33" t="s">
        <v>1734</v>
      </c>
      <c r="B27" s="34">
        <v>46248</v>
      </c>
      <c r="I27" s="11" t="s">
        <v>1638</v>
      </c>
      <c r="J27" s="7">
        <v>46112</v>
      </c>
    </row>
    <row r="28" spans="1:10" x14ac:dyDescent="0.25">
      <c r="A28" s="32" t="s">
        <v>1996</v>
      </c>
      <c r="B28" s="34">
        <v>46248</v>
      </c>
      <c r="I28" s="11" t="s">
        <v>1639</v>
      </c>
      <c r="J28" s="7">
        <v>46248</v>
      </c>
    </row>
    <row r="29" spans="1:10" x14ac:dyDescent="0.25">
      <c r="A29" s="33" t="s">
        <v>1696</v>
      </c>
      <c r="B29" s="34">
        <v>46248</v>
      </c>
      <c r="I29" s="11" t="s">
        <v>1641</v>
      </c>
      <c r="J29" s="7">
        <v>46248</v>
      </c>
    </row>
    <row r="30" spans="1:10" x14ac:dyDescent="0.25">
      <c r="A30" s="32" t="s">
        <v>1688</v>
      </c>
      <c r="B30" s="34">
        <v>46248</v>
      </c>
      <c r="I30" s="11" t="s">
        <v>1642</v>
      </c>
      <c r="J30" s="7">
        <v>46248</v>
      </c>
    </row>
    <row r="31" spans="1:10" x14ac:dyDescent="0.25">
      <c r="A31" s="33" t="s">
        <v>1663</v>
      </c>
      <c r="B31" s="34">
        <v>46248</v>
      </c>
      <c r="I31" s="11" t="s">
        <v>1649</v>
      </c>
      <c r="J31" s="7">
        <v>46097</v>
      </c>
    </row>
    <row r="32" spans="1:10" x14ac:dyDescent="0.25">
      <c r="A32" s="32" t="s">
        <v>1985</v>
      </c>
      <c r="B32" s="34">
        <v>46248</v>
      </c>
      <c r="I32" s="11" t="s">
        <v>1650</v>
      </c>
      <c r="J32" s="7">
        <v>46112</v>
      </c>
    </row>
    <row r="33" spans="1:10" x14ac:dyDescent="0.25">
      <c r="A33" s="33" t="s">
        <v>1664</v>
      </c>
      <c r="B33" s="34">
        <v>46248</v>
      </c>
      <c r="I33" s="11" t="s">
        <v>1654</v>
      </c>
      <c r="J33" s="7">
        <v>46128</v>
      </c>
    </row>
    <row r="34" spans="1:10" x14ac:dyDescent="0.25">
      <c r="A34" s="32" t="s">
        <v>1906</v>
      </c>
      <c r="B34" s="34">
        <v>46248</v>
      </c>
      <c r="I34" s="11" t="s">
        <v>1659</v>
      </c>
      <c r="J34" s="7">
        <v>46248</v>
      </c>
    </row>
    <row r="35" spans="1:10" x14ac:dyDescent="0.25">
      <c r="A35" s="33" t="s">
        <v>1980</v>
      </c>
      <c r="B35" s="34">
        <v>46248</v>
      </c>
      <c r="I35" s="11" t="s">
        <v>1663</v>
      </c>
      <c r="J35" s="7">
        <v>46248</v>
      </c>
    </row>
    <row r="36" spans="1:10" x14ac:dyDescent="0.25">
      <c r="A36" s="32" t="s">
        <v>1991</v>
      </c>
      <c r="B36" s="34">
        <v>46248</v>
      </c>
      <c r="I36" s="11" t="s">
        <v>1664</v>
      </c>
      <c r="J36" s="7">
        <v>46248</v>
      </c>
    </row>
    <row r="37" spans="1:10" x14ac:dyDescent="0.25">
      <c r="A37" s="33" t="s">
        <v>1981</v>
      </c>
      <c r="B37" s="34">
        <v>46248</v>
      </c>
      <c r="I37" s="11" t="s">
        <v>1666</v>
      </c>
      <c r="J37" s="7">
        <v>46248</v>
      </c>
    </row>
    <row r="38" spans="1:10" x14ac:dyDescent="0.25">
      <c r="A38" s="32" t="s">
        <v>1982</v>
      </c>
      <c r="B38" s="34">
        <v>46248</v>
      </c>
      <c r="I38" s="11" t="s">
        <v>1667</v>
      </c>
      <c r="J38" s="7">
        <v>46248</v>
      </c>
    </row>
    <row r="39" spans="1:10" x14ac:dyDescent="0.25">
      <c r="A39" s="33" t="s">
        <v>1992</v>
      </c>
      <c r="B39" s="34">
        <v>46248</v>
      </c>
      <c r="I39" s="11" t="s">
        <v>1669</v>
      </c>
      <c r="J39" s="7">
        <v>46248</v>
      </c>
    </row>
    <row r="40" spans="1:10" x14ac:dyDescent="0.25">
      <c r="A40" s="32" t="s">
        <v>1684</v>
      </c>
      <c r="B40" s="34">
        <v>46248</v>
      </c>
      <c r="I40" s="11" t="s">
        <v>1674</v>
      </c>
      <c r="J40" s="7">
        <v>46097</v>
      </c>
    </row>
    <row r="41" spans="1:10" x14ac:dyDescent="0.25">
      <c r="A41" s="33" t="s">
        <v>1984</v>
      </c>
      <c r="B41" s="34">
        <v>46248</v>
      </c>
      <c r="I41" s="11" t="s">
        <v>1676</v>
      </c>
      <c r="J41" s="7">
        <v>46097</v>
      </c>
    </row>
    <row r="42" spans="1:10" x14ac:dyDescent="0.25">
      <c r="A42" s="32" t="s">
        <v>1907</v>
      </c>
      <c r="B42" s="34">
        <v>46248</v>
      </c>
      <c r="I42" s="11" t="s">
        <v>1677</v>
      </c>
      <c r="J42" s="7">
        <v>46097</v>
      </c>
    </row>
    <row r="43" spans="1:10" x14ac:dyDescent="0.25">
      <c r="A43" s="33" t="s">
        <v>1976</v>
      </c>
      <c r="B43" s="34">
        <v>46248</v>
      </c>
      <c r="I43" s="11" t="s">
        <v>1678</v>
      </c>
      <c r="J43" s="7">
        <v>46169</v>
      </c>
    </row>
    <row r="44" spans="1:10" x14ac:dyDescent="0.25">
      <c r="A44" s="32" t="s">
        <v>1679</v>
      </c>
      <c r="B44" s="34">
        <v>46248</v>
      </c>
      <c r="I44" s="11" t="s">
        <v>1679</v>
      </c>
      <c r="J44" s="7">
        <v>46248</v>
      </c>
    </row>
    <row r="45" spans="1:10" x14ac:dyDescent="0.25">
      <c r="A45" s="33" t="s">
        <v>1871</v>
      </c>
      <c r="B45" s="34">
        <v>46248</v>
      </c>
      <c r="I45" s="11" t="s">
        <v>1681</v>
      </c>
      <c r="J45" s="7">
        <v>46248</v>
      </c>
    </row>
    <row r="46" spans="1:10" x14ac:dyDescent="0.25">
      <c r="A46" s="32" t="s">
        <v>1880</v>
      </c>
      <c r="B46" s="34">
        <v>46248</v>
      </c>
      <c r="I46" s="11" t="s">
        <v>1682</v>
      </c>
      <c r="J46" s="7">
        <v>46248</v>
      </c>
    </row>
    <row r="47" spans="1:10" x14ac:dyDescent="0.25">
      <c r="A47" s="33" t="s">
        <v>1971</v>
      </c>
      <c r="B47" s="34">
        <v>46248</v>
      </c>
      <c r="I47" s="11" t="s">
        <v>1684</v>
      </c>
      <c r="J47" s="7">
        <v>46248</v>
      </c>
    </row>
    <row r="48" spans="1:10" x14ac:dyDescent="0.25">
      <c r="A48" s="32" t="s">
        <v>1730</v>
      </c>
      <c r="B48" s="34">
        <v>46248</v>
      </c>
      <c r="I48" s="11" t="s">
        <v>1686</v>
      </c>
      <c r="J48" s="7">
        <v>46097</v>
      </c>
    </row>
    <row r="49" spans="1:10" x14ac:dyDescent="0.25">
      <c r="A49" s="33" t="s">
        <v>1709</v>
      </c>
      <c r="B49" s="34">
        <v>46248</v>
      </c>
      <c r="I49" s="11" t="s">
        <v>1687</v>
      </c>
      <c r="J49" s="7">
        <v>46097</v>
      </c>
    </row>
    <row r="50" spans="1:10" x14ac:dyDescent="0.25">
      <c r="A50" s="32" t="s">
        <v>1875</v>
      </c>
      <c r="B50" s="34">
        <v>46248</v>
      </c>
      <c r="I50" s="11" t="s">
        <v>1688</v>
      </c>
      <c r="J50" s="7">
        <v>46248</v>
      </c>
    </row>
    <row r="51" spans="1:10" x14ac:dyDescent="0.25">
      <c r="A51" s="33" t="s">
        <v>1965</v>
      </c>
      <c r="B51" s="34">
        <v>46248</v>
      </c>
      <c r="I51" s="11" t="s">
        <v>1689</v>
      </c>
      <c r="J51" s="7">
        <v>46248</v>
      </c>
    </row>
    <row r="52" spans="1:10" x14ac:dyDescent="0.25">
      <c r="A52" s="32" t="s">
        <v>1944</v>
      </c>
      <c r="B52" s="34">
        <v>46248</v>
      </c>
      <c r="I52" s="11" t="s">
        <v>1690</v>
      </c>
      <c r="J52" s="7">
        <v>46248</v>
      </c>
    </row>
    <row r="53" spans="1:10" x14ac:dyDescent="0.25">
      <c r="A53" s="33" t="s">
        <v>1710</v>
      </c>
      <c r="B53" s="34">
        <v>46248</v>
      </c>
      <c r="I53" s="11" t="s">
        <v>1691</v>
      </c>
      <c r="J53" s="7">
        <v>46169</v>
      </c>
    </row>
    <row r="54" spans="1:10" x14ac:dyDescent="0.25">
      <c r="A54" s="32" t="s">
        <v>1666</v>
      </c>
      <c r="B54" s="34">
        <v>46248</v>
      </c>
      <c r="I54" s="11" t="s">
        <v>1693</v>
      </c>
      <c r="J54" s="7">
        <v>46248</v>
      </c>
    </row>
    <row r="55" spans="1:10" x14ac:dyDescent="0.25">
      <c r="A55" s="33" t="s">
        <v>1724</v>
      </c>
      <c r="B55" s="34">
        <v>46248</v>
      </c>
      <c r="I55" s="11" t="s">
        <v>1694</v>
      </c>
      <c r="J55" s="7">
        <v>46248</v>
      </c>
    </row>
    <row r="56" spans="1:10" x14ac:dyDescent="0.25">
      <c r="A56" s="32" t="s">
        <v>1690</v>
      </c>
      <c r="B56" s="34">
        <v>46248</v>
      </c>
      <c r="I56" s="11" t="s">
        <v>1696</v>
      </c>
      <c r="J56" s="7">
        <v>46248</v>
      </c>
    </row>
    <row r="57" spans="1:10" x14ac:dyDescent="0.25">
      <c r="A57" s="33" t="s">
        <v>1682</v>
      </c>
      <c r="B57" s="34">
        <v>46248</v>
      </c>
      <c r="I57" s="11" t="s">
        <v>1698</v>
      </c>
      <c r="J57" s="7">
        <v>46169</v>
      </c>
    </row>
    <row r="58" spans="1:10" x14ac:dyDescent="0.25">
      <c r="A58" s="32" t="s">
        <v>1892</v>
      </c>
      <c r="B58" s="34">
        <v>46248</v>
      </c>
      <c r="I58" s="11" t="s">
        <v>1699</v>
      </c>
      <c r="J58" s="7">
        <v>46248</v>
      </c>
    </row>
    <row r="59" spans="1:10" x14ac:dyDescent="0.25">
      <c r="A59" s="33" t="s">
        <v>1885</v>
      </c>
      <c r="B59" s="34">
        <v>46248</v>
      </c>
      <c r="I59" s="11" t="s">
        <v>1700</v>
      </c>
      <c r="J59" s="7">
        <v>46248</v>
      </c>
    </row>
    <row r="60" spans="1:10" x14ac:dyDescent="0.25">
      <c r="A60" s="32" t="s">
        <v>1967</v>
      </c>
      <c r="B60" s="34">
        <v>46248</v>
      </c>
      <c r="I60" s="11" t="s">
        <v>1701</v>
      </c>
      <c r="J60" s="7">
        <v>46156</v>
      </c>
    </row>
    <row r="61" spans="1:10" x14ac:dyDescent="0.25">
      <c r="A61" s="33" t="s">
        <v>1975</v>
      </c>
      <c r="B61" s="34">
        <v>46248</v>
      </c>
      <c r="I61" s="11" t="s">
        <v>1706</v>
      </c>
      <c r="J61" s="7">
        <v>46248</v>
      </c>
    </row>
    <row r="62" spans="1:10" x14ac:dyDescent="0.25">
      <c r="A62" s="32" t="s">
        <v>1983</v>
      </c>
      <c r="B62" s="34">
        <v>46248</v>
      </c>
      <c r="I62" s="11" t="s">
        <v>1709</v>
      </c>
      <c r="J62" s="7">
        <v>46248</v>
      </c>
    </row>
    <row r="63" spans="1:10" x14ac:dyDescent="0.25">
      <c r="A63" s="33" t="s">
        <v>1994</v>
      </c>
      <c r="B63" s="34">
        <v>46248</v>
      </c>
      <c r="I63" s="11" t="s">
        <v>1710</v>
      </c>
      <c r="J63" s="7">
        <v>46248</v>
      </c>
    </row>
    <row r="64" spans="1:10" x14ac:dyDescent="0.25">
      <c r="A64" s="32" t="s">
        <v>1890</v>
      </c>
      <c r="B64" s="34">
        <v>46248</v>
      </c>
      <c r="I64" s="11" t="s">
        <v>1712</v>
      </c>
      <c r="J64" s="7">
        <v>46248</v>
      </c>
    </row>
    <row r="65" spans="1:10" x14ac:dyDescent="0.25">
      <c r="A65" s="33" t="s">
        <v>1874</v>
      </c>
      <c r="B65" s="34">
        <v>46248</v>
      </c>
      <c r="I65" s="11" t="s">
        <v>1713</v>
      </c>
      <c r="J65" s="7">
        <v>46248</v>
      </c>
    </row>
    <row r="66" spans="1:10" x14ac:dyDescent="0.25">
      <c r="A66" s="32" t="s">
        <v>1681</v>
      </c>
      <c r="B66" s="34">
        <v>46248</v>
      </c>
      <c r="I66" s="11" t="s">
        <v>1715</v>
      </c>
      <c r="J66" s="7">
        <v>46112</v>
      </c>
    </row>
    <row r="67" spans="1:10" x14ac:dyDescent="0.25">
      <c r="A67" s="33" t="s">
        <v>1699</v>
      </c>
      <c r="B67" s="34">
        <v>46248</v>
      </c>
      <c r="I67" s="11" t="s">
        <v>1716</v>
      </c>
      <c r="J67" s="7">
        <v>46248</v>
      </c>
    </row>
    <row r="68" spans="1:10" x14ac:dyDescent="0.25">
      <c r="A68" s="32" t="s">
        <v>1961</v>
      </c>
      <c r="B68" s="34">
        <v>46248</v>
      </c>
      <c r="I68" s="11" t="s">
        <v>1719</v>
      </c>
      <c r="J68" s="7">
        <v>46112</v>
      </c>
    </row>
    <row r="69" spans="1:10" x14ac:dyDescent="0.25">
      <c r="A69" s="33" t="s">
        <v>1893</v>
      </c>
      <c r="B69" s="34">
        <v>46248</v>
      </c>
      <c r="I69" s="11" t="s">
        <v>1721</v>
      </c>
      <c r="J69" s="7">
        <v>46169</v>
      </c>
    </row>
    <row r="70" spans="1:10" x14ac:dyDescent="0.25">
      <c r="A70" s="32" t="s">
        <v>1693</v>
      </c>
      <c r="B70" s="34">
        <v>46248</v>
      </c>
      <c r="I70" s="11" t="s">
        <v>1722</v>
      </c>
      <c r="J70" s="7">
        <v>46254</v>
      </c>
    </row>
    <row r="71" spans="1:10" x14ac:dyDescent="0.25">
      <c r="A71" s="33" t="s">
        <v>1995</v>
      </c>
      <c r="B71" s="34">
        <v>46248</v>
      </c>
      <c r="I71" s="11" t="s">
        <v>1723</v>
      </c>
      <c r="J71" s="7">
        <v>46248</v>
      </c>
    </row>
    <row r="72" spans="1:10" x14ac:dyDescent="0.25">
      <c r="A72" s="32" t="s">
        <v>1954</v>
      </c>
      <c r="B72" s="34">
        <v>46248</v>
      </c>
      <c r="I72" s="11" t="s">
        <v>1724</v>
      </c>
      <c r="J72" s="7">
        <v>46248</v>
      </c>
    </row>
    <row r="73" spans="1:10" x14ac:dyDescent="0.25">
      <c r="A73" s="33" t="s">
        <v>1963</v>
      </c>
      <c r="B73" s="34">
        <v>46248</v>
      </c>
      <c r="I73" s="11" t="s">
        <v>1725</v>
      </c>
      <c r="J73" s="7">
        <v>46248</v>
      </c>
    </row>
    <row r="74" spans="1:10" x14ac:dyDescent="0.25">
      <c r="A74" s="32" t="s">
        <v>1725</v>
      </c>
      <c r="B74" s="34">
        <v>46248</v>
      </c>
      <c r="I74" s="11" t="s">
        <v>1727</v>
      </c>
      <c r="J74" s="7">
        <v>46169</v>
      </c>
    </row>
    <row r="75" spans="1:10" x14ac:dyDescent="0.25">
      <c r="A75" s="33" t="s">
        <v>1706</v>
      </c>
      <c r="B75" s="34">
        <v>46248</v>
      </c>
      <c r="I75" s="11" t="s">
        <v>1729</v>
      </c>
      <c r="J75" s="7">
        <v>46112</v>
      </c>
    </row>
    <row r="76" spans="1:10" x14ac:dyDescent="0.25">
      <c r="A76" s="32" t="s">
        <v>1669</v>
      </c>
      <c r="B76" s="34">
        <v>46248</v>
      </c>
      <c r="I76" s="11" t="s">
        <v>1730</v>
      </c>
      <c r="J76" s="7">
        <v>46248</v>
      </c>
    </row>
    <row r="77" spans="1:10" x14ac:dyDescent="0.25">
      <c r="A77" s="33" t="s">
        <v>1959</v>
      </c>
      <c r="B77" s="34">
        <v>46248</v>
      </c>
      <c r="I77" s="11" t="s">
        <v>1731</v>
      </c>
      <c r="J77" s="7">
        <v>46156</v>
      </c>
    </row>
    <row r="78" spans="1:10" x14ac:dyDescent="0.25">
      <c r="A78" s="32" t="s">
        <v>1943</v>
      </c>
      <c r="B78" s="34">
        <v>46248</v>
      </c>
      <c r="I78" s="11" t="s">
        <v>1732</v>
      </c>
      <c r="J78" s="7">
        <v>46112</v>
      </c>
    </row>
    <row r="79" spans="1:10" x14ac:dyDescent="0.25">
      <c r="A79" s="33" t="s">
        <v>1701</v>
      </c>
      <c r="B79" s="34">
        <v>46248</v>
      </c>
      <c r="I79" s="11" t="s">
        <v>1733</v>
      </c>
      <c r="J79" s="7">
        <v>46248</v>
      </c>
    </row>
    <row r="80" spans="1:10" x14ac:dyDescent="0.25">
      <c r="A80" s="32" t="s">
        <v>1912</v>
      </c>
      <c r="B80" s="34">
        <v>46248</v>
      </c>
      <c r="I80" s="11" t="s">
        <v>1734</v>
      </c>
      <c r="J80" s="7">
        <v>46248</v>
      </c>
    </row>
    <row r="81" spans="1:10" x14ac:dyDescent="0.25">
      <c r="A81" s="33" t="s">
        <v>1729</v>
      </c>
      <c r="B81" s="34">
        <v>46248</v>
      </c>
      <c r="I81" s="11" t="s">
        <v>1736</v>
      </c>
      <c r="J81" s="7">
        <v>46254</v>
      </c>
    </row>
    <row r="82" spans="1:10" x14ac:dyDescent="0.25">
      <c r="A82" s="32" t="s">
        <v>1713</v>
      </c>
      <c r="B82" s="34">
        <v>46248</v>
      </c>
      <c r="I82" s="11" t="s">
        <v>1741</v>
      </c>
      <c r="J82" s="7">
        <v>46254</v>
      </c>
    </row>
    <row r="83" spans="1:10" x14ac:dyDescent="0.25">
      <c r="A83" s="33" t="s">
        <v>1667</v>
      </c>
      <c r="B83" s="34">
        <v>46248</v>
      </c>
      <c r="I83" s="11" t="s">
        <v>1742</v>
      </c>
      <c r="J83" s="7">
        <v>46254</v>
      </c>
    </row>
    <row r="84" spans="1:10" x14ac:dyDescent="0.25">
      <c r="A84" s="32" t="s">
        <v>1712</v>
      </c>
      <c r="B84" s="34">
        <v>46248</v>
      </c>
      <c r="I84" s="11" t="s">
        <v>1747</v>
      </c>
      <c r="J84" s="7">
        <v>46248</v>
      </c>
    </row>
    <row r="85" spans="1:10" x14ac:dyDescent="0.25">
      <c r="A85" s="33" t="s">
        <v>1723</v>
      </c>
      <c r="B85" s="34">
        <v>46248</v>
      </c>
      <c r="I85" s="11" t="s">
        <v>1748</v>
      </c>
      <c r="J85" s="7">
        <v>46248</v>
      </c>
    </row>
    <row r="86" spans="1:10" x14ac:dyDescent="0.25">
      <c r="A86" s="32" t="s">
        <v>1689</v>
      </c>
      <c r="B86" s="34">
        <v>46248</v>
      </c>
      <c r="I86" s="11" t="s">
        <v>1749</v>
      </c>
      <c r="J86" s="7">
        <v>46248</v>
      </c>
    </row>
    <row r="87" spans="1:10" x14ac:dyDescent="0.25">
      <c r="A87" s="33" t="s">
        <v>1716</v>
      </c>
      <c r="B87" s="34">
        <v>46248</v>
      </c>
      <c r="I87" s="11" t="s">
        <v>1752</v>
      </c>
      <c r="J87" s="7">
        <v>46254</v>
      </c>
    </row>
    <row r="88" spans="1:10" x14ac:dyDescent="0.25">
      <c r="A88" s="32" t="s">
        <v>1908</v>
      </c>
      <c r="B88" s="34">
        <v>46248</v>
      </c>
      <c r="I88" s="11" t="s">
        <v>1754</v>
      </c>
      <c r="J88" s="7">
        <v>46254</v>
      </c>
    </row>
    <row r="89" spans="1:10" x14ac:dyDescent="0.25">
      <c r="A89" s="33" t="s">
        <v>1931</v>
      </c>
      <c r="B89" s="34">
        <v>46248</v>
      </c>
      <c r="I89" s="11" t="s">
        <v>1755</v>
      </c>
      <c r="J89" s="7">
        <v>46254</v>
      </c>
    </row>
    <row r="90" spans="1:10" x14ac:dyDescent="0.25">
      <c r="A90" s="32" t="s">
        <v>1966</v>
      </c>
      <c r="B90" s="34">
        <v>46248</v>
      </c>
      <c r="I90" s="11" t="s">
        <v>1756</v>
      </c>
      <c r="J90" s="7">
        <v>46248</v>
      </c>
    </row>
    <row r="91" spans="1:10" x14ac:dyDescent="0.25">
      <c r="A91" s="33" t="s">
        <v>1882</v>
      </c>
      <c r="B91" s="34">
        <v>46248</v>
      </c>
      <c r="I91" s="11" t="s">
        <v>1757</v>
      </c>
      <c r="J91" s="7">
        <v>46156</v>
      </c>
    </row>
    <row r="92" spans="1:10" x14ac:dyDescent="0.25">
      <c r="A92" s="32" t="s">
        <v>1989</v>
      </c>
      <c r="B92" s="34">
        <v>46248</v>
      </c>
      <c r="I92" s="11" t="s">
        <v>1758</v>
      </c>
      <c r="J92" s="7">
        <v>46248</v>
      </c>
    </row>
    <row r="93" spans="1:10" x14ac:dyDescent="0.25">
      <c r="A93" s="33" t="s">
        <v>1947</v>
      </c>
      <c r="B93" s="34">
        <v>46248</v>
      </c>
      <c r="I93" s="11" t="s">
        <v>1759</v>
      </c>
      <c r="J93" s="7">
        <v>46248</v>
      </c>
    </row>
    <row r="94" spans="1:10" x14ac:dyDescent="0.25">
      <c r="A94" s="32" t="s">
        <v>1912</v>
      </c>
      <c r="B94" s="34">
        <v>46248</v>
      </c>
      <c r="I94" s="11" t="s">
        <v>1760</v>
      </c>
      <c r="J94" s="7">
        <v>46248</v>
      </c>
    </row>
    <row r="95" spans="1:10" x14ac:dyDescent="0.25">
      <c r="A95" s="33" t="s">
        <v>1622</v>
      </c>
      <c r="B95" s="34">
        <v>46248</v>
      </c>
      <c r="I95" s="11" t="s">
        <v>1761</v>
      </c>
      <c r="J95" s="7">
        <v>46248</v>
      </c>
    </row>
    <row r="96" spans="1:10" x14ac:dyDescent="0.25">
      <c r="A96" s="32" t="s">
        <v>1602</v>
      </c>
      <c r="B96" s="34">
        <v>46248</v>
      </c>
      <c r="I96" s="11" t="s">
        <v>1762</v>
      </c>
      <c r="J96" s="7">
        <v>46248</v>
      </c>
    </row>
    <row r="97" spans="1:10" x14ac:dyDescent="0.25">
      <c r="A97" s="33" t="s">
        <v>1593</v>
      </c>
      <c r="B97" s="34">
        <v>46248</v>
      </c>
      <c r="I97" s="11" t="s">
        <v>1764</v>
      </c>
      <c r="J97" s="7">
        <v>46248</v>
      </c>
    </row>
    <row r="98" spans="1:10" x14ac:dyDescent="0.25">
      <c r="A98" s="32" t="s">
        <v>1639</v>
      </c>
      <c r="B98" s="34">
        <v>46248</v>
      </c>
      <c r="I98" s="11" t="s">
        <v>1765</v>
      </c>
      <c r="J98" s="7">
        <v>46248</v>
      </c>
    </row>
    <row r="99" spans="1:10" x14ac:dyDescent="0.25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 x14ac:dyDescent="0.25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 x14ac:dyDescent="0.25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 x14ac:dyDescent="0.25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 x14ac:dyDescent="0.25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 x14ac:dyDescent="0.25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 x14ac:dyDescent="0.25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 x14ac:dyDescent="0.25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 x14ac:dyDescent="0.25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 x14ac:dyDescent="0.25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 x14ac:dyDescent="0.25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 x14ac:dyDescent="0.25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 x14ac:dyDescent="0.25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 x14ac:dyDescent="0.25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 x14ac:dyDescent="0.25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 x14ac:dyDescent="0.25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 x14ac:dyDescent="0.25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 x14ac:dyDescent="0.25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 x14ac:dyDescent="0.25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 x14ac:dyDescent="0.25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 x14ac:dyDescent="0.25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 x14ac:dyDescent="0.25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 x14ac:dyDescent="0.25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 x14ac:dyDescent="0.25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 x14ac:dyDescent="0.25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 x14ac:dyDescent="0.25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 x14ac:dyDescent="0.25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 x14ac:dyDescent="0.25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 x14ac:dyDescent="0.25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 x14ac:dyDescent="0.25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 x14ac:dyDescent="0.25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 x14ac:dyDescent="0.25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 x14ac:dyDescent="0.25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 x14ac:dyDescent="0.25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 x14ac:dyDescent="0.25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 x14ac:dyDescent="0.25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 x14ac:dyDescent="0.25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 x14ac:dyDescent="0.25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 x14ac:dyDescent="0.25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 x14ac:dyDescent="0.25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 x14ac:dyDescent="0.25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 x14ac:dyDescent="0.25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 x14ac:dyDescent="0.25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 x14ac:dyDescent="0.25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 x14ac:dyDescent="0.25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 x14ac:dyDescent="0.25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 x14ac:dyDescent="0.25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 x14ac:dyDescent="0.25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 x14ac:dyDescent="0.25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 x14ac:dyDescent="0.25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 x14ac:dyDescent="0.25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 x14ac:dyDescent="0.25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 x14ac:dyDescent="0.25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 x14ac:dyDescent="0.25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 x14ac:dyDescent="0.25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 x14ac:dyDescent="0.25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 x14ac:dyDescent="0.25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 x14ac:dyDescent="0.25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 x14ac:dyDescent="0.25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 x14ac:dyDescent="0.25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 x14ac:dyDescent="0.25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 x14ac:dyDescent="0.25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 x14ac:dyDescent="0.25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 x14ac:dyDescent="0.25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 x14ac:dyDescent="0.25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 x14ac:dyDescent="0.25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 x14ac:dyDescent="0.25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 x14ac:dyDescent="0.25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 x14ac:dyDescent="0.25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 x14ac:dyDescent="0.25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 x14ac:dyDescent="0.25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 x14ac:dyDescent="0.25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 x14ac:dyDescent="0.25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 x14ac:dyDescent="0.25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 x14ac:dyDescent="0.25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 x14ac:dyDescent="0.25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 x14ac:dyDescent="0.25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 x14ac:dyDescent="0.25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 x14ac:dyDescent="0.25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 x14ac:dyDescent="0.25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 x14ac:dyDescent="0.25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 x14ac:dyDescent="0.25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 x14ac:dyDescent="0.25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 x14ac:dyDescent="0.25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 x14ac:dyDescent="0.25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 x14ac:dyDescent="0.25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 x14ac:dyDescent="0.25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 x14ac:dyDescent="0.25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 x14ac:dyDescent="0.25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 x14ac:dyDescent="0.25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 x14ac:dyDescent="0.25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 x14ac:dyDescent="0.25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 x14ac:dyDescent="0.25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 x14ac:dyDescent="0.25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 x14ac:dyDescent="0.25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 x14ac:dyDescent="0.25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 x14ac:dyDescent="0.25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 x14ac:dyDescent="0.25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 x14ac:dyDescent="0.25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 x14ac:dyDescent="0.25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 x14ac:dyDescent="0.25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 x14ac:dyDescent="0.25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 x14ac:dyDescent="0.25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 x14ac:dyDescent="0.25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 x14ac:dyDescent="0.25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 x14ac:dyDescent="0.25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 x14ac:dyDescent="0.25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 x14ac:dyDescent="0.25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 x14ac:dyDescent="0.25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 x14ac:dyDescent="0.25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 x14ac:dyDescent="0.25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 x14ac:dyDescent="0.25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 x14ac:dyDescent="0.25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 x14ac:dyDescent="0.25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 x14ac:dyDescent="0.25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 x14ac:dyDescent="0.25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 x14ac:dyDescent="0.25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 x14ac:dyDescent="0.25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 x14ac:dyDescent="0.25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 x14ac:dyDescent="0.25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 x14ac:dyDescent="0.25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 x14ac:dyDescent="0.25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 x14ac:dyDescent="0.25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 x14ac:dyDescent="0.25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 x14ac:dyDescent="0.25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 x14ac:dyDescent="0.25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 x14ac:dyDescent="0.25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 x14ac:dyDescent="0.25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 x14ac:dyDescent="0.25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 x14ac:dyDescent="0.25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 x14ac:dyDescent="0.25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 x14ac:dyDescent="0.25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 x14ac:dyDescent="0.25">
      <c r="I231" s="11" t="s">
        <v>1963</v>
      </c>
      <c r="J231" s="7">
        <v>46248</v>
      </c>
    </row>
    <row r="232" spans="1:10" x14ac:dyDescent="0.25">
      <c r="I232" s="11" t="s">
        <v>1964</v>
      </c>
      <c r="J232" s="7">
        <v>46169</v>
      </c>
    </row>
    <row r="233" spans="1:10" x14ac:dyDescent="0.25">
      <c r="I233" s="11" t="s">
        <v>1965</v>
      </c>
      <c r="J233" s="7">
        <v>46248</v>
      </c>
    </row>
    <row r="234" spans="1:10" x14ac:dyDescent="0.25">
      <c r="I234" s="11" t="s">
        <v>1966</v>
      </c>
      <c r="J234" s="7">
        <v>46248</v>
      </c>
    </row>
    <row r="235" spans="1:10" x14ac:dyDescent="0.25">
      <c r="I235" s="11" t="s">
        <v>1967</v>
      </c>
      <c r="J235" s="7">
        <v>46248</v>
      </c>
    </row>
    <row r="236" spans="1:10" x14ac:dyDescent="0.25">
      <c r="I236" s="11" t="s">
        <v>1968</v>
      </c>
      <c r="J236" s="7">
        <v>46169</v>
      </c>
    </row>
    <row r="237" spans="1:10" x14ac:dyDescent="0.25">
      <c r="I237" s="11" t="s">
        <v>1969</v>
      </c>
      <c r="J237" s="7">
        <v>46254</v>
      </c>
    </row>
    <row r="238" spans="1:10" x14ac:dyDescent="0.25">
      <c r="I238" s="11" t="s">
        <v>1970</v>
      </c>
      <c r="J238" s="7">
        <v>46254</v>
      </c>
    </row>
    <row r="239" spans="1:10" x14ac:dyDescent="0.25">
      <c r="I239" s="11" t="s">
        <v>1971</v>
      </c>
      <c r="J239" s="7">
        <v>46248</v>
      </c>
    </row>
    <row r="240" spans="1:10" x14ac:dyDescent="0.25">
      <c r="I240" s="11" t="s">
        <v>1972</v>
      </c>
      <c r="J240" s="7">
        <v>46254</v>
      </c>
    </row>
    <row r="241" spans="9:10" x14ac:dyDescent="0.25">
      <c r="I241" s="11" t="s">
        <v>1974</v>
      </c>
      <c r="J241" s="7">
        <v>46248</v>
      </c>
    </row>
    <row r="242" spans="9:10" x14ac:dyDescent="0.25">
      <c r="I242" s="11" t="s">
        <v>1975</v>
      </c>
      <c r="J242" s="7">
        <v>46248</v>
      </c>
    </row>
    <row r="243" spans="9:10" x14ac:dyDescent="0.25">
      <c r="I243" s="11" t="s">
        <v>1976</v>
      </c>
      <c r="J243" s="7">
        <v>46248</v>
      </c>
    </row>
    <row r="244" spans="9:10" x14ac:dyDescent="0.25">
      <c r="I244" s="11" t="s">
        <v>1977</v>
      </c>
      <c r="J244" s="7">
        <v>46248</v>
      </c>
    </row>
    <row r="245" spans="9:10" x14ac:dyDescent="0.25">
      <c r="I245" s="11" t="s">
        <v>1978</v>
      </c>
      <c r="J245" s="7">
        <v>46248</v>
      </c>
    </row>
    <row r="246" spans="9:10" x14ac:dyDescent="0.25">
      <c r="I246" s="11" t="s">
        <v>1979</v>
      </c>
      <c r="J246" s="7">
        <v>46248</v>
      </c>
    </row>
    <row r="247" spans="9:10" x14ac:dyDescent="0.25">
      <c r="I247" s="11" t="s">
        <v>1980</v>
      </c>
      <c r="J247" s="7">
        <v>46248</v>
      </c>
    </row>
    <row r="248" spans="9:10" x14ac:dyDescent="0.25">
      <c r="I248" s="11" t="s">
        <v>1981</v>
      </c>
      <c r="J248" s="7">
        <v>46248</v>
      </c>
    </row>
    <row r="249" spans="9:10" x14ac:dyDescent="0.25">
      <c r="I249" s="11" t="s">
        <v>1982</v>
      </c>
      <c r="J249" s="7">
        <v>46248</v>
      </c>
    </row>
    <row r="250" spans="9:10" x14ac:dyDescent="0.25">
      <c r="I250" s="11" t="s">
        <v>1983</v>
      </c>
      <c r="J250" s="7">
        <v>46248</v>
      </c>
    </row>
    <row r="251" spans="9:10" x14ac:dyDescent="0.25">
      <c r="I251" s="11" t="s">
        <v>1984</v>
      </c>
      <c r="J251" s="7">
        <v>46248</v>
      </c>
    </row>
    <row r="252" spans="9:10" x14ac:dyDescent="0.25">
      <c r="I252" s="11" t="s">
        <v>1985</v>
      </c>
      <c r="J252" s="7">
        <v>46248</v>
      </c>
    </row>
    <row r="253" spans="9:10" x14ac:dyDescent="0.25">
      <c r="I253" s="11" t="s">
        <v>1986</v>
      </c>
      <c r="J253" s="7">
        <v>46248</v>
      </c>
    </row>
    <row r="254" spans="9:10" x14ac:dyDescent="0.25">
      <c r="I254" s="11" t="s">
        <v>1987</v>
      </c>
      <c r="J254" s="7">
        <v>46248</v>
      </c>
    </row>
    <row r="255" spans="9:10" x14ac:dyDescent="0.25">
      <c r="I255" s="11" t="s">
        <v>1988</v>
      </c>
      <c r="J255" s="7">
        <v>46169</v>
      </c>
    </row>
    <row r="256" spans="9:10" x14ac:dyDescent="0.25">
      <c r="I256" s="11" t="s">
        <v>1989</v>
      </c>
      <c r="J256" s="7">
        <v>46248</v>
      </c>
    </row>
    <row r="257" spans="9:10" x14ac:dyDescent="0.25">
      <c r="I257" s="11" t="s">
        <v>1990</v>
      </c>
      <c r="J257" s="7">
        <v>46254</v>
      </c>
    </row>
    <row r="258" spans="9:10" x14ac:dyDescent="0.25">
      <c r="I258" s="11" t="s">
        <v>1991</v>
      </c>
      <c r="J258" s="7">
        <v>46248</v>
      </c>
    </row>
    <row r="259" spans="9:10" x14ac:dyDescent="0.25">
      <c r="I259" s="11" t="s">
        <v>1992</v>
      </c>
      <c r="J259" s="7">
        <v>46248</v>
      </c>
    </row>
    <row r="260" spans="9:10" x14ac:dyDescent="0.25">
      <c r="I260" s="11" t="s">
        <v>1993</v>
      </c>
      <c r="J260" s="7">
        <v>46248</v>
      </c>
    </row>
    <row r="261" spans="9:10" x14ac:dyDescent="0.25">
      <c r="I261" s="11" t="s">
        <v>1994</v>
      </c>
      <c r="J261" s="7">
        <v>46248</v>
      </c>
    </row>
    <row r="262" spans="9:10" x14ac:dyDescent="0.25">
      <c r="I262" s="11" t="s">
        <v>1995</v>
      </c>
      <c r="J262" s="7">
        <v>46248</v>
      </c>
    </row>
    <row r="263" spans="9:10" x14ac:dyDescent="0.25">
      <c r="I263" s="11" t="s">
        <v>1996</v>
      </c>
      <c r="J263" s="7">
        <v>46248</v>
      </c>
    </row>
    <row r="264" spans="9:10" x14ac:dyDescent="0.25">
      <c r="I264" s="11" t="s">
        <v>1997</v>
      </c>
      <c r="J264" s="7">
        <v>46248</v>
      </c>
    </row>
    <row r="265" spans="9:10" x14ac:dyDescent="0.25">
      <c r="I265" s="11" t="s">
        <v>1998</v>
      </c>
      <c r="J265" s="7">
        <v>46254</v>
      </c>
    </row>
    <row r="266" spans="9:10" x14ac:dyDescent="0.25">
      <c r="I266" s="11" t="s">
        <v>1999</v>
      </c>
      <c r="J266" s="7">
        <v>46248</v>
      </c>
    </row>
    <row r="267" spans="9:10" x14ac:dyDescent="0.25">
      <c r="I267" s="11" t="s">
        <v>1300</v>
      </c>
      <c r="J267" s="7">
        <v>46241</v>
      </c>
    </row>
    <row r="268" spans="9:10" x14ac:dyDescent="0.25">
      <c r="I268" s="11" t="s">
        <v>1301</v>
      </c>
      <c r="J268" s="7">
        <v>46241</v>
      </c>
    </row>
    <row r="269" spans="9:10" x14ac:dyDescent="0.25">
      <c r="I269" s="11" t="s">
        <v>1302</v>
      </c>
      <c r="J269" s="7">
        <v>46241</v>
      </c>
    </row>
    <row r="270" spans="9:10" x14ac:dyDescent="0.25">
      <c r="I270" s="11" t="s">
        <v>1304</v>
      </c>
      <c r="J270" s="7">
        <v>46241</v>
      </c>
    </row>
    <row r="271" spans="9:10" x14ac:dyDescent="0.25">
      <c r="I271" s="11" t="s">
        <v>1305</v>
      </c>
      <c r="J271" s="7">
        <v>46241</v>
      </c>
    </row>
    <row r="272" spans="9:10" x14ac:dyDescent="0.25">
      <c r="I272" s="11" t="s">
        <v>1306</v>
      </c>
      <c r="J272" s="7">
        <v>46241</v>
      </c>
    </row>
    <row r="273" spans="9:10" x14ac:dyDescent="0.25">
      <c r="I273" s="11" t="s">
        <v>1316</v>
      </c>
      <c r="J273" s="7">
        <v>46241</v>
      </c>
    </row>
    <row r="274" spans="9:10" x14ac:dyDescent="0.25">
      <c r="I274" s="11" t="s">
        <v>1317</v>
      </c>
      <c r="J274" s="7">
        <v>46241</v>
      </c>
    </row>
    <row r="275" spans="9:10" x14ac:dyDescent="0.25">
      <c r="I275" s="11" t="s">
        <v>1331</v>
      </c>
      <c r="J275" s="7">
        <v>46241</v>
      </c>
    </row>
    <row r="276" spans="9:10" x14ac:dyDescent="0.25">
      <c r="I276" s="11" t="s">
        <v>1333</v>
      </c>
      <c r="J276" s="7">
        <v>46241</v>
      </c>
    </row>
    <row r="277" spans="9:10" x14ac:dyDescent="0.25">
      <c r="I277" s="11" t="s">
        <v>1350</v>
      </c>
      <c r="J277" s="7">
        <v>46234</v>
      </c>
    </row>
    <row r="278" spans="9:10" x14ac:dyDescent="0.25">
      <c r="I278" s="11" t="s">
        <v>1354</v>
      </c>
      <c r="J278" s="7">
        <v>46234</v>
      </c>
    </row>
    <row r="279" spans="9:10" x14ac:dyDescent="0.25">
      <c r="I279" s="11" t="s">
        <v>1357</v>
      </c>
      <c r="J279" s="7">
        <v>46234</v>
      </c>
    </row>
    <row r="280" spans="9:10" x14ac:dyDescent="0.25">
      <c r="I280" s="11" t="s">
        <v>1364</v>
      </c>
      <c r="J280" s="7">
        <v>46234</v>
      </c>
    </row>
    <row r="281" spans="9:10" x14ac:dyDescent="0.25">
      <c r="I281" s="11" t="s">
        <v>1367</v>
      </c>
      <c r="J281" s="7">
        <v>46234</v>
      </c>
    </row>
    <row r="282" spans="9:10" x14ac:dyDescent="0.25">
      <c r="I282" s="11" t="s">
        <v>1373</v>
      </c>
      <c r="J282" s="7">
        <v>46261</v>
      </c>
    </row>
    <row r="283" spans="9:10" x14ac:dyDescent="0.25">
      <c r="I283" s="11" t="s">
        <v>1384</v>
      </c>
      <c r="J283" s="7">
        <v>46261</v>
      </c>
    </row>
    <row r="284" spans="9:10" x14ac:dyDescent="0.25">
      <c r="I284" s="11" t="s">
        <v>1390</v>
      </c>
      <c r="J284" s="7">
        <v>46261</v>
      </c>
    </row>
    <row r="285" spans="9:10" x14ac:dyDescent="0.25">
      <c r="I285" s="11" t="s">
        <v>1391</v>
      </c>
      <c r="J285" s="7">
        <v>46234</v>
      </c>
    </row>
    <row r="286" spans="9:10" x14ac:dyDescent="0.25">
      <c r="I286" s="11" t="s">
        <v>1392</v>
      </c>
      <c r="J286" s="7">
        <v>46234</v>
      </c>
    </row>
    <row r="287" spans="9:10" x14ac:dyDescent="0.25">
      <c r="I287" s="11" t="s">
        <v>1406</v>
      </c>
      <c r="J287" s="7">
        <v>46234</v>
      </c>
    </row>
    <row r="288" spans="9:10" x14ac:dyDescent="0.25">
      <c r="I288" s="11" t="s">
        <v>1411</v>
      </c>
      <c r="J288" s="7">
        <v>46234</v>
      </c>
    </row>
    <row r="289" spans="9:10" x14ac:dyDescent="0.25">
      <c r="I289" s="11" t="s">
        <v>1412</v>
      </c>
      <c r="J289" s="7">
        <v>46234</v>
      </c>
    </row>
    <row r="290" spans="9:10" x14ac:dyDescent="0.25">
      <c r="I290" s="11" t="s">
        <v>592</v>
      </c>
      <c r="J290" s="7">
        <v>46211</v>
      </c>
    </row>
    <row r="291" spans="9:10" x14ac:dyDescent="0.25">
      <c r="I291" s="11" t="s">
        <v>873</v>
      </c>
      <c r="J291" s="7">
        <v>46211</v>
      </c>
    </row>
    <row r="292" spans="9:10" x14ac:dyDescent="0.25">
      <c r="I292" s="11" t="s">
        <v>2001</v>
      </c>
      <c r="J292" s="7">
        <v>46155</v>
      </c>
    </row>
    <row r="293" spans="9:10" x14ac:dyDescent="0.25">
      <c r="I293" s="11" t="s">
        <v>2002</v>
      </c>
      <c r="J293" s="7">
        <v>46155</v>
      </c>
    </row>
    <row r="294" spans="9:10" x14ac:dyDescent="0.25">
      <c r="I294" s="11" t="s">
        <v>2004</v>
      </c>
      <c r="J294" s="7">
        <v>46155</v>
      </c>
    </row>
    <row r="295" spans="9:10" x14ac:dyDescent="0.25">
      <c r="I295" s="11" t="s">
        <v>2005</v>
      </c>
      <c r="J295" s="7">
        <v>46155</v>
      </c>
    </row>
    <row r="296" spans="9:10" x14ac:dyDescent="0.25">
      <c r="I296" s="11" t="s">
        <v>2009</v>
      </c>
      <c r="J296" s="7">
        <v>46155</v>
      </c>
    </row>
    <row r="297" spans="9:10" x14ac:dyDescent="0.25">
      <c r="I297" s="11" t="s">
        <v>2010</v>
      </c>
      <c r="J297" s="7">
        <v>46150</v>
      </c>
    </row>
    <row r="298" spans="9:10" x14ac:dyDescent="0.25">
      <c r="I298" s="11" t="s">
        <v>2015</v>
      </c>
      <c r="J298" s="7">
        <v>46150</v>
      </c>
    </row>
    <row r="299" spans="9:10" x14ac:dyDescent="0.25">
      <c r="I299" s="11" t="s">
        <v>2016</v>
      </c>
      <c r="J299" s="7">
        <v>46150</v>
      </c>
    </row>
    <row r="300" spans="9:10" x14ac:dyDescent="0.25">
      <c r="I300" s="11" t="s">
        <v>2021</v>
      </c>
      <c r="J300" s="7">
        <v>46155</v>
      </c>
    </row>
    <row r="301" spans="9:10" x14ac:dyDescent="0.25">
      <c r="I301" s="11" t="s">
        <v>2025</v>
      </c>
      <c r="J301" s="7">
        <v>46155</v>
      </c>
    </row>
    <row r="302" spans="9:10" x14ac:dyDescent="0.25">
      <c r="I302" s="11" t="s">
        <v>2027</v>
      </c>
      <c r="J302" s="7">
        <v>46155</v>
      </c>
    </row>
    <row r="303" spans="9:10" x14ac:dyDescent="0.25">
      <c r="I303" s="11" t="s">
        <v>2029</v>
      </c>
      <c r="J303" s="7">
        <v>46155</v>
      </c>
    </row>
    <row r="304" spans="9:10" x14ac:dyDescent="0.25">
      <c r="I304" s="11" t="s">
        <v>2030</v>
      </c>
      <c r="J304" s="7">
        <v>46155</v>
      </c>
    </row>
    <row r="305" spans="9:10" x14ac:dyDescent="0.25">
      <c r="I305" s="11" t="s">
        <v>2032</v>
      </c>
      <c r="J305" s="7">
        <v>46155</v>
      </c>
    </row>
    <row r="306" spans="9:10" x14ac:dyDescent="0.25">
      <c r="I306" s="11" t="s">
        <v>2034</v>
      </c>
      <c r="J306" s="7">
        <v>46155</v>
      </c>
    </row>
    <row r="307" spans="9:10" x14ac:dyDescent="0.25">
      <c r="I307" s="11" t="s">
        <v>2057</v>
      </c>
      <c r="J307" s="7">
        <v>46155</v>
      </c>
    </row>
    <row r="308" spans="9:10" x14ac:dyDescent="0.25">
      <c r="I308" s="11" t="s">
        <v>2059</v>
      </c>
      <c r="J308" s="7">
        <v>46195</v>
      </c>
    </row>
    <row r="309" spans="9:10" x14ac:dyDescent="0.25">
      <c r="I309" s="11" t="s">
        <v>2060</v>
      </c>
      <c r="J309" s="7">
        <v>46155</v>
      </c>
    </row>
    <row r="310" spans="9:10" x14ac:dyDescent="0.25">
      <c r="I310" s="11" t="s">
        <v>2061</v>
      </c>
      <c r="J310" s="7">
        <v>46150</v>
      </c>
    </row>
    <row r="311" spans="9:10" x14ac:dyDescent="0.25">
      <c r="I311" s="11" t="s">
        <v>2063</v>
      </c>
      <c r="J311" s="7">
        <v>46175</v>
      </c>
    </row>
    <row r="312" spans="9:10" x14ac:dyDescent="0.25">
      <c r="I312" s="11" t="s">
        <v>2066</v>
      </c>
      <c r="J312" s="7">
        <v>46175</v>
      </c>
    </row>
    <row r="313" spans="9:10" x14ac:dyDescent="0.25">
      <c r="I313" s="11" t="s">
        <v>2073</v>
      </c>
      <c r="J313" s="7">
        <v>46175</v>
      </c>
    </row>
    <row r="314" spans="9:10" x14ac:dyDescent="0.25">
      <c r="I314" s="11" t="s">
        <v>2078</v>
      </c>
      <c r="J314" s="7">
        <v>46175</v>
      </c>
    </row>
    <row r="315" spans="9:10" x14ac:dyDescent="0.25">
      <c r="I315" s="11" t="s">
        <v>2082</v>
      </c>
      <c r="J315" s="7">
        <v>46175</v>
      </c>
    </row>
    <row r="316" spans="9:10" x14ac:dyDescent="0.25">
      <c r="I316" s="11" t="s">
        <v>2090</v>
      </c>
      <c r="J316" s="7">
        <v>46175</v>
      </c>
    </row>
    <row r="317" spans="9:10" x14ac:dyDescent="0.25">
      <c r="I317" s="11" t="s">
        <v>2091</v>
      </c>
      <c r="J317" s="7">
        <v>46175</v>
      </c>
    </row>
    <row r="318" spans="9:10" x14ac:dyDescent="0.25">
      <c r="I318" s="11" t="s">
        <v>2092</v>
      </c>
      <c r="J318" s="7">
        <v>46175</v>
      </c>
    </row>
    <row r="319" spans="9:10" x14ac:dyDescent="0.25">
      <c r="I319" s="11" t="s">
        <v>2094</v>
      </c>
      <c r="J319" s="7">
        <v>46175</v>
      </c>
    </row>
    <row r="320" spans="9:10" x14ac:dyDescent="0.25">
      <c r="I320" s="11" t="s">
        <v>2100</v>
      </c>
      <c r="J320" s="7">
        <v>46175</v>
      </c>
    </row>
    <row r="321" spans="9:10" x14ac:dyDescent="0.25">
      <c r="I321" s="11" t="s">
        <v>2111</v>
      </c>
      <c r="J321" s="7">
        <v>46175</v>
      </c>
    </row>
    <row r="322" spans="9:10" x14ac:dyDescent="0.25">
      <c r="I322" s="11" t="s">
        <v>2115</v>
      </c>
      <c r="J322" s="7">
        <v>46175</v>
      </c>
    </row>
    <row r="323" spans="9:10" x14ac:dyDescent="0.25">
      <c r="I323" s="11" t="s">
        <v>2116</v>
      </c>
      <c r="J323" s="7">
        <v>46175</v>
      </c>
    </row>
    <row r="324" spans="9:10" x14ac:dyDescent="0.25">
      <c r="I324" s="11" t="s">
        <v>2117</v>
      </c>
      <c r="J324" s="7">
        <v>46175</v>
      </c>
    </row>
    <row r="325" spans="9:10" x14ac:dyDescent="0.25">
      <c r="I325" s="11" t="s">
        <v>299</v>
      </c>
      <c r="J325" s="7">
        <v>46196</v>
      </c>
    </row>
    <row r="326" spans="9:10" x14ac:dyDescent="0.25">
      <c r="I326" s="11" t="s">
        <v>381</v>
      </c>
      <c r="J326" s="7">
        <v>46196</v>
      </c>
    </row>
    <row r="327" spans="9:10" x14ac:dyDescent="0.25">
      <c r="I327" s="11" t="s">
        <v>382</v>
      </c>
      <c r="J327" s="7">
        <v>46189</v>
      </c>
    </row>
    <row r="328" spans="9:10" x14ac:dyDescent="0.25">
      <c r="I328" s="11" t="s">
        <v>391</v>
      </c>
      <c r="J328" s="7">
        <v>46196</v>
      </c>
    </row>
    <row r="329" spans="9:10" x14ac:dyDescent="0.25">
      <c r="I329" s="11" t="s">
        <v>392</v>
      </c>
      <c r="J329" s="7">
        <v>46196</v>
      </c>
    </row>
    <row r="330" spans="9:10" x14ac:dyDescent="0.25">
      <c r="I330" s="11" t="s">
        <v>393</v>
      </c>
      <c r="J330" s="7">
        <v>46196</v>
      </c>
    </row>
    <row r="331" spans="9:10" x14ac:dyDescent="0.25">
      <c r="I331" s="11" t="s">
        <v>406</v>
      </c>
      <c r="J331" s="7">
        <v>46196</v>
      </c>
    </row>
    <row r="332" spans="9:10" x14ac:dyDescent="0.25">
      <c r="I332" s="11" t="s">
        <v>476</v>
      </c>
      <c r="J332" s="7">
        <v>46196</v>
      </c>
    </row>
    <row r="333" spans="9:10" x14ac:dyDescent="0.25">
      <c r="I333" s="11" t="s">
        <v>497</v>
      </c>
      <c r="J333" s="7">
        <v>46196</v>
      </c>
    </row>
    <row r="334" spans="9:10" x14ac:dyDescent="0.25">
      <c r="I334" s="11" t="s">
        <v>507</v>
      </c>
      <c r="J334" s="7">
        <v>46196</v>
      </c>
    </row>
    <row r="335" spans="9:10" x14ac:dyDescent="0.25">
      <c r="I335" s="11" t="s">
        <v>537</v>
      </c>
      <c r="J335" s="7">
        <v>46196</v>
      </c>
    </row>
    <row r="336" spans="9:10" x14ac:dyDescent="0.25">
      <c r="I336" s="11" t="s">
        <v>538</v>
      </c>
      <c r="J336" s="7">
        <v>46196</v>
      </c>
    </row>
    <row r="337" spans="9:10" x14ac:dyDescent="0.25">
      <c r="I337" s="11" t="s">
        <v>542</v>
      </c>
      <c r="J337" s="7">
        <v>46196</v>
      </c>
    </row>
    <row r="338" spans="9:10" x14ac:dyDescent="0.25">
      <c r="I338" s="11" t="s">
        <v>15</v>
      </c>
      <c r="J338" s="7">
        <v>46058</v>
      </c>
    </row>
    <row r="339" spans="9:10" x14ac:dyDescent="0.25">
      <c r="I339" s="11" t="s">
        <v>16</v>
      </c>
      <c r="J339" s="7">
        <v>46064</v>
      </c>
    </row>
    <row r="340" spans="9:10" x14ac:dyDescent="0.25">
      <c r="I340" s="11" t="s">
        <v>20</v>
      </c>
      <c r="J340" s="7">
        <v>46100</v>
      </c>
    </row>
    <row r="341" spans="9:10" x14ac:dyDescent="0.25">
      <c r="I341" s="11" t="s">
        <v>21</v>
      </c>
      <c r="J341" s="7">
        <v>46092</v>
      </c>
    </row>
    <row r="342" spans="9:10" x14ac:dyDescent="0.25">
      <c r="I342" s="11" t="s">
        <v>41</v>
      </c>
      <c r="J342" s="7">
        <v>46064</v>
      </c>
    </row>
    <row r="343" spans="9:10" x14ac:dyDescent="0.25">
      <c r="I343" s="11" t="s">
        <v>93</v>
      </c>
      <c r="J343" s="7">
        <v>46134</v>
      </c>
    </row>
    <row r="344" spans="9:10" x14ac:dyDescent="0.25">
      <c r="I344" s="11" t="s">
        <v>97</v>
      </c>
      <c r="J344" s="7">
        <v>46134</v>
      </c>
    </row>
    <row r="345" spans="9:10" x14ac:dyDescent="0.25">
      <c r="I345" s="11" t="s">
        <v>100</v>
      </c>
      <c r="J345" s="7">
        <v>46134</v>
      </c>
    </row>
    <row r="346" spans="9:10" x14ac:dyDescent="0.25">
      <c r="I346" s="11" t="s">
        <v>104</v>
      </c>
      <c r="J346" s="7">
        <v>46170</v>
      </c>
    </row>
    <row r="347" spans="9:10" x14ac:dyDescent="0.25">
      <c r="I347" s="11" t="s">
        <v>105</v>
      </c>
      <c r="J347" s="7">
        <v>46108</v>
      </c>
    </row>
    <row r="348" spans="9:10" x14ac:dyDescent="0.25">
      <c r="I348" s="11" t="s">
        <v>106</v>
      </c>
      <c r="J348" s="7">
        <v>46134</v>
      </c>
    </row>
    <row r="349" spans="9:10" x14ac:dyDescent="0.25">
      <c r="I349" s="11" t="s">
        <v>108</v>
      </c>
      <c r="J349" s="7">
        <v>46139</v>
      </c>
    </row>
    <row r="350" spans="9:10" x14ac:dyDescent="0.25">
      <c r="I350" s="11" t="s">
        <v>111</v>
      </c>
      <c r="J350" s="7">
        <v>46163</v>
      </c>
    </row>
    <row r="351" spans="9:10" x14ac:dyDescent="0.25">
      <c r="I351" s="11" t="s">
        <v>112</v>
      </c>
      <c r="J351" s="7">
        <v>46134</v>
      </c>
    </row>
    <row r="352" spans="9:10" x14ac:dyDescent="0.25">
      <c r="I352" s="11" t="s">
        <v>113</v>
      </c>
      <c r="J352" s="7">
        <v>46134</v>
      </c>
    </row>
    <row r="353" spans="9:10" x14ac:dyDescent="0.25">
      <c r="I353" s="11" t="s">
        <v>114</v>
      </c>
      <c r="J353" s="7">
        <v>46163</v>
      </c>
    </row>
    <row r="354" spans="9:10" x14ac:dyDescent="0.25">
      <c r="I354" s="11" t="s">
        <v>115</v>
      </c>
      <c r="J354" s="7">
        <v>46134</v>
      </c>
    </row>
    <row r="355" spans="9:10" x14ac:dyDescent="0.25">
      <c r="I355" s="11" t="s">
        <v>118</v>
      </c>
      <c r="J355" s="7">
        <v>46163</v>
      </c>
    </row>
    <row r="356" spans="9:10" x14ac:dyDescent="0.25">
      <c r="I356" s="11" t="s">
        <v>121</v>
      </c>
      <c r="J356" s="7">
        <v>46163</v>
      </c>
    </row>
    <row r="357" spans="9:10" x14ac:dyDescent="0.25">
      <c r="I357" s="11" t="s">
        <v>1175</v>
      </c>
      <c r="J357" s="7">
        <v>46241</v>
      </c>
    </row>
    <row r="358" spans="9:10" x14ac:dyDescent="0.25">
      <c r="I358" s="11" t="s">
        <v>1179</v>
      </c>
      <c r="J358" s="7">
        <v>46241</v>
      </c>
    </row>
    <row r="359" spans="9:10" x14ac:dyDescent="0.25">
      <c r="I359" s="11" t="s">
        <v>1182</v>
      </c>
      <c r="J359" s="7">
        <v>46224</v>
      </c>
    </row>
    <row r="360" spans="9:10" x14ac:dyDescent="0.25">
      <c r="I360" s="11" t="s">
        <v>1184</v>
      </c>
      <c r="J360" s="7">
        <v>46226</v>
      </c>
    </row>
    <row r="361" spans="9:10" x14ac:dyDescent="0.25">
      <c r="I361" s="11" t="s">
        <v>1188</v>
      </c>
      <c r="J361" s="7">
        <v>46226</v>
      </c>
    </row>
    <row r="362" spans="9:10" x14ac:dyDescent="0.25">
      <c r="I362" s="11" t="s">
        <v>1193</v>
      </c>
      <c r="J362" s="7">
        <v>46241</v>
      </c>
    </row>
    <row r="363" spans="9:10" x14ac:dyDescent="0.25">
      <c r="I363" s="11" t="s">
        <v>1196</v>
      </c>
      <c r="J363" s="7">
        <v>46241</v>
      </c>
    </row>
    <row r="364" spans="9:10" x14ac:dyDescent="0.25">
      <c r="I364" s="11" t="s">
        <v>1197</v>
      </c>
      <c r="J364" s="7">
        <v>46241</v>
      </c>
    </row>
    <row r="365" spans="9:10" x14ac:dyDescent="0.25">
      <c r="I365" s="11" t="s">
        <v>1201</v>
      </c>
      <c r="J365" s="7">
        <v>46241</v>
      </c>
    </row>
    <row r="366" spans="9:10" x14ac:dyDescent="0.25">
      <c r="I366" s="11" t="s">
        <v>1203</v>
      </c>
      <c r="J366" s="7">
        <v>46241</v>
      </c>
    </row>
    <row r="367" spans="9:10" x14ac:dyDescent="0.25">
      <c r="I367" s="11" t="s">
        <v>42</v>
      </c>
      <c r="J367" s="7">
        <v>46065</v>
      </c>
    </row>
    <row r="368" spans="9:10" x14ac:dyDescent="0.25">
      <c r="I368" s="11" t="s">
        <v>43</v>
      </c>
      <c r="J368" s="7">
        <v>46077</v>
      </c>
    </row>
    <row r="369" spans="9:10" x14ac:dyDescent="0.25">
      <c r="I369" s="11" t="s">
        <v>44</v>
      </c>
      <c r="J369" s="7">
        <v>46066</v>
      </c>
    </row>
    <row r="370" spans="9:10" x14ac:dyDescent="0.25">
      <c r="I370" s="11" t="s">
        <v>45</v>
      </c>
      <c r="J370" s="7">
        <v>46066</v>
      </c>
    </row>
    <row r="371" spans="9:10" x14ac:dyDescent="0.25">
      <c r="I371" s="11" t="s">
        <v>46</v>
      </c>
      <c r="J371" s="7">
        <v>46066</v>
      </c>
    </row>
    <row r="372" spans="9:10" x14ac:dyDescent="0.25">
      <c r="I372" s="11" t="s">
        <v>48</v>
      </c>
      <c r="J372" s="7">
        <v>46104</v>
      </c>
    </row>
    <row r="373" spans="9:10" x14ac:dyDescent="0.25">
      <c r="I373" s="11" t="s">
        <v>49</v>
      </c>
      <c r="J373" s="7">
        <v>46085</v>
      </c>
    </row>
    <row r="374" spans="9:10" x14ac:dyDescent="0.25">
      <c r="I374" s="11" t="s">
        <v>50</v>
      </c>
      <c r="J374" s="7">
        <v>46080</v>
      </c>
    </row>
    <row r="375" spans="9:10" x14ac:dyDescent="0.25">
      <c r="I375" s="11" t="s">
        <v>51</v>
      </c>
      <c r="J375" s="7">
        <v>46101</v>
      </c>
    </row>
    <row r="376" spans="9:10" x14ac:dyDescent="0.25">
      <c r="I376" s="11" t="s">
        <v>52</v>
      </c>
      <c r="J376" s="7">
        <v>46080</v>
      </c>
    </row>
    <row r="377" spans="9:10" x14ac:dyDescent="0.25">
      <c r="I377" s="11" t="s">
        <v>53</v>
      </c>
      <c r="J377" s="7">
        <v>46085</v>
      </c>
    </row>
    <row r="378" spans="9:10" x14ac:dyDescent="0.25">
      <c r="I378" s="11" t="s">
        <v>54</v>
      </c>
      <c r="J378" s="7">
        <v>46086</v>
      </c>
    </row>
    <row r="379" spans="9:10" x14ac:dyDescent="0.25">
      <c r="I379" s="11" t="s">
        <v>55</v>
      </c>
      <c r="J379" s="7">
        <v>46080</v>
      </c>
    </row>
    <row r="380" spans="9:10" x14ac:dyDescent="0.25">
      <c r="I380" s="11" t="s">
        <v>56</v>
      </c>
      <c r="J380" s="7">
        <v>46119</v>
      </c>
    </row>
    <row r="381" spans="9:10" x14ac:dyDescent="0.25">
      <c r="I381" s="11" t="s">
        <v>57</v>
      </c>
      <c r="J381" s="7">
        <v>46097</v>
      </c>
    </row>
    <row r="382" spans="9:10" x14ac:dyDescent="0.25">
      <c r="I382" s="11" t="s">
        <v>58</v>
      </c>
      <c r="J382" s="7">
        <v>46104</v>
      </c>
    </row>
    <row r="383" spans="9:10" x14ac:dyDescent="0.25">
      <c r="I383" s="11" t="s">
        <v>59</v>
      </c>
      <c r="J383" s="7">
        <v>46093</v>
      </c>
    </row>
    <row r="384" spans="9:10" x14ac:dyDescent="0.25">
      <c r="I384" s="11" t="s">
        <v>60</v>
      </c>
      <c r="J384" s="7">
        <v>46119</v>
      </c>
    </row>
    <row r="385" spans="9:10" x14ac:dyDescent="0.25">
      <c r="I385" s="11" t="s">
        <v>61</v>
      </c>
      <c r="J385" s="7">
        <v>46119</v>
      </c>
    </row>
    <row r="386" spans="9:10" x14ac:dyDescent="0.25">
      <c r="I386" s="11" t="s">
        <v>62</v>
      </c>
      <c r="J386" s="7">
        <v>46119</v>
      </c>
    </row>
    <row r="387" spans="9:10" x14ac:dyDescent="0.25">
      <c r="I387" s="11" t="s">
        <v>122</v>
      </c>
      <c r="J387" s="7">
        <v>46164</v>
      </c>
    </row>
    <row r="388" spans="9:10" x14ac:dyDescent="0.25">
      <c r="I388" s="11" t="s">
        <v>123</v>
      </c>
      <c r="J388" s="7">
        <v>46155</v>
      </c>
    </row>
    <row r="389" spans="9:10" x14ac:dyDescent="0.25">
      <c r="I389" s="11" t="s">
        <v>124</v>
      </c>
      <c r="J389" s="7">
        <v>46155</v>
      </c>
    </row>
    <row r="390" spans="9:10" x14ac:dyDescent="0.25">
      <c r="I390" s="11" t="s">
        <v>125</v>
      </c>
      <c r="J390" s="7">
        <v>46161</v>
      </c>
    </row>
    <row r="391" spans="9:10" x14ac:dyDescent="0.25">
      <c r="I391" s="11" t="s">
        <v>126</v>
      </c>
      <c r="J391" s="7">
        <v>46150</v>
      </c>
    </row>
    <row r="392" spans="9:10" x14ac:dyDescent="0.25">
      <c r="I392" s="11" t="s">
        <v>127</v>
      </c>
      <c r="J392" s="7">
        <v>46150</v>
      </c>
    </row>
    <row r="393" spans="9:10" x14ac:dyDescent="0.25">
      <c r="I393" s="11" t="s">
        <v>128</v>
      </c>
      <c r="J393" s="7">
        <v>46150</v>
      </c>
    </row>
    <row r="394" spans="9:10" x14ac:dyDescent="0.25">
      <c r="I394" s="11" t="s">
        <v>129</v>
      </c>
      <c r="J394" s="7">
        <v>46150</v>
      </c>
    </row>
    <row r="395" spans="9:10" x14ac:dyDescent="0.25">
      <c r="I395" s="11" t="s">
        <v>130</v>
      </c>
      <c r="J395" s="7">
        <v>46162</v>
      </c>
    </row>
    <row r="396" spans="9:10" x14ac:dyDescent="0.25">
      <c r="I396" s="11" t="s">
        <v>131</v>
      </c>
      <c r="J396" s="7">
        <v>46156</v>
      </c>
    </row>
    <row r="397" spans="9:10" x14ac:dyDescent="0.25">
      <c r="I397" s="11" t="s">
        <v>132</v>
      </c>
      <c r="J397" s="7">
        <v>46155</v>
      </c>
    </row>
    <row r="398" spans="9:10" x14ac:dyDescent="0.25">
      <c r="I398" s="11" t="s">
        <v>133</v>
      </c>
      <c r="J398" s="7">
        <v>46156</v>
      </c>
    </row>
    <row r="399" spans="9:10" x14ac:dyDescent="0.25">
      <c r="I399" s="11" t="s">
        <v>134</v>
      </c>
      <c r="J399" s="7">
        <v>46155</v>
      </c>
    </row>
    <row r="400" spans="9:10" x14ac:dyDescent="0.25">
      <c r="I400" s="11" t="s">
        <v>135</v>
      </c>
      <c r="J400" s="7">
        <v>46155</v>
      </c>
    </row>
    <row r="401" spans="9:10" x14ac:dyDescent="0.25">
      <c r="I401" s="11" t="s">
        <v>136</v>
      </c>
      <c r="J401" s="7">
        <v>46164</v>
      </c>
    </row>
    <row r="402" spans="9:10" x14ac:dyDescent="0.25">
      <c r="I402" s="11" t="s">
        <v>958</v>
      </c>
      <c r="J402" s="7">
        <v>46185</v>
      </c>
    </row>
    <row r="403" spans="9:10" x14ac:dyDescent="0.25">
      <c r="I403" s="11" t="s">
        <v>959</v>
      </c>
      <c r="J403" s="7">
        <v>46185</v>
      </c>
    </row>
    <row r="404" spans="9:10" x14ac:dyDescent="0.25">
      <c r="I404" s="11" t="s">
        <v>960</v>
      </c>
      <c r="J404" s="7">
        <v>46185</v>
      </c>
    </row>
    <row r="405" spans="9:10" x14ac:dyDescent="0.25">
      <c r="I405" s="11" t="s">
        <v>961</v>
      </c>
      <c r="J405" s="7">
        <v>46185</v>
      </c>
    </row>
    <row r="406" spans="9:10" x14ac:dyDescent="0.25">
      <c r="I406" s="11" t="s">
        <v>962</v>
      </c>
      <c r="J406" s="7">
        <v>46185</v>
      </c>
    </row>
    <row r="407" spans="9:10" x14ac:dyDescent="0.25">
      <c r="I407" s="11" t="s">
        <v>963</v>
      </c>
      <c r="J407" s="7">
        <v>46192</v>
      </c>
    </row>
    <row r="408" spans="9:10" x14ac:dyDescent="0.25">
      <c r="I408" s="11" t="s">
        <v>964</v>
      </c>
      <c r="J408" s="7">
        <v>46196</v>
      </c>
    </row>
    <row r="409" spans="9:10" x14ac:dyDescent="0.25">
      <c r="I409" s="11" t="s">
        <v>965</v>
      </c>
      <c r="J409" s="7">
        <v>46192</v>
      </c>
    </row>
    <row r="410" spans="9:10" x14ac:dyDescent="0.25">
      <c r="I410" s="11" t="s">
        <v>966</v>
      </c>
      <c r="J410" s="7">
        <v>46185</v>
      </c>
    </row>
    <row r="411" spans="9:10" x14ac:dyDescent="0.25">
      <c r="I411" s="11" t="s">
        <v>967</v>
      </c>
      <c r="J411" s="7">
        <v>46196</v>
      </c>
    </row>
    <row r="412" spans="9:10" x14ac:dyDescent="0.25">
      <c r="I412" s="11" t="s">
        <v>968</v>
      </c>
      <c r="J412" s="7">
        <v>46188</v>
      </c>
    </row>
    <row r="413" spans="9:10" x14ac:dyDescent="0.25">
      <c r="I413" s="11" t="s">
        <v>969</v>
      </c>
      <c r="J413" s="7">
        <v>46191</v>
      </c>
    </row>
    <row r="414" spans="9:10" x14ac:dyDescent="0.25">
      <c r="I414" s="11" t="s">
        <v>970</v>
      </c>
      <c r="J414" s="7">
        <v>46197</v>
      </c>
    </row>
    <row r="415" spans="9:10" x14ac:dyDescent="0.25">
      <c r="I415" s="11" t="s">
        <v>971</v>
      </c>
      <c r="J415" s="7">
        <v>46197</v>
      </c>
    </row>
    <row r="416" spans="9:10" x14ac:dyDescent="0.25">
      <c r="I416" s="11" t="s">
        <v>972</v>
      </c>
      <c r="J416" s="7">
        <v>46204</v>
      </c>
    </row>
    <row r="417" spans="9:10" x14ac:dyDescent="0.25">
      <c r="I417" s="11" t="s">
        <v>973</v>
      </c>
      <c r="J417" s="7">
        <v>46192</v>
      </c>
    </row>
    <row r="418" spans="9:10" x14ac:dyDescent="0.25">
      <c r="I418" s="11" t="s">
        <v>975</v>
      </c>
      <c r="J418" s="7">
        <v>46196</v>
      </c>
    </row>
    <row r="419" spans="9:10" x14ac:dyDescent="0.25">
      <c r="I419" s="11" t="s">
        <v>976</v>
      </c>
      <c r="J419" s="7">
        <v>46199</v>
      </c>
    </row>
    <row r="420" spans="9:10" x14ac:dyDescent="0.25">
      <c r="I420" s="11" t="s">
        <v>977</v>
      </c>
      <c r="J420" s="7">
        <v>46199</v>
      </c>
    </row>
    <row r="421" spans="9:10" x14ac:dyDescent="0.25">
      <c r="I421" s="11" t="s">
        <v>978</v>
      </c>
      <c r="J421" s="7">
        <v>46198</v>
      </c>
    </row>
    <row r="422" spans="9:10" x14ac:dyDescent="0.25">
      <c r="I422" s="11" t="s">
        <v>979</v>
      </c>
      <c r="J422" s="7">
        <v>46202</v>
      </c>
    </row>
    <row r="423" spans="9:10" x14ac:dyDescent="0.25">
      <c r="I423" s="11" t="s">
        <v>980</v>
      </c>
      <c r="J423" s="7">
        <v>46238</v>
      </c>
    </row>
    <row r="424" spans="9:10" x14ac:dyDescent="0.25">
      <c r="I424" s="11" t="s">
        <v>981</v>
      </c>
      <c r="J424" s="7">
        <v>46203</v>
      </c>
    </row>
    <row r="425" spans="9:10" x14ac:dyDescent="0.25">
      <c r="I425" s="11" t="s">
        <v>982</v>
      </c>
      <c r="J425" s="7">
        <v>46203</v>
      </c>
    </row>
    <row r="426" spans="9:10" x14ac:dyDescent="0.25">
      <c r="I426" s="11" t="s">
        <v>983</v>
      </c>
      <c r="J426" s="7">
        <v>46202</v>
      </c>
    </row>
    <row r="427" spans="9:10" x14ac:dyDescent="0.25">
      <c r="I427" s="11" t="s">
        <v>984</v>
      </c>
      <c r="J427" s="7">
        <v>46203</v>
      </c>
    </row>
    <row r="428" spans="9:10" x14ac:dyDescent="0.25">
      <c r="I428" s="11" t="s">
        <v>985</v>
      </c>
      <c r="J428" s="7">
        <v>46255</v>
      </c>
    </row>
    <row r="429" spans="9:10" x14ac:dyDescent="0.25">
      <c r="I429" s="11" t="s">
        <v>986</v>
      </c>
      <c r="J429" s="7">
        <v>46216</v>
      </c>
    </row>
    <row r="430" spans="9:10" x14ac:dyDescent="0.25">
      <c r="I430" s="11" t="s">
        <v>987</v>
      </c>
      <c r="J430" s="7">
        <v>46213</v>
      </c>
    </row>
    <row r="431" spans="9:10" x14ac:dyDescent="0.25">
      <c r="I431" s="11" t="s">
        <v>3743</v>
      </c>
      <c r="J431" s="7">
        <v>46261</v>
      </c>
    </row>
    <row r="432" spans="9:10" x14ac:dyDescent="0.25">
      <c r="I432" s="11" t="s">
        <v>1224</v>
      </c>
      <c r="J432" s="7">
        <v>46216</v>
      </c>
    </row>
    <row r="433" spans="9:10" x14ac:dyDescent="0.25">
      <c r="I433" s="11" t="s">
        <v>1225</v>
      </c>
      <c r="J433" s="7">
        <v>46216</v>
      </c>
    </row>
    <row r="434" spans="9:10" x14ac:dyDescent="0.25">
      <c r="I434" s="11" t="s">
        <v>1226</v>
      </c>
      <c r="J434" s="7">
        <v>46226</v>
      </c>
    </row>
    <row r="435" spans="9:10" x14ac:dyDescent="0.25">
      <c r="I435" s="11" t="s">
        <v>1227</v>
      </c>
      <c r="J435" s="7">
        <v>46220</v>
      </c>
    </row>
    <row r="436" spans="9:10" x14ac:dyDescent="0.25">
      <c r="I436" s="11" t="s">
        <v>1228</v>
      </c>
      <c r="J436" s="7">
        <v>46220</v>
      </c>
    </row>
    <row r="437" spans="9:10" x14ac:dyDescent="0.25">
      <c r="I437" s="11" t="s">
        <v>1229</v>
      </c>
      <c r="J437" s="7">
        <v>46220</v>
      </c>
    </row>
    <row r="438" spans="9:10" x14ac:dyDescent="0.25">
      <c r="I438" s="11" t="s">
        <v>1230</v>
      </c>
      <c r="J438" s="7">
        <v>46253</v>
      </c>
    </row>
    <row r="439" spans="9:10" x14ac:dyDescent="0.25">
      <c r="I439" s="11" t="s">
        <v>1231</v>
      </c>
      <c r="J439" s="7">
        <v>46224</v>
      </c>
    </row>
    <row r="440" spans="9:10" x14ac:dyDescent="0.25">
      <c r="I440" s="11" t="s">
        <v>1232</v>
      </c>
      <c r="J440" s="7">
        <v>46224</v>
      </c>
    </row>
    <row r="441" spans="9:10" x14ac:dyDescent="0.25">
      <c r="I441" s="11" t="s">
        <v>1233</v>
      </c>
      <c r="J441" s="7">
        <v>46224</v>
      </c>
    </row>
    <row r="442" spans="9:10" x14ac:dyDescent="0.25">
      <c r="I442" s="11" t="s">
        <v>1234</v>
      </c>
      <c r="J442" s="7">
        <v>46220</v>
      </c>
    </row>
    <row r="443" spans="9:10" x14ac:dyDescent="0.25">
      <c r="I443" s="11" t="s">
        <v>1235</v>
      </c>
      <c r="J443" s="7">
        <v>46255</v>
      </c>
    </row>
    <row r="444" spans="9:10" x14ac:dyDescent="0.25">
      <c r="I444" s="11" t="s">
        <v>1236</v>
      </c>
      <c r="J444" s="7">
        <v>46255</v>
      </c>
    </row>
    <row r="445" spans="9:10" x14ac:dyDescent="0.25">
      <c r="I445" s="11" t="s">
        <v>1237</v>
      </c>
      <c r="J445" s="7">
        <v>46220</v>
      </c>
    </row>
    <row r="446" spans="9:10" x14ac:dyDescent="0.25">
      <c r="I446" s="11" t="s">
        <v>1238</v>
      </c>
      <c r="J446" s="7">
        <v>46223</v>
      </c>
    </row>
    <row r="447" spans="9:10" x14ac:dyDescent="0.25">
      <c r="I447" s="11" t="s">
        <v>1239</v>
      </c>
      <c r="J447" s="7">
        <v>46245</v>
      </c>
    </row>
    <row r="448" spans="9:10" x14ac:dyDescent="0.25">
      <c r="I448" s="11" t="s">
        <v>1240</v>
      </c>
      <c r="J448" s="7">
        <v>46227</v>
      </c>
    </row>
    <row r="449" spans="9:10" x14ac:dyDescent="0.25">
      <c r="I449" s="11" t="s">
        <v>1241</v>
      </c>
      <c r="J449" s="7">
        <v>46225</v>
      </c>
    </row>
    <row r="450" spans="9:10" x14ac:dyDescent="0.25">
      <c r="I450" s="11" t="s">
        <v>1242</v>
      </c>
      <c r="J450" s="7">
        <v>46226</v>
      </c>
    </row>
    <row r="451" spans="9:10" x14ac:dyDescent="0.25">
      <c r="I451" s="11" t="s">
        <v>1243</v>
      </c>
      <c r="J451" s="7">
        <v>46245</v>
      </c>
    </row>
    <row r="452" spans="9:10" x14ac:dyDescent="0.25">
      <c r="I452" s="11" t="s">
        <v>1244</v>
      </c>
      <c r="J452" s="7">
        <v>46255</v>
      </c>
    </row>
    <row r="453" spans="9:10" x14ac:dyDescent="0.25">
      <c r="I453" s="11" t="s">
        <v>1245</v>
      </c>
      <c r="J453" s="7">
        <v>46255</v>
      </c>
    </row>
    <row r="454" spans="9:10" x14ac:dyDescent="0.25">
      <c r="I454" s="11" t="s">
        <v>1246</v>
      </c>
      <c r="J454" s="7">
        <v>46224</v>
      </c>
    </row>
    <row r="455" spans="9:10" x14ac:dyDescent="0.25">
      <c r="I455" s="11" t="s">
        <v>1247</v>
      </c>
      <c r="J455" s="7">
        <v>46230</v>
      </c>
    </row>
    <row r="456" spans="9:10" x14ac:dyDescent="0.25">
      <c r="I456" s="11" t="s">
        <v>1248</v>
      </c>
      <c r="J456" s="7">
        <v>46227</v>
      </c>
    </row>
    <row r="457" spans="9:10" x14ac:dyDescent="0.25">
      <c r="I457" s="11" t="s">
        <v>1249</v>
      </c>
      <c r="J457" s="7">
        <v>46224</v>
      </c>
    </row>
    <row r="458" spans="9:10" x14ac:dyDescent="0.25">
      <c r="I458" s="11" t="s">
        <v>1250</v>
      </c>
      <c r="J458" s="7">
        <v>46226</v>
      </c>
    </row>
    <row r="459" spans="9:10" x14ac:dyDescent="0.25">
      <c r="I459" s="11" t="s">
        <v>1251</v>
      </c>
      <c r="J459" s="7">
        <v>46245</v>
      </c>
    </row>
    <row r="460" spans="9:10" x14ac:dyDescent="0.25">
      <c r="I460" s="11" t="s">
        <v>1253</v>
      </c>
      <c r="J460" s="7">
        <v>46254</v>
      </c>
    </row>
    <row r="461" spans="9:10" x14ac:dyDescent="0.25">
      <c r="I461" s="11" t="s">
        <v>1254</v>
      </c>
      <c r="J461" s="7">
        <v>46253</v>
      </c>
    </row>
    <row r="462" spans="9:10" x14ac:dyDescent="0.25">
      <c r="I462" s="11" t="s">
        <v>1255</v>
      </c>
      <c r="J462" s="7">
        <v>46226</v>
      </c>
    </row>
    <row r="463" spans="9:10" x14ac:dyDescent="0.25">
      <c r="I463" s="11" t="s">
        <v>1256</v>
      </c>
      <c r="J463" s="7">
        <v>46230</v>
      </c>
    </row>
    <row r="464" spans="9:10" x14ac:dyDescent="0.25">
      <c r="I464" s="11" t="s">
        <v>1257</v>
      </c>
      <c r="J464" s="7">
        <v>46260</v>
      </c>
    </row>
    <row r="465" spans="9:10" x14ac:dyDescent="0.25">
      <c r="I465" s="11" t="s">
        <v>1258</v>
      </c>
      <c r="J465" s="7">
        <v>46227</v>
      </c>
    </row>
    <row r="466" spans="9:10" x14ac:dyDescent="0.25">
      <c r="I466" s="11" t="s">
        <v>1260</v>
      </c>
      <c r="J466" s="7">
        <v>46251</v>
      </c>
    </row>
    <row r="467" spans="9:10" x14ac:dyDescent="0.25">
      <c r="I467" s="11" t="s">
        <v>1262</v>
      </c>
      <c r="J467" s="7">
        <v>46226</v>
      </c>
    </row>
    <row r="468" spans="9:10" x14ac:dyDescent="0.25">
      <c r="I468" s="11" t="s">
        <v>1265</v>
      </c>
      <c r="J468" s="7">
        <v>46262</v>
      </c>
    </row>
    <row r="469" spans="9:10" x14ac:dyDescent="0.25">
      <c r="I469" s="11" t="s">
        <v>1266</v>
      </c>
      <c r="J469" s="7">
        <v>46251</v>
      </c>
    </row>
    <row r="470" spans="9:10" x14ac:dyDescent="0.25">
      <c r="I470" s="11" t="s">
        <v>1267</v>
      </c>
      <c r="J470" s="7">
        <v>46253</v>
      </c>
    </row>
    <row r="471" spans="9:10" x14ac:dyDescent="0.25">
      <c r="I471" s="11" t="s">
        <v>1269</v>
      </c>
      <c r="J471" s="7">
        <v>46253</v>
      </c>
    </row>
    <row r="472" spans="9:10" x14ac:dyDescent="0.25">
      <c r="I472" s="11" t="s">
        <v>545</v>
      </c>
      <c r="J472" s="7">
        <v>46170</v>
      </c>
    </row>
    <row r="473" spans="9:10" x14ac:dyDescent="0.25">
      <c r="I473" s="11" t="s">
        <v>546</v>
      </c>
      <c r="J473" s="7">
        <v>46177</v>
      </c>
    </row>
    <row r="474" spans="9:10" x14ac:dyDescent="0.25">
      <c r="I474" s="11" t="s">
        <v>547</v>
      </c>
      <c r="J474" s="7">
        <v>46170</v>
      </c>
    </row>
    <row r="475" spans="9:10" x14ac:dyDescent="0.25">
      <c r="I475" s="11" t="s">
        <v>548</v>
      </c>
      <c r="J475" s="7">
        <v>46170</v>
      </c>
    </row>
    <row r="476" spans="9:10" x14ac:dyDescent="0.25">
      <c r="I476" s="11" t="s">
        <v>549</v>
      </c>
      <c r="J476" s="7">
        <v>46177</v>
      </c>
    </row>
    <row r="477" spans="9:10" x14ac:dyDescent="0.25">
      <c r="I477" s="11" t="s">
        <v>550</v>
      </c>
      <c r="J477" s="7">
        <v>46171</v>
      </c>
    </row>
    <row r="478" spans="9:10" x14ac:dyDescent="0.25">
      <c r="I478" s="11" t="s">
        <v>551</v>
      </c>
      <c r="J478" s="7">
        <v>46171</v>
      </c>
    </row>
    <row r="479" spans="9:10" x14ac:dyDescent="0.25">
      <c r="I479" s="11" t="s">
        <v>552</v>
      </c>
      <c r="J479" s="7">
        <v>46170</v>
      </c>
    </row>
    <row r="480" spans="9:10" x14ac:dyDescent="0.25">
      <c r="I480" s="11" t="s">
        <v>553</v>
      </c>
      <c r="J480" s="7">
        <v>46171</v>
      </c>
    </row>
    <row r="481" spans="9:10" x14ac:dyDescent="0.25">
      <c r="I481" s="11" t="s">
        <v>554</v>
      </c>
      <c r="J481" s="7">
        <v>46171</v>
      </c>
    </row>
    <row r="482" spans="9:10" x14ac:dyDescent="0.25">
      <c r="I482" s="11" t="s">
        <v>555</v>
      </c>
      <c r="J482" s="7">
        <v>46191</v>
      </c>
    </row>
    <row r="483" spans="9:10" x14ac:dyDescent="0.25">
      <c r="I483" s="11" t="s">
        <v>211</v>
      </c>
      <c r="J483" s="7">
        <v>46157</v>
      </c>
    </row>
    <row r="484" spans="9:10" x14ac:dyDescent="0.25">
      <c r="I484" s="11" t="s">
        <v>214</v>
      </c>
      <c r="J484" s="7">
        <v>46157</v>
      </c>
    </row>
    <row r="485" spans="9:10" x14ac:dyDescent="0.25">
      <c r="I485" s="11" t="s">
        <v>215</v>
      </c>
      <c r="J485" s="7">
        <v>46157</v>
      </c>
    </row>
    <row r="486" spans="9:10" x14ac:dyDescent="0.25">
      <c r="I486" s="11" t="s">
        <v>216</v>
      </c>
      <c r="J486" s="7">
        <v>46157</v>
      </c>
    </row>
    <row r="487" spans="9:10" x14ac:dyDescent="0.25">
      <c r="I487" s="11" t="s">
        <v>217</v>
      </c>
      <c r="J487" s="7">
        <v>46157</v>
      </c>
    </row>
    <row r="488" spans="9:10" x14ac:dyDescent="0.25">
      <c r="I488" s="11" t="s">
        <v>218</v>
      </c>
      <c r="J488" s="7">
        <v>46174</v>
      </c>
    </row>
    <row r="489" spans="9:10" x14ac:dyDescent="0.25">
      <c r="I489" s="11" t="s">
        <v>219</v>
      </c>
      <c r="J489" s="7">
        <v>46157</v>
      </c>
    </row>
    <row r="490" spans="9:10" x14ac:dyDescent="0.25">
      <c r="I490" s="11" t="s">
        <v>220</v>
      </c>
      <c r="J490" s="7">
        <v>46174</v>
      </c>
    </row>
    <row r="491" spans="9:10" x14ac:dyDescent="0.25">
      <c r="I491" s="11" t="s">
        <v>221</v>
      </c>
      <c r="J491" s="7">
        <v>46174</v>
      </c>
    </row>
    <row r="492" spans="9:10" x14ac:dyDescent="0.25">
      <c r="I492" s="11" t="s">
        <v>222</v>
      </c>
      <c r="J492" s="7">
        <v>46174</v>
      </c>
    </row>
    <row r="493" spans="9:10" x14ac:dyDescent="0.25">
      <c r="I493" s="11" t="s">
        <v>223</v>
      </c>
      <c r="J493" s="7">
        <v>46174</v>
      </c>
    </row>
    <row r="494" spans="9:10" x14ac:dyDescent="0.25">
      <c r="I494" s="11" t="s">
        <v>224</v>
      </c>
      <c r="J494" s="7">
        <v>46174</v>
      </c>
    </row>
    <row r="495" spans="9:10" x14ac:dyDescent="0.25">
      <c r="I495" s="11" t="s">
        <v>226</v>
      </c>
      <c r="J495" s="7">
        <v>46157</v>
      </c>
    </row>
    <row r="496" spans="9:10" x14ac:dyDescent="0.25">
      <c r="I496" s="11" t="s">
        <v>227</v>
      </c>
      <c r="J496" s="7">
        <v>46157</v>
      </c>
    </row>
    <row r="497" spans="9:10" x14ac:dyDescent="0.25">
      <c r="I497" s="11" t="s">
        <v>228</v>
      </c>
      <c r="J497" s="7">
        <v>46157</v>
      </c>
    </row>
    <row r="498" spans="9:10" x14ac:dyDescent="0.25">
      <c r="I498" s="11" t="s">
        <v>229</v>
      </c>
      <c r="J498" s="7">
        <v>46157</v>
      </c>
    </row>
    <row r="499" spans="9:10" x14ac:dyDescent="0.25">
      <c r="I499" s="11" t="s">
        <v>230</v>
      </c>
      <c r="J499" s="7">
        <v>46174</v>
      </c>
    </row>
    <row r="500" spans="9:10" x14ac:dyDescent="0.25">
      <c r="I500" s="11" t="s">
        <v>231</v>
      </c>
      <c r="J500" s="7">
        <v>46157</v>
      </c>
    </row>
    <row r="501" spans="9:10" x14ac:dyDescent="0.25">
      <c r="I501" s="11" t="s">
        <v>232</v>
      </c>
      <c r="J501" s="7">
        <v>46174</v>
      </c>
    </row>
    <row r="502" spans="9:10" x14ac:dyDescent="0.25">
      <c r="I502" s="11" t="s">
        <v>233</v>
      </c>
      <c r="J502" s="7">
        <v>46174</v>
      </c>
    </row>
    <row r="503" spans="9:10" x14ac:dyDescent="0.25">
      <c r="I503" s="11" t="s">
        <v>234</v>
      </c>
      <c r="J503" s="7">
        <v>46174</v>
      </c>
    </row>
    <row r="504" spans="9:10" x14ac:dyDescent="0.25">
      <c r="I504" s="11" t="s">
        <v>235</v>
      </c>
      <c r="J504" s="7">
        <v>46174</v>
      </c>
    </row>
    <row r="505" spans="9:10" x14ac:dyDescent="0.25">
      <c r="I505" s="11" t="s">
        <v>236</v>
      </c>
      <c r="J505" s="7">
        <v>46174</v>
      </c>
    </row>
    <row r="506" spans="9:10" x14ac:dyDescent="0.25">
      <c r="I506" s="11" t="s">
        <v>237</v>
      </c>
      <c r="J506" s="7">
        <v>46174</v>
      </c>
    </row>
    <row r="507" spans="9:10" x14ac:dyDescent="0.25">
      <c r="I507" s="11" t="s">
        <v>238</v>
      </c>
      <c r="J507" s="7">
        <v>46157</v>
      </c>
    </row>
    <row r="508" spans="9:10" x14ac:dyDescent="0.25">
      <c r="I508" s="11" t="s">
        <v>2160</v>
      </c>
      <c r="J508" s="7">
        <v>46220</v>
      </c>
    </row>
    <row r="509" spans="9:10" x14ac:dyDescent="0.25">
      <c r="I509" s="11" t="s">
        <v>2161</v>
      </c>
      <c r="J509" s="7">
        <v>46209</v>
      </c>
    </row>
    <row r="510" spans="9:10" x14ac:dyDescent="0.25">
      <c r="I510" s="11" t="s">
        <v>2163</v>
      </c>
      <c r="J510" s="7">
        <v>46220</v>
      </c>
    </row>
    <row r="511" spans="9:10" x14ac:dyDescent="0.25">
      <c r="I511" s="11" t="s">
        <v>2164</v>
      </c>
      <c r="J511" s="7">
        <v>46209</v>
      </c>
    </row>
    <row r="512" spans="9:10" x14ac:dyDescent="0.25">
      <c r="I512" s="11" t="s">
        <v>2167</v>
      </c>
      <c r="J512" s="7">
        <v>46220</v>
      </c>
    </row>
    <row r="513" spans="9:10" x14ac:dyDescent="0.25">
      <c r="I513" s="11" t="s">
        <v>2168</v>
      </c>
      <c r="J513" s="7">
        <v>46220</v>
      </c>
    </row>
    <row r="514" spans="9:10" x14ac:dyDescent="0.25">
      <c r="I514" s="11" t="s">
        <v>2170</v>
      </c>
      <c r="J514" s="7">
        <v>46220</v>
      </c>
    </row>
    <row r="515" spans="9:10" x14ac:dyDescent="0.25">
      <c r="I515" s="11" t="s">
        <v>2171</v>
      </c>
      <c r="J515" s="7">
        <v>46220</v>
      </c>
    </row>
    <row r="516" spans="9:10" x14ac:dyDescent="0.25">
      <c r="I516" s="11" t="s">
        <v>2172</v>
      </c>
      <c r="J516" s="7">
        <v>46220</v>
      </c>
    </row>
    <row r="517" spans="9:10" x14ac:dyDescent="0.25">
      <c r="I517" s="11" t="s">
        <v>2173</v>
      </c>
      <c r="J517" s="7">
        <v>46220</v>
      </c>
    </row>
    <row r="518" spans="9:10" x14ac:dyDescent="0.25">
      <c r="I518" s="11" t="s">
        <v>1422</v>
      </c>
      <c r="J518" s="7">
        <v>46253</v>
      </c>
    </row>
    <row r="519" spans="9:10" x14ac:dyDescent="0.25">
      <c r="I519" s="11" t="s">
        <v>1423</v>
      </c>
      <c r="J519" s="7">
        <v>46261</v>
      </c>
    </row>
    <row r="520" spans="9:10" x14ac:dyDescent="0.25">
      <c r="I520" s="11" t="s">
        <v>1424</v>
      </c>
      <c r="J520" s="7">
        <v>46253</v>
      </c>
    </row>
    <row r="521" spans="9:10" x14ac:dyDescent="0.25">
      <c r="I521" s="11" t="s">
        <v>1425</v>
      </c>
      <c r="J521" s="7">
        <v>46261</v>
      </c>
    </row>
    <row r="522" spans="9:10" x14ac:dyDescent="0.25">
      <c r="I522" s="11" t="s">
        <v>1427</v>
      </c>
      <c r="J522" s="7">
        <v>46253</v>
      </c>
    </row>
    <row r="523" spans="9:10" x14ac:dyDescent="0.25">
      <c r="I523" s="11" t="s">
        <v>1428</v>
      </c>
      <c r="J523" s="7">
        <v>46253</v>
      </c>
    </row>
    <row r="524" spans="9:10" x14ac:dyDescent="0.25">
      <c r="I524" s="11" t="s">
        <v>3439</v>
      </c>
      <c r="J524" s="7">
        <v>46253</v>
      </c>
    </row>
    <row r="525" spans="9:10" x14ac:dyDescent="0.25">
      <c r="I525" s="11" t="s">
        <v>3440</v>
      </c>
      <c r="J525" s="7">
        <v>46253</v>
      </c>
    </row>
    <row r="526" spans="9:10" x14ac:dyDescent="0.25">
      <c r="I526" s="11" t="s">
        <v>3441</v>
      </c>
      <c r="J526" s="7">
        <v>46253</v>
      </c>
    </row>
    <row r="527" spans="9:10" x14ac:dyDescent="0.25">
      <c r="I527" s="11" t="s">
        <v>3442</v>
      </c>
      <c r="J527" s="7">
        <v>46253</v>
      </c>
    </row>
    <row r="528" spans="9:10" x14ac:dyDescent="0.25">
      <c r="I528" s="11" t="s">
        <v>3443</v>
      </c>
      <c r="J528" s="7">
        <v>46253</v>
      </c>
    </row>
    <row r="529" spans="9:10" x14ac:dyDescent="0.25">
      <c r="I529" s="11" t="s">
        <v>3444</v>
      </c>
      <c r="J529" s="7">
        <v>46253</v>
      </c>
    </row>
    <row r="530" spans="9:10" x14ac:dyDescent="0.25">
      <c r="I530" s="11" t="s">
        <v>3445</v>
      </c>
      <c r="J530" s="7">
        <v>46253</v>
      </c>
    </row>
    <row r="531" spans="9:10" x14ac:dyDescent="0.25">
      <c r="I531" s="11" t="s">
        <v>3446</v>
      </c>
      <c r="J531" s="7">
        <v>46253</v>
      </c>
    </row>
    <row r="532" spans="9:10" x14ac:dyDescent="0.25">
      <c r="I532" s="11" t="s">
        <v>3447</v>
      </c>
      <c r="J532" s="7">
        <v>46253</v>
      </c>
    </row>
    <row r="533" spans="9:10" x14ac:dyDescent="0.25">
      <c r="I533" s="11" t="s">
        <v>3448</v>
      </c>
      <c r="J533" s="7">
        <v>46253</v>
      </c>
    </row>
    <row r="534" spans="9:10" x14ac:dyDescent="0.25">
      <c r="I534" s="11" t="s">
        <v>3449</v>
      </c>
      <c r="J534" s="7">
        <v>46253</v>
      </c>
    </row>
    <row r="535" spans="9:10" x14ac:dyDescent="0.25">
      <c r="I535" s="11" t="s">
        <v>1014</v>
      </c>
      <c r="J535" s="7">
        <v>46211</v>
      </c>
    </row>
    <row r="536" spans="9:10" x14ac:dyDescent="0.25">
      <c r="I536" s="11" t="s">
        <v>1034</v>
      </c>
      <c r="J536" s="7">
        <v>46211</v>
      </c>
    </row>
    <row r="537" spans="9:10" x14ac:dyDescent="0.25">
      <c r="I537" s="11" t="s">
        <v>2124</v>
      </c>
      <c r="J537" s="7">
        <v>46226</v>
      </c>
    </row>
    <row r="538" spans="9:10" x14ac:dyDescent="0.25">
      <c r="I538" s="11" t="s">
        <v>2125</v>
      </c>
      <c r="J538" s="7">
        <v>46226</v>
      </c>
    </row>
    <row r="539" spans="9:10" x14ac:dyDescent="0.25">
      <c r="I539" s="11" t="s">
        <v>2126</v>
      </c>
      <c r="J539" s="7">
        <v>46230</v>
      </c>
    </row>
    <row r="540" spans="9:10" x14ac:dyDescent="0.25">
      <c r="I540" s="11" t="s">
        <v>2127</v>
      </c>
      <c r="J540" s="7">
        <v>46226</v>
      </c>
    </row>
    <row r="541" spans="9:10" x14ac:dyDescent="0.25">
      <c r="I541" s="11" t="s">
        <v>2128</v>
      </c>
      <c r="J541" s="7">
        <v>46230</v>
      </c>
    </row>
    <row r="542" spans="9:10" x14ac:dyDescent="0.25">
      <c r="I542" s="11" t="s">
        <v>2129</v>
      </c>
      <c r="J542" s="7">
        <v>46230</v>
      </c>
    </row>
    <row r="543" spans="9:10" x14ac:dyDescent="0.25">
      <c r="I543" s="11" t="s">
        <v>2130</v>
      </c>
      <c r="J543" s="7">
        <v>46226</v>
      </c>
    </row>
    <row r="544" spans="9:10" x14ac:dyDescent="0.25">
      <c r="I544" s="11" t="s">
        <v>2131</v>
      </c>
      <c r="J544" s="7">
        <v>46226</v>
      </c>
    </row>
    <row r="545" spans="9:10" x14ac:dyDescent="0.25">
      <c r="I545" s="11" t="s">
        <v>2132</v>
      </c>
      <c r="J545" s="7">
        <v>46226</v>
      </c>
    </row>
    <row r="546" spans="9:10" x14ac:dyDescent="0.25">
      <c r="I546" s="11" t="s">
        <v>2133</v>
      </c>
      <c r="J546" s="7">
        <v>46230</v>
      </c>
    </row>
    <row r="547" spans="9:10" x14ac:dyDescent="0.25">
      <c r="I547" s="11" t="s">
        <v>2135</v>
      </c>
      <c r="J547" s="7">
        <v>46226</v>
      </c>
    </row>
    <row r="548" spans="9:10" x14ac:dyDescent="0.25">
      <c r="I548" s="11" t="s">
        <v>2136</v>
      </c>
      <c r="J548" s="7">
        <v>46226</v>
      </c>
    </row>
    <row r="549" spans="9:10" x14ac:dyDescent="0.25">
      <c r="I549" s="11" t="s">
        <v>2137</v>
      </c>
      <c r="J549" s="7">
        <v>46226</v>
      </c>
    </row>
    <row r="550" spans="9:10" x14ac:dyDescent="0.25">
      <c r="I550" s="11" t="s">
        <v>2138</v>
      </c>
      <c r="J550" s="7">
        <v>46226</v>
      </c>
    </row>
    <row r="551" spans="9:10" x14ac:dyDescent="0.25">
      <c r="I551" s="11" t="s">
        <v>2139</v>
      </c>
      <c r="J551" s="7">
        <v>46226</v>
      </c>
    </row>
    <row r="552" spans="9:10" x14ac:dyDescent="0.25">
      <c r="I552" s="11" t="s">
        <v>2140</v>
      </c>
      <c r="J552" s="7">
        <v>46238</v>
      </c>
    </row>
    <row r="553" spans="9:10" x14ac:dyDescent="0.25">
      <c r="I553" s="11" t="s">
        <v>2141</v>
      </c>
      <c r="J553" s="7">
        <v>46226</v>
      </c>
    </row>
    <row r="554" spans="9:10" x14ac:dyDescent="0.25">
      <c r="I554" s="11" t="s">
        <v>2142</v>
      </c>
      <c r="J554" s="7">
        <v>46230</v>
      </c>
    </row>
    <row r="555" spans="9:10" x14ac:dyDescent="0.25">
      <c r="I555" s="11" t="s">
        <v>2143</v>
      </c>
      <c r="J555" s="7">
        <v>46226</v>
      </c>
    </row>
    <row r="556" spans="9:10" x14ac:dyDescent="0.25">
      <c r="I556" s="11" t="s">
        <v>2144</v>
      </c>
      <c r="J556" s="7">
        <v>46226</v>
      </c>
    </row>
    <row r="557" spans="9:10" x14ac:dyDescent="0.25">
      <c r="I557" s="11" t="s">
        <v>2145</v>
      </c>
      <c r="J557" s="7">
        <v>46226</v>
      </c>
    </row>
    <row r="558" spans="9:10" x14ac:dyDescent="0.25">
      <c r="I558" s="11" t="s">
        <v>2146</v>
      </c>
      <c r="J558" s="7">
        <v>46238</v>
      </c>
    </row>
    <row r="559" spans="9:10" x14ac:dyDescent="0.25">
      <c r="I559" s="11" t="s">
        <v>2147</v>
      </c>
      <c r="J559" s="7">
        <v>46226</v>
      </c>
    </row>
    <row r="560" spans="9:10" x14ac:dyDescent="0.25">
      <c r="I560" s="11" t="s">
        <v>2148</v>
      </c>
      <c r="J560" s="7">
        <v>46226</v>
      </c>
    </row>
    <row r="561" spans="9:10" x14ac:dyDescent="0.25">
      <c r="I561" s="11" t="s">
        <v>2149</v>
      </c>
      <c r="J561" s="7">
        <v>46226</v>
      </c>
    </row>
    <row r="562" spans="9:10" x14ac:dyDescent="0.25">
      <c r="I562" s="11" t="s">
        <v>252</v>
      </c>
      <c r="J562" s="7">
        <v>46169</v>
      </c>
    </row>
    <row r="563" spans="9:10" x14ac:dyDescent="0.25">
      <c r="I563" s="11" t="s">
        <v>1430</v>
      </c>
      <c r="J563" s="7">
        <v>46233</v>
      </c>
    </row>
    <row r="564" spans="9:10" x14ac:dyDescent="0.25">
      <c r="I564" s="11" t="s">
        <v>1431</v>
      </c>
      <c r="J564" s="7">
        <v>46233</v>
      </c>
    </row>
    <row r="565" spans="9:10" x14ac:dyDescent="0.25">
      <c r="I565" s="11" t="s">
        <v>1432</v>
      </c>
      <c r="J565" s="7">
        <v>46233</v>
      </c>
    </row>
    <row r="566" spans="9:10" x14ac:dyDescent="0.25">
      <c r="I566" s="11" t="s">
        <v>1433</v>
      </c>
      <c r="J566" s="7">
        <v>46233</v>
      </c>
    </row>
    <row r="567" spans="9:10" x14ac:dyDescent="0.25">
      <c r="I567" s="11" t="s">
        <v>1205</v>
      </c>
      <c r="J567" s="7">
        <v>46230</v>
      </c>
    </row>
    <row r="568" spans="9:10" x14ac:dyDescent="0.25">
      <c r="I568" s="11" t="s">
        <v>1206</v>
      </c>
      <c r="J568" s="7">
        <v>46230</v>
      </c>
    </row>
    <row r="569" spans="9:10" x14ac:dyDescent="0.25">
      <c r="I569" s="11" t="s">
        <v>1207</v>
      </c>
      <c r="J569" s="7">
        <v>46230</v>
      </c>
    </row>
    <row r="570" spans="9:10" x14ac:dyDescent="0.25">
      <c r="I570" s="11" t="s">
        <v>1208</v>
      </c>
      <c r="J570" s="7">
        <v>46220</v>
      </c>
    </row>
    <row r="571" spans="9:10" x14ac:dyDescent="0.25">
      <c r="I571" s="11" t="s">
        <v>1209</v>
      </c>
      <c r="J571" s="7">
        <v>46220</v>
      </c>
    </row>
    <row r="572" spans="9:10" x14ac:dyDescent="0.25">
      <c r="I572" s="11" t="s">
        <v>1210</v>
      </c>
      <c r="J572" s="7">
        <v>46220</v>
      </c>
    </row>
    <row r="573" spans="9:10" x14ac:dyDescent="0.25">
      <c r="I573" s="11" t="s">
        <v>1211</v>
      </c>
      <c r="J573" s="7">
        <v>46226</v>
      </c>
    </row>
    <row r="574" spans="9:10" x14ac:dyDescent="0.25">
      <c r="I574" s="11" t="s">
        <v>1212</v>
      </c>
      <c r="J574" s="7">
        <v>46220</v>
      </c>
    </row>
    <row r="575" spans="9:10" x14ac:dyDescent="0.25">
      <c r="I575" s="37" t="s">
        <v>1270</v>
      </c>
      <c r="J575" s="7">
        <v>46266</v>
      </c>
    </row>
    <row r="576" spans="9:10" x14ac:dyDescent="0.25">
      <c r="I576" s="37" t="s">
        <v>3762</v>
      </c>
      <c r="J576" s="7">
        <v>46267</v>
      </c>
    </row>
    <row r="577" spans="9:10" x14ac:dyDescent="0.25">
      <c r="I577" s="37" t="s">
        <v>3764</v>
      </c>
      <c r="J577" s="7">
        <v>46267</v>
      </c>
    </row>
    <row r="578" spans="9:10" x14ac:dyDescent="0.25">
      <c r="I578" s="37" t="s">
        <v>3829</v>
      </c>
      <c r="J578" s="7">
        <v>46267</v>
      </c>
    </row>
    <row r="579" spans="9:10" x14ac:dyDescent="0.25">
      <c r="I579" s="37" t="s">
        <v>1252</v>
      </c>
      <c r="J579" s="7">
        <v>46269</v>
      </c>
    </row>
    <row r="580" spans="9:10" x14ac:dyDescent="0.25">
      <c r="I580" s="37" t="s">
        <v>3437</v>
      </c>
      <c r="J580" s="7">
        <v>46269</v>
      </c>
    </row>
    <row r="581" spans="9:10" x14ac:dyDescent="0.25">
      <c r="I581" s="37" t="s">
        <v>3832</v>
      </c>
      <c r="J581" s="7">
        <v>46269</v>
      </c>
    </row>
    <row r="582" spans="9:10" x14ac:dyDescent="0.25">
      <c r="I582" t="s">
        <v>2098</v>
      </c>
      <c r="J582" s="7">
        <v>46273</v>
      </c>
    </row>
    <row r="583" spans="9:10" x14ac:dyDescent="0.25">
      <c r="I583" s="37" t="s">
        <v>4095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175" zoomScaleNormal="175" workbookViewId="0">
      <pane ySplit="1" topLeftCell="A17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22.2851562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 x14ac:dyDescent="0.25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3815</v>
      </c>
      <c r="L1" s="11" t="s">
        <v>202</v>
      </c>
      <c r="M1" s="11" t="s">
        <v>1214</v>
      </c>
    </row>
    <row r="2" spans="1:18" x14ac:dyDescent="0.25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 x14ac:dyDescent="0.25">
      <c r="A3" s="11" t="s">
        <v>64</v>
      </c>
      <c r="B3" s="11" t="str">
        <f t="shared" ref="B3:B60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 x14ac:dyDescent="0.25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 x14ac:dyDescent="0.25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4038</v>
      </c>
      <c r="G5" s="11" t="s">
        <v>72</v>
      </c>
      <c r="H5" s="11" t="e">
        <v>#N/A</v>
      </c>
      <c r="I5" s="11">
        <v>20</v>
      </c>
      <c r="J5" s="11">
        <v>4</v>
      </c>
    </row>
    <row r="6" spans="1:18" x14ac:dyDescent="0.25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 x14ac:dyDescent="0.25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 x14ac:dyDescent="0.25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 x14ac:dyDescent="0.25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 x14ac:dyDescent="0.25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 x14ac:dyDescent="0.25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4038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 x14ac:dyDescent="0.25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 x14ac:dyDescent="0.25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 x14ac:dyDescent="0.25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 x14ac:dyDescent="0.25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 x14ac:dyDescent="0.25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 x14ac:dyDescent="0.25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 x14ac:dyDescent="0.25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 x14ac:dyDescent="0.25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 x14ac:dyDescent="0.25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 x14ac:dyDescent="0.25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 x14ac:dyDescent="0.25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 x14ac:dyDescent="0.25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 x14ac:dyDescent="0.25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 x14ac:dyDescent="0.25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 x14ac:dyDescent="0.25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 x14ac:dyDescent="0.25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 x14ac:dyDescent="0.25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 x14ac:dyDescent="0.25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 x14ac:dyDescent="0.25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 x14ac:dyDescent="0.25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 x14ac:dyDescent="0.25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 x14ac:dyDescent="0.25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 x14ac:dyDescent="0.25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 x14ac:dyDescent="0.25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3944</v>
      </c>
      <c r="L35" s="11" t="s">
        <v>3948</v>
      </c>
    </row>
    <row r="36" spans="1:14" x14ac:dyDescent="0.25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3892</v>
      </c>
      <c r="L36" s="11" t="s">
        <v>1271</v>
      </c>
    </row>
    <row r="37" spans="1:14" x14ac:dyDescent="0.25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 x14ac:dyDescent="0.25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3822</v>
      </c>
      <c r="M38" s="21" t="s">
        <v>3773</v>
      </c>
    </row>
    <row r="39" spans="1:14" s="15" customFormat="1" x14ac:dyDescent="0.25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 x14ac:dyDescent="0.25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 x14ac:dyDescent="0.25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 x14ac:dyDescent="0.25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3947</v>
      </c>
      <c r="L42" s="21" t="s">
        <v>3949</v>
      </c>
      <c r="M42" s="21"/>
    </row>
    <row r="43" spans="1:14" x14ac:dyDescent="0.25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3820</v>
      </c>
      <c r="M43" s="21" t="s">
        <v>2225</v>
      </c>
    </row>
    <row r="44" spans="1:14" x14ac:dyDescent="0.25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3821</v>
      </c>
      <c r="M44" s="21" t="s">
        <v>2225</v>
      </c>
    </row>
    <row r="45" spans="1:14" x14ac:dyDescent="0.25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3819</v>
      </c>
    </row>
    <row r="46" spans="1:14" x14ac:dyDescent="0.25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 x14ac:dyDescent="0.25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 x14ac:dyDescent="0.25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 x14ac:dyDescent="0.25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 x14ac:dyDescent="0.25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3943</v>
      </c>
      <c r="L50" s="27" t="s">
        <v>3510</v>
      </c>
      <c r="M50" s="21" t="s">
        <v>3773</v>
      </c>
    </row>
    <row r="51" spans="1:13" x14ac:dyDescent="0.25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 x14ac:dyDescent="0.25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3812</v>
      </c>
      <c r="I52" s="11">
        <v>6</v>
      </c>
      <c r="J52" s="11">
        <v>51</v>
      </c>
      <c r="L52" s="21" t="s">
        <v>4037</v>
      </c>
      <c r="M52" s="21" t="s">
        <v>3818</v>
      </c>
    </row>
    <row r="53" spans="1:13" x14ac:dyDescent="0.25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3945</v>
      </c>
      <c r="L53" s="21" t="s">
        <v>3950</v>
      </c>
    </row>
    <row r="54" spans="1:13" x14ac:dyDescent="0.25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3989</v>
      </c>
      <c r="L54" s="21" t="s">
        <v>4096</v>
      </c>
    </row>
    <row r="55" spans="1:13" x14ac:dyDescent="0.25">
      <c r="A55" s="11" t="s">
        <v>3808</v>
      </c>
      <c r="B55" s="11" t="str">
        <f t="shared" si="0"/>
        <v>17IA19.00</v>
      </c>
      <c r="C55" s="11" t="s">
        <v>3512</v>
      </c>
      <c r="G55" s="11" t="s">
        <v>3809</v>
      </c>
      <c r="I55" s="11">
        <v>15</v>
      </c>
      <c r="J55" s="11">
        <v>54</v>
      </c>
    </row>
    <row r="56" spans="1:13" x14ac:dyDescent="0.25">
      <c r="A56" s="11" t="s">
        <v>3806</v>
      </c>
      <c r="B56" s="11" t="str">
        <f t="shared" si="0"/>
        <v>156G84.10</v>
      </c>
      <c r="C56" s="9" t="s">
        <v>1219</v>
      </c>
      <c r="E56" s="11" t="s">
        <v>3741</v>
      </c>
      <c r="F56" s="11" t="s">
        <v>3742</v>
      </c>
      <c r="G56" s="11" t="s">
        <v>4086</v>
      </c>
      <c r="J56" s="11">
        <v>55</v>
      </c>
      <c r="L56" s="11" t="s">
        <v>3954</v>
      </c>
      <c r="M56" s="11" t="s">
        <v>2184</v>
      </c>
    </row>
    <row r="57" spans="1:13" x14ac:dyDescent="0.25">
      <c r="A57" s="11" t="s">
        <v>3807</v>
      </c>
      <c r="B57" s="11" t="str">
        <f t="shared" si="0"/>
        <v>156G85.00</v>
      </c>
      <c r="C57" s="9" t="s">
        <v>1219</v>
      </c>
      <c r="E57" s="11" t="s">
        <v>3741</v>
      </c>
      <c r="F57" s="11" t="s">
        <v>3779</v>
      </c>
      <c r="G57" s="11" t="s">
        <v>4042</v>
      </c>
      <c r="J57" s="11">
        <v>56</v>
      </c>
      <c r="K57" s="11" t="s">
        <v>3942</v>
      </c>
      <c r="L57" s="11" t="s">
        <v>4039</v>
      </c>
      <c r="M57" s="11" t="s">
        <v>2184</v>
      </c>
    </row>
    <row r="58" spans="1:13" x14ac:dyDescent="0.25">
      <c r="A58" s="13" t="s">
        <v>3759</v>
      </c>
      <c r="B58" s="11" t="str">
        <f t="shared" si="0"/>
        <v>20LA42.00</v>
      </c>
      <c r="C58" s="11" t="s">
        <v>2201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3940</v>
      </c>
      <c r="L58" s="13" t="s">
        <v>3955</v>
      </c>
      <c r="M58" s="55" t="s">
        <v>3941</v>
      </c>
    </row>
    <row r="59" spans="1:13" x14ac:dyDescent="0.25">
      <c r="A59" s="11" t="s">
        <v>4085</v>
      </c>
      <c r="B59" s="11" t="str">
        <f t="shared" si="0"/>
        <v>156G45.00</v>
      </c>
      <c r="C59" s="11" t="s">
        <v>4040</v>
      </c>
      <c r="E59" s="11" t="s">
        <v>3741</v>
      </c>
      <c r="F59" s="11" t="s">
        <v>4038</v>
      </c>
      <c r="G59" s="11" t="s">
        <v>4087</v>
      </c>
      <c r="J59" s="11">
        <v>45</v>
      </c>
      <c r="M59" s="11" t="s">
        <v>2184</v>
      </c>
    </row>
    <row r="60" spans="1:13" x14ac:dyDescent="0.25">
      <c r="A60" s="11" t="s">
        <v>4084</v>
      </c>
      <c r="B60" s="11" t="str">
        <f t="shared" si="0"/>
        <v>17IA44.30</v>
      </c>
      <c r="C60" s="11" t="s">
        <v>4040</v>
      </c>
      <c r="F60" s="13" t="s">
        <v>2195</v>
      </c>
      <c r="G60" s="26" t="s">
        <v>2223</v>
      </c>
    </row>
    <row r="68" spans="12:12" ht="21.75" x14ac:dyDescent="0.3">
      <c r="L68" s="38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1" t="s">
        <v>3804</v>
      </c>
      <c r="D1" s="11" t="s">
        <v>3815</v>
      </c>
      <c r="E1" s="11" t="s">
        <v>67</v>
      </c>
      <c r="F1" s="11" t="s">
        <v>3</v>
      </c>
      <c r="Q1" s="11"/>
      <c r="R1" s="11"/>
    </row>
    <row r="2" spans="1:18" s="11" customFormat="1" x14ac:dyDescent="0.25">
      <c r="A2" s="40" t="s">
        <v>1434</v>
      </c>
      <c r="B2" s="40" t="s">
        <v>87</v>
      </c>
      <c r="C2" s="40" t="s">
        <v>3971</v>
      </c>
      <c r="D2" s="40" t="s">
        <v>3815</v>
      </c>
      <c r="E2" s="40" t="s">
        <v>67</v>
      </c>
      <c r="F2" s="40" t="s">
        <v>3972</v>
      </c>
      <c r="G2" s="40" t="s">
        <v>68</v>
      </c>
      <c r="H2" s="41" t="s">
        <v>3977</v>
      </c>
      <c r="I2" s="41" t="s">
        <v>3978</v>
      </c>
      <c r="J2" s="41" t="s">
        <v>3979</v>
      </c>
    </row>
    <row r="3" spans="1:18" x14ac:dyDescent="0.25">
      <c r="A3" s="40" t="s">
        <v>2224</v>
      </c>
      <c r="B3" s="40" t="s">
        <v>3970</v>
      </c>
      <c r="C3" s="40" t="s">
        <v>3958</v>
      </c>
      <c r="D3" s="40" t="s">
        <v>3966</v>
      </c>
      <c r="E3" s="40" t="s">
        <v>3507</v>
      </c>
      <c r="F3" s="40">
        <v>8</v>
      </c>
      <c r="G3" s="40" t="s">
        <v>3967</v>
      </c>
      <c r="H3" s="40" t="s">
        <v>3974</v>
      </c>
      <c r="I3" s="40">
        <v>10</v>
      </c>
      <c r="J3" s="40">
        <f>F3*I3</f>
        <v>80</v>
      </c>
      <c r="P3" s="39"/>
    </row>
    <row r="4" spans="1:18" x14ac:dyDescent="0.25">
      <c r="A4" s="40" t="s">
        <v>2156</v>
      </c>
      <c r="B4" s="40" t="s">
        <v>3969</v>
      </c>
      <c r="C4" s="40" t="s">
        <v>3957</v>
      </c>
      <c r="D4" s="40" t="s">
        <v>3965</v>
      </c>
      <c r="E4" s="40" t="s">
        <v>3506</v>
      </c>
      <c r="F4" s="40">
        <v>56</v>
      </c>
      <c r="G4" s="40" t="s">
        <v>3207</v>
      </c>
      <c r="H4" s="41" t="s">
        <v>3975</v>
      </c>
      <c r="I4" s="41">
        <f>10+20</f>
        <v>30</v>
      </c>
      <c r="J4" s="40">
        <f>F4*I4</f>
        <v>1680</v>
      </c>
    </row>
    <row r="5" spans="1:18" x14ac:dyDescent="0.25">
      <c r="A5" s="40" t="s">
        <v>3962</v>
      </c>
      <c r="B5" s="40" t="s">
        <v>3969</v>
      </c>
      <c r="C5" s="40" t="s">
        <v>3960</v>
      </c>
      <c r="D5" s="40" t="s">
        <v>3963</v>
      </c>
      <c r="E5" s="40" t="s">
        <v>3964</v>
      </c>
      <c r="F5" s="40">
        <v>52</v>
      </c>
      <c r="G5" s="40" t="s">
        <v>3973</v>
      </c>
      <c r="H5" s="41"/>
      <c r="I5" s="41">
        <f>10+20</f>
        <v>30</v>
      </c>
      <c r="J5" s="40">
        <f>F5*I5</f>
        <v>1560</v>
      </c>
      <c r="O5" s="11"/>
    </row>
    <row r="6" spans="1:18" x14ac:dyDescent="0.25">
      <c r="A6" s="40" t="s">
        <v>3962</v>
      </c>
      <c r="B6" s="40" t="s">
        <v>3969</v>
      </c>
      <c r="C6" s="40" t="s">
        <v>3960</v>
      </c>
      <c r="D6" s="40" t="s">
        <v>3944</v>
      </c>
      <c r="E6" s="40" t="s">
        <v>3968</v>
      </c>
      <c r="F6" s="40">
        <v>16</v>
      </c>
      <c r="G6" s="40" t="s">
        <v>3973</v>
      </c>
      <c r="H6" s="41" t="s">
        <v>3976</v>
      </c>
      <c r="I6" s="40">
        <v>30</v>
      </c>
      <c r="J6" s="40">
        <f>(4*30)+(12*10)</f>
        <v>240</v>
      </c>
      <c r="O6" s="11"/>
    </row>
    <row r="7" spans="1:18" x14ac:dyDescent="0.25">
      <c r="A7" s="40"/>
      <c r="B7" s="40"/>
      <c r="C7" s="40"/>
      <c r="D7" s="40"/>
      <c r="E7" s="40"/>
      <c r="F7" s="40"/>
      <c r="G7" s="40"/>
      <c r="H7" s="40"/>
      <c r="I7" s="40"/>
      <c r="J7" s="42">
        <f>SUM(J3:J6)</f>
        <v>3560</v>
      </c>
    </row>
    <row r="13" spans="1:18" x14ac:dyDescent="0.25">
      <c r="A13" s="43" t="s">
        <v>1434</v>
      </c>
      <c r="B13" s="43" t="s">
        <v>87</v>
      </c>
      <c r="C13" s="43" t="s">
        <v>3971</v>
      </c>
      <c r="D13" s="43" t="s">
        <v>3815</v>
      </c>
      <c r="E13" s="43" t="s">
        <v>67</v>
      </c>
      <c r="F13" s="43" t="s">
        <v>3972</v>
      </c>
      <c r="G13" s="43" t="s">
        <v>68</v>
      </c>
      <c r="H13" s="43" t="s">
        <v>3977</v>
      </c>
      <c r="I13" s="43"/>
      <c r="J13" s="44" t="s">
        <v>3984</v>
      </c>
      <c r="K13" s="44" t="s">
        <v>3985</v>
      </c>
      <c r="L13" s="44" t="s">
        <v>3986</v>
      </c>
    </row>
    <row r="14" spans="1:18" x14ac:dyDescent="0.25">
      <c r="A14" s="43" t="s">
        <v>2224</v>
      </c>
      <c r="B14" s="43" t="s">
        <v>3980</v>
      </c>
      <c r="C14" s="43" t="s">
        <v>3958</v>
      </c>
      <c r="D14" s="43" t="s">
        <v>3966</v>
      </c>
      <c r="E14" s="43" t="s">
        <v>3507</v>
      </c>
      <c r="F14" s="45">
        <v>8</v>
      </c>
      <c r="G14" s="43" t="s">
        <v>3967</v>
      </c>
      <c r="H14" s="43" t="s">
        <v>3974</v>
      </c>
      <c r="I14" s="45">
        <v>10</v>
      </c>
      <c r="J14" s="40">
        <v>80</v>
      </c>
      <c r="K14" s="40">
        <v>0</v>
      </c>
      <c r="L14" s="40">
        <f>J14+K14</f>
        <v>80</v>
      </c>
    </row>
    <row r="15" spans="1:18" x14ac:dyDescent="0.25">
      <c r="A15" s="43" t="s">
        <v>2156</v>
      </c>
      <c r="B15" s="43" t="s">
        <v>3969</v>
      </c>
      <c r="C15" s="43" t="s">
        <v>3957</v>
      </c>
      <c r="D15" s="43" t="s">
        <v>3965</v>
      </c>
      <c r="E15" s="43" t="s">
        <v>3506</v>
      </c>
      <c r="F15" s="45">
        <v>56</v>
      </c>
      <c r="G15" s="43" t="s">
        <v>3207</v>
      </c>
      <c r="H15" s="43" t="s">
        <v>3975</v>
      </c>
      <c r="I15" s="45">
        <v>10</v>
      </c>
      <c r="J15" s="40">
        <v>560</v>
      </c>
      <c r="K15" s="40">
        <v>200</v>
      </c>
      <c r="L15" s="40">
        <f>J15+K15</f>
        <v>760</v>
      </c>
      <c r="M15" s="11" t="s">
        <v>3987</v>
      </c>
    </row>
    <row r="16" spans="1:18" x14ac:dyDescent="0.25">
      <c r="A16" s="43" t="s">
        <v>3981</v>
      </c>
      <c r="B16" s="43" t="s">
        <v>3969</v>
      </c>
      <c r="C16" s="43" t="s">
        <v>3960</v>
      </c>
      <c r="D16" s="43" t="s">
        <v>3963</v>
      </c>
      <c r="E16" s="43" t="s">
        <v>3964</v>
      </c>
      <c r="F16" s="45">
        <v>52</v>
      </c>
      <c r="G16" s="43" t="s">
        <v>3973</v>
      </c>
      <c r="H16" s="43"/>
      <c r="I16" s="45">
        <v>10</v>
      </c>
      <c r="J16" s="40">
        <v>520</v>
      </c>
      <c r="K16" s="40">
        <v>0</v>
      </c>
      <c r="L16" s="40">
        <f>J16+K16</f>
        <v>520</v>
      </c>
    </row>
    <row r="17" spans="1:13" ht="45" x14ac:dyDescent="0.25">
      <c r="A17" s="43" t="s">
        <v>3981</v>
      </c>
      <c r="B17" s="46" t="s">
        <v>3982</v>
      </c>
      <c r="C17" s="43" t="s">
        <v>3960</v>
      </c>
      <c r="D17" s="43" t="s">
        <v>3944</v>
      </c>
      <c r="E17" s="43" t="s">
        <v>3968</v>
      </c>
      <c r="F17" s="45">
        <v>16</v>
      </c>
      <c r="G17" s="43" t="s">
        <v>3973</v>
      </c>
      <c r="H17" s="43" t="s">
        <v>3983</v>
      </c>
      <c r="I17" s="45">
        <v>10</v>
      </c>
      <c r="J17" s="40">
        <v>160</v>
      </c>
      <c r="K17" s="40">
        <v>80</v>
      </c>
      <c r="L17" s="40">
        <f>J17+K17</f>
        <v>240</v>
      </c>
      <c r="M17" s="11" t="s">
        <v>3988</v>
      </c>
    </row>
    <row r="18" spans="1:13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0">
        <v>1320</v>
      </c>
      <c r="K18" s="40">
        <v>280</v>
      </c>
      <c r="L18" s="41">
        <f>SUM(L14:L17)</f>
        <v>1600</v>
      </c>
    </row>
    <row r="26" spans="1:13" x14ac:dyDescent="0.25">
      <c r="A26" s="47" t="s">
        <v>1434</v>
      </c>
      <c r="B26" s="47" t="s">
        <v>87</v>
      </c>
      <c r="C26" s="47" t="s">
        <v>3971</v>
      </c>
      <c r="D26" s="47" t="s">
        <v>3815</v>
      </c>
      <c r="E26" s="47" t="s">
        <v>67</v>
      </c>
      <c r="F26" s="47" t="s">
        <v>3972</v>
      </c>
      <c r="G26" s="47"/>
      <c r="H26" s="47" t="s">
        <v>68</v>
      </c>
      <c r="I26" s="47" t="s">
        <v>3977</v>
      </c>
      <c r="J26" s="48" t="s">
        <v>3984</v>
      </c>
      <c r="K26" s="48" t="s">
        <v>3985</v>
      </c>
      <c r="L26" s="48" t="s">
        <v>3986</v>
      </c>
      <c r="M26" s="25"/>
    </row>
    <row r="27" spans="1:13" x14ac:dyDescent="0.25">
      <c r="A27" s="47" t="s">
        <v>2224</v>
      </c>
      <c r="B27" s="47" t="s">
        <v>3980</v>
      </c>
      <c r="C27" s="47" t="s">
        <v>3958</v>
      </c>
      <c r="D27" s="47" t="s">
        <v>3966</v>
      </c>
      <c r="E27" s="47" t="s">
        <v>3507</v>
      </c>
      <c r="F27" s="45">
        <v>8</v>
      </c>
      <c r="G27" s="45">
        <v>8</v>
      </c>
      <c r="H27" s="47" t="s">
        <v>3967</v>
      </c>
      <c r="I27" s="47" t="s">
        <v>3974</v>
      </c>
      <c r="J27" s="49">
        <v>80</v>
      </c>
      <c r="K27" s="49">
        <v>0</v>
      </c>
      <c r="L27" s="49">
        <f>J27+K27</f>
        <v>80</v>
      </c>
      <c r="M27" s="25"/>
    </row>
    <row r="28" spans="1:13" x14ac:dyDescent="0.25">
      <c r="A28" s="47" t="s">
        <v>2156</v>
      </c>
      <c r="B28" s="47" t="s">
        <v>3969</v>
      </c>
      <c r="C28" s="47" t="s">
        <v>3957</v>
      </c>
      <c r="D28" s="47" t="s">
        <v>3965</v>
      </c>
      <c r="E28" s="47" t="s">
        <v>3506</v>
      </c>
      <c r="F28" s="45">
        <v>56</v>
      </c>
      <c r="G28" s="45"/>
      <c r="H28" s="47" t="s">
        <v>3207</v>
      </c>
      <c r="I28" s="47" t="s">
        <v>3975</v>
      </c>
      <c r="J28" s="49">
        <v>560</v>
      </c>
      <c r="K28" s="49">
        <v>200</v>
      </c>
      <c r="L28" s="49">
        <f>J28+K28</f>
        <v>760</v>
      </c>
      <c r="M28" s="25" t="s">
        <v>3987</v>
      </c>
    </row>
    <row r="29" spans="1:13" x14ac:dyDescent="0.25">
      <c r="A29" s="47" t="s">
        <v>3981</v>
      </c>
      <c r="B29" s="47" t="s">
        <v>3969</v>
      </c>
      <c r="C29" s="47" t="s">
        <v>3960</v>
      </c>
      <c r="D29" s="47" t="s">
        <v>3963</v>
      </c>
      <c r="E29" s="47" t="s">
        <v>3964</v>
      </c>
      <c r="F29" s="45">
        <v>52</v>
      </c>
      <c r="G29" s="11"/>
      <c r="H29" s="47" t="s">
        <v>3973</v>
      </c>
      <c r="I29" s="47"/>
      <c r="J29" s="49">
        <v>520</v>
      </c>
      <c r="K29" s="49">
        <v>0</v>
      </c>
      <c r="L29" s="49">
        <f>J29+K29</f>
        <v>520</v>
      </c>
      <c r="M29" s="25"/>
    </row>
    <row r="30" spans="1:13" x14ac:dyDescent="0.25">
      <c r="A30" s="47" t="s">
        <v>3981</v>
      </c>
      <c r="B30" s="47" t="s">
        <v>3982</v>
      </c>
      <c r="C30" s="47" t="s">
        <v>3960</v>
      </c>
      <c r="D30" s="47" t="s">
        <v>3944</v>
      </c>
      <c r="E30" s="47" t="s">
        <v>3968</v>
      </c>
      <c r="F30" s="45">
        <v>16</v>
      </c>
      <c r="G30" s="45">
        <v>16</v>
      </c>
      <c r="H30" s="47" t="s">
        <v>3973</v>
      </c>
      <c r="I30" s="47" t="s">
        <v>3983</v>
      </c>
      <c r="J30" s="49">
        <v>160</v>
      </c>
      <c r="K30" s="49">
        <v>80</v>
      </c>
      <c r="L30" s="49">
        <f>J30+K30</f>
        <v>240</v>
      </c>
      <c r="M30" s="25" t="s">
        <v>3988</v>
      </c>
    </row>
    <row r="31" spans="1:13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9">
        <v>1320</v>
      </c>
      <c r="K31" s="49">
        <v>280</v>
      </c>
      <c r="L31" s="50">
        <f>SUM(L27:L30)</f>
        <v>1600</v>
      </c>
      <c r="M31" s="25"/>
    </row>
    <row r="32" spans="1:13" x14ac:dyDescent="0.25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2026-09-17T13:56:59Z</dcterms:modified>
</cp:coreProperties>
</file>